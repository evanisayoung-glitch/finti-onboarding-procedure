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comments3.xml" ContentType="application/vnd.openxmlformats-officedocument.spreadsheetml.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19513" documentId="8_{1DCFE838-38CF-42BB-A4E6-44CBE3BA0417}" xr6:coauthVersionLast="47" xr6:coauthVersionMax="47" xr10:uidLastSave="{32FE5B6E-F86D-4B5A-B4F8-2062D2AE3944}"/>
  <bookViews>
    <workbookView xWindow="0" yWindow="0" windowWidth="16384" windowHeight="8192" tabRatio="500" firstSheet="4" activeTab="3" xr2:uid="{00000000-000D-0000-FFFF-FFFF00000000}"/>
  </bookViews>
  <sheets>
    <sheet name="Onboarding Procedures" sheetId="9" r:id="rId1"/>
    <sheet name="README - Start Here" sheetId="1" r:id="rId2"/>
    <sheet name="Add Merchant" sheetId="11" r:id="rId3"/>
    <sheet name="Dealer Master" sheetId="2" r:id="rId4"/>
    <sheet name="Team Priorities" sheetId="13" r:id="rId5"/>
    <sheet name="Dealer Details" sheetId="3" r:id="rId6"/>
    <sheet name="SUNLIGHT" sheetId="6" r:id="rId7"/>
    <sheet name="Lender Reference" sheetId="4" state="hidden" r:id="rId8"/>
    <sheet name="Screenshot Text" sheetId="5" state="hidden" r:id="rId9"/>
    <sheet name="SERVICE" sheetId="7" r:id="rId10"/>
    <sheet name="Foundation" sheetId="8" r:id="rId11"/>
    <sheet name="US Bank" sheetId="12" r:id="rId12"/>
    <sheet name="BRIT CHECK" sheetId="10" r:id="rId13"/>
    <sheet name="Dealer Master BACKUP 9-19-2026" sheetId="14" r:id="rId14"/>
    <sheet name="Evan All" sheetId="15" r:id="rId23"/>
    <sheet name="Evan Mine" sheetId="16" r:id="rId24"/>
    <sheet name="Shaw" sheetId="17" r:id="rId25"/>
    <sheet name="Coutu" sheetId="18" r:id="rId26"/>
    <sheet name="Ready for rate sheets" sheetId="19" r:id="rId27"/>
    <sheet name="OwnerLists" sheetId="20" state="hidden" r:id="rId28"/>
  </sheets>
  <definedNames>
    <definedName name="FintiOwnerList">OwnerLists!$A$2:$A$5</definedName>
    <definedName name="FintiOwnerCol">'Dealer Master'!$BZ$5:$BZ$1021</definedName>
    <definedName name="ReadyForRateSheetsCol">'Dealer Master'!$CA$5:$CA$1021</definedName>
    <definedName name="ShawHoldCol">'Dealer Master'!$CB$5:$CB$1021</definedName>
  </definedName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tc={A615335A-4964-44E6-ADAF-CE2C2DCE6F19}</author>
    <author>tc={3BDADA6C-9742-4D53-A199-62AD443FD23F}</author>
  </authors>
  <commentList>
    <comment ref="B27" authorId="0" shapeId="0" xr:uid="{A615335A-4964-44E6-ADAF-CE2C2DCE6F19}">
      <text>
        <t>[Threaded comment]
Your version of Excel allows you to read this threaded comment; however, any edits to it will get removed if the file is opened in a newer version of Excel. Learn more: https://go.microsoft.com/fwlink/?linkid=870924
Comment:
    @Evan Young this was just for me to know which lenders a dealer was applying for
Reply:
    @Brittany Shaw. Good to know!</t>
      </text>
    </comment>
    <comment ref="B28" authorId="1" shapeId="0" xr:uid="{3BDADA6C-9742-4D53-A199-62AD443FD23F}">
      <text>
        <t>[Threaded comment]
Your version of Excel allows you to read this threaded comment; however, any edits to it will get removed if the file is opened in a newer version of Excel. Learn more: https://go.microsoft.com/fwlink/?linkid=870924
Comment:
    I think this one was denied due to not meeting $1MM in revenue, but Foundation Finance doesn't have a minimum requirement, so I think we can move forward with applying.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tc={C072F377-BE20-42F2-8D0C-975A2610574D}</author>
    <author>tc={E216BADE-8863-4DEE-905C-EB6E060B1022}</author>
    <author>tc={DC998024-B31C-44F8-9D6C-099A6890E999}</author>
    <author>tc={2DBDDCF7-2843-47DE-8CF3-92AC49A12408}</author>
    <author>tc={BCB364F3-CA51-43D1-A91E-05F061BB1FAA}</author>
    <author>tc={6B1BFF33-C957-4677-90DC-2AC69A897DCE}</author>
    <author>tc={57C4401E-6DB3-476C-9DD0-E3074F5C6359}</author>
    <author>tc={E016FEDA-7CE4-4ACC-B4CD-B675227E4CED}</author>
    <author>tc={C9AEF364-B02C-4F1D-AD90-290403FE9C6E}</author>
    <author>tc={62C884FF-7C9C-43EA-AF39-3EC0262B6F98}</author>
    <author>tc={F172CE79-6CCB-4FE8-9D09-D9E8B7FC9ADA}</author>
    <author>tc={A9584B73-0264-46A1-9090-F784260BC6DA}</author>
    <author>tc={D559E354-D5E6-4410-A346-9BBF438B56AD}</author>
    <author>tc={01A40835-1943-4D49-BF60-AC954D29277D}</author>
    <author>tc={BC12C537-D683-4065-9313-50C843B39BCD}</author>
    <author>tc={0E7E3A72-C353-4CE9-A58A-46D932A05A72}</author>
    <author>tc={3486FFE9-B95F-4DFF-88E3-027866E5E4E8}</author>
    <author>tc={FAA928E2-BBCD-4D7F-89CC-173DD6D0F4CE}</author>
    <author>tc={1EC3697C-0561-4039-A5ED-E580CB2205E1}</author>
    <author>tc={FD30983D-41D2-43D8-88AB-080D6A7F0E79}</author>
    <author>tc={8CF5BCFF-271D-4A22-B2A6-50E7DFFDA6D5}</author>
    <author>tc={D2E5B9DD-4552-474D-BCF5-4BD62A657A41}</author>
    <author>tc={5CB6175D-01D5-477C-910B-C553C4C9BA2D}</author>
    <author>tc={37346C2E-AC8D-46A2-94E5-D31B2F2A2246}</author>
    <author>tc={E9135140-F481-4DEC-9F2E-6A6D0956E505}</author>
    <author>tc={C2265DFE-9C7A-42A7-842A-0F35447A9BFA}</author>
    <author>tc={95C4EF4A-4B20-42BE-8796-F976D5A42CB1}</author>
    <author>tc={BC4E6121-C97D-4055-93DD-02F1B0353252}</author>
    <author>tc={65A33778-5883-45DD-8704-3364046F3105}</author>
    <author>tc={9CE08954-B9D3-497A-81F8-1354C9DF40A4}</author>
    <author>tc={491CCB17-B0F1-47B6-9D44-EF3EF5263158}</author>
  </authors>
  <commentList>
    <comment ref="Y5" authorId="0" shapeId="0" xr:uid="{C072F377-BE20-42F2-8D0C-975A2610574D}">
      <text>
        <t>[Threaded comment]
Your version of Excel allows you to read this threaded comment; however, any edits to it will get removed if the file is opened in a newer version of Excel. Learn more: https://go.microsoft.com/fwlink/?linkid=870924
Comment:
    Source: Finti Weekly Report (3).xlsx, uploaded 2026-09-21 — Dealer List, Registration Submitted Date</t>
      </text>
    </comment>
    <comment ref="Y6" authorId="1" shapeId="0" xr:uid="{E216BADE-8863-4DEE-905C-EB6E060B1022}">
      <text>
        <t>[Threaded comment]
Your version of Excel allows you to read this threaded comment; however, any edits to it will get removed if the file is opened in a newer version of Excel. Learn more: https://go.microsoft.com/fwlink/?linkid=870924
Comment:
    Source: Finti Weekly Report (3).xlsx, uploaded 2026-09-21 — Dealer List, Registration Submitted Date</t>
      </text>
    </comment>
    <comment ref="Y7" authorId="2" shapeId="0" xr:uid="{DC998024-B31C-44F8-9D6C-099A6890E999}">
      <text>
        <t>[Threaded comment]
Your version of Excel allows you to read this threaded comment; however, any edits to it will get removed if the file is opened in a newer version of Excel. Learn more: https://go.microsoft.com/fwlink/?linkid=870924
Comment:
    Source: Finti Weekly Report (3).xlsx, uploaded 2026-09-21 — Dealer List, Registration Submitted Date</t>
      </text>
    </comment>
    <comment ref="Y8" authorId="3" shapeId="0" xr:uid="{2DBDDCF7-2843-47DE-8CF3-92AC49A12408}">
      <text>
        <t>[Threaded comment]
Your version of Excel allows you to read this threaded comment; however, any edits to it will get removed if the file is opened in a newer version of Excel. Learn more: https://go.microsoft.com/fwlink/?linkid=870924
Comment:
    Source: Finti Weekly Report (3).xlsx, uploaded 2026-09-21 — Dealer List, Registration Submitted Date</t>
      </text>
    </comment>
    <comment ref="Y9" authorId="4" shapeId="0" xr:uid="{BCB364F3-CA51-43D1-A91E-05F061BB1FAA}">
      <text>
        <t>[Threaded comment]
Your version of Excel allows you to read this threaded comment; however, any edits to it will get removed if the file is opened in a newer version of Excel. Learn more: https://go.microsoft.com/fwlink/?linkid=870924
Comment:
    Source: Finti Weekly Report (3).xlsx, uploaded 2026-09-21 — Dealer List, Registration Submitted Date</t>
      </text>
    </comment>
    <comment ref="Y10" authorId="5" shapeId="0" xr:uid="{6B1BFF33-C957-4677-90DC-2AC69A897DCE}">
      <text>
        <t>[Threaded comment]
Your version of Excel allows you to read this threaded comment; however, any edits to it will get removed if the file is opened in a newer version of Excel. Learn more: https://go.microsoft.com/fwlink/?linkid=870924
Comment:
    Source: Finti Weekly Report (3).xlsx, uploaded 2026-09-21 — Dealer List, Registration Submitted Date</t>
      </text>
    </comment>
    <comment ref="Y11" authorId="6" shapeId="0" xr:uid="{57C4401E-6DB3-476C-9DD0-E3074F5C6359}">
      <text>
        <t>[Threaded comment]
Your version of Excel allows you to read this threaded comment; however, any edits to it will get removed if the file is opened in a newer version of Excel. Learn more: https://go.microsoft.com/fwlink/?linkid=870924
Comment:
    Source: Finti Weekly Report (3).xlsx, uploaded 2026-09-21 — Dealer List, Registration Submitted Date</t>
      </text>
    </comment>
    <comment ref="AT11" authorId="7" shapeId="0" xr:uid="{E016FEDA-7CE4-4ACC-B4CD-B675227E4CED}">
      <text>
        <t>[Threaded comment]
Your version of Excel allows you to read this threaded comment; however, any edits to it will get removed if the file is opened in a newer version of Excel. Learn more: https://go.microsoft.com/fwlink/?linkid=870924
Comment:
    Source: Finti Weekly Report (3).xlsx, uploaded 2026-09-21 — Dealer List, Dealer Number</t>
      </text>
    </comment>
    <comment ref="Y12" authorId="8" shapeId="0" xr:uid="{C9AEF364-B02C-4F1D-AD90-290403FE9C6E}">
      <text>
        <t>[Threaded comment]
Your version of Excel allows you to read this threaded comment; however, any edits to it will get removed if the file is opened in a newer version of Excel. Learn more: https://go.microsoft.com/fwlink/?linkid=870924
Comment:
    Source: FFC Dealer List pasted into chat by user, 2026-09-21 — Banyan Construction, Registration Submitted Date 9/2/2026</t>
      </text>
    </comment>
    <comment ref="AJ12" authorId="9" shapeId="0" xr:uid="{62C884FF-7C9C-43EA-AF39-3EC0262B6F98}">
      <text>
        <t>[Threaded comment]
Your version of Excel allows you to read this threaded comment; however, any edits to it will get removed if the file is opened in a newer version of Excel. Learn more: https://go.microsoft.com/fwlink/?linkid=870924
Comment:
    Source: FFC Dealer List pasted into chat by user, 2026-09-21 — Banyan Construction, Registration Approved Date 9/21/2026</t>
      </text>
    </comment>
    <comment ref="AT12" authorId="10" shapeId="0" xr:uid="{F172CE79-6CCB-4FE8-9D09-D9E8B7FC9ADA}">
      <text>
        <t>[Threaded comment]
Your version of Excel allows you to read this threaded comment; however, any edits to it will get removed if the file is opened in a newer version of Excel. Learn more: https://go.microsoft.com/fwlink/?linkid=870924
Comment:
    Source: FFC Dealer List pasted into chat by user, 2026-09-21 — Banyan Construction, Dealer Number</t>
      </text>
    </comment>
    <comment ref="Y15" authorId="11" shapeId="0" xr:uid="{A9584B73-0264-46A1-9090-F784260BC6DA}">
      <text>
        <t>[Threaded comment]
Your version of Excel allows you to read this threaded comment; however, any edits to it will get removed if the file is opened in a newer version of Excel. Learn more: https://go.microsoft.com/fwlink/?linkid=870924
Comment:
    Source: Finti Weekly Report (3).xlsx, uploaded 2026-09-21 — Dealer List, Registration Submitted Date</t>
      </text>
    </comment>
    <comment ref="X17" authorId="12" shapeId="0" xr:uid="{D559E354-D5E6-4410-A346-9BBF438B56AD}">
      <text>
        <t>[Threaded comment]
Your version of Excel allows you to read this threaded comment; however, any edits to it will get removed if the file is opened in a newer version of Excel. Learn more: https://go.microsoft.com/fwlink/?linkid=870924
Comment:
    Source: FFC Dealer List pasted into chat by user, 2026-09-21 — Registration Approved 9/2/2026, Training Completed? False. Approved = registered with FFC, training not yet done.</t>
      </text>
    </comment>
    <comment ref="Y17" authorId="13" shapeId="0" xr:uid="{01A40835-1943-4D49-BF60-AC954D29277D}">
      <text>
        <t>[Threaded comment]
Your version of Excel allows you to read this threaded comment; however, any edits to it will get removed if the file is opened in a newer version of Excel. Learn more: https://go.microsoft.com/fwlink/?linkid=870924
Comment:
    Source: Finti Weekly Report (3).xlsx, uploaded 2026-09-21 — Dealer List, Registration Submitted Date</t>
      </text>
    </comment>
    <comment ref="AJ17" authorId="14" shapeId="0" xr:uid="{BC12C537-D683-4065-9313-50C843B39BCD}">
      <text>
        <t>[Threaded comment]
Your version of Excel allows you to read this threaded comment; however, any edits to it will get removed if the file is opened in a newer version of Excel. Learn more: https://go.microsoft.com/fwlink/?linkid=870924
Comment:
    Source: Finti Weekly Report (3).xlsx, uploaded 2026-09-21 — Dealer List: Registration Approved Date 9/2/26</t>
      </text>
    </comment>
    <comment ref="AJ19" authorId="15" shapeId="0" xr:uid="{0E7E3A72-C353-4CE9-A58A-46D932A05A72}">
      <text>
        <t>[Threaded comment]
Your version of Excel allows you to read this threaded comment; however, any edits to it will get removed if the file is opened in a newer version of Excel. Learn more: https://go.microsoft.com/fwlink/?linkid=870924
Comment:
    Source: Finti Weekly Report (4).xlsx, uploaded 2026-09-21 — Lead List: Owner Call Completed, Awaiting Dealer Items, Items Needed = Ownership</t>
      </text>
    </comment>
    <comment ref="Y21" authorId="16" shapeId="0" xr:uid="{3486FFE9-B95F-4DFF-88E3-027866E5E4E8}">
      <text>
        <t>[Threaded comment]
Your version of Excel allows you to read this threaded comment; however, any edits to it will get removed if the file is opened in a newer version of Excel. Learn more: https://go.microsoft.com/fwlink/?linkid=870924
Comment:
    Source: Finti Weekly Report (3).xlsx, uploaded 2026-09-21 — Dealer List, Registration Submitted Date</t>
      </text>
    </comment>
    <comment ref="X22" authorId="17" shapeId="0" xr:uid="{FAA928E2-BBCD-4D7F-89CC-173DD6D0F4CE}">
      <text>
        <t>[Threaded comment]
Your version of Excel allows you to read this threaded comment; however, any edits to it will get removed if the file is opened in a newer version of Excel. Learn more: https://go.microsoft.com/fwlink/?linkid=870924
Comment:
    Source: Finti Weekly Report (4).xlsx, uploaded 2026-09-21 — Dirty Boys Contracting does not appear on the Lead List or Dealer List, so FFC never received the submission.</t>
      </text>
    </comment>
    <comment ref="Y22" authorId="18" shapeId="0" xr:uid="{1EC3697C-0561-4039-A5ED-E580CB2205E1}">
      <text>
        <t>[Threaded comment]
Your version of Excel allows you to read this threaded comment; however, any edits to it will get removed if the file is opened in a newer version of Excel. Learn more: https://go.microsoft.com/fwlink/?linkid=870924
Comment:
    Cleared: FFC has no record of this dealer in the 9/21/26 report, so the prior submitted date was not real.</t>
      </text>
    </comment>
    <comment ref="X28" authorId="19" shapeId="0" xr:uid="{FD30983D-41D2-43D8-88AB-080D6A7F0E79}">
      <text>
        <t>[Threaded comment]
Your version of Excel allows you to read this threaded comment; however, any edits to it will get removed if the file is opened in a newer version of Excel. Learn more: https://go.microsoft.com/fwlink/?linkid=870924
Comment:
    Source: Finti Weekly Report (4).xlsx, uploaded 2026-09-21 — BRM Roofing &amp; Construction does not appear on the Lead List or Dealer List, so FFC never received the submission.</t>
      </text>
    </comment>
    <comment ref="Y28" authorId="20" shapeId="0" xr:uid="{8CF5BCFF-271D-4A22-B2A6-50E7DFFDA6D5}">
      <text>
        <t>[Threaded comment]
Your version of Excel allows you to read this threaded comment; however, any edits to it will get removed if the file is opened in a newer version of Excel. Learn more: https://go.microsoft.com/fwlink/?linkid=870924
Comment:
    Cleared: FFC has no record of this dealer in the 9/21/26 report, so the prior submitted date was not real.</t>
      </text>
    </comment>
    <comment ref="Y29" authorId="21" shapeId="0" xr:uid="{D2E5B9DD-4552-474D-BCF5-4BD62A657A41}">
      <text>
        <t>[Threaded comment]
Your version of Excel allows you to read this threaded comment; however, any edits to it will get removed if the file is opened in a newer version of Excel. Learn more: https://go.microsoft.com/fwlink/?linkid=870924
Comment:
    Source: FFC Dealer List pasted into chat by user, 2026-09-21 — Taves Fencing, Registration Submitted Date 9/4/2026</t>
      </text>
    </comment>
    <comment ref="AJ29" authorId="22" shapeId="0" xr:uid="{5CB6175D-01D5-477C-910B-C553C4C9BA2D}">
      <text>
        <t>[Threaded comment]
Your version of Excel allows you to read this threaded comment; however, any edits to it will get removed if the file is opened in a newer version of Excel. Learn more: https://go.microsoft.com/fwlink/?linkid=870924
Comment:
    Source: FFC Dealer List pasted into chat by user, 2026-09-21 — Taves Fencing, Registration Approved Date 9/17/2026</t>
      </text>
    </comment>
    <comment ref="AT29" authorId="23" shapeId="0" xr:uid="{37346C2E-AC8D-46A2-94E5-D31B2F2A2246}">
      <text>
        <t>[Threaded comment]
Your version of Excel allows you to read this threaded comment; however, any edits to it will get removed if the file is opened in a newer version of Excel. Learn more: https://go.microsoft.com/fwlink/?linkid=870924
Comment:
    Source: FFC Dealer List pasted into chat by user, 2026-09-21 — Taves Fencing, Dealer Number</t>
      </text>
    </comment>
    <comment ref="Y30" authorId="24" shapeId="0" xr:uid="{E9135140-F481-4DEC-9F2E-6A6D0956E505}">
      <text>
        <t>[Threaded comment]
Your version of Excel allows you to read this threaded comment; however, any edits to it will get removed if the file is opened in a newer version of Excel. Learn more: https://go.microsoft.com/fwlink/?linkid=870924
Comment:
    Source: Finti Weekly Report (3).xlsx, uploaded 2026-09-21 — Dealer List, Registration Submitted Date</t>
      </text>
    </comment>
    <comment ref="Y32" authorId="25" shapeId="0" xr:uid="{C2265DFE-9C7A-42A7-842A-0F35447A9BFA}">
      <text>
        <t>[Threaded comment]
Your version of Excel allows you to read this threaded comment; however, any edits to it will get removed if the file is opened in a newer version of Excel. Learn more: https://go.microsoft.com/fwlink/?linkid=870924
Comment:
    Source: Finti Weekly Report (3).xlsx, uploaded 2026-09-21 — Dealer List, Registration Submitted Date</t>
      </text>
    </comment>
    <comment ref="AJ33" authorId="26" shapeId="0" xr:uid="{95C4EF4A-4B20-42BE-8796-F976D5A42CB1}">
      <text>
        <t>[Threaded comment]
Your version of Excel allows you to read this threaded comment; however, any edits to it will get removed if the file is opened in a newer version of Excel. Learn more: https://go.microsoft.com/fwlink/?linkid=870924
Comment:
    Source: Finti Weekly Report (4).xlsx, uploaded 2026-09-21 — Lead List: Need OC, Owner Call Status = 1st Owner Call Attempted</t>
      </text>
    </comment>
    <comment ref="AJ34" authorId="27" shapeId="0" xr:uid="{BC4E6121-C97D-4055-93DD-02F1B0353252}">
      <text>
        <t>[Threaded comment]
Your version of Excel allows you to read this threaded comment; however, any edits to it will get removed if the file is opened in a newer version of Excel. Learn more: https://go.microsoft.com/fwlink/?linkid=870924
Comment:
    Source: Finti Weekly Report (4).xlsx, uploaded 2026-09-21 — Lead List: Owner Call Completed, Awaiting Dealer Items, Items Needed = Clarifying Question</t>
      </text>
    </comment>
    <comment ref="X36" authorId="28" shapeId="0" xr:uid="{65A33778-5883-45DD-8704-3364046F3105}">
      <text>
        <t>[Threaded comment]
Your version of Excel allows you to read this threaded comment; however, any edits to it will get removed if the file is opened in a newer version of Excel. Learn more: https://go.microsoft.com/fwlink/?linkid=870924
Comment:
    Source: FFC Dealer List pasted into chat by user, 2026-09-21 — Current Registration Status Approved, approved 9/17/2026</t>
      </text>
    </comment>
    <comment ref="Y36" authorId="29" shapeId="0" xr:uid="{9CE08954-B9D3-497A-81F8-1354C9DF40A4}">
      <text>
        <t>[Threaded comment]
Your version of Excel allows you to read this threaded comment; however, any edits to it will get removed if the file is opened in a newer version of Excel. Learn more: https://go.microsoft.com/fwlink/?linkid=870924
Comment:
    Source: FFC Dealer List pasted into chat by user, 2026-09-21 — R3VIVE, Registration Submitted Date 9/8/2026</t>
      </text>
    </comment>
    <comment ref="AT36" authorId="30" shapeId="0" xr:uid="{491CCB17-B0F1-47B6-9D44-EF3EF5263158}">
      <text>
        <t>[Threaded comment]
Your version of Excel allows you to read this threaded comment; however, any edits to it will get removed if the file is opened in a newer version of Excel. Learn more: https://go.microsoft.com/fwlink/?linkid=870924
Comment:
    Source: FFC Dealer List pasted into chat by user, 2026-09-21 — R3VIVE, Dealer Number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Evan Young</author>
  </authors>
  <commentList>
    <comment ref="A1" authorId="0" shapeId="0" xr:uid="{E9B2EAA4-F376-491A-B62A-459C65C15F8E}">
      <text>
        <r>
          <rPr>
            <sz val="11"/>
            <color theme="1"/>
            <rFont val="Calibri"/>
            <family val="2"/>
            <charset val="1"/>
          </rPr>
          <t>BACKUP SNAPSHOT of Dealer Master, taken 9/19/2026 11:49 AM CDT, before structural changes (Table conversion / Dealer Details reconciliation / README cleanup). Do not edit or work from this tab. To revert: delete the live Dealer Master tab and rename this one to 'Dealer Master'.</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<sst xmlns="http://schemas.openxmlformats.org/spreadsheetml/2006/main" count="10275" uniqueCount="3688">
  <si>
    <t>HOME IMPROVEMENT DEALER ONBOARDING - THE PROCESS</t>
  </si>
  <si>
    <t>Built from Shawn's Sept 1, 2026 walkthroughs and organized around the Dealer Master tracker: every merchant sits in one Overall Status, and this page tells you what that status means, what you do, and what you type. Updated Sept 2, 2026.</t>
  </si>
  <si>
    <t>NEW ONBOARDING REP - GET SET UP (DAY 1)</t>
  </si>
  <si>
    <t>1. Access</t>
  </si>
  <si>
    <t>Get your @getfinti.com mailbox, access to the shared merchantonboarding@getfinti.com inbox (all lender and dealer email lives there - always cc it), a login to the Finti portal (app.getfinti.com) with Merchants access, and edit rights to this workbook (Microsoft 365 &gt; Excel &gt; Home Improvement Boarding Tracker V2).</t>
  </si>
  <si>
    <t>2. Read these tabs</t>
  </si>
  <si>
    <t>This tab top to bottom, then DEALER MASTER - HOW TO at the bottom (what the colors mean and what you type), then the SUNLIGHT / SERVICE / Foundation tabs (how to submit to each lender and who to contact). Add yourself to the rep list on the Add Merchant tab if you are missing.</t>
  </si>
  <si>
    <t>3. Shadow one merchant</t>
  </si>
  <si>
    <t>Open a dealer that is already LIVE DLR on Dealer Master and walk it backwards: its row here, its record in the Finti portal (application pages 1-5, Store / Location, Provider credentials), and the email thread in merchantonboarding. That is the whole process end to end.</t>
  </si>
  <si>
    <t>4. Know the people</t>
  </si>
  <si>
    <t>Shawn Hanks - onboarding lead, lender relationships, on the first training calls. Brittany (Brit) - onboarding ops, works from merchantonboarding. Brittany Coutu - Rate Sheet Manager. Jennifer - Service Finance. Jessica Gill / Kobe - Foundation. Alan - Finti portal / dev. Steve - sales leadership.</t>
  </si>
  <si>
    <t>5. Email habits</t>
  </si>
  <si>
    <t>Send from your own @getfinti address, always cc merchantonboarding, cc the sales rep except on sensitive questions (revenue, socials). Draft with Copilot from previously sent emails. Never email a dealer from memory - open their row first, and log the date in Last Status Update Emailed after you send.</t>
  </si>
  <si>
    <t>6. Your first week</t>
  </si>
  <si>
    <t>Day 1: setup + shadow. Day 2: run the EVERY DAY loop with Brit and work Waiting on Dealer rows. Day 3+: take new merchants in the Finti portal start to finish. Ask Shawn before your first lender submission and your first credential load.</t>
  </si>
  <si>
    <t>EVERY DAY - THREE CHECKS, IN THIS ORDER</t>
  </si>
  <si>
    <t>1. Finti portal &gt; Merchants</t>
  </si>
  <si>
    <t>New merchants are at the top. Anything you have not touched is job #1 - approve it, review it, and get it onto Dealer Master today. Nobody in the company should see a red stoplight.</t>
  </si>
  <si>
    <t>2. Dealer Master</t>
  </si>
  <si>
    <t>Black (Priority 1) rows first, then orange cells (someone needs to move), then Days Since Update - anything 3+ days old gets a follow-up today.</t>
  </si>
  <si>
    <t>3. merchantonboarding inbox</t>
  </si>
  <si>
    <t>Look for lender credentials / API keys, lender questions, or a dealer saying "done." Each one moves a merchant to its next status below.</t>
  </si>
  <si>
    <t>The one rule</t>
  </si>
  <si>
    <t>Whenever you do anything for a dealer, update its row right then: lender status, Merchant To-Do, date emailed. If it is not on the sheet, nobody knows.</t>
  </si>
  <si>
    <t>THE PROCESS - ONE ROW PER OVERALL STATUS ON DEALER MASTER</t>
  </si>
  <si>
    <t>Overall Status</t>
  </si>
  <si>
    <t>What it means</t>
  </si>
  <si>
    <t>What you do</t>
  </si>
  <si>
    <t>What you type on Dealer Master</t>
  </si>
  <si>
    <t>NEW
(in Finti portal, not on the sheet yet)</t>
  </si>
  <si>
    <t>A merchant finished page 1 of the application and appeared at the top of the Finti portal.</t>
  </si>
  <si>
    <t>1. Approve them as a dealer. Click Edit and walk pages 1-5. Note every missing item - each becomes a line in your email.
2. Check which lenders the rep selected and whether any were bypassed (dealer already has that lender - never resubmit those).
3. Pages 1-2: owner as primary contact, revenue and years in business make sense (odd numbers -&gt; email Steve). Page 3: website + review link (Google them if blank). Page 4: two bank statements + voided check (voided check goes in the Articles of Incorporation slot). Page 5: boxes, signatures, Save and Continue, close -&gt; three DocuSigns go out.
4. Set up the Store / Location if it is missing (Merchant &gt; Store: same as corporate, business name in both name fields, owner contact, bank routing + account) - without it the dealer cannot log back in.
5. Add them on the Add Merchant tab.</t>
  </si>
  <si>
    <t>Add Merchant tab: name, contacts, vertical, rep, Priority 1-3, Application Date, Merchant To-Do = the list of what is missing.
Each lender: Not Started, N/A (not applying / Chowder non-HVAC), or No Min RQ (does not meet that lender's minimums).
The row now reads Waiting on Dealer (if a To-Do is open) or Application Submitted.</t>
  </si>
  <si>
    <t>WAITING ON DEALER</t>
  </si>
  <si>
    <t>The dealer owes us something (To-Do box unchecked). This is the status Shawn wants worked hardest - the ball is in the dealer's court and only we can push it.</t>
  </si>
  <si>
    <t>1. Email the dealer the Action Required email (template 1): every missing item, which page it is on, use Forgot Password, Save and Continue on every page, sign the DocuSigns, reply when done.
2. In the Finti portal flip the stoplight red -&gt; yellow and post "@rep@getfinti.com - application incomplete, emailed dealer [date]".
3. No reply in 3 days? Send the same email again. Repeat every 3 days until they respond (Shawn wants this automated).
4. When the dealer says done, re-check pages 1-5 and DocuSign. Still missing something? Repeat step 1.</t>
  </si>
  <si>
    <t>Merchant To-Do = what they still owe. Last Status Update Emailed = today, every time you email.
Everything landed? Tick the To-Do Done box - the row stops being orange and moves to Application Submitted / Waiting on Lender.</t>
  </si>
  <si>
    <t>APPLICATION SUBMITTED  /  WAITING ON LENDER</t>
  </si>
  <si>
    <t>Application Submitted: complete, but at least one lender is still Not Started. Waiting on Lender: submitted, waiting on the lender's ~2-week due diligence.</t>
  </si>
  <si>
    <t>1. Submit to each lender that is Not Started, using the instructions on the SUNLIGHT / SERVICE / Foundation tabs. Existing-lender dealers: bypass, and ask them for their dealer / merchant ID instead.
2. Email the dealer the Submitted email (template 2) and update the stoplight + @ the rep.
3. Service Finance only: email Jennifer the SAME DAY - "we submitted [dealer], is it in your system?" (submissions have gone missing before).
4. Watch merchantonboarding for lender questions; answer them or forward to the dealer the same day.
5. Credentials / API keys arrive -&gt; record them on Dealer Details, then Finti &gt; Merchants &gt; dealer &gt; Location &gt; Provider &gt; Add Provider (strip spaces from the key; Foundation username = dealer ID; leave Valid Till). Do NOT tell the dealer yet.</t>
  </si>
  <si>
    <t>Each lender: Submitted when you submit; Approved when the credentials are loaded; Declined if the lender says no.
Last Status Update Emailed = date of the submitted email.
All applied lenders Approved -&gt; the row moves to Rate Sheet on its own.</t>
  </si>
  <si>
    <t>RATE SHEET</t>
  </si>
  <si>
    <t>Every applied lender is approved and loaded in Finti. Brittany Coutu's queue - the dealer needs to pick rates before anyone can be trained.</t>
  </si>
  <si>
    <t>1. Email Brittany Coutu (template 4) with Shawn and the sales rep on the thread: credentials are in Finti, please send the rate sheets, and once the dealer responds set up the lender and get them training-ready.
2. Optional: tell the dealer "Congratulations - next step is Brittany sending you the [lender] rate sheet to select your rates."
3. Order matters: Brittany sends rates -&gt; dealer selects -&gt; Brittany builds the rate sheet and loads the programs. Never ask her to "set them up" first. A dealer with a better rate sheet of their own keeps it.</t>
  </si>
  <si>
    <t>Rate Sheet = Yes for each lender once Brittany has built it. Programs Loaded = Yes when the programs are in Finti.
The row moves to Training on its own.</t>
  </si>
  <si>
    <t>TRAINING</t>
  </si>
  <si>
    <t>Rate sheets are built; the dealer has not been trained. Nothing can go live before training.</t>
  </si>
  <si>
    <t>1. Rate sheet meeting (Brittany Coutu + you + the sales rep) with the dealer's top person: connect the rate sheets and show them how to add users.
2. Dealer adds their users and sends their reps logins.
3. Training meeting with the dealer's reps - the sales rep attends, Shawn on the first few.</t>
  </si>
  <si>
    <t>Training = Yes for each lender once its training is done.
Every applied lender Active + Rate Sheet Yes + Training Yes -&gt; the row reads LIVE DLR.</t>
  </si>
  <si>
    <t>ACTIVE  /  LIVE DLR</t>
  </si>
  <si>
    <t>Active: at least one lender is live. LIVE DLR: every applied lender is live, rate-sheeted and trained - onboarding is finished.</t>
  </si>
  <si>
    <t>1. Tell the dealer they are live and can run applications. Set the stoplight to green and @ the rep.
2. Tick the To-Do box and log the date.
3. Anything still Approved-but-not-Active means one lender is behind - chase that lender's rate sheet or training, not the dealer.</t>
  </si>
  <si>
    <t>Lender = Active once it is turned on. Live flags are automatic. Nothing else to type - the row is done.</t>
  </si>
  <si>
    <t>DEAD</t>
  </si>
  <si>
    <t>Every real lender declined (N/A and No Min RQ do not count). One approval anywhere means a dealer is never Dead.</t>
  </si>
  <si>
    <t>Stop working it. Tell the rep. Do not re-excite the dealer until a new lender joins or their numbers change - then set the lender back to Not Started (or No Min RQ -&gt; Not Started) and it re-enters the process.</t>
  </si>
  <si>
    <t>Lender = Declined for each lender that said no. The row turns red on its own.</t>
  </si>
  <si>
    <t>PRIORITY - SET IT ON EVERY MERCHANT</t>
  </si>
  <si>
    <t>1 - Top (black row)</t>
  </si>
  <si>
    <t>Connected to RoofLink, SalesRabbit or another channel partner sending a lot of business; OR a big account (about $1M a month in financing already); OR Steve / leadership asks. Work these first, every day.</t>
  </si>
  <si>
    <t>2 - Middle</t>
  </si>
  <si>
    <t>North of $1M a year in revenue and at least a year in business (ideally two or more).</t>
  </si>
  <si>
    <t>3 - Small</t>
  </si>
  <si>
    <t>Mom-and-pop: about $1M a year or less, maybe under a year old. Will not meet most lender minimums - submit to Foundation only.</t>
  </si>
  <si>
    <t>STOPLIGHT IN THE FINTI PORTAL - WHAT THE SALES REP SEES</t>
  </si>
  <si>
    <t>Red / Yellow / Green</t>
  </si>
  <si>
    <t>Red = untouched (nobody should ever see it). Yellow = in process - set it the moment you start, and update the message at each status change. Green = live.</t>
  </si>
  <si>
    <t>Tagging the rep</t>
  </si>
  <si>
    <t>Tagging @rep@getfinti.com texts and emails them - do it at every status change. Reps cannot see this sheet; the stoplight is how they find out. Most problems sit with the merchant, not the rep - email the merchant directly and use the stoplight to keep the rep informed.</t>
  </si>
  <si>
    <t>LENDER CHEAT SHEET</t>
  </si>
  <si>
    <t>The stack</t>
  </si>
  <si>
    <t>One prime, one near-prime, one sub-prime per dealer where applicable - not every lender. Never submit a new application to a lender the dealer already has; bypass it and use their existing dealer ID.</t>
  </si>
  <si>
    <t>Service Finance (prime)</t>
  </si>
  <si>
    <t>Needs a web presence, ~1 year in business, ~$1M revenue; asks for a license number. Email Jennifer the same day you submit. After approval, get the Service Finance Merchant ID - that is all Finti needs to add the provider.</t>
  </si>
  <si>
    <t>Sunlight (prime / near-prime)</t>
  </si>
  <si>
    <t>~2 years in business plus revenue minimums; needs two bank statements and a voided check. No submission issues so far.</t>
  </si>
  <si>
    <t>Foundation (sub-prime)</t>
  </si>
  <si>
    <t>No minimums - every dealer can go here; Priority 3 goes ONLY here. Needs a dealer email. Foundation emails the dealer directly for anything missing. Credentials come from Jessica Gill; username = dealer ID.</t>
  </si>
  <si>
    <t>Chowder / US Bank</t>
  </si>
  <si>
    <t>Chowder: HVAC only, always last in the stack, N/A for everyone else (the sheet does this). US Bank: newest lender, same flow as the others.</t>
  </si>
  <si>
    <t>Does not qualify</t>
  </si>
  <si>
    <t>Mark that lender No Min RQ, not Declined - it can be applied later when the dealer grows.</t>
  </si>
  <si>
    <t>EMAIL TEMPLATES (adjust the list for each dealer)</t>
  </si>
  <si>
    <t>1. Action required
(Waiting on Dealer)</t>
  </si>
  <si>
    <t>Subject: Action required: complete your Finti application
Thank you for applying with Finti. We have reviewed your application and just need a few final items before we can continue. Please log into app.getfinti.com (use Forgot Password if needed) and complete the following:
- Page 3 (Insights): [fields], plus your current website and your review / reputation link.
- Page 4 (Documents): your two most recent bank statements and a voided check (upload the voided check in the Articles of Incorporation section).
- Page 5 (Agreements): all signature fields and certification boxes, then Save and Continue and close the page.
- Sign the three DocuSign agreements you will receive after page 5.
Once everything is complete, please reply to this email and we will submit you to the lenders right away.</t>
  </si>
  <si>
    <t>2. Submitted
(Waiting on Lender)</t>
  </si>
  <si>
    <t>We have submitted you to [lenders]. Please be on the lookout for emails and phone calls from the lenders as they complete their due diligence - on average about two weeks. Please be responsive and quick with anything they ask for so we can expedite the process, and let us know as soon as you hear of your approval.</t>
  </si>
  <si>
    <t>3. Service Finance check
(same day)</t>
  </si>
  <si>
    <t>To Jennifer: "We submitted [dealer] today - can you confirm it is showing in your system?"</t>
  </si>
  <si>
    <t>4. Rate sheet handoff
(Rate Sheet)</t>
  </si>
  <si>
    <t>To Brittany Coutu, Shawn and the sales rep on the thread: "[Lender] has set up [dealer] and the API credentials are in Finti. Please send the rate sheets to the dealer; once they respond, set up [lender], get them ready for training, and let us know when that is done. [Rep] is on this thread and will be on the training."</t>
  </si>
  <si>
    <t>Canned docs</t>
  </si>
  <si>
    <t>Home Improvement Welcome email.docx (welcome / almost-there). Lender submission steps and contacts: SUNLIGHT, SERVICE and Foundation tabs.</t>
  </si>
  <si>
    <t>DAILY TEAM UPDATE TEMPLATE</t>
  </si>
  <si>
    <t>Hi Team,
Here’s an update from today:</t>
  </si>
  <si>
    <t>Category</t>
  </si>
  <si>
    <t>Update</t>
  </si>
  <si>
    <t>API Keys Uploaded</t>
  </si>
  <si>
    <t>None</t>
  </si>
  <si>
    <t>New Merchants Added</t>
  </si>
  <si>
    <t>Applications Submitted</t>
  </si>
  <si>
    <t>Vet Home Restoration LLC - Frontline Heating and Air (Chowder)</t>
  </si>
  <si>
    <t>Welcome Emails Sent</t>
  </si>
  <si>
    <t>New Lender Emails Sent</t>
  </si>
  <si>
    <t>AFF Integration Emails Sent</t>
  </si>
  <si>
    <t>POP Sent</t>
  </si>
  <si>
    <t>DEALER MASTER - HOW TO</t>
  </si>
  <si>
    <t>Not Started / Waiting on Dealer</t>
  </si>
  <si>
    <t>Action queue - somebody needs to move</t>
  </si>
  <si>
    <t>Submitted / Waiting on Lender / App Submitted</t>
  </si>
  <si>
    <t>Waiting on someone else</t>
  </si>
  <si>
    <t>Approved / Active / Rate Sheet</t>
  </si>
  <si>
    <t>Moving</t>
  </si>
  <si>
    <t>Declined / Dead / stale day counter</t>
  </si>
  <si>
    <t>Stopped, or 3+ days without an update email</t>
  </si>
  <si>
    <t>N/A / No Min RQ</t>
  </si>
  <si>
    <t>Not in play</t>
  </si>
  <si>
    <t>Black row = Priority 1</t>
  </si>
  <si>
    <t>Work these first</t>
  </si>
  <si>
    <t>Greyed To-Do text</t>
  </si>
  <si>
    <t>Done box checked - the dealer owes nothing</t>
  </si>
  <si>
    <t>YOU TYPE ONLY THESE FIVE - THE SHEET DERIVES THE REST</t>
  </si>
  <si>
    <t>Lender statuses / Merchant To-Do note + its Done box / Live flags / Priority 1-3 / Last Status Update Emailed</t>
  </si>
  <si>
    <t>Automatic: Overall Status, every color, Days Since Update, Lenders Live, the Chowder default. Never type in those columns. Never paint colors by hand.</t>
  </si>
  <si>
    <t>ADD A NEW MERCHANT</t>
  </si>
  <si>
    <t>WORK EXISTING MERCHANTS</t>
  </si>
  <si>
    <t>1. Fill the row: name, contacts, vertical, priority</t>
  </si>
  <si>
    <t>1. Scan the tiles - orange is your queue, black rows first</t>
  </si>
  <si>
    <t>2. Set each lender: Not Started, N/A, or No Min RQ</t>
  </si>
  <si>
    <t>2. Lender answered? Set the cell. Flip Live to Yes once running</t>
  </si>
  <si>
    <t>3. Write the To-Do; tick its box when every doc lands</t>
  </si>
  <si>
    <t>3. Docs landed? Update the note and tick the box</t>
  </si>
  <si>
    <t>4. Log Application Date + every update email date</t>
  </si>
  <si>
    <t>4. All Approved = Rate Sheet / one Active + Live = Active / all Declined or N-A = Dead</t>
  </si>
  <si>
    <t>ADD A NEW LENDER</t>
  </si>
  <si>
    <t>Insert three columns (Status, Rate Sheet, Training) to the LEFT of Merchant To-Do, right after the last lender triplet. Copy the dropdowns and color rules from an existing lender, label Min Rq in rows 2-3, then add the new lender to the Lenders Live and Overall Status formulas and the Add Merchant script.</t>
  </si>
  <si>
    <t>Dealer Boarding Tracker — Evan's Draft</t>
  </si>
  <si>
    <t>Built from scratch in a blank workbook, for team review.</t>
  </si>
  <si>
    <t xml:space="preserve">  DRAFT. Separate file. The shared tracker in Shawn's OneDrive has not been touched.  </t>
  </si>
  <si>
    <t>Nothing was lost</t>
  </si>
  <si>
    <t>All 2616 non-empty cells from all 11 tabs of the original workbook are accounted for in this file. The 'Data Check' tab is the receipt. Merchant data is split between the new Dealer Master (short, color-coded status) and Dealer Details (the original wording, verbatim, with the original row number beside it). The reference tabs are flattened onto 'Lender Reference', and the 32 screenshots are transcribed on 'Screenshot Text'. The original workbook, images and all, is untouched and remains the archive.</t>
  </si>
  <si>
    <t>What's new on Dealer Master</t>
  </si>
  <si>
    <t>• Merchant To-Do — the single 'what happens next' column, seeded with the original notes.</t>
  </si>
  <si>
    <t>• Last Status Update Emailed — when you last emailed the merchant an update.</t>
  </si>
  <si>
    <t>• Days Since Update — fills in on its own; amber past 14 days, red past 30, counted at the top.</t>
  </si>
  <si>
    <t>• A Live toggle per lender (SF / SL / FF / CW / USB), separate from application status, so 'approved' and 'actually switched on' stop sharing a cell.</t>
  </si>
  <si>
    <t>• Lenders Live — how many of the five are live for that merchant.</t>
  </si>
  <si>
    <t>• POP Sent is a Yes/No toggle.</t>
  </si>
  <si>
    <t>• Overall Status gained 'Waiting on Dealer' and 'Waiting on Lender' — the most common note in the original file by far, now filterable instead of buried in prose.</t>
  </si>
  <si>
    <t>Built for 1,300 new merchants a month</t>
  </si>
  <si>
    <t>• Dealer Master and Dealer Details are real Excel Tables — type in the first empty row and it inherits formatting, borders, dropdowns and formulas automatically.</t>
  </si>
  <si>
    <t>• Colors come from conditional formatting rules, not painted-in fills, so row 5,000 looks like row 7.</t>
  </si>
  <si>
    <t>• Dropdowns and color rules pre-extend to ~20,000 rows, so pasting a large batch works immediately.</t>
  </si>
  <si>
    <t>• Panes freeze at the merchant name.</t>
  </si>
  <si>
    <t xml:space="preserve">  Worth saying plainly: at 1,300/month (~15,600/yr) a shared spreadsheet eventually strains — not on row count, but on people: simultaneous editing, per-merchant email history, reminders. This is built to stay usable as long as possible and to export cleanly when you outgrow it.  </t>
  </si>
  <si>
    <t>Three decisions needed before this replaces anything</t>
  </si>
  <si>
    <t>1. What a bare "*" meant in the old lender cells. Several cells contained only an asterisk with no legend. They are marked "Pending - verify" (orange) rather than guessed at. Tell me what it meant and I'll remap them.</t>
  </si>
  <si>
    <t>2. "Expert affordable roofing LLC" appears twice in the original — once active/in-process, once under "Dead accounts" with a different note. Both kept, flagged ⚠. Someone needs to say which is current.</t>
  </si>
  <si>
    <t>3. Overall Status was inferred from free text (looking for "Active", "Complete"); anything unclear defaulted to "In Process". Original wording is on Dealer Details — worth a skim before this becomes the source of truth.</t>
  </si>
  <si>
    <t>Color legend</t>
  </si>
  <si>
    <t xml:space="preserve">  Not Started  —  No activity yet</t>
  </si>
  <si>
    <t xml:space="preserve">  In Process  —  In motion — see Merchant To-Do</t>
  </si>
  <si>
    <t xml:space="preserve">  Waiting on Dealer  —  Blocked on the merchant sending something</t>
  </si>
  <si>
    <t xml:space="preserve">  Waiting on Lender  —  Submitted; waiting on the lender</t>
  </si>
  <si>
    <t xml:space="preserve">  Submitted  —  Application sent, awaiting decision</t>
  </si>
  <si>
    <t xml:space="preserve">  Approved  —  Approved; dealer ID / keys still pending</t>
  </si>
  <si>
    <t xml:space="preserve">  Active  —  Live with this lender</t>
  </si>
  <si>
    <t xml:space="preserve">  Complete  —  Fully onboarded</t>
  </si>
  <si>
    <t xml:space="preserve">  Declined  —  Lender declined</t>
  </si>
  <si>
    <t xml:space="preserve">  N/A  —  Not applicable</t>
  </si>
  <si>
    <t xml:space="preserve">  Pending - verify  —  Original file had a bare "*" here</t>
  </si>
  <si>
    <t xml:space="preserve">  Dead/Inactive  —  From the old "Dead accounts" list</t>
  </si>
  <si>
    <t>Tabs</t>
  </si>
  <si>
    <t>README - Start Here · Dealer Master (daily use) · Dealer Details (full original notes) · Lender Reference (all reference tabs, searchable) · Screenshot Text (the 32 images as text) · Data Check (proof nothing was lost)</t>
  </si>
  <si>
    <t>Next</t>
  </si>
  <si>
    <t>1. Circulate and collect edits on columns and dropdown wording — cheap now, expensive after 1,300 merchants.</t>
  </si>
  <si>
    <t>2. Settle the three decisions above.</t>
  </si>
  <si>
    <t>3. On approval I can make this the shared file, or apply the structure to the existing one.</t>
  </si>
  <si>
    <t>Fill in the yellow cells, then click the Add Merchant button. Required: Legal Business Name, Email, and at least one lender set to Yes. The row is added to Dealer Master with every column defaulted, then this form clears.</t>
  </si>
  <si>
    <t>Added JAAR BUILDERS to Dealer Master row 52 (lenders: SF, FF). Overall Status: Application Submitted</t>
  </si>
  <si>
    <t>STATE PICKER - tick every state this dealer is active in</t>
  </si>
  <si>
    <t>Nationwide (all 50) - overrides the ticks below</t>
  </si>
  <si>
    <t>MANUAL REP LIST - add reps here who are not on a merchant yet</t>
  </si>
  <si>
    <t>Legal Business Name *</t>
  </si>
  <si>
    <t>Existing reps (auto - add new reps in the MANUAL REP LIST, column S)</t>
  </si>
  <si>
    <t>Rep email</t>
  </si>
  <si>
    <t>Channel partners (dropdown source)</t>
  </si>
  <si>
    <t>Rep</t>
  </si>
  <si>
    <t>DBA</t>
  </si>
  <si>
    <t>AL</t>
  </si>
  <si>
    <t>Alabama</t>
  </si>
  <si>
    <t>LA</t>
  </si>
  <si>
    <t>Louisiana</t>
  </si>
  <si>
    <t>OH</t>
  </si>
  <si>
    <t>Ohio</t>
  </si>
  <si>
    <t>Mark Robichaud</t>
  </si>
  <si>
    <t>markchmand@gmail.com</t>
  </si>
  <si>
    <t>Merchant Name (contact)</t>
  </si>
  <si>
    <t>AK</t>
  </si>
  <si>
    <t>Alaska</t>
  </si>
  <si>
    <t>ME</t>
  </si>
  <si>
    <t>Maine</t>
  </si>
  <si>
    <t>OK</t>
  </si>
  <si>
    <t>Oklahoma</t>
  </si>
  <si>
    <t>Ethan Meturi</t>
  </si>
  <si>
    <t>Ethan.meturi@getfinti.com</t>
  </si>
  <si>
    <t>Phone #</t>
  </si>
  <si>
    <t>AZ</t>
  </si>
  <si>
    <t>Arizona</t>
  </si>
  <si>
    <t>MD</t>
  </si>
  <si>
    <t>Maryland</t>
  </si>
  <si>
    <t>OR</t>
  </si>
  <si>
    <t>Oregon</t>
  </si>
  <si>
    <t>chris Shipley</t>
  </si>
  <si>
    <t>chris@getfinti.com</t>
  </si>
  <si>
    <t>Email *</t>
  </si>
  <si>
    <t>AR</t>
  </si>
  <si>
    <t>Arkansas</t>
  </si>
  <si>
    <t>MA</t>
  </si>
  <si>
    <t>Massachusetts</t>
  </si>
  <si>
    <t>PA</t>
  </si>
  <si>
    <t>Pennsylvania</t>
  </si>
  <si>
    <t>Brayden Page</t>
  </si>
  <si>
    <t>Brayden.page@getfinti.com</t>
  </si>
  <si>
    <t>CA</t>
  </si>
  <si>
    <t>California</t>
  </si>
  <si>
    <t>MI</t>
  </si>
  <si>
    <t>Michigan</t>
  </si>
  <si>
    <t>RI</t>
  </si>
  <si>
    <t>Rhode Island</t>
  </si>
  <si>
    <t>Payden Yates</t>
  </si>
  <si>
    <t>Payden.yates@getfinti.com</t>
  </si>
  <si>
    <t>Rep Email</t>
  </si>
  <si>
    <t>CO</t>
  </si>
  <si>
    <t>Colorado</t>
  </si>
  <si>
    <t>MN</t>
  </si>
  <si>
    <t>Minnesota</t>
  </si>
  <si>
    <t>SC</t>
  </si>
  <si>
    <t>South Carolina</t>
  </si>
  <si>
    <t>Doug Yates</t>
  </si>
  <si>
    <t>Doug.Yates@getfinti.com</t>
  </si>
  <si>
    <t>Vertical</t>
  </si>
  <si>
    <t>CT</t>
  </si>
  <si>
    <t>Connecticut</t>
  </si>
  <si>
    <t>MS</t>
  </si>
  <si>
    <t>Mississippi</t>
  </si>
  <si>
    <t>SD</t>
  </si>
  <si>
    <t>South Dakota</t>
  </si>
  <si>
    <t>sales Rabbit</t>
  </si>
  <si>
    <t>sales rabbit</t>
  </si>
  <si>
    <t>Priority (1-3)</t>
  </si>
  <si>
    <t>DE</t>
  </si>
  <si>
    <t>Delaware</t>
  </si>
  <si>
    <t>MO</t>
  </si>
  <si>
    <t>Missouri</t>
  </si>
  <si>
    <t>TN</t>
  </si>
  <si>
    <t>Tennessee</t>
  </si>
  <si>
    <t>Application Date</t>
  </si>
  <si>
    <t>FL</t>
  </si>
  <si>
    <t>Florida</t>
  </si>
  <si>
    <t>MT</t>
  </si>
  <si>
    <t>Montana</t>
  </si>
  <si>
    <t>TX</t>
  </si>
  <si>
    <t>Texas</t>
  </si>
  <si>
    <t>LENDERS TO SUBMIT (Yes/No)</t>
  </si>
  <si>
    <t>GA</t>
  </si>
  <si>
    <t>Georgia</t>
  </si>
  <si>
    <t>NE</t>
  </si>
  <si>
    <t>Nebraska</t>
  </si>
  <si>
    <t>UT</t>
  </si>
  <si>
    <t>Utah</t>
  </si>
  <si>
    <t>Service Finance</t>
  </si>
  <si>
    <t>No</t>
  </si>
  <si>
    <t>HI</t>
  </si>
  <si>
    <t>Hawaii</t>
  </si>
  <si>
    <t>NV</t>
  </si>
  <si>
    <t>Nevada</t>
  </si>
  <si>
    <t>VT</t>
  </si>
  <si>
    <t>Vermont</t>
  </si>
  <si>
    <t>Sunlight</t>
  </si>
  <si>
    <t>ID</t>
  </si>
  <si>
    <t>Idaho</t>
  </si>
  <si>
    <t>NH</t>
  </si>
  <si>
    <t>New Hampshire</t>
  </si>
  <si>
    <t>VA</t>
  </si>
  <si>
    <t>Virginia</t>
  </si>
  <si>
    <t>Foundation</t>
  </si>
  <si>
    <t>IL</t>
  </si>
  <si>
    <t>Illinois</t>
  </si>
  <si>
    <t>NJ</t>
  </si>
  <si>
    <t>New Jersey</t>
  </si>
  <si>
    <t>WA</t>
  </si>
  <si>
    <t>Washington</t>
  </si>
  <si>
    <t>Chowder (auto: HVAC only)</t>
  </si>
  <si>
    <t>IN</t>
  </si>
  <si>
    <t>Indiana</t>
  </si>
  <si>
    <t>NM</t>
  </si>
  <si>
    <t>New Mexico</t>
  </si>
  <si>
    <t>WV</t>
  </si>
  <si>
    <t>West Virginia</t>
  </si>
  <si>
    <t>US Bank</t>
  </si>
  <si>
    <t>IA</t>
  </si>
  <si>
    <t>Iowa</t>
  </si>
  <si>
    <t>NY</t>
  </si>
  <si>
    <t>New York</t>
  </si>
  <si>
    <t>WI</t>
  </si>
  <si>
    <t>Wisconsin</t>
  </si>
  <si>
    <t>Merchant To-Do</t>
  </si>
  <si>
    <t>KS</t>
  </si>
  <si>
    <t>Kansas</t>
  </si>
  <si>
    <t>NC</t>
  </si>
  <si>
    <t>North Carolina</t>
  </si>
  <si>
    <t>WY</t>
  </si>
  <si>
    <t>Wyoming</t>
  </si>
  <si>
    <t>Channel Partner</t>
  </si>
  <si>
    <t>KY</t>
  </si>
  <si>
    <t>Kentucky</t>
  </si>
  <si>
    <t>ND</t>
  </si>
  <si>
    <t>North Dakota</t>
  </si>
  <si>
    <t>DC</t>
  </si>
  <si>
    <t>Washington DC</t>
  </si>
  <si>
    <t>States Active</t>
  </si>
  <si>
    <t>Tick the boxes in the STATE PICKER to the right (columns I-Q).</t>
  </si>
  <si>
    <t>Chowder Status</t>
  </si>
  <si>
    <t>BUSINESS INFORMATION</t>
  </si>
  <si>
    <t>Legal Entity Type</t>
  </si>
  <si>
    <t>HVAC License Holder Name *</t>
  </si>
  <si>
    <t>HVAC License Number *</t>
  </si>
  <si>
    <t>Tax ID / EIN *</t>
  </si>
  <si>
    <t>Business Start Year</t>
  </si>
  <si>
    <t>Website *</t>
  </si>
  <si>
    <t>Business Address *</t>
  </si>
  <si>
    <t>PRIMARY CONTACT</t>
  </si>
  <si>
    <t>Primary Contact First Name *</t>
  </si>
  <si>
    <t>Primary Contact Last Name *</t>
  </si>
  <si>
    <t>Primary Contact Phone</t>
  </si>
  <si>
    <t>Primary Contact Email *</t>
  </si>
  <si>
    <t>OWNER INFORMATION</t>
  </si>
  <si>
    <t>Business Owner First Name *</t>
  </si>
  <si>
    <t>Business Owner Last Name *</t>
  </si>
  <si>
    <t>Business Owner Phone</t>
  </si>
  <si>
    <t>Business Owner Email *</t>
  </si>
  <si>
    <t>BANKING</t>
  </si>
  <si>
    <t>Bank Name *</t>
  </si>
  <si>
    <t>Routing Number *</t>
  </si>
  <si>
    <t>Account Number *</t>
  </si>
  <si>
    <t>DOCUMENT CHECKLIST</t>
  </si>
  <si>
    <t>Business Registration Rec'd *</t>
  </si>
  <si>
    <t>HVAC License Received *</t>
  </si>
  <si>
    <t>Voided Check Received *</t>
  </si>
  <si>
    <t>CHOWDER APPLICATION EMAIL</t>
  </si>
  <si>
    <t>Copy Chowder Email selects the body - then Cmd+C / Ctrl+C</t>
  </si>
  <si>
    <t>Subject</t>
  </si>
  <si>
    <t>At a glance:</t>
  </si>
  <si>
    <t>DEFAULT</t>
  </si>
  <si>
    <t>SORT: DEFAULT ORDER</t>
  </si>
  <si>
    <t>Min Rq</t>
  </si>
  <si>
    <t>1 Yr</t>
  </si>
  <si>
    <t>Rate Sheet</t>
  </si>
  <si>
    <t>Training</t>
  </si>
  <si>
    <t>2 Yr $1M</t>
  </si>
  <si>
    <t>Rate sheet</t>
  </si>
  <si>
    <t>No Min Rq</t>
  </si>
  <si>
    <t>Legal Business Name</t>
  </si>
  <si>
    <t>Merchant Name</t>
  </si>
  <si>
    <t>Email</t>
  </si>
  <si>
    <t>Priority</t>
  </si>
  <si>
    <t>Welcome Email Sent</t>
  </si>
  <si>
    <t>Lender Order</t>
  </si>
  <si>
    <t>SF Submitted</t>
  </si>
  <si>
    <t>SF Rate Sheet</t>
  </si>
  <si>
    <t>SF Training</t>
  </si>
  <si>
    <t>SL Submitted</t>
  </si>
  <si>
    <t>SL Rate Sheet</t>
  </si>
  <si>
    <t>SL Training</t>
  </si>
  <si>
    <t>FF Submitted</t>
  </si>
  <si>
    <t>FF Rate Sheet</t>
  </si>
  <si>
    <t>FF Training</t>
  </si>
  <si>
    <t>Chowder</t>
  </si>
  <si>
    <t>CH Submitted</t>
  </si>
  <si>
    <t>CH Rate Sheet</t>
  </si>
  <si>
    <t>CH Training</t>
  </si>
  <si>
    <t>USB Submitted</t>
  </si>
  <si>
    <t>USB Rate Sheet</t>
  </si>
  <si>
    <t>USB Training</t>
  </si>
  <si>
    <t>To-Do Done</t>
  </si>
  <si>
    <t>Lenders Live</t>
  </si>
  <si>
    <t>Last Status Update Emailed</t>
  </si>
  <si>
    <t>Days Since Update</t>
  </si>
  <si>
    <t>Divider</t>
  </si>
  <si>
    <t>Service Finance API Code</t>
  </si>
  <si>
    <t>Service Finance States Active</t>
  </si>
  <si>
    <t>Sunlight API Code</t>
  </si>
  <si>
    <t>Sunlight States Active</t>
  </si>
  <si>
    <t>Foundation API Code</t>
  </si>
  <si>
    <t>Foundation States Active</t>
  </si>
  <si>
    <t>Chowder API Code</t>
  </si>
  <si>
    <t>Chowder States Active</t>
  </si>
  <si>
    <t>US Bank API Code</t>
  </si>
  <si>
    <t>US Bank States Active</t>
  </si>
  <si>
    <t>Divider 2</t>
  </si>
  <si>
    <t>Sort Key</t>
  </si>
  <si>
    <t>Sort Temp</t>
  </si>
  <si>
    <t>Divider 3</t>
  </si>
  <si>
    <t>CH Legal Entity Type</t>
  </si>
  <si>
    <t>CH License Holder</t>
  </si>
  <si>
    <t>CH License Number</t>
  </si>
  <si>
    <t>CH EIN</t>
  </si>
  <si>
    <t>CH Business Start Year</t>
  </si>
  <si>
    <t>CH Website</t>
  </si>
  <si>
    <t>CH Business Address</t>
  </si>
  <si>
    <t>CH Contact First Name</t>
  </si>
  <si>
    <t>CH Contact Last Name</t>
  </si>
  <si>
    <t>CH Contact Phone</t>
  </si>
  <si>
    <t>CH Contact Email</t>
  </si>
  <si>
    <t>CH Owner First Name</t>
  </si>
  <si>
    <t>CH Owner Last Name</t>
  </si>
  <si>
    <t>CH Owner Phone</t>
  </si>
  <si>
    <t>CH Owner Email</t>
  </si>
  <si>
    <t>CH Bank Name</t>
  </si>
  <si>
    <t>CH Routing Number</t>
  </si>
  <si>
    <t>CH Account Number</t>
  </si>
  <si>
    <t>CH Doc Business Registration</t>
  </si>
  <si>
    <t>CH Doc HVAC License</t>
  </si>
  <si>
    <t>CH Doc Voided Check</t>
  </si>
  <si>
    <t>CH Info Saved</t>
  </si>
  <si>
    <t>Vivid Windows LLC</t>
  </si>
  <si>
    <t>Vivid Windows</t>
  </si>
  <si>
    <t>Biss Larsen</t>
  </si>
  <si>
    <t>801-557-9860</t>
  </si>
  <si>
    <t>biss.larsen@vividwindows.com</t>
  </si>
  <si>
    <t>Kyle Fransen</t>
  </si>
  <si>
    <t>kyle@getfinti.com</t>
  </si>
  <si>
    <t>windows</t>
  </si>
  <si>
    <t>1. Sunlight, 2. Service Finance, 3. Foundation Finance</t>
  </si>
  <si>
    <t>Active</t>
  </si>
  <si>
    <t>Yes</t>
  </si>
  <si>
    <t>N/A</t>
  </si>
  <si>
    <t>227125330</t>
  </si>
  <si>
    <t>vividwindows-finti@sunlightfinancial.com; 800339</t>
  </si>
  <si>
    <t>ID, MT, WY, UT | pending: NV, CA</t>
  </si>
  <si>
    <t>35206000</t>
  </si>
  <si>
    <t>Alta Water Bountiful LLC</t>
  </si>
  <si>
    <t>Water Protection 0ne</t>
  </si>
  <si>
    <t>Jonathan Ebert</t>
  </si>
  <si>
    <t>801-450-5618</t>
  </si>
  <si>
    <t>jono@drinkaltawater.com</t>
  </si>
  <si>
    <t>Water Treatment</t>
  </si>
  <si>
    <t>Declined</t>
  </si>
  <si>
    <t>7/28 sent jono an email with Foundations rate sheet letting him know we can get started with them and asking him to pick the programs he wants to offer.</t>
  </si>
  <si>
    <t>21174000</t>
  </si>
  <si>
    <t>8047342103</t>
  </si>
  <si>
    <t>Dirty Fence and Concrete</t>
  </si>
  <si>
    <t>Gentry Knight</t>
  </si>
  <si>
    <t>801-389-4788</t>
  </si>
  <si>
    <t>gentryknight2010@icloud.com</t>
  </si>
  <si>
    <t>Fencing</t>
  </si>
  <si>
    <t>Submitted</t>
  </si>
  <si>
    <t>US Bank needs financial statements</t>
  </si>
  <si>
    <t>36161000</t>
  </si>
  <si>
    <t>Vet Home Restoration LLC</t>
  </si>
  <si>
    <t>Frontline Heating and Air</t>
  </si>
  <si>
    <t>Travis Fincher</t>
  </si>
  <si>
    <t>435-525-0050</t>
  </si>
  <si>
    <t>travis@frontlineair.com</t>
  </si>
  <si>
    <t>Steve Stonebraker</t>
  </si>
  <si>
    <t>stonebraker@getfinti.com</t>
  </si>
  <si>
    <t>HVAC Equipment, air and water quality</t>
  </si>
  <si>
    <t>1. Service Finance, 2. Sunlight, 3. Foundation Finance</t>
  </si>
  <si>
    <t>Complete</t>
  </si>
  <si>
    <t>203125329</t>
  </si>
  <si>
    <t>frontline-finti@sunlightfinancial.com; 418327</t>
  </si>
  <si>
    <t>35536000</t>
  </si>
  <si>
    <t>UT, NV, AZ</t>
  </si>
  <si>
    <t>4112997000246468065</t>
  </si>
  <si>
    <t>Vantage Point Roofing LLC</t>
  </si>
  <si>
    <t>VP Roofing</t>
  </si>
  <si>
    <t>Jacob Fullmer</t>
  </si>
  <si>
    <t>801-889-8609</t>
  </si>
  <si>
    <t>jake@vproofing.com</t>
  </si>
  <si>
    <t>227125332</t>
  </si>
  <si>
    <t>vproofing-finti@sunlightfinancial.com; 407469</t>
  </si>
  <si>
    <t>33844000</t>
  </si>
  <si>
    <t>Mahan Home &amp; Commercial Services, LLC</t>
  </si>
  <si>
    <t xml:space="preserve">Mahan Roofing </t>
  </si>
  <si>
    <t>Sales Rabbit</t>
  </si>
  <si>
    <t>Jesse Mahan</t>
  </si>
  <si>
    <t>817-773-8524</t>
  </si>
  <si>
    <t>jesse@mahanhcs.com</t>
  </si>
  <si>
    <t>residential &amp; commercial roofing</t>
  </si>
  <si>
    <t>Sent to lenders and sent dlr "lenders submitted" email.</t>
  </si>
  <si>
    <t>36159000</t>
  </si>
  <si>
    <t>Tetra Walls, Inc.</t>
  </si>
  <si>
    <t>Tetra</t>
  </si>
  <si>
    <t>Trevor Taves</t>
  </si>
  <si>
    <t>319-540-9542</t>
  </si>
  <si>
    <t>trevor@tavesco.com</t>
  </si>
  <si>
    <t>HVAC</t>
  </si>
  <si>
    <t>1. Service 2. Foundation 3. Chowder</t>
  </si>
  <si>
    <t>Approved</t>
  </si>
  <si>
    <t>In process see lender cells....7/23 recieved file share with all the docs needed. Tetra is still pending with SF 8/18/2026</t>
  </si>
  <si>
    <t>GA,MA,NY</t>
  </si>
  <si>
    <t>tetra-finti@sunlightfinancial.com.  syG9CRFpYO%7AO!IUr Dealer code: 939375</t>
  </si>
  <si>
    <t>4112997000256801510</t>
  </si>
  <si>
    <t>Black Sage Construction LLC</t>
  </si>
  <si>
    <t>Banyan Construction</t>
  </si>
  <si>
    <t>Brenda LaMont</t>
  </si>
  <si>
    <t>801-372-6326</t>
  </si>
  <si>
    <t>brenda@banyanbuild.com</t>
  </si>
  <si>
    <t>Clint Cowley</t>
  </si>
  <si>
    <t>sales@gowefund.com, clint@gowefund.com</t>
  </si>
  <si>
    <t>General Contractor</t>
  </si>
  <si>
    <t>FF, SF &amp; SL</t>
  </si>
  <si>
    <t>No Min RQ</t>
  </si>
  <si>
    <t>IDK how to catagorize in SFC APP. Foundation approved 9/21/26 - owner call done.</t>
  </si>
  <si>
    <t>Vision Builders</t>
  </si>
  <si>
    <t>Nir Adani</t>
  </si>
  <si>
    <t>818-699-2829</t>
  </si>
  <si>
    <t>niradani@yahoo.com</t>
  </si>
  <si>
    <t>Roofing, Windows &amp; Doors, Landscapping, Painting, Hardscaping, Flooring</t>
  </si>
  <si>
    <t>ALL lenders Declined</t>
  </si>
  <si>
    <t>Qntum, LLC</t>
  </si>
  <si>
    <t>Qntum Roofing</t>
  </si>
  <si>
    <t>Dallen Gietz</t>
  </si>
  <si>
    <t>310-351-5941</t>
  </si>
  <si>
    <t>dallen@qntum.com</t>
  </si>
  <si>
    <t xml:space="preserve">Roofing </t>
  </si>
  <si>
    <t>SF, SL, FF need positions from Steve</t>
  </si>
  <si>
    <t>Submitted to lenders 8/25/26</t>
  </si>
  <si>
    <t>qntumllc-finti@sunlightfinancial.com; Dealer code: 601067</t>
  </si>
  <si>
    <t>Roof Boyz LLC</t>
  </si>
  <si>
    <t>Roof Boyz</t>
  </si>
  <si>
    <t>Brennen Harris</t>
  </si>
  <si>
    <t>307-203-9169</t>
  </si>
  <si>
    <t>brennen@roof-boyz.com</t>
  </si>
  <si>
    <t>Evan Young</t>
  </si>
  <si>
    <t>evanyoung@getfinti.com</t>
  </si>
  <si>
    <t>Roofing</t>
  </si>
  <si>
    <t>SF, FF</t>
  </si>
  <si>
    <t xml:space="preserve">In process </t>
  </si>
  <si>
    <t>Agave Roofing LLC</t>
  </si>
  <si>
    <t>Jade Figueroa</t>
  </si>
  <si>
    <t>623-321-5734</t>
  </si>
  <si>
    <t>info@agaveroofing.com</t>
  </si>
  <si>
    <t>dealer needs to finish application</t>
  </si>
  <si>
    <t>Bluebird Turf Co</t>
  </si>
  <si>
    <t>Bluebird Turf</t>
  </si>
  <si>
    <t>Tyler Budge</t>
  </si>
  <si>
    <t>801-518-6750</t>
  </si>
  <si>
    <t>tyler@bluebirdturfco.com</t>
  </si>
  <si>
    <t>Spencer Jackson</t>
  </si>
  <si>
    <t>app.sj@icloud.com</t>
  </si>
  <si>
    <t>Turf</t>
  </si>
  <si>
    <t>FF</t>
  </si>
  <si>
    <t>Owner call complete - FFC registration approved 9/2/26</t>
  </si>
  <si>
    <t>Wires and Wifi, LLC</t>
  </si>
  <si>
    <t>Wires and Wifi</t>
  </si>
  <si>
    <t>Kyle Gray</t>
  </si>
  <si>
    <t>801-382-9923</t>
  </si>
  <si>
    <t>kyle@wiresandwifi.com</t>
  </si>
  <si>
    <t>David Yates</t>
  </si>
  <si>
    <t>David.yates@getfinti.com</t>
  </si>
  <si>
    <t>Electronic Shades, Home Theaters and more</t>
  </si>
  <si>
    <t>SF, SL, FF</t>
  </si>
  <si>
    <t xml:space="preserve">Submitted to FF--Emailed for Voided Check. </t>
  </si>
  <si>
    <t>L.A.B.A LLC</t>
  </si>
  <si>
    <t>LABA Roofing LLC</t>
  </si>
  <si>
    <t>Luis Aviles</t>
  </si>
  <si>
    <t>940-765-1109</t>
  </si>
  <si>
    <t>luis@labaroof.com</t>
  </si>
  <si>
    <t xml:space="preserve"> FF owner call complete - FFC needs ownership documentation</t>
  </si>
  <si>
    <t>Supreme Home Services LLC</t>
  </si>
  <si>
    <t>Supreme Home Roofing and Construction</t>
  </si>
  <si>
    <t>Tyler Bradshaw</t>
  </si>
  <si>
    <t xml:space="preserve">801-837-9943
</t>
  </si>
  <si>
    <t>tyler@mysupremehome.com</t>
  </si>
  <si>
    <t xml:space="preserve">FF, SF.  </t>
  </si>
  <si>
    <t xml:space="preserve">Tyler needs to complete SFC email. </t>
  </si>
  <si>
    <t>AZ Insulation &amp; Energy Solutions</t>
  </si>
  <si>
    <t>AZ Insulation &amp; HVAC Solutions</t>
  </si>
  <si>
    <t>Robert Ellsworth</t>
  </si>
  <si>
    <t> 602-320-5111</t>
  </si>
  <si>
    <t>rob@az-insulation.com</t>
  </si>
  <si>
    <t>Tyler Mickelsen</t>
  </si>
  <si>
    <t>tyler@getfinti.com</t>
  </si>
  <si>
    <t xml:space="preserve">HVAC  </t>
  </si>
  <si>
    <t>SF, SL, FF, Chow</t>
  </si>
  <si>
    <t>Active with FF, Sunlight and Chowder, waiting to hear back on SF</t>
  </si>
  <si>
    <t xml:space="preserve">
227125336</t>
  </si>
  <si>
    <t>azinsulation-finti@sunlightfinancial.com Dealer code: 796319</t>
  </si>
  <si>
    <t>36351000</t>
  </si>
  <si>
    <t>4112997000271972998</t>
  </si>
  <si>
    <t>Dirty Boys Contracting, LLC</t>
  </si>
  <si>
    <t>Kelvin Tate</t>
  </si>
  <si>
    <t>801-706-0737</t>
  </si>
  <si>
    <t>kelvin@dboyscontracting.com</t>
  </si>
  <si>
    <t>excavation, retaining walls, concrete and landscaping. </t>
  </si>
  <si>
    <t>no date est. only 1 mil a year in rev incomplete application. spoke to owner will send over voided check today when he has time. 8/17/2026</t>
  </si>
  <si>
    <t>Fortitude Builders and Restoratin</t>
  </si>
  <si>
    <t>Fortitude Builders and Restoration</t>
  </si>
  <si>
    <t>Fernando Delgado</t>
  </si>
  <si>
    <t>336-338-1002</t>
  </si>
  <si>
    <t>ceo@fbrhome.com</t>
  </si>
  <si>
    <t>Heriberto Rivera</t>
  </si>
  <si>
    <t>yennikayadiel@gmail.com</t>
  </si>
  <si>
    <t>Need est Rev updated</t>
  </si>
  <si>
    <t>roofio, LLC.</t>
  </si>
  <si>
    <t>roofio LLC</t>
  </si>
  <si>
    <t>JD DELAROSA</t>
  </si>
  <si>
    <t>512-585-0030</t>
  </si>
  <si>
    <t>jd@roofio.com</t>
  </si>
  <si>
    <t>Scott Coombs</t>
  </si>
  <si>
    <t>scottbcoombs@gmail.com</t>
  </si>
  <si>
    <t>FF, SL</t>
  </si>
  <si>
    <t>Roofio will provide legal docs proving they didnt do what the lenders think they did</t>
  </si>
  <si>
    <t>TGR Consultant LLC</t>
  </si>
  <si>
    <t>Tania</t>
  </si>
  <si>
    <t>Tania Rendon</t>
  </si>
  <si>
    <t>203-980-3370</t>
  </si>
  <si>
    <t>tgrconsultantllc@gmail.com</t>
  </si>
  <si>
    <t>Rob Garcia</t>
  </si>
  <si>
    <t>robsudden24@icloud.com</t>
  </si>
  <si>
    <t>Need website and all missing document uploads</t>
  </si>
  <si>
    <t>DANIEL FREUND</t>
  </si>
  <si>
    <t>PATRIOT PAINTING AND REMODLEING</t>
  </si>
  <si>
    <t>832-952-8804</t>
  </si>
  <si>
    <t>patriotpaintingtexas@gmail.com</t>
  </si>
  <si>
    <t>evanisayoung@gmail.com</t>
  </si>
  <si>
    <t>Painting</t>
  </si>
  <si>
    <t>Daniel is out of state for work. will get it fixed when he gets back.</t>
  </si>
  <si>
    <t>Expert affordable roofing LLC</t>
  </si>
  <si>
    <t>Axtion Roofing Contractors LLC</t>
  </si>
  <si>
    <t>Nathan Dixon</t>
  </si>
  <si>
    <t>850-516-0617</t>
  </si>
  <si>
    <t>ndixon850@yahoo.com</t>
  </si>
  <si>
    <t>Ryan Tall</t>
  </si>
  <si>
    <t>ryantall11@gmail.com</t>
  </si>
  <si>
    <t>Complete Insights, verify website &amp; reputation link, confirm DBA name, upload 2 bank statements and voided check (Articles of Incorporation field), sign Agreement page and DocuSign, then submit to lenders.</t>
  </si>
  <si>
    <t>BRM ROOFING &amp; CONSTRUCTION SERVICES, INC</t>
  </si>
  <si>
    <t>Troy Mock</t>
  </si>
  <si>
    <t>817-538-7126</t>
  </si>
  <si>
    <t>troy.mock@brmconstruction.com</t>
  </si>
  <si>
    <t>Construction</t>
  </si>
  <si>
    <t>Need Bank Statments and Voided Check</t>
  </si>
  <si>
    <t>Taves Contracting Services LLC</t>
  </si>
  <si>
    <t>Taves Fencing</t>
  </si>
  <si>
    <t>Scott Williams</t>
  </si>
  <si>
    <t>scott.williams.aftr@gmail.com</t>
  </si>
  <si>
    <t>Sunlight needs additional documents - sales contract, insurance, July or August bank statement. Foundation approved 9/17/26 - dealer call done.</t>
  </si>
  <si>
    <t>Tite Home LLC</t>
  </si>
  <si>
    <t>Tite Home</t>
  </si>
  <si>
    <t>Tyler Story</t>
  </si>
  <si>
    <t>480-559-1212</t>
  </si>
  <si>
    <t>tyler@titehome.com</t>
  </si>
  <si>
    <t>tylerstory32@gmail.com</t>
  </si>
  <si>
    <t>HVAC &amp; solar</t>
  </si>
  <si>
    <t>SF</t>
  </si>
  <si>
    <t>waiting for voided check and business license from Tyler (for Chowder), also waiting to hear back from SF on their decision, may need to reapply</t>
  </si>
  <si>
    <t>19023000</t>
  </si>
  <si>
    <t>House to Home Remodeling Inc.</t>
  </si>
  <si>
    <t>ccowley@gowefund.com</t>
  </si>
  <si>
    <t>roofing, landscaping, hardscaping, interior/exterior paint, windows, doors, mold remediation</t>
  </si>
  <si>
    <t>SL, SV, FF</t>
  </si>
  <si>
    <t>Iron Ridge Group LLC</t>
  </si>
  <si>
    <t>Iron Ridge HVAC</t>
  </si>
  <si>
    <t>Brennen Lesollen</t>
  </si>
  <si>
    <t>385-775-4294</t>
  </si>
  <si>
    <t>lesollen.87@gmail.com</t>
  </si>
  <si>
    <t>1. Foundation Finance</t>
  </si>
  <si>
    <t>Need voided check and contractor's license for Chowder</t>
  </si>
  <si>
    <t>35327000</t>
  </si>
  <si>
    <t>Natural Construction LLC</t>
  </si>
  <si>
    <t>Daniel Haynal</t>
  </si>
  <si>
    <t> 479-644-5506</t>
  </si>
  <si>
    <t>dhaynal@usnaturalenergy.com</t>
  </si>
  <si>
    <t>Trevor Young</t>
  </si>
  <si>
    <t>Trevor.young@getfinti.com</t>
  </si>
  <si>
    <t>Ready 2 Submit</t>
  </si>
  <si>
    <t>Complete dealer call for Foundation - FFC has attempted 1st owner call, no answer</t>
  </si>
  <si>
    <t>Username:  naturalconstruction-finti@sunlightfinancial.com.slf.
PW:  syG9CRFpYO%7AO!IUr Dealer code: 365324</t>
  </si>
  <si>
    <t>Chaseco Air Conditioning</t>
  </si>
  <si>
    <t>Chase Robinson</t>
  </si>
  <si>
    <t>480-696-9556</t>
  </si>
  <si>
    <t>chaseco24@gmail.com</t>
  </si>
  <si>
    <t>Shawn Hanks</t>
  </si>
  <si>
    <t>Shawn@getfinti.com</t>
  </si>
  <si>
    <t>SF, FF, CH</t>
  </si>
  <si>
    <t>Need bank statements for Sunlight; FF owner call complete - FFC now waiting on answer to a clarifying question</t>
  </si>
  <si>
    <t>Bestway Heating &amp; Air LLC</t>
  </si>
  <si>
    <t>Brandon Burton</t>
  </si>
  <si>
    <t>214-315-4240</t>
  </si>
  <si>
    <t>bestway2012@outlook.com</t>
  </si>
  <si>
    <t>trevor.young@getfinti.com</t>
  </si>
  <si>
    <t>SF, SL, FF, CH</t>
  </si>
  <si>
    <t>Voided Check and Bank Statements</t>
  </si>
  <si>
    <t>R3VIVE LLC</t>
  </si>
  <si>
    <t>Gage Weaver</t>
  </si>
  <si>
    <t>info@getr3vive.com</t>
  </si>
  <si>
    <t>Need a service contract</t>
  </si>
  <si>
    <t>36556000</t>
  </si>
  <si>
    <t>Golden Nail Roofing LLC</t>
  </si>
  <si>
    <t>Christian Rodriguez</t>
  </si>
  <si>
    <t>972-821-7429</t>
  </si>
  <si>
    <t>goldennailroofingllc@gmail.com</t>
  </si>
  <si>
    <t>OK, TX</t>
  </si>
  <si>
    <t>Finish Application | Agreements</t>
  </si>
  <si>
    <t>Goodco Soulutions LLC</t>
  </si>
  <si>
    <t>Daniel Reed</t>
  </si>
  <si>
    <t>808-234-9569</t>
  </si>
  <si>
    <t>djr.aloha@gmail.com</t>
  </si>
  <si>
    <t>doug.yates@getfinti.com</t>
  </si>
  <si>
    <t>solar panel removal &amp; reinstallation</t>
  </si>
  <si>
    <t>Merchant needs to update website to include roofing and remove solar, then let us know when it's complete</t>
  </si>
  <si>
    <t>Landscaping experts llc</t>
  </si>
  <si>
    <t>Lesli Castro</t>
  </si>
  <si>
    <t>312-804-4323</t>
  </si>
  <si>
    <t>landscapingexpertsllc.boss@gmail.com</t>
  </si>
  <si>
    <t>Home Improvment, Landscaping</t>
  </si>
  <si>
    <t>upload all docs | Agreements</t>
  </si>
  <si>
    <t>Elite roofing and remodeling</t>
  </si>
  <si>
    <t>Jared Davis</t>
  </si>
  <si>
    <t>eliterrjd@gmail.com</t>
  </si>
  <si>
    <t>roofing, Home improvment</t>
  </si>
  <si>
    <t>verify insurance for Sunlight</t>
  </si>
  <si>
    <t>Everhome LLC</t>
  </si>
  <si>
    <t>Thomas Brady</t>
  </si>
  <si>
    <t>court@everhomepros.com</t>
  </si>
  <si>
    <t>ROOFING, HVAC</t>
  </si>
  <si>
    <t>All Docs Upload | Agreements | Finish Application</t>
  </si>
  <si>
    <t>GH Cutting EDGE LLC</t>
  </si>
  <si>
    <t>George Freeman</t>
  </si>
  <si>
    <t>ghcuttingedgellc@gmail.com</t>
  </si>
  <si>
    <t>Kitchen</t>
  </si>
  <si>
    <t>ALL DOCS | agreements</t>
  </si>
  <si>
    <t>Bolton Heating &amp; Air</t>
  </si>
  <si>
    <t>Jo Bolton</t>
  </si>
  <si>
    <t>214-909-7615</t>
  </si>
  <si>
    <t>info@boltonac.com</t>
  </si>
  <si>
    <t>payden.yates@getfinti.com</t>
  </si>
  <si>
    <t>Banking and all docs</t>
  </si>
  <si>
    <t>AllSet Home LLC</t>
  </si>
  <si>
    <t>AllSet Home</t>
  </si>
  <si>
    <t>Christopher Lee</t>
  </si>
  <si>
    <t>509-713-5507</t>
  </si>
  <si>
    <t>info@allsethome.com</t>
  </si>
  <si>
    <t>waiting on contractor agreement to be signed and returned to Chowder</t>
  </si>
  <si>
    <t>Top Roofing LLC</t>
  </si>
  <si>
    <t>Samantha Clemons</t>
  </si>
  <si>
    <t>270-427-8236</t>
  </si>
  <si>
    <t>staydry@toproofing.ky</t>
  </si>
  <si>
    <t xml:space="preserve">Prior year annual revenue | Agreements </t>
  </si>
  <si>
    <t>united better homes, llc</t>
  </si>
  <si>
    <t>united better homes</t>
  </si>
  <si>
    <t>Brian Hardy</t>
  </si>
  <si>
    <t>401-274-0111</t>
  </si>
  <si>
    <t>edroman@unitedbetterhomes.com</t>
  </si>
  <si>
    <t>Spencer Gradley</t>
  </si>
  <si>
    <t>spencer.gradley@getfinti.com</t>
  </si>
  <si>
    <t>All Documents need to be uploaded, Trade References need to be updated | Agreements</t>
  </si>
  <si>
    <t>ARP Impact LLC</t>
  </si>
  <si>
    <t>Impact Roofing</t>
  </si>
  <si>
    <t>Jordan Lovell</t>
  </si>
  <si>
    <t>256-777-8998</t>
  </si>
  <si>
    <t>jordan@impactroofing.us</t>
  </si>
  <si>
    <t>Send voided check and business license to SF</t>
  </si>
  <si>
    <t>Rise Above LLC</t>
  </si>
  <si>
    <t>Brighthouse</t>
  </si>
  <si>
    <t>Thomas Davenport</t>
  </si>
  <si>
    <t>559-758-2430</t>
  </si>
  <si>
    <t>tom@brighthouse.solar</t>
  </si>
  <si>
    <t>Windows &amp; Doors</t>
  </si>
  <si>
    <t>SL, FF</t>
  </si>
  <si>
    <t>Finish document upload</t>
  </si>
  <si>
    <t>Bumble Bee Blinds of Utah Valley</t>
  </si>
  <si>
    <t>Jeff Peterson</t>
  </si>
  <si>
    <t>385-273-0401</t>
  </si>
  <si>
    <t>jpeterson@bumblebeeblinds.com</t>
  </si>
  <si>
    <t>Home improvement. Blinds</t>
  </si>
  <si>
    <t>Fix trade References. Upload all docs and sign agreements</t>
  </si>
  <si>
    <t>Boss Lighting LLC</t>
  </si>
  <si>
    <t>Gage Cummings</t>
  </si>
  <si>
    <t>(801) 837-3490</t>
  </si>
  <si>
    <t>gagecummings@bosso.biz</t>
  </si>
  <si>
    <t>Home Improvment</t>
  </si>
  <si>
    <t>CO, FL, ID, MT, NV, OR, TN, UT, WA</t>
  </si>
  <si>
    <t>Waiting on Dealer</t>
  </si>
  <si>
    <t xml:space="preserve">Upload all docs </t>
  </si>
  <si>
    <t>Empower Solar, Inc</t>
  </si>
  <si>
    <t>Empower Home Services</t>
  </si>
  <si>
    <t>Chad Vogl</t>
  </si>
  <si>
    <t>559-479-9967</t>
  </si>
  <si>
    <t>chad@empoweryourhome.com</t>
  </si>
  <si>
    <t>david.yates@getfinti.com</t>
  </si>
  <si>
    <t>solar, HVAC, electrical, roofing</t>
  </si>
  <si>
    <t>1</t>
  </si>
  <si>
    <t>9/22/26</t>
  </si>
  <si>
    <t>9/22/2026</t>
  </si>
  <si>
    <t>Upload docs for AZ &amp; TX</t>
  </si>
  <si>
    <t>JAAR BUILDERS</t>
  </si>
  <si>
    <t>Juan Jaar</t>
  </si>
  <si>
    <t>801-400-3785</t>
  </si>
  <si>
    <t>juanjaar@gmail.com</t>
  </si>
  <si>
    <t>Remodeling/General contractor</t>
  </si>
  <si>
    <t>TEAM PRIORITIES</t>
  </si>
  <si>
    <t>Yellow cells are yours to fill in. The queue at the bottom builds itself from Dealer Master - do not type over it.</t>
  </si>
  <si>
    <t>1.  THIS WEEK'S FOCUS</t>
  </si>
  <si>
    <t>Week of:</t>
  </si>
  <si>
    <t>#</t>
  </si>
  <si>
    <t>What we are pushing on</t>
  </si>
  <si>
    <t>Owner</t>
  </si>
  <si>
    <t>Target</t>
  </si>
  <si>
    <t>Notes</t>
  </si>
  <si>
    <t xml:space="preserve">Resubmitting all SFC </t>
  </si>
  <si>
    <t>ALL</t>
  </si>
  <si>
    <t>2.  WHO OWNS WHAT</t>
  </si>
  <si>
    <t>Person</t>
  </si>
  <si>
    <t>What they own right now</t>
  </si>
  <si>
    <t>Backup for</t>
  </si>
  <si>
    <t>A-Z</t>
  </si>
  <si>
    <t>Brittany Coutu</t>
  </si>
  <si>
    <t>Brittany Shaw</t>
  </si>
  <si>
    <t>Onboarding HI &amp; Retail</t>
  </si>
  <si>
    <t>3.  PRIORITY QUEUE  (updates itself)</t>
  </si>
  <si>
    <t>Order: Priority 1 with an open to-do, then deals ready to submit to a lender, then rate sheets owed, then open to-dos, then anything with no update in 3+ days. Pulled live from Dealer Master, colours and to-dos match it.</t>
  </si>
  <si>
    <t>Merchant</t>
  </si>
  <si>
    <t>Why it is here</t>
  </si>
  <si>
    <t>Back</t>
  </si>
  <si>
    <t>Original Status/Notes (verbatim)</t>
  </si>
  <si>
    <t>Service Finance — full text</t>
  </si>
  <si>
    <t>Sunlight — full text</t>
  </si>
  <si>
    <t>Foundation — full text</t>
  </si>
  <si>
    <t>Chowder — full text</t>
  </si>
  <si>
    <t>US Bank — full text</t>
  </si>
  <si>
    <t>Original 'Notes' column</t>
  </si>
  <si>
    <t>POP Sent (original)</t>
  </si>
  <si>
    <t>Data flag</t>
  </si>
  <si>
    <t>Source row in original</t>
  </si>
  <si>
    <t>◄ Back</t>
  </si>
  <si>
    <t>Active - Dealer ID: 227125330</t>
  </si>
  <si>
    <t>Active in ID, MT, WY, UT, pending NV, CA - vividwindows-finti@sunlightfinancial.com
Username:  vividwindows-finti@sunlightfinancial.com.slf
PW:  syG9CRFpYO%7AO!IUr</t>
  </si>
  <si>
    <t>Active - username: 35206000 dealer number: 35206000</t>
  </si>
  <si>
    <t>Please reach out to lenders and gather api keys</t>
  </si>
  <si>
    <t>Dealer Master row 3</t>
  </si>
  <si>
    <t>N/A service will not do Water Filtration</t>
  </si>
  <si>
    <t>Declined by SL - they don't want Water Filtration</t>
  </si>
  <si>
    <t xml:space="preserve">Active dealer # 21174000, username: 21174000, per Fndt the states have been added.
Best regards,
</t>
  </si>
  <si>
    <t>Active - Merchant ID - 8047342103, not in portal yet - waiting for US Bank rates to be added in portal</t>
  </si>
  <si>
    <t>Dealer Master row 4</t>
  </si>
  <si>
    <t>FF - good,  -  SL declined 8/17/2026</t>
  </si>
  <si>
    <t>Declined due to what we refer to as web presence. Essentially this means that there isn’t a Google Profile or BBB when entering Dirty Fence and Concrete into Google search</t>
  </si>
  <si>
    <t>Declined by SL.</t>
  </si>
  <si>
    <t>7/29/26 Active dealer # 36161000 Need to set up loan options for Foundation.</t>
  </si>
  <si>
    <t>per Shawn, we are starting with Service, Sunlight, and Foundation for now 7/8/26</t>
  </si>
  <si>
    <t>Dealer Master row 5</t>
  </si>
  <si>
    <t>Active Service Finance Dealer#  203125329</t>
  </si>
  <si>
    <t>Active in UT. frontline-finti@sunlightfinancial.com  username: frontline-finti@sunlightfinancial.com PW: syG9CRFpYO%7AO!IUr</t>
  </si>
  <si>
    <t>Active - Dealer number: 35536000. Active in following states: UT, NV, AZ</t>
  </si>
  <si>
    <t xml:space="preserve">Active ID - 4112997000246468065
</t>
  </si>
  <si>
    <t>Dealer Master row 6</t>
  </si>
  <si>
    <t xml:space="preserve">Active - Dealer ID: 227125332 </t>
  </si>
  <si>
    <t>Active - Username: vproofing-finti@sunlightfinancial.com.slf Password: syG9CRFpYO%7AO!IUr</t>
  </si>
  <si>
    <t>Active - Dealer number: 33844000</t>
  </si>
  <si>
    <t>Dealer Master row 7</t>
  </si>
  <si>
    <t>resubmitted 8/27/26</t>
  </si>
  <si>
    <t>Declined due to annual sales under $1MM. Explained to Kelly that they have over 2000 roofers and this is a test account. Kelly and Steve will meet about this 8/21/26</t>
  </si>
  <si>
    <t>Active - dealer id and user name - 36159000</t>
  </si>
  <si>
    <t>Dealer Master row 8</t>
  </si>
  <si>
    <t xml:space="preserve">7/27/26 Submitted to SF and emailed dlr and rep. 8/25/26 Per Steve they have approved Tetra for GA and MA.  Sent and email to SF to get them set up and get credentials.  </t>
  </si>
  <si>
    <t>Active - 
Username:  tetra-finti@sunlightfinancial.com
PW:  syG9CRFpYO%7AO!IUr</t>
  </si>
  <si>
    <t>7/27/26 submitted to FF and emailed all with the links to the documents. 8/7/26 There has been lot's of back and fort between FF and Tetra...FF is reviewing.  8/21/26 Coby said tetra is approved for GA and MA are approved just waiting on credentials.</t>
  </si>
  <si>
    <t>Active - 4112997000256801510</t>
  </si>
  <si>
    <t>They already have Sunlight and Palmetto.  Per Steve we are doing SF, FDTN, CWDR</t>
  </si>
  <si>
    <t>Dealer Master row 9</t>
  </si>
  <si>
    <t>Just need voided check sent owners a text 8/13/26 Called LVM req follow up on voided check 8/17/2026</t>
  </si>
  <si>
    <t>Dealer Master row 10</t>
  </si>
  <si>
    <t>Submitted to lenders 8/13/2026</t>
  </si>
  <si>
    <t>submitted 8/11/26</t>
  </si>
  <si>
    <t>Declined. 8/13/26 Did not meet underwriting requirements</t>
  </si>
  <si>
    <t>Dealer Master row 11</t>
  </si>
  <si>
    <t xml:space="preserve">Submitted 8/25/26. </t>
  </si>
  <si>
    <t>Active - Username: qntumllc-finti@sunlightfinancial.com Password: syG9CRFpYO%7AO!IUr</t>
  </si>
  <si>
    <t>Dealer Master row 12</t>
  </si>
  <si>
    <t>Re-Submitted 8/28/26, Already have SF | Emailed Janet at SFC for clarity on why we needed a resubmission.</t>
  </si>
  <si>
    <t>Approved, waiting on dealer to complete items 8/25/26</t>
  </si>
  <si>
    <t>Has existing Foundation account but is on another platform. Informed dealer they need to send written consent to Coby. 8/25/26</t>
  </si>
  <si>
    <t>Dealer Master row 13</t>
  </si>
  <si>
    <t>declined by Sunlight, emailed dlr to finish application 8/28/26</t>
  </si>
  <si>
    <t>waiting on dealer to finish application, emailed Jade 8/28/26</t>
  </si>
  <si>
    <t>Declined - did not meet underwriting requirements</t>
  </si>
  <si>
    <t>Dealer Master row 14</t>
  </si>
  <si>
    <t>In process</t>
  </si>
  <si>
    <t>N/A company is too new... established 3/21/2026</t>
  </si>
  <si>
    <t>Submitted 8/24/26</t>
  </si>
  <si>
    <t>Dealer Master row 15</t>
  </si>
  <si>
    <t xml:space="preserve"> texted requested voided check, bus lic, ownr license. 8/11/26. Cld lvm req for voided check.  8/17/2026</t>
  </si>
  <si>
    <t>Dealer Master row 16</t>
  </si>
  <si>
    <t>Luis was able to login, needs to fill out insights and send a second bank statement 8/28/26</t>
  </si>
  <si>
    <t>*</t>
  </si>
  <si>
    <t>Dealer Master row 17</t>
  </si>
  <si>
    <t>emailed Tyler asking for voided check 8/28/26 (we have the customer contract in our inbox)</t>
  </si>
  <si>
    <t>Dealer Master row 18</t>
  </si>
  <si>
    <t>Approved, need dealer ID</t>
  </si>
  <si>
    <t>Active - Username:  azinsulation-finti@sunlightfinancial.com Password: syG9CRFpYO%7AO!IUr</t>
  </si>
  <si>
    <t>Active - Dealer ID: 36351000</t>
  </si>
  <si>
    <t xml:space="preserve">Active ID - 4112997000271972998
</t>
  </si>
  <si>
    <t>Dealer Master row 19</t>
  </si>
  <si>
    <t>missing insights &amp; voided check</t>
  </si>
  <si>
    <t>Dealer Master row 20</t>
  </si>
  <si>
    <t>Fortitude Builders and Restorati</t>
  </si>
  <si>
    <t>Originally declined due low volume and newer biz, but FF has no minms so we emailed dlr &amp; rep offering to submit to FF</t>
  </si>
  <si>
    <t>Dealer Master row 21</t>
  </si>
  <si>
    <t>Submitted to SL &amp; FF 8/25/26, email sent to dlr and rep</t>
  </si>
  <si>
    <t xml:space="preserve">8/25/26 Submitted </t>
  </si>
  <si>
    <t>Dealer Master row 22</t>
  </si>
  <si>
    <t>Dealer Master row 23</t>
  </si>
  <si>
    <t>sw Daniel said will work on getting all docs over to us today. 8/17/2026</t>
  </si>
  <si>
    <t>Dealer Master row 24</t>
  </si>
  <si>
    <t>in process, emailed dlr &amp; rep missing items 8/25/26</t>
  </si>
  <si>
    <t>N/A does not meet $1MM rev minm</t>
  </si>
  <si>
    <t>⚠ This legal business name appears more than once in the original file (once active, once under the old "Dead accounts" list, with different notes). Both were kept exactly as found — confirm which is current.</t>
  </si>
  <si>
    <t>Dealer Master row 25</t>
  </si>
  <si>
    <t>In process, missing items sent email 8/18/2026, 8/26/26</t>
  </si>
  <si>
    <t>Dealer Master row 26</t>
  </si>
  <si>
    <t>welcome email sent 8/21/26, dealer needs to finish application</t>
  </si>
  <si>
    <t>Dealer Master row 27</t>
  </si>
  <si>
    <t>existing Foundation account, asked dealer for ID number 8/24/26, txtd Tyler 8/28/26</t>
  </si>
  <si>
    <t>Dealer Master row 28</t>
  </si>
  <si>
    <t>Declined by SF - due to other accounts performance.</t>
  </si>
  <si>
    <t xml:space="preserve">Declined </t>
  </si>
  <si>
    <t>Declined - denied with us previously</t>
  </si>
  <si>
    <t>Dealer Master row 49</t>
  </si>
  <si>
    <t>Active - username: 35327000 dealer number: 35327000</t>
  </si>
  <si>
    <t>Dealer Master row 50</t>
  </si>
  <si>
    <t>◂ Back</t>
  </si>
  <si>
    <t>been in business just for 2 years and an rev us under 1.5</t>
  </si>
  <si>
    <t>Dealer Master row 51</t>
  </si>
  <si>
    <t>Need Voided Check.</t>
  </si>
  <si>
    <t>SUNLIGHT FINANCIAL</t>
  </si>
  <si>
    <t>APPLICATION LINKS</t>
  </si>
  <si>
    <t>https://sunlightfinancial.tfaforms.net/f/finti</t>
  </si>
  <si>
    <t>Resume a saved application — login UN: merchantonboarding@getfinti.com | Pwd: Dirtyfence123!</t>
  </si>
  <si>
    <t>A unique save-and-resume link is included in each new Merchant Onboarding (MO) email — the link differs per session, so use the current one from the latest MO email rather than reusing an old link.</t>
  </si>
  <si>
    <t>Handoff process: for initial one-off enrollments, send directly to Kelly and Greyson (contacts below). Batch upload options are available as volume increases. Long-term goal is full API support.</t>
  </si>
  <si>
    <t>CONTACTS</t>
  </si>
  <si>
    <t>Kelly Matheny — Director of Home Improvement Growth — kelly.matheny@sunlightfinancial.com — Mobile: (404) 434-5539</t>
  </si>
  <si>
    <t>Quentin Kessell — quentin.kessell@sunlightfinancial.com</t>
  </si>
  <si>
    <t>Greyson Wilson — Greyson.Wilson@sunlightfinancial.com</t>
  </si>
  <si>
    <t>PORTAL CREDENTIALS &amp; LOGIN NOTES</t>
  </si>
  <si>
    <t>Sunlight provides Email / Username / Password credentials for new merchants. In Finti, configure the Sunlight provider using the EMAIL + PASSWORD — do not use the username+password combo, it will not generate an access token.</t>
  </si>
  <si>
    <t>If API credentials contain ".slf" at the end of the email address, delete that suffix before uploading to the portal (per JP).</t>
  </si>
  <si>
    <t>Mimecast secure message login: merchantonboarding@getfinti.com | Password: FintiTeam26!</t>
  </si>
  <si>
    <t>MINIMUM UNDERWRITING GUIDELINES</t>
  </si>
  <si>
    <t>Minimum 2 years in business</t>
  </si>
  <si>
    <t>More than $1MM in annual gross revenue (bank statements used to assess financial strength)</t>
  </si>
  <si>
    <t>General Liability (GL) insurance</t>
  </si>
  <si>
    <t>Established, positive online reputation</t>
  </si>
  <si>
    <t>No MCAs (merchant cash advances); no MCA loan stacking</t>
  </si>
  <si>
    <t>Minimum 20% ownership required</t>
  </si>
  <si>
    <t>Owner background/credit check — soft check only; SSN no longer required, DOB is sufficient (ITIN accepted in place of SSN for the borrower)</t>
  </si>
  <si>
    <t>Excluded zip codes: those beginning 91, 78, 79</t>
  </si>
  <si>
    <t>REQUIRED DOCUMENTATION</t>
  </si>
  <si>
    <t>Voided check</t>
  </si>
  <si>
    <t>Two most recent months of bank statements (within the last 4 months, or Plaid export)</t>
  </si>
  <si>
    <t>Date of birth</t>
  </si>
  <si>
    <t>Driver's license</t>
  </si>
  <si>
    <t>Sample Home Improvement Contract (HIC / sales contract)</t>
  </si>
  <si>
    <t>Certificate(s) of Insurance — General Liability (required for all contractors) and Workers' Comp (not required in every state; WC exemptions accepted). Sunlight must be added as a certificate holder prior to launch: Sunlight Financial, 101 N. Tryon St. Suite 900, Charlotte, NC 28202</t>
  </si>
  <si>
    <t>Applicable contractor license (or license #, state, and license type)</t>
  </si>
  <si>
    <t>SUPPORTED VERTICALS</t>
  </si>
  <si>
    <t>Solar, battery systems &amp; related roofing work; HVAC; Windows/Doors; Roofing; Fencing; Decking; Patios; Home Automation; Energy Efficiency Upgrades</t>
  </si>
  <si>
    <t>Sunlight allows nearly all verticals except pools and ADUs — Roofing and Windows are their two largest verticals.</t>
  </si>
  <si>
    <t>EXCLUDED / LIMITED VERTICALS</t>
  </si>
  <si>
    <t>Not supported: ADUs/Tiny Houses; Pools, Hot Tubs &amp; Saunas; Repair-only companies; Geothermal Heat Pumps; Mobility Lifters; Walk-in Showers/Bath Tubs</t>
  </si>
  <si>
    <t>Limited/case-by-case: Water Filtration (allowed one-off / for key contractors); Door-to-Door sales (not a strong focus, case by case); Security Systems/Home Automation (fine but not a big focus — discuss specifics)</t>
  </si>
  <si>
    <t>Lender reference — every cell from the original reference tabs</t>
  </si>
  <si>
    <t>Flattened from the 10 reference tabs of the original workbook so this file stays small and searchable (Ctrl+F). Every non-empty cell is here with the tab and cell it came from. The original workbook still holds these tabs in their laid-out form, with all 32 screenshots — this is a copy, not a replacement.</t>
  </si>
  <si>
    <t>Original tab</t>
  </si>
  <si>
    <t>Cell</t>
  </si>
  <si>
    <t>Content</t>
  </si>
  <si>
    <t>▼  Onboarding Proceedures</t>
  </si>
  <si>
    <t>Onboarding Proceedures</t>
  </si>
  <si>
    <t>A1</t>
  </si>
  <si>
    <t>Steps</t>
  </si>
  <si>
    <t>B1</t>
  </si>
  <si>
    <t>Onboarding procedures for new Home Improvement Dealers organized by the order of the steps:</t>
  </si>
  <si>
    <t>A2</t>
  </si>
  <si>
    <t>B2</t>
  </si>
  <si>
    <t>Send Dealer Application Link (Sales Rep): 1).  Click the email or text application button in the portal.  2).  Select the industry (Home Improvement).  3).  Select the lenders. 4).  Enter the Dealer email or phone number.  5).  Already has one of our lenders?  If applicable, click the bypass button next to each applicable lender.  This will shorten the application for the Dealer to only applicable New lenders.  6).  Click the start application button.  7).  Go to the green Dealer Master tab/sheet below and complete the following fields, Status, Legal Business Name, DBA, Rep, Rep Email, Vertical, Lender Position, Date Application Sent.  8).  Dealer Already has some of our lenders?  Under each applicable lender column add "dealer already has this lender, we just need API keys/credentials/dealer ID."  This will alert MO that they need only to collect API credentials from the lender (SNL &amp; FDTN) or dealer id from the dealer (SF) and not send an application to those lenders for this dealer.  Status: Reps are kept in the loop 3 ways.  1. Go to the green Dealer Master tab/sheet below, this Home Improvement Dealer Boarding Tracker has all of the details about each lender and status of the dealer with the applicable lender and more.  2. The Finti portal Notes or Stoplight feature also can track specific things.  3. Email.  Reps are always CC'd on all onboarding emails from MO.  Please get used to and take advantage of these tools.  You can communicate with merchant onboarding in the same 3 ways.</t>
  </si>
  <si>
    <t>C2</t>
  </si>
  <si>
    <t>We are testing to see if we can add merchant emails to the Finti Portal Stop light feature.  If so, MO will use that as it will continue to ping the dealer until they do their part.</t>
  </si>
  <si>
    <t>A3</t>
  </si>
  <si>
    <t>2</t>
  </si>
  <si>
    <t>B3</t>
  </si>
  <si>
    <t>HI Merchant Boarding Tracker (Merchant Onboarding):  1). When you see a new merchant show up in the Finti portal, if they are not already added by the Rep, add the new Dealer info in the green Dealer Master tab/sheet​ below to begin the onboarding process.  2). Check to see if the dealer has completed the application and added their location with the uploads in the location or store section (voided check, owner drivers license and business license).  At the very least all fields and/or uploads marked with a red * must be completed and or uploaded.  3).  If the application is complete, send the "Welcome email" link is below to the dealer and rep and begin submitting to the applicable lenders paying attention to wether the dealer already has one of our lenders.  If the application is incomplete send the "Almost there  Welcome Email to the dealer and rep (link to email content below).  Merchant onboarding will send a welcome email to a dealer and CC the sales rep.  I have created sheets/tabs with instructions for onboarding for each lender.  MO will submit dealers to the lenders and update the tracker.  Testing the portal if we can message dealers via the portal.</t>
  </si>
  <si>
    <t>C3</t>
  </si>
  <si>
    <t>Missing info email and messaging...</t>
  </si>
  <si>
    <t>A4</t>
  </si>
  <si>
    <t>3</t>
  </si>
  <si>
    <t>B4</t>
  </si>
  <si>
    <t>Lender Approvals:  Lenders will review given info and approve, decline or ask for additional info from the dealer and if applicable provide MO with API keys for that dealer.  If additional info is requested, lender will either ask MO or ask the dealer directly.  MO will email the request to the sales rep and the dealer to obtain the missing info.  NOTE: Some lenders may ask the dealer directly.</t>
  </si>
  <si>
    <t>C4</t>
  </si>
  <si>
    <t>Need to have add location to welcome email.</t>
  </si>
  <si>
    <t>B5</t>
  </si>
  <si>
    <t>New Lender Email:</t>
  </si>
  <si>
    <t>A6</t>
  </si>
  <si>
    <t>5</t>
  </si>
  <si>
    <t>B6</t>
  </si>
  <si>
    <t>Lender Loan Selections (Sales Rep/Dealer):  Once lender(s) have approved a dealer and provided the API keys, MO will upload the keys and notify the sales rep.  Sales rep will then work with the dealer to select inside of the Finti portal for the loan programs they would like to offer the customer for each lender.  NOTE: Make sure you set the priority for the lenders that are added.  SFC and Sunlight are Prime lenders and Foundation is Subprime, Chowder is always last and only for HVAC.  Typically the set up should be SFC 1st, Foundation 2nd and Chowder (if applicable) 3rd.  But check with the sales rep to make sure which lenders and what priority they should be in.  Set the date out to 2030.</t>
  </si>
  <si>
    <t>A7</t>
  </si>
  <si>
    <t>6</t>
  </si>
  <si>
    <t>B7</t>
  </si>
  <si>
    <t>Training and Launch (Sales):  Now that the lenders are in the system with api keys and Sales and/or Dealer has made the loan selections per lender, they are ready for a Training and Launch meeting.  After this has taken place, please update the ​Home Improvement Dealer Boarding Tracker.xlsx​​ that they have been trained.</t>
  </si>
  <si>
    <t>B9</t>
  </si>
  <si>
    <t>SPECIAL NOTES:</t>
  </si>
  <si>
    <t>B10</t>
  </si>
  <si>
    <t>I have added these procedures to a sheet/tab in the Home Improvement Dealer Boarding Tracker.</t>
  </si>
  <si>
    <t>B11</t>
  </si>
  <si>
    <t>Information for who or how to send or submit dealers to lenders is found in the sheet/tab for the lender.</t>
  </si>
  <si>
    <t>B12</t>
  </si>
  <si>
    <t>For Home Improvement unless otherwise indicated by Sales, we are not creating POP for the dealers.</t>
  </si>
  <si>
    <t>B14</t>
  </si>
  <si>
    <t>NOTE ON FOUNDATION:  When approved, before we get API info from Foundation, they will send an email to the dealer and the dealer must login and update their credentials.</t>
  </si>
  <si>
    <t>B16</t>
  </si>
  <si>
    <t>NOTE ON SERVICE FINANCE:  Immediately after submitting, dealer will get an email and has to upload drivers license and voided check.  Make sure to send an email to the dealer and rep.    If dealer already has SF, email the dealer and ask for their Merchant ID with SF, that is all that is needed to add SF as their provider.</t>
  </si>
  <si>
    <t>D17</t>
  </si>
  <si>
    <t>lender run priority</t>
  </si>
  <si>
    <t>B19</t>
  </si>
  <si>
    <t>Lender Selection and Placement:</t>
  </si>
  <si>
    <t>B20</t>
  </si>
  <si>
    <t xml:space="preserve">In general until further notice, Service Finance will be 1st, followed by Foundation.  If Service Finance declines the merchant then Sunlight will be first look.  Sales rep is responsible for telling us what lenders and what position.  </t>
  </si>
  <si>
    <t>C20</t>
  </si>
  <si>
    <t>It will show in the portal which lenders were selected, but not what order to put them in.</t>
  </si>
  <si>
    <t>B21</t>
  </si>
  <si>
    <t>Note Chowder is always last but is only applicable for HVAC</t>
  </si>
  <si>
    <t>B22</t>
  </si>
  <si>
    <t>Only load two lenders for each dealer until further notice, we will be adding the ability to have Sunlight as a second when Service offers a counter instead of approving the amount requested.</t>
  </si>
  <si>
    <t>B24</t>
  </si>
  <si>
    <t>Canned emails:</t>
  </si>
  <si>
    <t>B25</t>
  </si>
  <si>
    <t>Home Improvement Welcome email.docx</t>
  </si>
  <si>
    <t>B31</t>
  </si>
  <si>
    <t>Service Finance Email:  If the dealer comes to us already having SFC or gets approved by SFC, they will have an SFC dealer id, which is what we need to add SFC as a provider.  You will need to get that from the dealer.</t>
  </si>
  <si>
    <t>B33</t>
  </si>
  <si>
    <t>Daily email...</t>
  </si>
  <si>
    <t>B34</t>
  </si>
  <si>
    <t>Hi Team,</t>
  </si>
  <si>
    <t>B36</t>
  </si>
  <si>
    <t>Here's an update from today:</t>
  </si>
  <si>
    <t>B38</t>
  </si>
  <si>
    <t>API Keys Uploaded:</t>
  </si>
  <si>
    <t>B39</t>
  </si>
  <si>
    <t>none</t>
  </si>
  <si>
    <t>B41</t>
  </si>
  <si>
    <t>New Merchants Added:</t>
  </si>
  <si>
    <t>B42</t>
  </si>
  <si>
    <t>B44</t>
  </si>
  <si>
    <t>Applications Submitted:</t>
  </si>
  <si>
    <t>B45</t>
  </si>
  <si>
    <t>Vet Home Restoration LLC - Frontline Heating and Air (Chowder)</t>
  </si>
  <si>
    <t>B47</t>
  </si>
  <si>
    <t>Welcome Emails Sent:</t>
  </si>
  <si>
    <t>B48</t>
  </si>
  <si>
    <t>B50</t>
  </si>
  <si>
    <t>New Lender Emails Sent:</t>
  </si>
  <si>
    <t>B51</t>
  </si>
  <si>
    <t>B53</t>
  </si>
  <si>
    <t>AFF Integration Emails Sent:</t>
  </si>
  <si>
    <t>B54</t>
  </si>
  <si>
    <t>B56</t>
  </si>
  <si>
    <t>POP Sent:</t>
  </si>
  <si>
    <t>B57</t>
  </si>
  <si>
    <t>▼  Sunlight</t>
  </si>
  <si>
    <t>Use this link for new applications</t>
  </si>
  <si>
    <t>F1</t>
  </si>
  <si>
    <t>For saved apps to finish:</t>
  </si>
  <si>
    <t xml:space="preserve">https://sunlightfinancial.tfaforms.net/f/finti </t>
  </si>
  <si>
    <t>F2</t>
  </si>
  <si>
    <t>UN</t>
  </si>
  <si>
    <t>G2</t>
  </si>
  <si>
    <t>merchantonboarding@getfinti.com</t>
  </si>
  <si>
    <t>F3</t>
  </si>
  <si>
    <t>Pwd</t>
  </si>
  <si>
    <t>G3</t>
  </si>
  <si>
    <t>Dirtyfence123!</t>
  </si>
  <si>
    <t>I3</t>
  </si>
  <si>
    <t>https://sunlightfinancial.tfaforms.net/wf/eyJ0eXAiOiJKV1QiLCJhbGciOiJIUzI1NiIsImtpZCI6InYyIn0.eyJ3b3JrZmxvd1Nlc3Npb25JZCI6Ijc5ODEwNDJiLWEwNjktNDQ5Yi1hY2E2LTA4MDBlYTY5NTgzNyIsIm5vbmNlIjoiUU1EU1NRY1AxbTBnajg4RzdFSTI5dmJleHRVdUczMHolM0E3ZGEzYTFlOWYwYmI4ZGNkYzlkYzAwMTk0ZTRjNWY4MCIsImV2ZW50Ijoic2F2ZV9hbmRfcmVzdW1lLnJlc3VtZSJ9.ftGrGddQZcTj79jn1K4LqkrvmVE_rs-11DlSbFRP2co.</t>
  </si>
  <si>
    <t>K3</t>
  </si>
  <si>
    <t>This may be a different link for each merchant but each new link will be in the MO email.</t>
  </si>
  <si>
    <t>There are several ways we can manage the handoff process for enrollments. For initial one-off submissions, you’re welcome to send them directly to Greyson and me. We can also provide options for batch uploads as volume increases. Longer term, our goal is to absolutely support this process via API.</t>
  </si>
  <si>
    <t>A5</t>
  </si>
  <si>
    <t>EMAILS for MO</t>
  </si>
  <si>
    <t>kelly.matheny@sunlightfinancial.com</t>
  </si>
  <si>
    <t>F5</t>
  </si>
  <si>
    <t>quentin.kessell@sunlightfinancial.com</t>
  </si>
  <si>
    <t>J5</t>
  </si>
  <si>
    <t>Greyson.Wilson@sunlightfinancial.com</t>
  </si>
  <si>
    <t>Kelly Matheny</t>
  </si>
  <si>
    <t>B8</t>
  </si>
  <si>
    <t>Director of Home Improvement Growth</t>
  </si>
  <si>
    <t>Mobile: (404) 434-5539</t>
  </si>
  <si>
    <t>N10</t>
  </si>
  <si>
    <t>For Sunlight Finance merchant onboarding, Sunlight provides the following credentials for new merchants:</t>
  </si>
  <si>
    <t>A11</t>
  </si>
  <si>
    <t>Minimum Underwriting Guidelines</t>
  </si>
  <si>
    <t>N11</t>
  </si>
  <si>
    <t>A12</t>
  </si>
  <si>
    <t>E12</t>
  </si>
  <si>
    <t>We no longer collect the contractor's SSN, as we no longer perform a credit check on the owner. Instead, we only need the contractor's date of birth (DOB) to complete the background check.</t>
  </si>
  <si>
    <t>A13</t>
  </si>
  <si>
    <t>More than $1MM in annual gross revenue</t>
  </si>
  <si>
    <t>E13</t>
  </si>
  <si>
    <t>Bank statements are used to assess the financial strength of the business as part of our underwriting review.</t>
  </si>
  <si>
    <t>N13</t>
  </si>
  <si>
    <t>Username</t>
  </si>
  <si>
    <t>A14</t>
  </si>
  <si>
    <t>E14</t>
  </si>
  <si>
    <t>Yes, we can accept the ITIN for the borrower vs the SSN</t>
  </si>
  <si>
    <t>N14</t>
  </si>
  <si>
    <t>Password</t>
  </si>
  <si>
    <t>A15</t>
  </si>
  <si>
    <t>N15</t>
  </si>
  <si>
    <t>When configuring the Sunlight provider in Finti, please use the email address and password for authentication.</t>
  </si>
  <si>
    <t>A16</t>
  </si>
  <si>
    <t>No MCAs (merchant cash advances)</t>
  </si>
  <si>
    <t>N16</t>
  </si>
  <si>
    <t>Please do not use the username and password combination, as it will not generate the access token for Sunlight.</t>
  </si>
  <si>
    <t>A17</t>
  </si>
  <si>
    <t>A18</t>
  </si>
  <si>
    <t>Owner background check</t>
  </si>
  <si>
    <t>A20</t>
  </si>
  <si>
    <t>Required Documentation</t>
  </si>
  <si>
    <t>A21</t>
  </si>
  <si>
    <t>A22</t>
  </si>
  <si>
    <t>Two most recent months of bank statements</t>
  </si>
  <si>
    <t>A23</t>
  </si>
  <si>
    <t>A24</t>
  </si>
  <si>
    <t>Driver’s license</t>
  </si>
  <si>
    <t>A25</t>
  </si>
  <si>
    <t>Sample Home Improvement Contract (HIC)</t>
  </si>
  <si>
    <t>A26</t>
  </si>
  <si>
    <t>Workers’ Compensation (WC) and General Liability (GL) insurance certificates</t>
  </si>
  <si>
    <t>A27</t>
  </si>
  <si>
    <t>Applicable contractor license</t>
  </si>
  <si>
    <t>A28</t>
  </si>
  <si>
    <t>Prior to launch, Sunlight will also need to be added as a certificate holder on the contractor’s insurance policy.</t>
  </si>
  <si>
    <t>A30</t>
  </si>
  <si>
    <t>· Bank Verification</t>
  </si>
  <si>
    <t>o Voided check</t>
  </si>
  <si>
    <t>B32</t>
  </si>
  <si>
    <t>o 2 recent bank statements / data from Plaid export</t>
  </si>
  <si>
    <t>§ Bank statements should be recent – within the last 4 months</t>
  </si>
  <si>
    <t>A34</t>
  </si>
  <si>
    <t>· Sales Contract</t>
  </si>
  <si>
    <t>B35</t>
  </si>
  <si>
    <t>o Internally referred to as a HIC</t>
  </si>
  <si>
    <t>A36</t>
  </si>
  <si>
    <t>· Certificate(s) of Insurance</t>
  </si>
  <si>
    <t>B37</t>
  </si>
  <si>
    <t>o ALL contractors are required to carry General Liability</t>
  </si>
  <si>
    <t>o Workers Compensation</t>
  </si>
  <si>
    <t>§ Not required in all states. WC exemptions are accepted o Sunlight will need to be added as a certificate holder on the policy prior to launch. Here is an example</t>
  </si>
  <si>
    <t>B40</t>
  </si>
  <si>
    <t>§ Sunlight Financial</t>
  </si>
  <si>
    <t>§ 101 N. Tryon St. Suite 900</t>
  </si>
  <si>
    <t>§ Charlotte, NC 28202</t>
  </si>
  <si>
    <t>A43</t>
  </si>
  <si>
    <t>· Contractor’s license(s)</t>
  </si>
  <si>
    <t>o Alternatively - license #, state, and license type</t>
  </si>
  <si>
    <t>A45</t>
  </si>
  <si>
    <t>MINIMUM REQUIREMENTS</t>
  </si>
  <si>
    <t>A46</t>
  </si>
  <si>
    <t>· 1 year in business</t>
  </si>
  <si>
    <t>A47</t>
  </si>
  <si>
    <t>· &gt; $1MM in yearly gross revenue</t>
  </si>
  <si>
    <t>A48</t>
  </si>
  <si>
    <t>· Equity owner credit check (soft)</t>
  </si>
  <si>
    <t>A49</t>
  </si>
  <si>
    <t>· General Liability insurance</t>
  </si>
  <si>
    <t>A50</t>
  </si>
  <si>
    <t>· Established positive online reputation</t>
  </si>
  <si>
    <t>A51</t>
  </si>
  <si>
    <t>· No MCA’s (predatory loans with high interest and multiple payments/month)</t>
  </si>
  <si>
    <t>A53</t>
  </si>
  <si>
    <t>· MCA loan stacking</t>
  </si>
  <si>
    <t>A54</t>
  </si>
  <si>
    <t>· Zip codes beginning 91, 78, 79</t>
  </si>
  <si>
    <t>A55</t>
  </si>
  <si>
    <t>They Don't do:</t>
  </si>
  <si>
    <t>A56</t>
  </si>
  <si>
    <t>ADU’s - Tiny Houses</t>
  </si>
  <si>
    <t>G56</t>
  </si>
  <si>
    <t>Yes - we do. We allow basically all verticals except for pools and ADUs. Roofing and Windows are actually our two largest verticals. </t>
  </si>
  <si>
    <t>A57</t>
  </si>
  <si>
    <t>Pools, Hot Tubs &amp; Saunas</t>
  </si>
  <si>
    <t>A58</t>
  </si>
  <si>
    <t>Water Filtration</t>
  </si>
  <si>
    <t>G58</t>
  </si>
  <si>
    <t>A few notes/caveats -</t>
  </si>
  <si>
    <t>A59</t>
  </si>
  <si>
    <t>Repair companies</t>
  </si>
  <si>
    <t>G59</t>
  </si>
  <si>
    <t>H59</t>
  </si>
  <si>
    <t>Home automation/lighting - we're ok with this but it's not a huge focus. I.e. Let's discuss specific ops. </t>
  </si>
  <si>
    <t>A60</t>
  </si>
  <si>
    <t>Geothermal Heat Pumps</t>
  </si>
  <si>
    <t>G60</t>
  </si>
  <si>
    <t>H60</t>
  </si>
  <si>
    <t>Water Filtration - we allow it but more in one off/for key contractors. </t>
  </si>
  <si>
    <t>A61</t>
  </si>
  <si>
    <t>Mobility Lifters</t>
  </si>
  <si>
    <t>A62</t>
  </si>
  <si>
    <t>Not hot on Door to Door, wil consider on case by case</t>
  </si>
  <si>
    <t>A63</t>
  </si>
  <si>
    <t>Walk In Showers/Bath Tubs</t>
  </si>
  <si>
    <t>A64</t>
  </si>
  <si>
    <t>Security Systems/Home Automation</t>
  </si>
  <si>
    <t>A66</t>
  </si>
  <si>
    <t xml:space="preserve">Solar, battery systems and related roofing work. </t>
  </si>
  <si>
    <t>A67</t>
  </si>
  <si>
    <t>A68</t>
  </si>
  <si>
    <t>Windows/Doors</t>
  </si>
  <si>
    <t>A69</t>
  </si>
  <si>
    <t>A70</t>
  </si>
  <si>
    <t>A71</t>
  </si>
  <si>
    <t>Decking</t>
  </si>
  <si>
    <t>A72</t>
  </si>
  <si>
    <t>Patios</t>
  </si>
  <si>
    <t>A73</t>
  </si>
  <si>
    <t>Home Automation</t>
  </si>
  <si>
    <t>A74</t>
  </si>
  <si>
    <t>Energy Efficiency Upgrades</t>
  </si>
  <si>
    <t>A77</t>
  </si>
  <si>
    <t>Mimecast Secure Message Login: merchantonboarding@getfinti.com, password: FintiTeam26!</t>
  </si>
  <si>
    <t>A79</t>
  </si>
  <si>
    <t>Per JP, if API credentials contain .slf at the end of the email address, please delete that when uploading to the portal.</t>
  </si>
  <si>
    <t>A81</t>
  </si>
  <si>
    <t>Sunlight Applications Page</t>
  </si>
  <si>
    <t>A83</t>
  </si>
  <si>
    <t>Page 1</t>
  </si>
  <si>
    <t>▼  Service Finance</t>
  </si>
  <si>
    <t>Merchant Onboarding</t>
  </si>
  <si>
    <t>Dealer Profile (Example Format Below) — Please Provide:</t>
  </si>
  <si>
    <t>G1</t>
  </si>
  <si>
    <t>https://enroll.svcfin.com/finti</t>
  </si>
  <si>
    <t>business overview</t>
  </si>
  <si>
    <t>Email for onboarding questions:</t>
  </si>
  <si>
    <t>M2</t>
  </si>
  <si>
    <t>FintiKey</t>
  </si>
  <si>
    <t>O2</t>
  </si>
  <si>
    <t>Onboarding Screens</t>
  </si>
  <si>
    <t>R2</t>
  </si>
  <si>
    <t>Company Info</t>
  </si>
  <si>
    <t>Y2</t>
  </si>
  <si>
    <t>Banking</t>
  </si>
  <si>
    <t>AI2</t>
  </si>
  <si>
    <t>Trade referrence page</t>
  </si>
  <si>
    <t>AQ2</t>
  </si>
  <si>
    <t>Review Page - shows all fields</t>
  </si>
  <si>
    <t>AX2</t>
  </si>
  <si>
    <t>Need to notify Dealer to respond to this email.</t>
  </si>
  <si>
    <t xml:space="preserve"> Also anything you can share about profitability</t>
  </si>
  <si>
    <t>enroll@svcfin.com</t>
  </si>
  <si>
    <t xml:space="preserve"> Online presence google reviews and complaints </t>
  </si>
  <si>
    <t>G4</t>
  </si>
  <si>
    <t>janet.lasauskas@svcfin.com</t>
  </si>
  <si>
    <t>M4</t>
  </si>
  <si>
    <t>0873cce4-c289-49fd-ba61-106a3b00fad5</t>
  </si>
  <si>
    <t>% of Sales Currently Financed:</t>
  </si>
  <si>
    <t>G5</t>
  </si>
  <si>
    <t>Janet Lasauskas</t>
  </si>
  <si>
    <t xml:space="preserve">Annual finance volume </t>
  </si>
  <si>
    <t>G6</t>
  </si>
  <si>
    <t>Service Finance Dealer Enrollment Manager</t>
  </si>
  <si>
    <t>M6</t>
  </si>
  <si>
    <t>Need Dealer Id - to set up in Finti portal -----------------&gt;</t>
  </si>
  <si>
    <t xml:space="preserve">Any details on existing financing relationships, loan programs they are using </t>
  </si>
  <si>
    <t>G7</t>
  </si>
  <si>
    <t>Office: 866.254.0497 ext 3869  |  Direct: 561.571.3869  |  Alt: 866.307.1373</t>
  </si>
  <si>
    <t>A8</t>
  </si>
  <si>
    <t>Average ticket size per sale and if it’s recurring or one time</t>
  </si>
  <si>
    <t>A9</t>
  </si>
  <si>
    <t>Average Ticket Size:</t>
  </si>
  <si>
    <t>A10</t>
  </si>
  <si>
    <t>DBA / Business Name:</t>
  </si>
  <si>
    <t>G10</t>
  </si>
  <si>
    <t>Minimum Requirements</t>
  </si>
  <si>
    <t>EIN Filing Date (if available):</t>
  </si>
  <si>
    <t>G11</t>
  </si>
  <si>
    <t>They must be in business for 1 year.  They must also be licensed for the work they are doing in the home.</t>
  </si>
  <si>
    <t>Entity + State of Registration (LLC/Corp) &amp; Date Registered:</t>
  </si>
  <si>
    <t>G12</t>
  </si>
  <si>
    <t>We do not ask/require SSN at dealer enrollment. However, if we cannot clear OFAC with their DOB and home address (which 99+% of the time we do) then we will require SSN.</t>
  </si>
  <si>
    <t>Forward Forecast (next 12–24 months):</t>
  </si>
  <si>
    <t>include marketing materials and revenue assumptions for 26’ 27’</t>
  </si>
  <si>
    <t>key partners involved on the equity side or if it’s a bootstrapped business operating geo locations</t>
  </si>
  <si>
    <t>length in business</t>
  </si>
  <si>
    <t>Most Recent Monthly Revenue (Top Line) + Month/Year:</t>
  </si>
  <si>
    <t>Notes on Financing Performance / Missed Opportunities (if applicable):</t>
  </si>
  <si>
    <t>A19</t>
  </si>
  <si>
    <t>Owners / Partners (full legal names):</t>
  </si>
  <si>
    <t>Review / Reputation Link (Google, Trustmary, etc.):</t>
  </si>
  <si>
    <t>sales tactics and channels (door to door, retail, ecommerce, etc.)</t>
  </si>
  <si>
    <t>TOP LINE annual revenue</t>
  </si>
  <si>
    <t>*Only use letters for the Company name; no commas, periods, dashes, etc. or the application will not work</t>
  </si>
  <si>
    <t>NOTE ON SERVICE FINANCE:  Immediately after submitting the oboarding info, dealer will get an email and has to upload drivers license and voided check.  Make sure to send an email to the dealer and rep.    If dealer already has SF, submit new application with link.</t>
  </si>
  <si>
    <t>A29</t>
  </si>
  <si>
    <t>Support</t>
  </si>
  <si>
    <t>Title</t>
  </si>
  <si>
    <t>B30</t>
  </si>
  <si>
    <t>Name</t>
  </si>
  <si>
    <t>C30</t>
  </si>
  <si>
    <t>Phone</t>
  </si>
  <si>
    <t>D30</t>
  </si>
  <si>
    <t>A31</t>
  </si>
  <si>
    <t>Credit Operations</t>
  </si>
  <si>
    <t>Gary Lobban</t>
  </si>
  <si>
    <t>C31</t>
  </si>
  <si>
    <t>866-254-0497 (Ext. 3819)</t>
  </si>
  <si>
    <t>D31</t>
  </si>
  <si>
    <t>Gary.Lobban@svcfin.com</t>
  </si>
  <si>
    <t>A32</t>
  </si>
  <si>
    <t>Treasury Management</t>
  </si>
  <si>
    <t>Karl McNish</t>
  </si>
  <si>
    <t>C32</t>
  </si>
  <si>
    <t>866-254-0497 (Ext. 3846)</t>
  </si>
  <si>
    <t>D32</t>
  </si>
  <si>
    <t>Karl.McNish@svcfin.com</t>
  </si>
  <si>
    <t>A33</t>
  </si>
  <si>
    <t>Operational Support</t>
  </si>
  <si>
    <t>Jaclynn Johnston-Gunning</t>
  </si>
  <si>
    <t>C33</t>
  </si>
  <si>
    <t>561-571-3849</t>
  </si>
  <si>
    <t>D33</t>
  </si>
  <si>
    <t>Jaclynn.Johnston@svcfin.com</t>
  </si>
  <si>
    <t>Dealer Enrollment</t>
  </si>
  <si>
    <t>C34</t>
  </si>
  <si>
    <t>561-571-3869</t>
  </si>
  <si>
    <t>D34</t>
  </si>
  <si>
    <t>Janet.Lasauskas@svcfin.com</t>
  </si>
  <si>
    <t>A35</t>
  </si>
  <si>
    <t>Dealer Concierge</t>
  </si>
  <si>
    <t>Dean Schroedle</t>
  </si>
  <si>
    <t>C35</t>
  </si>
  <si>
    <t>561-229-1174</t>
  </si>
  <si>
    <t>D35</t>
  </si>
  <si>
    <t>Dean.Schroedle@svcfin.com</t>
  </si>
  <si>
    <t>Customer Call Center</t>
  </si>
  <si>
    <t>Michael Shortino</t>
  </si>
  <si>
    <t>C36</t>
  </si>
  <si>
    <t>561-486-8741</t>
  </si>
  <si>
    <t>D36</t>
  </si>
  <si>
    <t>michael.shortino@svcfin.com</t>
  </si>
  <si>
    <t>A37</t>
  </si>
  <si>
    <t>Customer Complaints</t>
  </si>
  <si>
    <t>Brittany Thompson</t>
  </si>
  <si>
    <t>C37</t>
  </si>
  <si>
    <t>561-571-3907</t>
  </si>
  <si>
    <t>D37</t>
  </si>
  <si>
    <t>Brittany.A.Thompson@truist.com</t>
  </si>
  <si>
    <t>G37</t>
  </si>
  <si>
    <t>NOTES:</t>
  </si>
  <si>
    <t>G38</t>
  </si>
  <si>
    <t>Do not put any periods or dashes or similar in the business name it will not submit that way.</t>
  </si>
  <si>
    <t>A39</t>
  </si>
  <si>
    <t>Business Developement</t>
  </si>
  <si>
    <t>A40</t>
  </si>
  <si>
    <t>C40</t>
  </si>
  <si>
    <t>D40</t>
  </si>
  <si>
    <t>A41</t>
  </si>
  <si>
    <t>VP of Business Development</t>
  </si>
  <si>
    <t>Chuck Upshur</t>
  </si>
  <si>
    <t>C41</t>
  </si>
  <si>
    <t>866-293-7567</t>
  </si>
  <si>
    <t>D41</t>
  </si>
  <si>
    <t>Chuck.Upshur@svcfin.com</t>
  </si>
  <si>
    <t>A42</t>
  </si>
  <si>
    <t>VP of National Accounts</t>
  </si>
  <si>
    <t>Mike Cheatham</t>
  </si>
  <si>
    <t>C42</t>
  </si>
  <si>
    <t>317-432-8561</t>
  </si>
  <si>
    <t>D42</t>
  </si>
  <si>
    <t>Mike.Cheatham@svcfin.com</t>
  </si>
  <si>
    <t>VP of Marketing</t>
  </si>
  <si>
    <t>B43</t>
  </si>
  <si>
    <t>Jim Cadena</t>
  </si>
  <si>
    <t>C43</t>
  </si>
  <si>
    <t>972-569-0642</t>
  </si>
  <si>
    <t>D43</t>
  </si>
  <si>
    <t>James.Cadena@svcfin.com</t>
  </si>
  <si>
    <t>A44</t>
  </si>
  <si>
    <t>VP of Regional Sales</t>
  </si>
  <si>
    <t>Dave Anderson</t>
  </si>
  <si>
    <t>C44</t>
  </si>
  <si>
    <t>786-559-5742</t>
  </si>
  <si>
    <t>D44</t>
  </si>
  <si>
    <t>Dave.Anderson@svcfin.com</t>
  </si>
  <si>
    <t>Management</t>
  </si>
  <si>
    <t>C47</t>
  </si>
  <si>
    <t>Head of Home Improvement Lending</t>
  </si>
  <si>
    <t>Jennifer S. Harmon</t>
  </si>
  <si>
    <t>C48</t>
  </si>
  <si>
    <t>Jennifer.Harmon@truist.com</t>
  </si>
  <si>
    <t>Operations Leader</t>
  </si>
  <si>
    <t>B49</t>
  </si>
  <si>
    <t>Brian Edmundson</t>
  </si>
  <si>
    <t>C49</t>
  </si>
  <si>
    <t>Brian.Edmundson@svcfin.com</t>
  </si>
  <si>
    <t>Consumer Contacts</t>
  </si>
  <si>
    <t>A52</t>
  </si>
  <si>
    <t>B52</t>
  </si>
  <si>
    <t>C52</t>
  </si>
  <si>
    <t>D52</t>
  </si>
  <si>
    <t>C53</t>
  </si>
  <si>
    <t>D53</t>
  </si>
  <si>
    <t>C54</t>
  </si>
  <si>
    <t>D54</t>
  </si>
  <si>
    <t>▼  Foundation</t>
  </si>
  <si>
    <t>MERCHANT ONBOARDING</t>
  </si>
  <si>
    <t>K1</t>
  </si>
  <si>
    <t>NO MINIMUM QUALIFICATIONS</t>
  </si>
  <si>
    <t>Merchant onboarding link</t>
  </si>
  <si>
    <t>D2</t>
  </si>
  <si>
    <t>foundationfinance.com/finti</t>
  </si>
  <si>
    <t>K2</t>
  </si>
  <si>
    <t>We don’t have any minimum requirements when it comes to annual sales revenue or years in business. We do want to work with reputable companies so one thing that is important is having a positive online presence. @Jessica Gille If I’m missing something important, please feel free to chime in, but overall we won’t know if we can work with them or not until they submit an application and we can do a full review.</t>
  </si>
  <si>
    <t>No home automation and alarm</t>
  </si>
  <si>
    <t>Like Coby said, we don’t have any hard and fast requirements, and we work with a lot of mom-and-pop shops. Happy to answer any specific questions you have regarding our requirements.</t>
  </si>
  <si>
    <t>AI3</t>
  </si>
  <si>
    <t>AJ3</t>
  </si>
  <si>
    <t>Not Approved</t>
  </si>
  <si>
    <t xml:space="preserve">Custom onboarding link: foundationfinance.com/finti </t>
  </si>
  <si>
    <t>AI4</t>
  </si>
  <si>
    <t>Awnings</t>
  </si>
  <si>
    <t>AJ4</t>
  </si>
  <si>
    <t>Apparel</t>
  </si>
  <si>
    <t>Need contractor's registration/license</t>
  </si>
  <si>
    <t>AI5</t>
  </si>
  <si>
    <t>Basement Finishing</t>
  </si>
  <si>
    <t>AJ5</t>
  </si>
  <si>
    <t>Appliances</t>
  </si>
  <si>
    <t>Financing Licenses required in CO, DC, FL, IA, IN, KS, LA, ME, NJ, OK, SC, TX, UT, WI, WV, WY</t>
  </si>
  <si>
    <t>AI6</t>
  </si>
  <si>
    <t>Basement Waterproofing</t>
  </si>
  <si>
    <t>AJ6</t>
  </si>
  <si>
    <t>Beauty/Cosmetics</t>
  </si>
  <si>
    <t>Requires 100% ownership - if there are additional owners, they need both owner's info (10% ownership)</t>
  </si>
  <si>
    <t>AI7</t>
  </si>
  <si>
    <t>Bathroom Remodel</t>
  </si>
  <si>
    <t>AJ7</t>
  </si>
  <si>
    <t>Bicyles</t>
  </si>
  <si>
    <t>They do a TransUnion credit report</t>
  </si>
  <si>
    <t>AI8</t>
  </si>
  <si>
    <t>Battery Back Up (Solar) BD 10.13.2023</t>
  </si>
  <si>
    <t>AJ8</t>
  </si>
  <si>
    <t>Boats/Cars/RV/Campers</t>
  </si>
  <si>
    <t>Owner call is required</t>
  </si>
  <si>
    <t>AI9</t>
  </si>
  <si>
    <t>Blinds/Shades</t>
  </si>
  <si>
    <t>AJ9</t>
  </si>
  <si>
    <t>Books/Education</t>
  </si>
  <si>
    <t>Need full 9 digit social security number</t>
  </si>
  <si>
    <t>AI10</t>
  </si>
  <si>
    <t>Boilers</t>
  </si>
  <si>
    <t>AJ10</t>
  </si>
  <si>
    <t>Electronics</t>
  </si>
  <si>
    <t>Questions - Jessica Gille jgille@foundationfinance.com</t>
  </si>
  <si>
    <t>jgille@foundationfinance.com</t>
  </si>
  <si>
    <t>AI11</t>
  </si>
  <si>
    <t>Cement/Concrete</t>
  </si>
  <si>
    <t>AJ11</t>
  </si>
  <si>
    <t>Fire Systems (Sprinkles/alarms)</t>
  </si>
  <si>
    <t>Turnaround time is 9 days, but feel free to email and ask if they have everything they need.</t>
  </si>
  <si>
    <t>I12</t>
  </si>
  <si>
    <t>AI12</t>
  </si>
  <si>
    <t>Container Homes</t>
  </si>
  <si>
    <t>AJ12</t>
  </si>
  <si>
    <t>Footwear</t>
  </si>
  <si>
    <t>AI13</t>
  </si>
  <si>
    <t>Dog Fences</t>
  </si>
  <si>
    <t>AJ13</t>
  </si>
  <si>
    <t>Furniture</t>
  </si>
  <si>
    <t>Onboarding instructions below and here -&gt;</t>
  </si>
  <si>
    <t>C14</t>
  </si>
  <si>
    <t>Dealer Application FAQs_Standard Practices - FINTI</t>
  </si>
  <si>
    <t>AI14</t>
  </si>
  <si>
    <t>Doors</t>
  </si>
  <si>
    <t>AJ14</t>
  </si>
  <si>
    <t>Gardening (Plants)</t>
  </si>
  <si>
    <t>Hello!</t>
  </si>
  <si>
    <t>AI15</t>
  </si>
  <si>
    <t>Drywall</t>
  </si>
  <si>
    <t>AJ15</t>
  </si>
  <si>
    <t>Gas Repairs</t>
  </si>
  <si>
    <t>I just wanted to touch base on what will be needed from each contractor to have a successful API experience. When new contractors are onboarded with FFC they will receive a verification email for our portal. We understand they should never need to come to the FFC portal, however for applications to be submitted via the API they must verify their login credentials.</t>
  </si>
  <si>
    <t>AI16</t>
  </si>
  <si>
    <t>Electrical</t>
  </si>
  <si>
    <t>AJ16</t>
  </si>
  <si>
    <t>Home Automation Systems</t>
  </si>
  <si>
    <t>Attached above are some screenshots of what the email from FFC looks like. They should verify the account and reset the password. Once this is completed, they will be able to submit via the API.</t>
  </si>
  <si>
    <t>AI17</t>
  </si>
  <si>
    <t>EnergyMax Smart Chip/HVAC</t>
  </si>
  <si>
    <t>Please let Coby or me know if you have any questions.</t>
  </si>
  <si>
    <t>H18</t>
  </si>
  <si>
    <t>Additional contacts:</t>
  </si>
  <si>
    <t>AI18</t>
  </si>
  <si>
    <t>EV Carports/chargers</t>
  </si>
  <si>
    <t>AJ18</t>
  </si>
  <si>
    <t>Houseware</t>
  </si>
  <si>
    <t>Nicole Kautza</t>
  </si>
  <si>
    <t>H19</t>
  </si>
  <si>
    <t>Credit: credit@foundationfinance.com</t>
  </si>
  <si>
    <t>AI19</t>
  </si>
  <si>
    <t>Fences</t>
  </si>
  <si>
    <t>AJ19</t>
  </si>
  <si>
    <t>Jewelry</t>
  </si>
  <si>
    <t>Senior Project Analyst</t>
  </si>
  <si>
    <t>H20</t>
  </si>
  <si>
    <t>Stipulations, Bid/Tier changes, Pricing increases</t>
  </si>
  <si>
    <t>AI20</t>
  </si>
  <si>
    <t>Fireplaces/Chimneys</t>
  </si>
  <si>
    <t>AJ20</t>
  </si>
  <si>
    <t>Mortgage/Refinance</t>
  </si>
  <si>
    <t>Foundation Finance Company</t>
  </si>
  <si>
    <t>H21</t>
  </si>
  <si>
    <t>Funding: funding@foundationfinance.com</t>
  </si>
  <si>
    <t>AI21</t>
  </si>
  <si>
    <t>Flooring</t>
  </si>
  <si>
    <t>AJ21</t>
  </si>
  <si>
    <t>Mosquito/Bug control</t>
  </si>
  <si>
    <t>Office: 1-715-847-5025</t>
  </si>
  <si>
    <t>H22</t>
  </si>
  <si>
    <t>Questions on loan documents/resending of documents, changing of customer emails</t>
  </si>
  <si>
    <t>AI22</t>
  </si>
  <si>
    <t>AJ22</t>
  </si>
  <si>
    <t>Plug in Water systems</t>
  </si>
  <si>
    <t>B23</t>
  </si>
  <si>
    <t>nkautza@foundationfinance.com</t>
  </si>
  <si>
    <t>H23</t>
  </si>
  <si>
    <t>Integrator Questions/concerns:</t>
  </si>
  <si>
    <t>AI23</t>
  </si>
  <si>
    <t>Garage/Storage/Sheds/Buildings</t>
  </si>
  <si>
    <t>AJ23</t>
  </si>
  <si>
    <t>Services or Repairs Only</t>
  </si>
  <si>
    <t>Fax: 715-847-4429</t>
  </si>
  <si>
    <t>H24</t>
  </si>
  <si>
    <t>Michelle Hendricks: mhendricks@foundationfinance.com</t>
  </si>
  <si>
    <t>AI24</t>
  </si>
  <si>
    <t>Gutters</t>
  </si>
  <si>
    <t>AJ24</t>
  </si>
  <si>
    <t>Tree Removal</t>
  </si>
  <si>
    <t>AI25</t>
  </si>
  <si>
    <t>AJ25</t>
  </si>
  <si>
    <t>UV light treatment</t>
  </si>
  <si>
    <t>AI26</t>
  </si>
  <si>
    <t>Insulation</t>
  </si>
  <si>
    <t>AJ26</t>
  </si>
  <si>
    <t>Vacuums</t>
  </si>
  <si>
    <t>AI27</t>
  </si>
  <si>
    <t>Kitchen Remodel</t>
  </si>
  <si>
    <t>AJ27</t>
  </si>
  <si>
    <t>Design/Service plans without install</t>
  </si>
  <si>
    <t>AI28</t>
  </si>
  <si>
    <t>Landscaping</t>
  </si>
  <si>
    <t>AJ28</t>
  </si>
  <si>
    <t>Financing product without install (flooring, bath tub)</t>
  </si>
  <si>
    <t>AI29</t>
  </si>
  <si>
    <t>Mold Remediation (invoice)</t>
  </si>
  <si>
    <t>AJ29</t>
  </si>
  <si>
    <t>Financing rebate</t>
  </si>
  <si>
    <t>AI30</t>
  </si>
  <si>
    <t>Other Exterior (Outdoor grills)</t>
  </si>
  <si>
    <t>AJ30</t>
  </si>
  <si>
    <t>Re-Fi</t>
  </si>
  <si>
    <t>AI31</t>
  </si>
  <si>
    <t>Outdoor Lighting</t>
  </si>
  <si>
    <t>AJ31</t>
  </si>
  <si>
    <t>Retail</t>
  </si>
  <si>
    <t>AI32</t>
  </si>
  <si>
    <t>AJ32</t>
  </si>
  <si>
    <t>Security Systems</t>
  </si>
  <si>
    <t>AI33</t>
  </si>
  <si>
    <t>Patios/Decks</t>
  </si>
  <si>
    <t>AI34</t>
  </si>
  <si>
    <t>Perma Seal/Decking</t>
  </si>
  <si>
    <t>AI35</t>
  </si>
  <si>
    <t>Plumbing</t>
  </si>
  <si>
    <t>AI36</t>
  </si>
  <si>
    <t>Pools/Spas</t>
  </si>
  <si>
    <t>AI37</t>
  </si>
  <si>
    <t>AI38</t>
  </si>
  <si>
    <t>Room Additions</t>
  </si>
  <si>
    <t>AI39</t>
  </si>
  <si>
    <t>Septic</t>
  </si>
  <si>
    <t>AI40</t>
  </si>
  <si>
    <t>Sheds</t>
  </si>
  <si>
    <t>AI41</t>
  </si>
  <si>
    <t>Shelving</t>
  </si>
  <si>
    <t>AI42</t>
  </si>
  <si>
    <t>Siding</t>
  </si>
  <si>
    <t>AI43</t>
  </si>
  <si>
    <t>Solar/Energy Efficiency</t>
  </si>
  <si>
    <t>AI44</t>
  </si>
  <si>
    <t>Stairlifts/Mobility</t>
  </si>
  <si>
    <t>AI45</t>
  </si>
  <si>
    <t>AI46</t>
  </si>
  <si>
    <t>Walk-in Tubs/Showers</t>
  </si>
  <si>
    <t>AI47</t>
  </si>
  <si>
    <t>Water treatment</t>
  </si>
  <si>
    <t>AI48</t>
  </si>
  <si>
    <t>Windows</t>
  </si>
  <si>
    <t>AI50</t>
  </si>
  <si>
    <t>* No 1 year in business requirement</t>
  </si>
  <si>
    <t>A157</t>
  </si>
  <si>
    <t>Dealer Application FAQs/Standard Practice</t>
  </si>
  <si>
    <t>A158</t>
  </si>
  <si>
    <t>https://foundationfinance.com/finti</t>
  </si>
  <si>
    <t>A159</t>
  </si>
  <si>
    <t xml:space="preserve">1. Listing the proper corporate/legal entity name that matches the Secretary of State </t>
  </si>
  <si>
    <t>A160</t>
  </si>
  <si>
    <t xml:space="preserve">filing will ensure FF doesn’t request a new application. </t>
  </si>
  <si>
    <t>A161</t>
  </si>
  <si>
    <t>a. Field on the application is named “Company Name”</t>
  </si>
  <si>
    <t>A162</t>
  </si>
  <si>
    <t xml:space="preserve">b. If an entity does business in multiple states and uses different corporate </t>
  </si>
  <si>
    <t>A163</t>
  </si>
  <si>
    <t xml:space="preserve">names in those states, FF will need separate dealer applications to ensure </t>
  </si>
  <si>
    <t>A164</t>
  </si>
  <si>
    <t xml:space="preserve">we have the proper licensing and corporate name information on file. </t>
  </si>
  <si>
    <t>A165</t>
  </si>
  <si>
    <t xml:space="preserve">i. Example: Wisconsin SOS shows “Jessica Siding of Wisconsin” and </t>
  </si>
  <si>
    <t>A166</t>
  </si>
  <si>
    <t xml:space="preserve">Minnesota SOS shows “Jessica Siding of Minnesota”, 2 applications </t>
  </si>
  <si>
    <t>A167</t>
  </si>
  <si>
    <t xml:space="preserve">and dealer accounts will be required. </t>
  </si>
  <si>
    <t>A168</t>
  </si>
  <si>
    <t>2. Any person that owns 10% or more of the business will need to be listed on the</t>
  </si>
  <si>
    <t>A169</t>
  </si>
  <si>
    <t xml:space="preserve">application. </t>
  </si>
  <si>
    <t>A170</t>
  </si>
  <si>
    <t>a. A valid SSN is required for these individuals.</t>
  </si>
  <si>
    <t>A171</t>
  </si>
  <si>
    <t>b. Missing ownership can result in delays until remaining ownership is received.</t>
  </si>
  <si>
    <t>A172</t>
  </si>
  <si>
    <t xml:space="preserve">c. If there are more than 4 owners that hold 10% + ownership, a condensed </t>
  </si>
  <si>
    <t>A173</t>
  </si>
  <si>
    <t>dealer application can be utilized to send FF the remaining details.</t>
  </si>
  <si>
    <t>A174</t>
  </si>
  <si>
    <t>i. https://foundationfinance.com/additional-owners/</t>
  </si>
  <si>
    <t>A175</t>
  </si>
  <si>
    <t xml:space="preserve">d. If remaining ownership and/or valid SSNs are not received, this may result in </t>
  </si>
  <si>
    <t>A176</t>
  </si>
  <si>
    <t xml:space="preserve">a denial of the dealer application. </t>
  </si>
  <si>
    <t>A177</t>
  </si>
  <si>
    <t xml:space="preserve">3. A soft credit inquiry through Transunion will be completed for each owner. </t>
  </si>
  <si>
    <t>A178</t>
  </si>
  <si>
    <t xml:space="preserve">a. Transunion credit freezes can result in delays until the credit freeze is lifted, </t>
  </si>
  <si>
    <t>A179</t>
  </si>
  <si>
    <t xml:space="preserve">and the credit report is pulled. </t>
  </si>
  <si>
    <t>A180</t>
  </si>
  <si>
    <t xml:space="preserve">b. If a credit freeze is not lifted, this may result in a denial of the dealer </t>
  </si>
  <si>
    <t>A181</t>
  </si>
  <si>
    <t>A182</t>
  </si>
  <si>
    <t xml:space="preserve">4. Including the business ACH information (voided check or bank letter) and general </t>
  </si>
  <si>
    <t>A183</t>
  </si>
  <si>
    <t xml:space="preserve">liability insurance at the time of application submission is very helpful but not </t>
  </si>
  <si>
    <t>A184</t>
  </si>
  <si>
    <t xml:space="preserve">required. </t>
  </si>
  <si>
    <t>A185</t>
  </si>
  <si>
    <t xml:space="preserve">a. These items plus any licensing and dealer agreements will be required before </t>
  </si>
  <si>
    <t>A186</t>
  </si>
  <si>
    <t xml:space="preserve">funding can occur. </t>
  </si>
  <si>
    <t>A187</t>
  </si>
  <si>
    <t>b. Finance Licenses will be required in the following states…</t>
  </si>
  <si>
    <t>A188</t>
  </si>
  <si>
    <t xml:space="preserve">i. CO, DC, FL, IA, IN, KS, LA, ME, NJ, OK, SC, TX, UT, WI, WV, WY </t>
  </si>
  <si>
    <t>A189</t>
  </si>
  <si>
    <t xml:space="preserve">5. A verification call with the owner of the business that is applying is required prior to </t>
  </si>
  <si>
    <t>A190</t>
  </si>
  <si>
    <t xml:space="preserve">approval. </t>
  </si>
  <si>
    <t>A191</t>
  </si>
  <si>
    <t xml:space="preserve">a. FF will complete 3 outbound attempts to reach the owner of the business. </t>
  </si>
  <si>
    <t>A192</t>
  </si>
  <si>
    <t xml:space="preserve">Voicemails, emails, and text messages will also be attempted throughout </t>
  </si>
  <si>
    <t>A193</t>
  </si>
  <si>
    <t xml:space="preserve">this duration. </t>
  </si>
  <si>
    <t>A194</t>
  </si>
  <si>
    <t xml:space="preserve">b. Incomplete owner verification calls can result in delays and/or denial if FF </t>
  </si>
  <si>
    <t>A195</t>
  </si>
  <si>
    <t xml:space="preserve">cannot complete. </t>
  </si>
  <si>
    <t>A196</t>
  </si>
  <si>
    <t xml:space="preserve">6. If the operating business is owned by another entity, the application will need to be </t>
  </si>
  <si>
    <t>A197</t>
  </si>
  <si>
    <t>filled out as such…</t>
  </si>
  <si>
    <t>A198</t>
  </si>
  <si>
    <t>a. Company Name: Legal entity name of the operating business</t>
  </si>
  <si>
    <t>A199</t>
  </si>
  <si>
    <t>b. DBA: The ‘doing business as’ name of the operating business</t>
  </si>
  <si>
    <t>A200</t>
  </si>
  <si>
    <t>c. Main Contact: The main contact of the operating business</t>
  </si>
  <si>
    <t>A201</t>
  </si>
  <si>
    <t>d. Ownership: The name of the owning entity</t>
  </si>
  <si>
    <t>A202</t>
  </si>
  <si>
    <t>i. SSN field can reflect all 0’s or the EIN # for the owning entity</t>
  </si>
  <si>
    <t>A203</t>
  </si>
  <si>
    <t xml:space="preserve">ii. DOB field can reflect a random date or the date the owning entity was </t>
  </si>
  <si>
    <t>A204</t>
  </si>
  <si>
    <t>formed</t>
  </si>
  <si>
    <t>A205</t>
  </si>
  <si>
    <t xml:space="preserve">Note: A credit inquiry will not be conducted if the business is entity owned. </t>
  </si>
  <si>
    <t>A206</t>
  </si>
  <si>
    <t>e. Signature: Signed by a corporate officer of the owning entity</t>
  </si>
  <si>
    <t>▼  Chowder</t>
  </si>
  <si>
    <t>Chowder is a tertiary lease-to-own program for HVAC only.</t>
  </si>
  <si>
    <t>C1</t>
  </si>
  <si>
    <t>State</t>
  </si>
  <si>
    <t>D1</t>
  </si>
  <si>
    <t>Status</t>
  </si>
  <si>
    <t>E1</t>
  </si>
  <si>
    <t>Not active</t>
  </si>
  <si>
    <t>&amp; C</t>
  </si>
  <si>
    <t>Uploads required</t>
  </si>
  <si>
    <t>I1</t>
  </si>
  <si>
    <t>States Available</t>
  </si>
  <si>
    <t>J1</t>
  </si>
  <si>
    <t>Hours of Operation-</t>
  </si>
  <si>
    <t>E2</t>
  </si>
  <si>
    <t>Legal Name</t>
  </si>
  <si>
    <t>Business registration with State</t>
  </si>
  <si>
    <t>I2</t>
  </si>
  <si>
    <t>J2</t>
  </si>
  <si>
    <t>Monday - Friday 9am - 9pm EST / Saturday 10am - 6pm EST</t>
  </si>
  <si>
    <t>D3</t>
  </si>
  <si>
    <t>E3</t>
  </si>
  <si>
    <t>HVAC/ Plumbing license</t>
  </si>
  <si>
    <t>J3</t>
  </si>
  <si>
    <t>Applicant and Contractor Support</t>
  </si>
  <si>
    <t>D4</t>
  </si>
  <si>
    <t>E4</t>
  </si>
  <si>
    <t>F4</t>
  </si>
  <si>
    <t>Legal Entity</t>
  </si>
  <si>
    <t>I4</t>
  </si>
  <si>
    <t>J4</t>
  </si>
  <si>
    <t>C5</t>
  </si>
  <si>
    <t>D5</t>
  </si>
  <si>
    <t>E5</t>
  </si>
  <si>
    <t>HVAC License Name Holder</t>
  </si>
  <si>
    <t>I5</t>
  </si>
  <si>
    <t>General-</t>
  </si>
  <si>
    <t>C6</t>
  </si>
  <si>
    <t>D6</t>
  </si>
  <si>
    <t>E6</t>
  </si>
  <si>
    <t>F6</t>
  </si>
  <si>
    <t>HVAC License Number</t>
  </si>
  <si>
    <t>Onboarding Contact- William Beane</t>
  </si>
  <si>
    <t>I6</t>
  </si>
  <si>
    <t>J6</t>
  </si>
  <si>
    <t>Email-  customer@chowderfinancial.com</t>
  </si>
  <si>
    <t>C7</t>
  </si>
  <si>
    <t>D7</t>
  </si>
  <si>
    <t>E7</t>
  </si>
  <si>
    <t>F7</t>
  </si>
  <si>
    <t>Tax ID</t>
  </si>
  <si>
    <t>w.beane@chowderfinancial.com</t>
  </si>
  <si>
    <t>I7</t>
  </si>
  <si>
    <t>J7</t>
  </si>
  <si>
    <t>833-550-0505</t>
  </si>
  <si>
    <t>C8</t>
  </si>
  <si>
    <t>D.C.</t>
  </si>
  <si>
    <t>D8</t>
  </si>
  <si>
    <t>E8</t>
  </si>
  <si>
    <t>F8</t>
  </si>
  <si>
    <t>Products Offer</t>
  </si>
  <si>
    <t>I8</t>
  </si>
  <si>
    <t>J8</t>
  </si>
  <si>
    <t>Otto Sutter and William Beane on our team head contractor support/training, please have them cc’d along with myself on any issues or questions that may arise from contractors.</t>
  </si>
  <si>
    <t>C9</t>
  </si>
  <si>
    <t>D9</t>
  </si>
  <si>
    <t>E9</t>
  </si>
  <si>
    <t>F9</t>
  </si>
  <si>
    <t>Street Address</t>
  </si>
  <si>
    <t>I9</t>
  </si>
  <si>
    <t>J9</t>
  </si>
  <si>
    <t>o.sutter@chowderfinancial.com</t>
  </si>
  <si>
    <t>C10</t>
  </si>
  <si>
    <t>D10</t>
  </si>
  <si>
    <t>E10</t>
  </si>
  <si>
    <t>F10</t>
  </si>
  <si>
    <t>City</t>
  </si>
  <si>
    <t>I10</t>
  </si>
  <si>
    <t>J10</t>
  </si>
  <si>
    <t>C11</t>
  </si>
  <si>
    <t>D11</t>
  </si>
  <si>
    <t>F11</t>
  </si>
  <si>
    <t>I11</t>
  </si>
  <si>
    <t>J11</t>
  </si>
  <si>
    <t>Tech Related Issues- In the event of any tech issues, please direct to this email</t>
  </si>
  <si>
    <t>C12</t>
  </si>
  <si>
    <t>D12</t>
  </si>
  <si>
    <t>F12</t>
  </si>
  <si>
    <t>Zip Code</t>
  </si>
  <si>
    <t>J12</t>
  </si>
  <si>
    <t>epochsupport@chowderfinancial.com</t>
  </si>
  <si>
    <t>C13</t>
  </si>
  <si>
    <t>D13</t>
  </si>
  <si>
    <t>F13</t>
  </si>
  <si>
    <t>Principal Contact</t>
  </si>
  <si>
    <t>I13</t>
  </si>
  <si>
    <t>J13</t>
  </si>
  <si>
    <t>D14</t>
  </si>
  <si>
    <t>F14</t>
  </si>
  <si>
    <t>I14</t>
  </si>
  <si>
    <t>J14</t>
  </si>
  <si>
    <t>C15</t>
  </si>
  <si>
    <t>D15</t>
  </si>
  <si>
    <t>F15</t>
  </si>
  <si>
    <t>Website</t>
  </si>
  <si>
    <t>I15</t>
  </si>
  <si>
    <t>J15</t>
  </si>
  <si>
    <t>C16</t>
  </si>
  <si>
    <t>D16</t>
  </si>
  <si>
    <t>F16</t>
  </si>
  <si>
    <t>Gross Annual Sales</t>
  </si>
  <si>
    <t>I16</t>
  </si>
  <si>
    <t>J16</t>
  </si>
  <si>
    <t>C17</t>
  </si>
  <si>
    <t>F17</t>
  </si>
  <si>
    <t>Business Owner First Name</t>
  </si>
  <si>
    <t>I17</t>
  </si>
  <si>
    <t>J17</t>
  </si>
  <si>
    <t>C18</t>
  </si>
  <si>
    <t>D18</t>
  </si>
  <si>
    <t>F18</t>
  </si>
  <si>
    <t>Business Owner Last Name</t>
  </si>
  <si>
    <t>I18</t>
  </si>
  <si>
    <t>J18</t>
  </si>
  <si>
    <t>C19</t>
  </si>
  <si>
    <t>D19</t>
  </si>
  <si>
    <t>F19</t>
  </si>
  <si>
    <t>Business Owner Phone Number</t>
  </si>
  <si>
    <t>I19</t>
  </si>
  <si>
    <t>J19</t>
  </si>
  <si>
    <t>D20</t>
  </si>
  <si>
    <t>F20</t>
  </si>
  <si>
    <t>Business Owner Email</t>
  </si>
  <si>
    <t>I20</t>
  </si>
  <si>
    <t>J20</t>
  </si>
  <si>
    <t>C21</t>
  </si>
  <si>
    <t>D21</t>
  </si>
  <si>
    <t>F21</t>
  </si>
  <si>
    <t>Primary Contact First Name</t>
  </si>
  <si>
    <t>I21</t>
  </si>
  <si>
    <t>J21</t>
  </si>
  <si>
    <t>C22</t>
  </si>
  <si>
    <t>D22</t>
  </si>
  <si>
    <t>F22</t>
  </si>
  <si>
    <t>Primary Contact Last Name</t>
  </si>
  <si>
    <t>I22</t>
  </si>
  <si>
    <t>J22</t>
  </si>
  <si>
    <t>C23</t>
  </si>
  <si>
    <t>D23</t>
  </si>
  <si>
    <t>F23</t>
  </si>
  <si>
    <t>Primary Contact Phone number</t>
  </si>
  <si>
    <t>I23</t>
  </si>
  <si>
    <t>J23</t>
  </si>
  <si>
    <t>C24</t>
  </si>
  <si>
    <t>D24</t>
  </si>
  <si>
    <t>F24</t>
  </si>
  <si>
    <t>Primary Contact Email</t>
  </si>
  <si>
    <t>I24</t>
  </si>
  <si>
    <t>J24</t>
  </si>
  <si>
    <t>C25</t>
  </si>
  <si>
    <t>D25</t>
  </si>
  <si>
    <t>F25</t>
  </si>
  <si>
    <t>Main Customer Service Phone Number</t>
  </si>
  <si>
    <t>I25</t>
  </si>
  <si>
    <t>J25</t>
  </si>
  <si>
    <t>C26</t>
  </si>
  <si>
    <t>D26</t>
  </si>
  <si>
    <t>F26</t>
  </si>
  <si>
    <t>Bank Name</t>
  </si>
  <si>
    <t>I26</t>
  </si>
  <si>
    <t>J26</t>
  </si>
  <si>
    <t>C27</t>
  </si>
  <si>
    <t>D27</t>
  </si>
  <si>
    <t>F27</t>
  </si>
  <si>
    <t>Routing Number</t>
  </si>
  <si>
    <t>I27</t>
  </si>
  <si>
    <t>J27</t>
  </si>
  <si>
    <t>C28</t>
  </si>
  <si>
    <t>D28</t>
  </si>
  <si>
    <t>F28</t>
  </si>
  <si>
    <t>Account Number</t>
  </si>
  <si>
    <t>I28</t>
  </si>
  <si>
    <t>J28</t>
  </si>
  <si>
    <t>C29</t>
  </si>
  <si>
    <t>D29</t>
  </si>
  <si>
    <t>F29</t>
  </si>
  <si>
    <t>I29</t>
  </si>
  <si>
    <t>J29</t>
  </si>
  <si>
    <t>F30</t>
  </si>
  <si>
    <t>I30</t>
  </si>
  <si>
    <t>J30</t>
  </si>
  <si>
    <t>F31</t>
  </si>
  <si>
    <t>I31</t>
  </si>
  <si>
    <t>J31</t>
  </si>
  <si>
    <t>F32</t>
  </si>
  <si>
    <t>I32</t>
  </si>
  <si>
    <t>J32</t>
  </si>
  <si>
    <t>F33</t>
  </si>
  <si>
    <t>They will send the agreement to the dealer, not us.</t>
  </si>
  <si>
    <t>I33</t>
  </si>
  <si>
    <t>J33</t>
  </si>
  <si>
    <t>I34</t>
  </si>
  <si>
    <t>J34</t>
  </si>
  <si>
    <t>I35</t>
  </si>
  <si>
    <t>J35</t>
  </si>
  <si>
    <t>I36</t>
  </si>
  <si>
    <t>J36</t>
  </si>
  <si>
    <t>I37</t>
  </si>
  <si>
    <t>J37</t>
  </si>
  <si>
    <t>C38</t>
  </si>
  <si>
    <t>D38</t>
  </si>
  <si>
    <t>I38</t>
  </si>
  <si>
    <t>J38</t>
  </si>
  <si>
    <t>C39</t>
  </si>
  <si>
    <t>D39</t>
  </si>
  <si>
    <t>I39</t>
  </si>
  <si>
    <t>J39</t>
  </si>
  <si>
    <t>I40</t>
  </si>
  <si>
    <t>J40</t>
  </si>
  <si>
    <t>I41</t>
  </si>
  <si>
    <t>J41</t>
  </si>
  <si>
    <t>I42</t>
  </si>
  <si>
    <t>J42</t>
  </si>
  <si>
    <t>I44</t>
  </si>
  <si>
    <t>States Not Available</t>
  </si>
  <si>
    <t>I45</t>
  </si>
  <si>
    <t>I46</t>
  </si>
  <si>
    <t>I47</t>
  </si>
  <si>
    <t>I48</t>
  </si>
  <si>
    <t>I49</t>
  </si>
  <si>
    <t>I50</t>
  </si>
  <si>
    <t>I51</t>
  </si>
  <si>
    <t>I52</t>
  </si>
  <si>
    <t>I53</t>
  </si>
  <si>
    <t>▼  US Bank - Avvance</t>
  </si>
  <si>
    <t>US Bank - Avvance</t>
  </si>
  <si>
    <t>Field / Data Required</t>
  </si>
  <si>
    <t>Description</t>
  </si>
  <si>
    <t>Required?</t>
  </si>
  <si>
    <t>Notes / Constraints</t>
  </si>
  <si>
    <t>Minimum Qualifications</t>
  </si>
  <si>
    <t>Business Location</t>
  </si>
  <si>
    <t>Must be based in the United States</t>
  </si>
  <si>
    <t>Business Tenure</t>
  </si>
  <si>
    <t>Operational for at least 12 months</t>
  </si>
  <si>
    <t>Ownership Tenure</t>
  </si>
  <si>
    <t>At least one owner ≥ 12 months</t>
  </si>
  <si>
    <t>Transaction Range</t>
  </si>
  <si>
    <t>Average transaction between $300–$25,000</t>
  </si>
  <si>
    <t>Business Info</t>
  </si>
  <si>
    <t>Registered legal name</t>
  </si>
  <si>
    <t>DBA Name</t>
  </si>
  <si>
    <t>Doing Business As name</t>
  </si>
  <si>
    <t>Ownership Type</t>
  </si>
  <si>
    <t>LLC, Corp, etc.</t>
  </si>
  <si>
    <t>Tax ID (EIN/SSN)</t>
  </si>
  <si>
    <t>Federal tax identification</t>
  </si>
  <si>
    <t>Business Establishment Date</t>
  </si>
  <si>
    <t>Year business started</t>
  </si>
  <si>
    <t>Must be ≥1 year</t>
  </si>
  <si>
    <t>Time in Business</t>
  </si>
  <si>
    <t>Total years/months operating</t>
  </si>
  <si>
    <t>Business Address</t>
  </si>
  <si>
    <t>Full address details</t>
  </si>
  <si>
    <t>B13</t>
  </si>
  <si>
    <t>Website URL</t>
  </si>
  <si>
    <t>Business website</t>
  </si>
  <si>
    <t>Use avvance.com in SAT, real site in notes</t>
  </si>
  <si>
    <t>Customer Service Phone</t>
  </si>
  <si>
    <t>Merchant contact number</t>
  </si>
  <si>
    <t>Owners / Principals</t>
  </si>
  <si>
    <t>B15</t>
  </si>
  <si>
    <t>Owner Name(s)</t>
  </si>
  <si>
    <t>All business owners</t>
  </si>
  <si>
    <t>Ownership %</t>
  </si>
  <si>
    <t>Ownership percentage per owner</t>
  </si>
  <si>
    <t>B17</t>
  </si>
  <si>
    <t>Citizenship Status</t>
  </si>
  <si>
    <t>Citizenship of owners</t>
  </si>
  <si>
    <t>B18</t>
  </si>
  <si>
    <t>Personal Guarantee (PG)</t>
  </si>
  <si>
    <t>At least one guarantor</t>
  </si>
  <si>
    <t>Recommended</t>
  </si>
  <si>
    <t>E18</t>
  </si>
  <si>
    <t>Can reduce financial requirements</t>
  </si>
  <si>
    <t>Financial / Volume</t>
  </si>
  <si>
    <t>Annual Financing Volume</t>
  </si>
  <si>
    <t>Expected financed volume</t>
  </si>
  <si>
    <t>E19</t>
  </si>
  <si>
    <t>Critical for underwriting</t>
  </si>
  <si>
    <t>Projected Monthly Volume</t>
  </si>
  <si>
    <t>Monthly Avvance volume</t>
  </si>
  <si>
    <t>Average Transaction Amount</t>
  </si>
  <si>
    <t>Average loan size</t>
  </si>
  <si>
    <t>E21</t>
  </si>
  <si>
    <t>$300–$25K range</t>
  </si>
  <si>
    <t>Highest Ticket Size</t>
  </si>
  <si>
    <t>Max transaction amount</t>
  </si>
  <si>
    <t>E22</t>
  </si>
  <si>
    <t>Up to $25,000</t>
  </si>
  <si>
    <t>Average Delivery Days</t>
  </si>
  <si>
    <t>Time to fulfill product/service</t>
  </si>
  <si>
    <t>E23</t>
  </si>
  <si>
    <t>Impacts underwriting</t>
  </si>
  <si>
    <t>Processing statements</t>
  </si>
  <si>
    <t>Last 3 months</t>
  </si>
  <si>
    <t>Bank Routing Number</t>
  </si>
  <si>
    <t>Business bank routing</t>
  </si>
  <si>
    <t>B26</t>
  </si>
  <si>
    <t>Bank Account Number</t>
  </si>
  <si>
    <t>Business bank account</t>
  </si>
  <si>
    <t>Compliance</t>
  </si>
  <si>
    <t>B27</t>
  </si>
  <si>
    <t>Legal Verification Documents</t>
  </si>
  <si>
    <t>Proof of legal status</t>
  </si>
  <si>
    <t>E27</t>
  </si>
  <si>
    <t>Owner ID</t>
  </si>
  <si>
    <t>B28</t>
  </si>
  <si>
    <t>Financial Statements</t>
  </si>
  <si>
    <t>Tax returns, P&amp;L, etc.</t>
  </si>
  <si>
    <t>Conditional</t>
  </si>
  <si>
    <t>E28</t>
  </si>
  <si>
    <t>Required if risk thresholds met</t>
  </si>
  <si>
    <t>B29</t>
  </si>
  <si>
    <t>Inventory / Fulfillment Info</t>
  </si>
  <si>
    <t>Inventory &amp; delivery details</t>
  </si>
  <si>
    <t>Elavon Login</t>
  </si>
  <si>
    <t xml:space="preserve">https://buynow.elavon.net/sales/#/home/dashboard </t>
  </si>
  <si>
    <t>Username: merchantonboarding@getfinti.com</t>
  </si>
  <si>
    <t>Password: Chartr3ux1*EEIIEOOEE544I4IO4</t>
  </si>
  <si>
    <t>▼  Onboarding Fields</t>
  </si>
  <si>
    <t>Onboarding Fields</t>
  </si>
  <si>
    <t>Lender/Platform</t>
  </si>
  <si>
    <t>Finti</t>
  </si>
  <si>
    <t>Top Menu</t>
  </si>
  <si>
    <t>Business</t>
  </si>
  <si>
    <t>Insights</t>
  </si>
  <si>
    <t>Agreement</t>
  </si>
  <si>
    <t>Store Address</t>
  </si>
  <si>
    <t>H2</t>
  </si>
  <si>
    <t>Store Banking</t>
  </si>
  <si>
    <t>Store Photo</t>
  </si>
  <si>
    <t>Business Details</t>
  </si>
  <si>
    <t>DBA Name *</t>
  </si>
  <si>
    <t>Company Type *</t>
  </si>
  <si>
    <t>Company Type</t>
  </si>
  <si>
    <t>Sales Representative *</t>
  </si>
  <si>
    <t>Sales Representative</t>
  </si>
  <si>
    <t>Federal Tax ID Number *</t>
  </si>
  <si>
    <t>State Of Incorporation *</t>
  </si>
  <si>
    <t>State Of Incorporation</t>
  </si>
  <si>
    <t>Registered Business Address *</t>
  </si>
  <si>
    <t>City *</t>
  </si>
  <si>
    <t>State *</t>
  </si>
  <si>
    <t>Zip Code *</t>
  </si>
  <si>
    <t>Provider (Optional)</t>
  </si>
  <si>
    <t>Owner Details</t>
  </si>
  <si>
    <t>Button</t>
  </si>
  <si>
    <t>This User is for remi</t>
  </si>
  <si>
    <t>First Name *</t>
  </si>
  <si>
    <t>Last Name *</t>
  </si>
  <si>
    <t>Phone *</t>
  </si>
  <si>
    <t>Date of Birth (MM/DD/YYYY) *</t>
  </si>
  <si>
    <t>Last 4 of Social Security Number *</t>
  </si>
  <si>
    <t>Username *</t>
  </si>
  <si>
    <t>Password *</t>
  </si>
  <si>
    <t>Checkbox</t>
  </si>
  <si>
    <t>Please check this box if your banking details are location specific and you have a different bank account for each location.</t>
  </si>
  <si>
    <t>Page 2</t>
  </si>
  <si>
    <t>Bank Account</t>
  </si>
  <si>
    <t>Bank Address *</t>
  </si>
  <si>
    <t>Bank City *</t>
  </si>
  <si>
    <t>Bank State *</t>
  </si>
  <si>
    <t>Bank State</t>
  </si>
  <si>
    <t>Bank Zip Code *</t>
  </si>
  <si>
    <t>A38</t>
  </si>
  <si>
    <t>Bank Phone *</t>
  </si>
  <si>
    <t>Name On Account *</t>
  </si>
  <si>
    <t>Account #</t>
  </si>
  <si>
    <t>Routing #</t>
  </si>
  <si>
    <t>Page 3</t>
  </si>
  <si>
    <t>Date Established (MM/DD/YYYY)</t>
  </si>
  <si>
    <t>D45</t>
  </si>
  <si>
    <t>Gross Sales (last fiscal year)</t>
  </si>
  <si>
    <t>B46</t>
  </si>
  <si>
    <t>D46</t>
  </si>
  <si>
    <t>Average Financed Transaction Size</t>
  </si>
  <si>
    <t>D47</t>
  </si>
  <si>
    <t>Est. Annual Financed Sales</t>
  </si>
  <si>
    <t>D48</t>
  </si>
  <si>
    <t>Products Sold *</t>
  </si>
  <si>
    <t>D49</t>
  </si>
  <si>
    <t>Products Sold</t>
  </si>
  <si>
    <t>D50</t>
  </si>
  <si>
    <t>What other Credit/Finance/Lease Companies do you currently/actively use? (Please list all)</t>
  </si>
  <si>
    <t>D51</t>
  </si>
  <si>
    <t>Do you advertise "No Credit Check" or "No Credit Required" in circulars or online?</t>
  </si>
  <si>
    <t>Estimated Number of "No Credit Required" Apps submitted each week</t>
  </si>
  <si>
    <t>Page 4</t>
  </si>
  <si>
    <t>By clicking Submit, you agree that you have read and agree to the Terms of Service.</t>
  </si>
  <si>
    <t>B55</t>
  </si>
  <si>
    <t>D55</t>
  </si>
  <si>
    <t>Consumer Finance Application for Dealers</t>
  </si>
  <si>
    <t>D56</t>
  </si>
  <si>
    <t>I authorize these consumer finance companies listed below to verify the information provided and perform any necessary due diligence including but not limited to checking personal and business references, credit reports, fraud checks and similar resources. I individually, and as an officer of the company, hereby warrant and represent that this and any other information provided is a complete and accurate representation of the company and does not omit information that might negatively reflect the outcome of this review or the ability of the company to operate. The above authorization granted to: ZO Financial; American First Finance.</t>
  </si>
  <si>
    <t>C57</t>
  </si>
  <si>
    <t>D57</t>
  </si>
  <si>
    <t>Merchant Terms of Service-Finti Agreement</t>
  </si>
  <si>
    <t>B58</t>
  </si>
  <si>
    <t>C58</t>
  </si>
  <si>
    <t>Terms of Service</t>
  </si>
  <si>
    <t>D58</t>
  </si>
  <si>
    <t>Finti Holdings Inc DBA Finti, Merchant General Terms and Conditions for Services</t>
  </si>
  <si>
    <t>B59</t>
  </si>
  <si>
    <t>D59</t>
  </si>
  <si>
    <t>These General Terms and Conditions for Services (“Terms and Conditions”) are entered into as of the date on which Merchant signs or clicks to indicate Merchant’s acceptance (the “Effective Date”) by and between Finti Holdings Inc DBA Finti, a Delaware Corporation (“Finti”) and (“Merchant”).</t>
  </si>
  <si>
    <t>B60</t>
  </si>
  <si>
    <t>D60</t>
  </si>
  <si>
    <t>Services. Finti shall provide software management tools, integration to facilitate, manage, Provider results. The Services also include access to content provided via Finti’s website. By accessing or using any part of the website or the content provided therein, you agree to be bound by and act in accordance with these Terms and Conditions. If you object to any portion of these Terms and Conditions, you should notify Finti immediately and discontinue use of the Services according to the applicable termination provisions of these Terms and Conditions. Merchant is only entitled to the Services available at the time of the Effective Date of these Terms and Conditions. Finti may, in its sole and absolute discretion, upgrade, enhance, supplement, or create new features, or tools which may or may not be included in the Services for the current fees or additional fees. Prices for the Services are subject to change without notice.</t>
  </si>
  <si>
    <t>B61</t>
  </si>
  <si>
    <t>D61</t>
  </si>
  <si>
    <t>Term. Merchant has contracted for a monthly term and is entitled Services only during the Term for which Merchant has paid subject to any cancellation or termination provided for herein. For example, monthly payments entitle Merchant to monthly access to the Services.</t>
  </si>
  <si>
    <t>B62</t>
  </si>
  <si>
    <t>D62</t>
  </si>
  <si>
    <t>Payments. Finti charges a monthly subscription fee of $200 due upon signup and regular fees as agreed upon for use of the Services (“Subscription Payments”). Subscription Payments shall be made automatically on their due date which shall be the 1st or the 15th of the month. If the 1st or 15th of the month falls on a Saturday, Sunday, or legal banking holiday in the State of Utah, the payment shall be due on the next day which is not a Saturday, Sunday, or legal banking holiday. Missed payments will result in a $35.00 late fee and may result in suspension or termination of the Services. Insufficient fees</t>
  </si>
  <si>
    <t>B63</t>
  </si>
  <si>
    <t>D63</t>
  </si>
  <si>
    <t>Representations and Warranties. Merchant represents and warrants that: Merchant is legally able to enter into these Terms and Conditions and may bind Merchant to the obligations under these Terms and Conditions; Merchant will use best efforts and knowingly prevent any malware, viruses, or destructive material from damaging Finti in any way. Merchant will notify Finti within one business day of any malware, viruses or destructive material suspected of potentially harming Finti’s software.</t>
  </si>
  <si>
    <t>B64</t>
  </si>
  <si>
    <t>D64</t>
  </si>
  <si>
    <t>Limitation on Use of Services Third-Party Services. Finti may provide Merchant with links, or access to, third-party tools and services over which Finti has no control or input or ability to monitor. Merchant acknowledges and agrees that Finti provides access to such tools and services “as is” and “as available” without any warranties, representations, or conditions of any kind and without any endorsement. By using such third-party services, Merchant releases Finti from liability for any damages, costs, expenses of any kind.</t>
  </si>
  <si>
    <t>A65</t>
  </si>
  <si>
    <t>B65</t>
  </si>
  <si>
    <t>D65</t>
  </si>
  <si>
    <t>Third-Party Information. Finti is not responsible if information from third parties which is made available through the Services or on the website is not accurate, complete, or current. Third party material provided on Finti’s website is provided for general information only and should not be relied upon or used as the sole basis for making decisions without consulting primary, more accurate, more complete, or more timely sources of information.</t>
  </si>
  <si>
    <t>B66</t>
  </si>
  <si>
    <t>D66</t>
  </si>
  <si>
    <t>Usage</t>
  </si>
  <si>
    <t>B67</t>
  </si>
  <si>
    <t>D67</t>
  </si>
  <si>
    <t>1. First-Run Requirement: Merchants agree to prioritize Finti’s assigned Applicable Providers when processing consumer financing and Lease-to-Own (LTO) applications. Specifically:</t>
  </si>
  <si>
    <t>B68</t>
  </si>
  <si>
    <t>D68</t>
  </si>
  <si>
    <t>a. Prime Financing: If Finti assigns Applicable Providers for Prime financing, merchants must use Finti first for consumer financing in this category. Exceptions apply only if the merchant has a prime financing option independent of Finti and Finti does not offer any prime financing options; in this case, the merchant may process prime applications independently through other providers.</t>
  </si>
  <si>
    <t>B69</t>
  </si>
  <si>
    <t>D69</t>
  </si>
  <si>
    <t>b. Near Prime, Sub-Prime, and LTO Financing: For Near Prime, Sub-Prime, and LTO financing, merchants are required to utilize Finti’s assigned Applicable Providers first when processing consumer applications. This requirement applies whenever Finti has assigned providers for these categories.</t>
  </si>
  <si>
    <t>B70</t>
  </si>
  <si>
    <t>D70</t>
  </si>
  <si>
    <t>2. Exceptions to First-Run Requirement: Merchants may only bypass this requirement in the following situations:</t>
  </si>
  <si>
    <t>B71</t>
  </si>
  <si>
    <t>D71</t>
  </si>
  <si>
    <t>a. If the Finti system is down and unavailable for use, the merchant may proceed with other providers.</t>
  </si>
  <si>
    <t>B72</t>
  </si>
  <si>
    <t>D72</t>
  </si>
  <si>
    <t>b. If a consumer application is declined by Finti, the merchant is permitted to submit the consumer application to any other provider of their choice.</t>
  </si>
  <si>
    <t>B73</t>
  </si>
  <si>
    <t>D73</t>
  </si>
  <si>
    <t>3. Compliance Monitoring: To ensure adherence to the first-run requirement, Finti may request and review data from payment providers, lenders, and LTO partners. This data includes Lease hard inquiries and credit/financing submissions, which Finti may use to verify that merchants are in compliance with expected submission patterns.</t>
  </si>
  <si>
    <t>B74</t>
  </si>
  <si>
    <t>D74</t>
  </si>
  <si>
    <t>4. Consequences of Non-Compliance: Failure to comply with the first-run requirement may result in penalties, including the loss of access to certain payment providers or suspension or termination of the merchant’s access to the Finti platform.</t>
  </si>
  <si>
    <t>A75</t>
  </si>
  <si>
    <t>B75</t>
  </si>
  <si>
    <t>D75</t>
  </si>
  <si>
    <t>5. Definitions:</t>
  </si>
  <si>
    <t>A76</t>
  </si>
  <si>
    <t>B76</t>
  </si>
  <si>
    <t>D76</t>
  </si>
  <si>
    <t>a. Applicable Providers: Refers to any financing or LTO provider assigned by Finti within a given financing category that meets the requirements or preferences indicated by Finti for the merchant.</t>
  </si>
  <si>
    <t>B77</t>
  </si>
  <si>
    <t>D77</t>
  </si>
  <si>
    <t>b.First-Run Compliance: The requirement that merchants submit consumer applications through Finti’s assigned Applicable Providers before using any other external providers in the specified financing category, except where an explicit exception applies.</t>
  </si>
  <si>
    <t>A78</t>
  </si>
  <si>
    <t>B78</t>
  </si>
  <si>
    <t>D78</t>
  </si>
  <si>
    <t>Cancellation. The Services are provided in no less than calendar month-to-month increments. Cancellation may be accomplished by 30 days’ written notice from authorized representative of the Merchant and completion of an off-boarding phone call scheduled in advance with Finti’s Merchant success team. Upon cancellation, (a) Merchant will lose access to all Services and all data associated with Merchant’s Finti account; (b) no further payments will be processed or handled in any way by Finti after the date of cancellation; (c) no refunds will be issued for any unused portion of the Services during the period prior to cancellation.</t>
  </si>
  <si>
    <t>B79</t>
  </si>
  <si>
    <t>D79</t>
  </si>
  <si>
    <t>Termination. Finti reserves the right to refuse service to anyone at any time. Finti reserves the right to terminate a Merchant’s access to the Services for any reason at any time, including but not limited to (a)violation of these Terms and Conditions; (b) failure to make required payments when due; and (c) breach of the representations and warranties made hereunder.</t>
  </si>
  <si>
    <t>A80</t>
  </si>
  <si>
    <t>B80</t>
  </si>
  <si>
    <t>D80</t>
  </si>
  <si>
    <t>Refunds. The nature of the Services as digital content and services prevents Finti from offering refunds or credits for un-accessed services upon cancellation or termination. Merchants will not be given refunds for any reason.</t>
  </si>
  <si>
    <t>B81</t>
  </si>
  <si>
    <t>D81</t>
  </si>
  <si>
    <t>Reverse Engineering. You agree that you will not attempt, and if you are a corporation, you will use your best efforts to prevent your employees and contractors from attempting to reverse compile, modify, translate or disassemble the Software in whole or in part. Any failure to comply with the above or any other terms and conditions contained herein will result in the automatic termination of all licenses you own, and the reversion of the rights granted hereunder to the AUTHOR.</t>
  </si>
  <si>
    <t>A82</t>
  </si>
  <si>
    <t>B82</t>
  </si>
  <si>
    <t>D82</t>
  </si>
  <si>
    <t>Provider and Lender Agreements/Terms and Conditions. Merchant Agrees to comply with and abide by Lender and Provider specific agreements and terms and conditions prior to utilizing a Provider or Lender on the Finti Service to complete an order.</t>
  </si>
  <si>
    <t>B83</t>
  </si>
  <si>
    <t>D83</t>
  </si>
  <si>
    <t>No Loan Stacking. No Stacking of Entitlements, while various options may be considered and offered, there will be no stacking of entitlements. “Loan stacking is the practice of taking out multiple loans from different providers at the same time and letting the amounts “stack up.” Violation may result in suspension or termination of the Services.</t>
  </si>
  <si>
    <t>A84</t>
  </si>
  <si>
    <t>B84</t>
  </si>
  <si>
    <t>D84</t>
  </si>
  <si>
    <t>Disclaimers.</t>
  </si>
  <si>
    <t>A85</t>
  </si>
  <si>
    <t>B85</t>
  </si>
  <si>
    <t>D85</t>
  </si>
  <si>
    <t>Finti is a provider of the Services only. Merchant is responsible for its own compliance, at Merchant’s sole expense, with any laws or regulations in connection with Merchant’s use of the Services. Finti is a provider of the Services only.</t>
  </si>
  <si>
    <t>A86</t>
  </si>
  <si>
    <t>B86</t>
  </si>
  <si>
    <t>D86</t>
  </si>
  <si>
    <t>Finti does not represent or warrant that merchant is eligible to operate a finance program in merchant’s state. Each state and jurisdiction are subject to its own regulatory requirements governing membership programs.</t>
  </si>
  <si>
    <t>A87</t>
  </si>
  <si>
    <t>B87</t>
  </si>
  <si>
    <t>D87</t>
  </si>
  <si>
    <t>Finti does not guarantee, represent or warrant that Merchant’s use of the Services will be uninterrupted, timely, secure, or error-free. Finti does not warrant or guarantee the results of Merchant’s use of the Services. Finti may from time to time remove the service for periods of time for maintenance or other similar causes.</t>
  </si>
  <si>
    <t>A88</t>
  </si>
  <si>
    <t>B88</t>
  </si>
  <si>
    <t>D88</t>
  </si>
  <si>
    <t>Indemnification. Merchant hereby agrees to release, indemnify, defend, and hold harmless Finti, its employees, officers, executives, agents, contractors, licensees, members, and managers from any demands, claims, losses, liabilities, judgments, or damages, including reasonable attorneys’ fees (“Damages”) which in anyway arise out of or result from Merchant’s use of the Services, violation of any applicable law, or breach of these Terms and Conditions.</t>
  </si>
  <si>
    <t>A89</t>
  </si>
  <si>
    <t>B89</t>
  </si>
  <si>
    <t>D89</t>
  </si>
  <si>
    <t>Changes to Terms and Conditions. These Terms and Conditions can only be changed in a writing approved by Finti. Merchant acknowledges and agrees that no employee, or agent of Finti can alter these Terms and Conditions verbally. Finti reserves the right to modify these Terms and Conditions in writing at any time and for any reason by providing Merchant a copy of the modified Terms and Conditions or by notifying Merchant that changes have occurred and providing Merchant access to the modified Terms and Conditions.</t>
  </si>
  <si>
    <t>A90</t>
  </si>
  <si>
    <t>B90</t>
  </si>
  <si>
    <t>D90</t>
  </si>
  <si>
    <t>Contact. Questions about the Terms and Conditions may be sent to Finti at support@getfinti.com</t>
  </si>
  <si>
    <t>A91</t>
  </si>
  <si>
    <t>B91</t>
  </si>
  <si>
    <t>D91</t>
  </si>
  <si>
    <t>Confidentiality. Merchant agrees to keep all information provided by Finti confidential and shall not disclose such information to any other person or entity, except to Merchant’s lawyers, accountants or representatives whom Merchant agrees to inform that they must also hold such information strictly confidential.</t>
  </si>
  <si>
    <t>A92</t>
  </si>
  <si>
    <t>B92</t>
  </si>
  <si>
    <t>D92</t>
  </si>
  <si>
    <t>Non-disparagement. The Merchant agrees not to disparage Finti or take any action that could reasonably be expected to adversely or negatively affect the personal or professional reputation of Finti, its employees, officers, directors, members, or contractors (“Finti Parties”). Negative or disparaging remarks shall include, but are not limited to, making any statement (whether verbally or in writing, including any online statement) that is intended to, or would reasonably be expected, to harm the Finti Parties.</t>
  </si>
  <si>
    <t>A93</t>
  </si>
  <si>
    <t>B93</t>
  </si>
  <si>
    <t>D93</t>
  </si>
  <si>
    <t>Choice of Law. These Terms and Conditions and all agreements between Merchant and Finti shall be governed by and construed in accordance with the laws of the State of Delaware. All disputes shall be brought in a court of competent jurisdiction in Delaware.</t>
  </si>
  <si>
    <t>A94</t>
  </si>
  <si>
    <t>B94</t>
  </si>
  <si>
    <t>D94</t>
  </si>
  <si>
    <t>Authorization to Use Merchant Information. Merchant hereby authorizes Finti to use Merchant’s information as examples, or as illustrations of how the Services are used by.</t>
  </si>
  <si>
    <t>A95</t>
  </si>
  <si>
    <t>B95</t>
  </si>
  <si>
    <t>D95</t>
  </si>
  <si>
    <t>Merchants provided that Finti will not use information which specifically or directly identifies Merchant.</t>
  </si>
  <si>
    <t>A96</t>
  </si>
  <si>
    <t>B96</t>
  </si>
  <si>
    <t>Page 5</t>
  </si>
  <si>
    <t>C96</t>
  </si>
  <si>
    <t>A97</t>
  </si>
  <si>
    <t>B97</t>
  </si>
  <si>
    <t>C97</t>
  </si>
  <si>
    <t>Slide button</t>
  </si>
  <si>
    <t>D97</t>
  </si>
  <si>
    <t>Is the Store Address same as Business address?</t>
  </si>
  <si>
    <t>A98</t>
  </si>
  <si>
    <t>B98</t>
  </si>
  <si>
    <t>D98</t>
  </si>
  <si>
    <t>Store Name *</t>
  </si>
  <si>
    <t>A99</t>
  </si>
  <si>
    <t>B99</t>
  </si>
  <si>
    <t>D99</t>
  </si>
  <si>
    <t>Store Location *</t>
  </si>
  <si>
    <t>A100</t>
  </si>
  <si>
    <t>B100</t>
  </si>
  <si>
    <t>D100</t>
  </si>
  <si>
    <t>A101</t>
  </si>
  <si>
    <t>B101</t>
  </si>
  <si>
    <t>D101</t>
  </si>
  <si>
    <t>Address *</t>
  </si>
  <si>
    <t>A102</t>
  </si>
  <si>
    <t>B102</t>
  </si>
  <si>
    <t>D102</t>
  </si>
  <si>
    <t>A103</t>
  </si>
  <si>
    <t>B103</t>
  </si>
  <si>
    <t>D103</t>
  </si>
  <si>
    <t>A104</t>
  </si>
  <si>
    <t>B104</t>
  </si>
  <si>
    <t>D104</t>
  </si>
  <si>
    <t>A105</t>
  </si>
  <si>
    <t>B105</t>
  </si>
  <si>
    <t>D105</t>
  </si>
  <si>
    <t>A106</t>
  </si>
  <si>
    <t>B106</t>
  </si>
  <si>
    <t>D106</t>
  </si>
  <si>
    <t>A107</t>
  </si>
  <si>
    <t>B107</t>
  </si>
  <si>
    <t>D107</t>
  </si>
  <si>
    <t>A108</t>
  </si>
  <si>
    <t>B108</t>
  </si>
  <si>
    <t>D108</t>
  </si>
  <si>
    <t>Is this location is an E-Commerce Store?</t>
  </si>
  <si>
    <t>A109</t>
  </si>
  <si>
    <t>B109</t>
  </si>
  <si>
    <t>C109</t>
  </si>
  <si>
    <t>Store Contact</t>
  </si>
  <si>
    <t>A110</t>
  </si>
  <si>
    <t>B110</t>
  </si>
  <si>
    <t>D110</t>
  </si>
  <si>
    <t>Primary Contact Name *</t>
  </si>
  <si>
    <t>A111</t>
  </si>
  <si>
    <t>B111</t>
  </si>
  <si>
    <t>D111</t>
  </si>
  <si>
    <t>Primary Contact Phone *</t>
  </si>
  <si>
    <t>A112</t>
  </si>
  <si>
    <t>B112</t>
  </si>
  <si>
    <t>D112</t>
  </si>
  <si>
    <t>A113</t>
  </si>
  <si>
    <t>B113</t>
  </si>
  <si>
    <t>Page 6</t>
  </si>
  <si>
    <t>C113</t>
  </si>
  <si>
    <t>A114</t>
  </si>
  <si>
    <t>B114</t>
  </si>
  <si>
    <t>C114</t>
  </si>
  <si>
    <t>D114</t>
  </si>
  <si>
    <t>Is the bank account for your store the same as the one for your overall business entity?</t>
  </si>
  <si>
    <t>A115</t>
  </si>
  <si>
    <t>B115</t>
  </si>
  <si>
    <t>D115</t>
  </si>
  <si>
    <t>A116</t>
  </si>
  <si>
    <t>B116</t>
  </si>
  <si>
    <t>D116</t>
  </si>
  <si>
    <t>A117</t>
  </si>
  <si>
    <t>B117</t>
  </si>
  <si>
    <t>D117</t>
  </si>
  <si>
    <t>A118</t>
  </si>
  <si>
    <t>B118</t>
  </si>
  <si>
    <t>D118</t>
  </si>
  <si>
    <t>Name on Account *</t>
  </si>
  <si>
    <t>A119</t>
  </si>
  <si>
    <t>B119</t>
  </si>
  <si>
    <t>D119</t>
  </si>
  <si>
    <t>A120</t>
  </si>
  <si>
    <t>B120</t>
  </si>
  <si>
    <t>D120</t>
  </si>
  <si>
    <t>A121</t>
  </si>
  <si>
    <t>B121</t>
  </si>
  <si>
    <t>D121</t>
  </si>
  <si>
    <t>A122</t>
  </si>
  <si>
    <t>B122</t>
  </si>
  <si>
    <t>Page 7</t>
  </si>
  <si>
    <t>C122</t>
  </si>
  <si>
    <t>A123</t>
  </si>
  <si>
    <t>B123</t>
  </si>
  <si>
    <t>C123</t>
  </si>
  <si>
    <t>Upload</t>
  </si>
  <si>
    <t>D123</t>
  </si>
  <si>
    <t>Voided Check</t>
  </si>
  <si>
    <t>A124</t>
  </si>
  <si>
    <t>B124</t>
  </si>
  <si>
    <t>C124</t>
  </si>
  <si>
    <t>D124</t>
  </si>
  <si>
    <t>Store Interior</t>
  </si>
  <si>
    <t>A125</t>
  </si>
  <si>
    <t>B125</t>
  </si>
  <si>
    <t>C125</t>
  </si>
  <si>
    <t>D125</t>
  </si>
  <si>
    <t>Store Exterior</t>
  </si>
  <si>
    <t>A126</t>
  </si>
  <si>
    <t>B126</t>
  </si>
  <si>
    <t>C126</t>
  </si>
  <si>
    <t>D126</t>
  </si>
  <si>
    <t>Business License</t>
  </si>
  <si>
    <t>A127</t>
  </si>
  <si>
    <t>B127</t>
  </si>
  <si>
    <t>C127</t>
  </si>
  <si>
    <t>D127</t>
  </si>
  <si>
    <t>Drivers License</t>
  </si>
  <si>
    <t>A128</t>
  </si>
  <si>
    <t>B128</t>
  </si>
  <si>
    <t>A129</t>
  </si>
  <si>
    <t>B129</t>
  </si>
  <si>
    <t>C129</t>
  </si>
  <si>
    <t>Dropdown</t>
  </si>
  <si>
    <t>D129</t>
  </si>
  <si>
    <t>How did you hear about FFC?</t>
  </si>
  <si>
    <t>A130</t>
  </si>
  <si>
    <t>B130</t>
  </si>
  <si>
    <t>C130</t>
  </si>
  <si>
    <t>Company Information</t>
  </si>
  <si>
    <t>A131</t>
  </si>
  <si>
    <t>B131</t>
  </si>
  <si>
    <t>D131</t>
  </si>
  <si>
    <t>Company Name</t>
  </si>
  <si>
    <t>A132</t>
  </si>
  <si>
    <t>B132</t>
  </si>
  <si>
    <t>D132</t>
  </si>
  <si>
    <t>A133</t>
  </si>
  <si>
    <t>B133</t>
  </si>
  <si>
    <t>D133</t>
  </si>
  <si>
    <t>Business Type</t>
  </si>
  <si>
    <t>A134</t>
  </si>
  <si>
    <t>B134</t>
  </si>
  <si>
    <t>E134</t>
  </si>
  <si>
    <t>Corporation</t>
  </si>
  <si>
    <t>A135</t>
  </si>
  <si>
    <t>B135</t>
  </si>
  <si>
    <t>E135</t>
  </si>
  <si>
    <t>LLC</t>
  </si>
  <si>
    <t>A136</t>
  </si>
  <si>
    <t>B136</t>
  </si>
  <si>
    <t>E136</t>
  </si>
  <si>
    <t>Partnership</t>
  </si>
  <si>
    <t>A137</t>
  </si>
  <si>
    <t>B137</t>
  </si>
  <si>
    <t>E137</t>
  </si>
  <si>
    <t>Sole Proprietorship</t>
  </si>
  <si>
    <t>A138</t>
  </si>
  <si>
    <t>B138</t>
  </si>
  <si>
    <t>D138</t>
  </si>
  <si>
    <t>Year Company Started</t>
  </si>
  <si>
    <t>A139</t>
  </si>
  <si>
    <t>B139</t>
  </si>
  <si>
    <t>D139</t>
  </si>
  <si>
    <t>Main Company Phone Number</t>
  </si>
  <si>
    <t>A140</t>
  </si>
  <si>
    <t>B140</t>
  </si>
  <si>
    <t>E140</t>
  </si>
  <si>
    <t>Landline</t>
  </si>
  <si>
    <t>A141</t>
  </si>
  <si>
    <t>B141</t>
  </si>
  <si>
    <t>E141</t>
  </si>
  <si>
    <t>Mobile</t>
  </si>
  <si>
    <t>A142</t>
  </si>
  <si>
    <t>B142</t>
  </si>
  <si>
    <t>C142</t>
  </si>
  <si>
    <t>Company Address</t>
  </si>
  <si>
    <t>A143</t>
  </si>
  <si>
    <t>B143</t>
  </si>
  <si>
    <t>D143</t>
  </si>
  <si>
    <t>A144</t>
  </si>
  <si>
    <t>B144</t>
  </si>
  <si>
    <t>D144</t>
  </si>
  <si>
    <t>Address Line 2</t>
  </si>
  <si>
    <t>A145</t>
  </si>
  <si>
    <t>B145</t>
  </si>
  <si>
    <t>D145</t>
  </si>
  <si>
    <t>A146</t>
  </si>
  <si>
    <t>B146</t>
  </si>
  <si>
    <t>D146</t>
  </si>
  <si>
    <t>A147</t>
  </si>
  <si>
    <t>B147</t>
  </si>
  <si>
    <t>D147</t>
  </si>
  <si>
    <t>A148</t>
  </si>
  <si>
    <t>B148</t>
  </si>
  <si>
    <t>D148</t>
  </si>
  <si>
    <t>Company Email</t>
  </si>
  <si>
    <t>A149</t>
  </si>
  <si>
    <t>B149</t>
  </si>
  <si>
    <t>D149</t>
  </si>
  <si>
    <t>Do you want another email as point of contact?</t>
  </si>
  <si>
    <t>A150</t>
  </si>
  <si>
    <t>B150</t>
  </si>
  <si>
    <t>E150</t>
  </si>
  <si>
    <t>A151</t>
  </si>
  <si>
    <t>B151</t>
  </si>
  <si>
    <t>E151</t>
  </si>
  <si>
    <t>A152</t>
  </si>
  <si>
    <t>B152</t>
  </si>
  <si>
    <t>D152</t>
  </si>
  <si>
    <t>Company Website</t>
  </si>
  <si>
    <t>A153</t>
  </si>
  <si>
    <t>B153</t>
  </si>
  <si>
    <t>D153</t>
  </si>
  <si>
    <t>Email toreceive Credit Descisions</t>
  </si>
  <si>
    <t>A154</t>
  </si>
  <si>
    <t>B154</t>
  </si>
  <si>
    <t>D154</t>
  </si>
  <si>
    <t>Do you want to add another email to receive credit descions?</t>
  </si>
  <si>
    <t>A155</t>
  </si>
  <si>
    <t>B155</t>
  </si>
  <si>
    <t>E155</t>
  </si>
  <si>
    <t>A156</t>
  </si>
  <si>
    <t>B156</t>
  </si>
  <si>
    <t>E156</t>
  </si>
  <si>
    <t>B157</t>
  </si>
  <si>
    <t>C157</t>
  </si>
  <si>
    <t>Primary Contact Person</t>
  </si>
  <si>
    <t>B158</t>
  </si>
  <si>
    <t>D158</t>
  </si>
  <si>
    <t>First</t>
  </si>
  <si>
    <t>B159</t>
  </si>
  <si>
    <t>D159</t>
  </si>
  <si>
    <t>Last</t>
  </si>
  <si>
    <t>B160</t>
  </si>
  <si>
    <t>D160</t>
  </si>
  <si>
    <t>B161</t>
  </si>
  <si>
    <t>C161</t>
  </si>
  <si>
    <t>Owner Information</t>
  </si>
  <si>
    <t>B162</t>
  </si>
  <si>
    <t>C162</t>
  </si>
  <si>
    <t>D162</t>
  </si>
  <si>
    <t>How Many Owners Are there?</t>
  </si>
  <si>
    <t>G162</t>
  </si>
  <si>
    <t>All owners owning 10% or more of business must be provided.  Any missing ownership will delay the processing of your dealer application.  If more than 4 owners, we will collect that information during the application review process.</t>
  </si>
  <si>
    <t>B163</t>
  </si>
  <si>
    <t>C163</t>
  </si>
  <si>
    <t>Owner 2</t>
  </si>
  <si>
    <t>B164</t>
  </si>
  <si>
    <t>D164</t>
  </si>
  <si>
    <t>B165</t>
  </si>
  <si>
    <t>D165</t>
  </si>
  <si>
    <t>B166</t>
  </si>
  <si>
    <t>D166</t>
  </si>
  <si>
    <t xml:space="preserve">Email  </t>
  </si>
  <si>
    <t>B167</t>
  </si>
  <si>
    <t>D167</t>
  </si>
  <si>
    <t>Personal Phone Number</t>
  </si>
  <si>
    <t>B168</t>
  </si>
  <si>
    <t>E168</t>
  </si>
  <si>
    <t>B169</t>
  </si>
  <si>
    <t>E169</t>
  </si>
  <si>
    <t>B170</t>
  </si>
  <si>
    <t>D170</t>
  </si>
  <si>
    <t>% Owned</t>
  </si>
  <si>
    <t>B171</t>
  </si>
  <si>
    <t>C171</t>
  </si>
  <si>
    <t>Owner Home Address</t>
  </si>
  <si>
    <t>B172</t>
  </si>
  <si>
    <t>D172</t>
  </si>
  <si>
    <t>B173</t>
  </si>
  <si>
    <t>D173</t>
  </si>
  <si>
    <t>B174</t>
  </si>
  <si>
    <t>D174</t>
  </si>
  <si>
    <t>B175</t>
  </si>
  <si>
    <t>D175</t>
  </si>
  <si>
    <t xml:space="preserve">State  </t>
  </si>
  <si>
    <t>B176</t>
  </si>
  <si>
    <t>D176</t>
  </si>
  <si>
    <t>B177</t>
  </si>
  <si>
    <t>D177</t>
  </si>
  <si>
    <t>SSN w/o dashes</t>
  </si>
  <si>
    <t>G177</t>
  </si>
  <si>
    <t>Invalid SNN will delay the processing of the dealer application. Owner SSN is required for verification and other compliance purposes, and will be used to perform a soft inquiry on the owner's credi report, which will not affect the owner's credit score.</t>
  </si>
  <si>
    <t>B178</t>
  </si>
  <si>
    <t>D178</t>
  </si>
  <si>
    <t>Date of Birth</t>
  </si>
  <si>
    <t>B179</t>
  </si>
  <si>
    <t>E179</t>
  </si>
  <si>
    <t>Month</t>
  </si>
  <si>
    <t>B180</t>
  </si>
  <si>
    <t>E180</t>
  </si>
  <si>
    <t>Day</t>
  </si>
  <si>
    <t>B181</t>
  </si>
  <si>
    <t>E181</t>
  </si>
  <si>
    <t>Year</t>
  </si>
  <si>
    <t>B182</t>
  </si>
  <si>
    <t>C182</t>
  </si>
  <si>
    <t>Owner 1</t>
  </si>
  <si>
    <t>B183</t>
  </si>
  <si>
    <t>D183</t>
  </si>
  <si>
    <t>B184</t>
  </si>
  <si>
    <t>D184</t>
  </si>
  <si>
    <t>B185</t>
  </si>
  <si>
    <t>D185</t>
  </si>
  <si>
    <t>B186</t>
  </si>
  <si>
    <t>D186</t>
  </si>
  <si>
    <t>B187</t>
  </si>
  <si>
    <t>E187</t>
  </si>
  <si>
    <t>B188</t>
  </si>
  <si>
    <t>E188</t>
  </si>
  <si>
    <t>B189</t>
  </si>
  <si>
    <t>D189</t>
  </si>
  <si>
    <t>B190</t>
  </si>
  <si>
    <t>C190</t>
  </si>
  <si>
    <t>B191</t>
  </si>
  <si>
    <t>D191</t>
  </si>
  <si>
    <t>B192</t>
  </si>
  <si>
    <t>D192</t>
  </si>
  <si>
    <t>B193</t>
  </si>
  <si>
    <t>D193</t>
  </si>
  <si>
    <t>B194</t>
  </si>
  <si>
    <t>D194</t>
  </si>
  <si>
    <t>B195</t>
  </si>
  <si>
    <t>D195</t>
  </si>
  <si>
    <t>B196</t>
  </si>
  <si>
    <t>D196</t>
  </si>
  <si>
    <t>B197</t>
  </si>
  <si>
    <t>D197</t>
  </si>
  <si>
    <t>B198</t>
  </si>
  <si>
    <t>E198</t>
  </si>
  <si>
    <t>B199</t>
  </si>
  <si>
    <t>E199</t>
  </si>
  <si>
    <t>B200</t>
  </si>
  <si>
    <t>E200</t>
  </si>
  <si>
    <t>B201</t>
  </si>
  <si>
    <t>C201</t>
  </si>
  <si>
    <t>Owner 3</t>
  </si>
  <si>
    <t>B202</t>
  </si>
  <si>
    <t>D202</t>
  </si>
  <si>
    <t>B203</t>
  </si>
  <si>
    <t>D203</t>
  </si>
  <si>
    <t>B204</t>
  </si>
  <si>
    <t>D204</t>
  </si>
  <si>
    <t>B205</t>
  </si>
  <si>
    <t>D205</t>
  </si>
  <si>
    <t>B206</t>
  </si>
  <si>
    <t>E206</t>
  </si>
  <si>
    <t>A207</t>
  </si>
  <si>
    <t>B207</t>
  </si>
  <si>
    <t>E207</t>
  </si>
  <si>
    <t>A208</t>
  </si>
  <si>
    <t>B208</t>
  </si>
  <si>
    <t>D208</t>
  </si>
  <si>
    <t>A209</t>
  </si>
  <si>
    <t>B209</t>
  </si>
  <si>
    <t>C209</t>
  </si>
  <si>
    <t>A210</t>
  </si>
  <si>
    <t>B210</t>
  </si>
  <si>
    <t>D210</t>
  </si>
  <si>
    <t>A211</t>
  </si>
  <si>
    <t>B211</t>
  </si>
  <si>
    <t>D211</t>
  </si>
  <si>
    <t>A212</t>
  </si>
  <si>
    <t>B212</t>
  </si>
  <si>
    <t>D212</t>
  </si>
  <si>
    <t>A213</t>
  </si>
  <si>
    <t>B213</t>
  </si>
  <si>
    <t>D213</t>
  </si>
  <si>
    <t>A214</t>
  </si>
  <si>
    <t>B214</t>
  </si>
  <si>
    <t>D214</t>
  </si>
  <si>
    <t>A215</t>
  </si>
  <si>
    <t>B215</t>
  </si>
  <si>
    <t>D215</t>
  </si>
  <si>
    <t>A216</t>
  </si>
  <si>
    <t>B216</t>
  </si>
  <si>
    <t>D216</t>
  </si>
  <si>
    <t>A217</t>
  </si>
  <si>
    <t>B217</t>
  </si>
  <si>
    <t>E217</t>
  </si>
  <si>
    <t>A218</t>
  </si>
  <si>
    <t>B218</t>
  </si>
  <si>
    <t>E218</t>
  </si>
  <si>
    <t>A219</t>
  </si>
  <si>
    <t>B219</t>
  </si>
  <si>
    <t>E219</t>
  </si>
  <si>
    <t>A220</t>
  </si>
  <si>
    <t>B220</t>
  </si>
  <si>
    <t>C220</t>
  </si>
  <si>
    <t>Owner 4</t>
  </si>
  <si>
    <t>A221</t>
  </si>
  <si>
    <t>B221</t>
  </si>
  <si>
    <t>D221</t>
  </si>
  <si>
    <t>A222</t>
  </si>
  <si>
    <t>B222</t>
  </si>
  <si>
    <t>D222</t>
  </si>
  <si>
    <t>A223</t>
  </si>
  <si>
    <t>B223</t>
  </si>
  <si>
    <t>D223</t>
  </si>
  <si>
    <t>A224</t>
  </si>
  <si>
    <t>B224</t>
  </si>
  <si>
    <t>D224</t>
  </si>
  <si>
    <t>A225</t>
  </si>
  <si>
    <t>B225</t>
  </si>
  <si>
    <t>E225</t>
  </si>
  <si>
    <t>A226</t>
  </si>
  <si>
    <t>B226</t>
  </si>
  <si>
    <t>E226</t>
  </si>
  <si>
    <t>A227</t>
  </si>
  <si>
    <t>B227</t>
  </si>
  <si>
    <t>D227</t>
  </si>
  <si>
    <t>A228</t>
  </si>
  <si>
    <t>B228</t>
  </si>
  <si>
    <t>C228</t>
  </si>
  <si>
    <t>A229</t>
  </si>
  <si>
    <t>B229</t>
  </si>
  <si>
    <t>D229</t>
  </si>
  <si>
    <t>A230</t>
  </si>
  <si>
    <t>B230</t>
  </si>
  <si>
    <t>D230</t>
  </si>
  <si>
    <t>A231</t>
  </si>
  <si>
    <t>B231</t>
  </si>
  <si>
    <t>D231</t>
  </si>
  <si>
    <t>A232</t>
  </si>
  <si>
    <t>B232</t>
  </si>
  <si>
    <t>D232</t>
  </si>
  <si>
    <t>A233</t>
  </si>
  <si>
    <t>B233</t>
  </si>
  <si>
    <t>D233</t>
  </si>
  <si>
    <t>A234</t>
  </si>
  <si>
    <t>B234</t>
  </si>
  <si>
    <t>D234</t>
  </si>
  <si>
    <t>A235</t>
  </si>
  <si>
    <t>B235</t>
  </si>
  <si>
    <t>D235</t>
  </si>
  <si>
    <t>A236</t>
  </si>
  <si>
    <t>B236</t>
  </si>
  <si>
    <t>E236</t>
  </si>
  <si>
    <t>A237</t>
  </si>
  <si>
    <t>B237</t>
  </si>
  <si>
    <t>E237</t>
  </si>
  <si>
    <t>A238</t>
  </si>
  <si>
    <t>B238</t>
  </si>
  <si>
    <t>E238</t>
  </si>
  <si>
    <t>A239</t>
  </si>
  <si>
    <t>B239</t>
  </si>
  <si>
    <t>C239</t>
  </si>
  <si>
    <t>Licensing &amp; Product Information</t>
  </si>
  <si>
    <t>A240</t>
  </si>
  <si>
    <t>D240</t>
  </si>
  <si>
    <t>States you are registered to do business in.</t>
  </si>
  <si>
    <t>G240</t>
  </si>
  <si>
    <t>Documentation of business licenses/registrations, contractor's licenses or professional registrations are required for ALL STATES you intend to do financed business in.  NOTE: Some states require businesses that offer financing to be registered with them. FFC requires proof of this registration prior to funding the first approved loan.</t>
  </si>
  <si>
    <t>A241</t>
  </si>
  <si>
    <t>C241</t>
  </si>
  <si>
    <t>Multistate Dropdown</t>
  </si>
  <si>
    <t>A242</t>
  </si>
  <si>
    <t>D242</t>
  </si>
  <si>
    <t>What Products Do you Sell/Install</t>
  </si>
  <si>
    <t>A243</t>
  </si>
  <si>
    <t>C243</t>
  </si>
  <si>
    <t>Dropdown Menu</t>
  </si>
  <si>
    <t>A244</t>
  </si>
  <si>
    <t>D244</t>
  </si>
  <si>
    <t>Does your company install the products sold if they require installation?</t>
  </si>
  <si>
    <t>A245</t>
  </si>
  <si>
    <t>E245</t>
  </si>
  <si>
    <t>A246</t>
  </si>
  <si>
    <t>E246</t>
  </si>
  <si>
    <t>A247</t>
  </si>
  <si>
    <t>D247</t>
  </si>
  <si>
    <t>List the Manufacturer(s) of the product(s)</t>
  </si>
  <si>
    <t>A248</t>
  </si>
  <si>
    <t>D248</t>
  </si>
  <si>
    <t>Contractor License/Registration Number</t>
  </si>
  <si>
    <t>A249</t>
  </si>
  <si>
    <t>D249</t>
  </si>
  <si>
    <t>What State is that contractor license/registration for?</t>
  </si>
  <si>
    <t>A250</t>
  </si>
  <si>
    <t>C250</t>
  </si>
  <si>
    <t>A251</t>
  </si>
  <si>
    <t>D251</t>
  </si>
  <si>
    <t>A252</t>
  </si>
  <si>
    <t>D252</t>
  </si>
  <si>
    <t>A253</t>
  </si>
  <si>
    <t>C253</t>
  </si>
  <si>
    <t>A254</t>
  </si>
  <si>
    <t>C254</t>
  </si>
  <si>
    <t>Financing Information</t>
  </si>
  <si>
    <t>A255</t>
  </si>
  <si>
    <t>D255</t>
  </si>
  <si>
    <t>Current Finance Programs (List Companies)</t>
  </si>
  <si>
    <t>A256</t>
  </si>
  <si>
    <t>D256</t>
  </si>
  <si>
    <t>Average Sales Price</t>
  </si>
  <si>
    <t>A257</t>
  </si>
  <si>
    <t>D257</t>
  </si>
  <si>
    <t>Total Number of  Sales per month</t>
  </si>
  <si>
    <t>A258</t>
  </si>
  <si>
    <t>D258</t>
  </si>
  <si>
    <t>Number of financed sales per month</t>
  </si>
  <si>
    <t>A259</t>
  </si>
  <si>
    <t>C259</t>
  </si>
  <si>
    <t>Owner Signature &amp; ACH Agreement</t>
  </si>
  <si>
    <t>A260</t>
  </si>
  <si>
    <t>A261</t>
  </si>
  <si>
    <t>C261</t>
  </si>
  <si>
    <t>Owner 1 Agrement (add for each additional owner)</t>
  </si>
  <si>
    <t>A262</t>
  </si>
  <si>
    <t>G262</t>
  </si>
  <si>
    <t>By checking this box, I agree that for the purpose of establishing and maintaining a dealer relationship with Foundation Finance Comany (FFC), I heareby authorize FCC to make all investigations deemed necessary, including but not liminted to obtaining credit reports of any owner or principal of the dealer and obtaining other relevant informationfrom or through third-party sources.  Any reference listed on this application is authorized to release information about their experience with the dealer.  This inforamation is for FFC's intenal use only to establish finacial soundess and credit worthiness of dealer principals.  I am authorized to provide this information on behalf of th edealer.  I autohorize FFC to initiate credit entries and to initiate debit entreis and adjustments for any entries in error to the bank accound provide them.</t>
  </si>
  <si>
    <t>A263</t>
  </si>
  <si>
    <t>C263</t>
  </si>
  <si>
    <t>D263</t>
  </si>
  <si>
    <t>I agree</t>
  </si>
  <si>
    <t>A264</t>
  </si>
  <si>
    <t>C264</t>
  </si>
  <si>
    <t>Owner 1 (add for each additional owner)</t>
  </si>
  <si>
    <t>A265</t>
  </si>
  <si>
    <t>D265</t>
  </si>
  <si>
    <t>A266</t>
  </si>
  <si>
    <t>D266</t>
  </si>
  <si>
    <t>A267</t>
  </si>
  <si>
    <t>C267</t>
  </si>
  <si>
    <t>Dealer Document Upload</t>
  </si>
  <si>
    <t>G267</t>
  </si>
  <si>
    <t>There are several documents needed to complete the processing of your dealer application.  You can submit these documents now if you're ready or you can send them via email later.</t>
  </si>
  <si>
    <t>A268</t>
  </si>
  <si>
    <t>C268</t>
  </si>
  <si>
    <t>Which Docuemtns are you ready to upload?</t>
  </si>
  <si>
    <t>A269</t>
  </si>
  <si>
    <t>D269</t>
  </si>
  <si>
    <t>Business LIability Insurance/Bonding (required for home improvement contractors)</t>
  </si>
  <si>
    <t>A270</t>
  </si>
  <si>
    <t>D270</t>
  </si>
  <si>
    <t>Business License/Registration (required depending on State)</t>
  </si>
  <si>
    <t>A271</t>
  </si>
  <si>
    <t>D271</t>
  </si>
  <si>
    <t>Contractor's/Installer's license (required depending on state)</t>
  </si>
  <si>
    <t>A272</t>
  </si>
  <si>
    <t>D272</t>
  </si>
  <si>
    <t>Voided Business Check (required for all contractors)</t>
  </si>
  <si>
    <t>A273</t>
  </si>
  <si>
    <t>A274</t>
  </si>
  <si>
    <t>G274</t>
  </si>
  <si>
    <t>As a Foundation Finance dealer, you will also need to sign our Master Dealer Agreement.  Click here to download the agreement or we will send it to you elecrronically once approved as a dealer.</t>
  </si>
  <si>
    <t>A275</t>
  </si>
  <si>
    <t>D275</t>
  </si>
  <si>
    <t>Do you want to submit the Master Dealer Agreement now?</t>
  </si>
  <si>
    <t>A276</t>
  </si>
  <si>
    <t>E276</t>
  </si>
  <si>
    <t>A277</t>
  </si>
  <si>
    <t>E277</t>
  </si>
  <si>
    <t>A278</t>
  </si>
  <si>
    <t>G278</t>
  </si>
  <si>
    <t xml:space="preserve">By submitting an application, you expressly consent and agree to receive communications (including </t>
  </si>
  <si>
    <t>A279</t>
  </si>
  <si>
    <t>G279</t>
  </si>
  <si>
    <t xml:space="preserve">but not limited to prerecorded or artificial voice message calls, text messages, and calls made by an </t>
  </si>
  <si>
    <t>A280</t>
  </si>
  <si>
    <t>G280</t>
  </si>
  <si>
    <t xml:space="preserve">automatic telephone dialing system) from FFC and any party acting on its behalf, regarding any </t>
  </si>
  <si>
    <t>A281</t>
  </si>
  <si>
    <t>G281</t>
  </si>
  <si>
    <t xml:space="preserve">partially or fully completed application that you submit or attempt to submit to FFC, any account </t>
  </si>
  <si>
    <t>A282</t>
  </si>
  <si>
    <t>G282</t>
  </si>
  <si>
    <t xml:space="preserve">that you establish with FFC, and any proposed or completed transaction associated with your </t>
  </si>
  <si>
    <t>A283</t>
  </si>
  <si>
    <t>G283</t>
  </si>
  <si>
    <t xml:space="preserve">account, at any telephone number that you provide to FFC or that FFC can reasonably associate with </t>
  </si>
  <si>
    <t>A284</t>
  </si>
  <si>
    <t>G284</t>
  </si>
  <si>
    <t xml:space="preserve">you, now and in the future, including cellular telephone numbers. FFC may also communicate to you </t>
  </si>
  <si>
    <t>A285</t>
  </si>
  <si>
    <t>G285</t>
  </si>
  <si>
    <t xml:space="preserve">via e-mail, fax, U.S. mail, or any other method allowed by law that does not require your consent. </t>
  </si>
  <si>
    <t>A286</t>
  </si>
  <si>
    <t>G286</t>
  </si>
  <si>
    <t xml:space="preserve">Dealer understands and agrees that FFC may monitor, record, and retain any communications </t>
  </si>
  <si>
    <t>A287</t>
  </si>
  <si>
    <t>G287</t>
  </si>
  <si>
    <t xml:space="preserve">between Dealer and FFC (and their respective representatives) for quality assurance and other </t>
  </si>
  <si>
    <t>A288</t>
  </si>
  <si>
    <t>G288</t>
  </si>
  <si>
    <t xml:space="preserve">permitted business purposes. </t>
  </si>
  <si>
    <t>A289</t>
  </si>
  <si>
    <t>A290</t>
  </si>
  <si>
    <t>G290</t>
  </si>
  <si>
    <t>Sunlight Financial onboarding guidelines and requirements</t>
  </si>
  <si>
    <t>K290</t>
  </si>
  <si>
    <t>https://sunlightfinancial.tfaforms.net/4943233</t>
  </si>
  <si>
    <t>A291</t>
  </si>
  <si>
    <t>G291</t>
  </si>
  <si>
    <t>Required Documents</t>
  </si>
  <si>
    <t>A292</t>
  </si>
  <si>
    <t>G292</t>
  </si>
  <si>
    <t>A293</t>
  </si>
  <si>
    <t>G293</t>
  </si>
  <si>
    <t>A294</t>
  </si>
  <si>
    <t>G294</t>
  </si>
  <si>
    <t>A295</t>
  </si>
  <si>
    <t>G295</t>
  </si>
  <si>
    <t>A296</t>
  </si>
  <si>
    <t>G296</t>
  </si>
  <si>
    <t>A297</t>
  </si>
  <si>
    <t>G297</t>
  </si>
  <si>
    <t>A298</t>
  </si>
  <si>
    <t>G298</t>
  </si>
  <si>
    <t>A299</t>
  </si>
  <si>
    <t>G299</t>
  </si>
  <si>
    <t>A300</t>
  </si>
  <si>
    <t>G300</t>
  </si>
  <si>
    <t>A301</t>
  </si>
  <si>
    <t>G301</t>
  </si>
  <si>
    <t>A302</t>
  </si>
  <si>
    <t>G302</t>
  </si>
  <si>
    <t>A303</t>
  </si>
  <si>
    <t>G303</t>
  </si>
  <si>
    <t>A304</t>
  </si>
  <si>
    <t>G304</t>
  </si>
  <si>
    <t>A305</t>
  </si>
  <si>
    <t>G305</t>
  </si>
  <si>
    <t>A306</t>
  </si>
  <si>
    <t>G306</t>
  </si>
  <si>
    <t>A307</t>
  </si>
  <si>
    <t>G307</t>
  </si>
  <si>
    <t>Preferred minimum requirements</t>
  </si>
  <si>
    <t>A308</t>
  </si>
  <si>
    <t>G308</t>
  </si>
  <si>
    <t>A309</t>
  </si>
  <si>
    <t>G309</t>
  </si>
  <si>
    <t>A310</t>
  </si>
  <si>
    <t>G310</t>
  </si>
  <si>
    <t>A311</t>
  </si>
  <si>
    <t>G311</t>
  </si>
  <si>
    <t>A312</t>
  </si>
  <si>
    <t>G312</t>
  </si>
  <si>
    <t>A313</t>
  </si>
  <si>
    <t>G313</t>
  </si>
  <si>
    <t>A314</t>
  </si>
  <si>
    <t>G314</t>
  </si>
  <si>
    <t>Likely reasons to decline installers</t>
  </si>
  <si>
    <t>A315</t>
  </si>
  <si>
    <t>G315</t>
  </si>
  <si>
    <t>A316</t>
  </si>
  <si>
    <t>G316</t>
  </si>
  <si>
    <t>A317</t>
  </si>
  <si>
    <t>G317</t>
  </si>
  <si>
    <t>Prohibited products/services</t>
  </si>
  <si>
    <t>A318</t>
  </si>
  <si>
    <t>G318</t>
  </si>
  <si>
    <t>· ADU’s</t>
  </si>
  <si>
    <t>A319</t>
  </si>
  <si>
    <t>G319</t>
  </si>
  <si>
    <t>· Pools &amp; Saunas</t>
  </si>
  <si>
    <t>A320</t>
  </si>
  <si>
    <t>G320</t>
  </si>
  <si>
    <t>· Water Filtration</t>
  </si>
  <si>
    <t>A321</t>
  </si>
  <si>
    <t>G321</t>
  </si>
  <si>
    <t>· Repair companies</t>
  </si>
  <si>
    <t>A322</t>
  </si>
  <si>
    <t>G322</t>
  </si>
  <si>
    <t>· Geothermal Heat Pumps</t>
  </si>
  <si>
    <t>A323</t>
  </si>
  <si>
    <t>G323</t>
  </si>
  <si>
    <t>· Mobility Lifters</t>
  </si>
  <si>
    <t>A324</t>
  </si>
  <si>
    <t>G324</t>
  </si>
  <si>
    <t>H324</t>
  </si>
  <si>
    <t>M324</t>
  </si>
  <si>
    <t>A325</t>
  </si>
  <si>
    <t>G325</t>
  </si>
  <si>
    <t>A326</t>
  </si>
  <si>
    <t>G326</t>
  </si>
  <si>
    <t>A327</t>
  </si>
  <si>
    <t>G327</t>
  </si>
  <si>
    <t>A328</t>
  </si>
  <si>
    <t>G328</t>
  </si>
  <si>
    <t>A329</t>
  </si>
  <si>
    <t>G329</t>
  </si>
  <si>
    <t>A330</t>
  </si>
  <si>
    <t>G330</t>
  </si>
  <si>
    <t>A331</t>
  </si>
  <si>
    <t>G331</t>
  </si>
  <si>
    <t>A332</t>
  </si>
  <si>
    <t>G332</t>
  </si>
  <si>
    <t>A333</t>
  </si>
  <si>
    <t>G333</t>
  </si>
  <si>
    <t>A334</t>
  </si>
  <si>
    <t>G334</t>
  </si>
  <si>
    <t>A335</t>
  </si>
  <si>
    <t>G335</t>
  </si>
  <si>
    <t>A336</t>
  </si>
  <si>
    <t>G336</t>
  </si>
  <si>
    <t>A337</t>
  </si>
  <si>
    <t>G337</t>
  </si>
  <si>
    <t>A338</t>
  </si>
  <si>
    <t>G338</t>
  </si>
  <si>
    <t>A339</t>
  </si>
  <si>
    <t>G339</t>
  </si>
  <si>
    <t>A340</t>
  </si>
  <si>
    <t>G340</t>
  </si>
  <si>
    <t>A341</t>
  </si>
  <si>
    <t>G341</t>
  </si>
  <si>
    <t>A342</t>
  </si>
  <si>
    <t>G342</t>
  </si>
  <si>
    <t>A343</t>
  </si>
  <si>
    <t>G343</t>
  </si>
  <si>
    <t>A344</t>
  </si>
  <si>
    <t>G344</t>
  </si>
  <si>
    <t xml:space="preserve">sales tactics and channels </t>
  </si>
  <si>
    <t>A345</t>
  </si>
  <si>
    <t>G345</t>
  </si>
  <si>
    <t>A346</t>
  </si>
  <si>
    <t>G346</t>
  </si>
  <si>
    <t>Website:</t>
  </si>
  <si>
    <t>A347</t>
  </si>
  <si>
    <t>A348</t>
  </si>
  <si>
    <t>A349</t>
  </si>
  <si>
    <t>G349</t>
  </si>
  <si>
    <t>1. Business Information</t>
  </si>
  <si>
    <t>G350</t>
  </si>
  <si>
    <t>Basic company identity</t>
  </si>
  <si>
    <t>G351</t>
  </si>
  <si>
    <t>Required by almost all lenders.</t>
  </si>
  <si>
    <t>G352</t>
  </si>
  <si>
    <t>• Legal Business Name</t>
  </si>
  <si>
    <t>G353</t>
  </si>
  <si>
    <t>• DBA / Trade Name</t>
  </si>
  <si>
    <t>G354</t>
  </si>
  <si>
    <t>• Business Type</t>
  </si>
  <si>
    <t>G355</t>
  </si>
  <si>
    <t>G356</t>
  </si>
  <si>
    <t>G357</t>
  </si>
  <si>
    <t>S-Corp</t>
  </si>
  <si>
    <t>G358</t>
  </si>
  <si>
    <t>G359</t>
  </si>
  <si>
    <t>Sole Proprietor</t>
  </si>
  <si>
    <t>G360</t>
  </si>
  <si>
    <t>• Industry / Contractor Type</t>
  </si>
  <si>
    <t>G361</t>
  </si>
  <si>
    <t>G362</t>
  </si>
  <si>
    <t>G363</t>
  </si>
  <si>
    <t>G364</t>
  </si>
  <si>
    <t>G365</t>
  </si>
  <si>
    <t>G366</t>
  </si>
  <si>
    <t>Solar</t>
  </si>
  <si>
    <t>G367</t>
  </si>
  <si>
    <t>Exterior Remodeling</t>
  </si>
  <si>
    <t>G368</t>
  </si>
  <si>
    <t>G369</t>
  </si>
  <si>
    <t>• Year Business Started</t>
  </si>
  <si>
    <t>G370</t>
  </si>
  <si>
    <t>• Date of Incorporation / Formation</t>
  </si>
  <si>
    <t>G371</t>
  </si>
  <si>
    <t>• State of Incorporation</t>
  </si>
  <si>
    <t>G372</t>
  </si>
  <si>
    <t>• EIN (Federal Tax ID)</t>
  </si>
  <si>
    <t>G373</t>
  </si>
  <si>
    <t>• Contractor License Type</t>
  </si>
  <si>
    <t>G374</t>
  </si>
  <si>
    <t>• Contractor License Number</t>
  </si>
  <si>
    <t>G375</t>
  </si>
  <si>
    <t>• License State</t>
  </si>
  <si>
    <t>G376</t>
  </si>
  <si>
    <t>• License Expiration Date</t>
  </si>
  <si>
    <t>G377</t>
  </si>
  <si>
    <t>• Business Website</t>
  </si>
  <si>
    <t>G378</t>
  </si>
  <si>
    <t>• Main Business Phone</t>
  </si>
  <si>
    <t>G379</t>
  </si>
  <si>
    <t>• Main Business Email</t>
  </si>
  <si>
    <t>G380</t>
  </si>
  <si>
    <t>• Annual Sales / Revenue Range</t>
  </si>
  <si>
    <t>G381</t>
  </si>
  <si>
    <t>• Average Project Size (Ticket)</t>
  </si>
  <si>
    <t>G382</t>
  </si>
  <si>
    <t>Optional but helpful:</t>
  </si>
  <si>
    <t>G383</t>
  </si>
  <si>
    <t>• Number of Employees</t>
  </si>
  <si>
    <t>G384</t>
  </si>
  <si>
    <t>• % Jobs Financed</t>
  </si>
  <si>
    <t>G385</t>
  </si>
  <si>
    <t>• Years in Industry</t>
  </si>
  <si>
    <t>G386</t>
  </si>
  <si>
    <t>2. Business Address</t>
  </si>
  <si>
    <t>G387</t>
  </si>
  <si>
    <t>• Business Address</t>
  </si>
  <si>
    <t>G388</t>
  </si>
  <si>
    <t>• Suite / Unit</t>
  </si>
  <si>
    <t>G389</t>
  </si>
  <si>
    <t>• City</t>
  </si>
  <si>
    <t>G390</t>
  </si>
  <si>
    <t>• State</t>
  </si>
  <si>
    <t>G391</t>
  </si>
  <si>
    <t>• ZIP</t>
  </si>
  <si>
    <t>G392</t>
  </si>
  <si>
    <t>Optional:</t>
  </si>
  <si>
    <t>G393</t>
  </si>
  <si>
    <t>• Mailing Address (if different)</t>
  </si>
  <si>
    <t>G394</t>
  </si>
  <si>
    <t>3. Operating States</t>
  </si>
  <si>
    <t>G395</t>
  </si>
  <si>
    <t>Some lenders require this.</t>
  </si>
  <si>
    <t>G396</t>
  </si>
  <si>
    <t>• States where company operates</t>
  </si>
  <si>
    <t>G397</t>
  </si>
  <si>
    <t>• Do you operate in New Jersey? (important for lending laws)</t>
  </si>
  <si>
    <t>G398</t>
  </si>
  <si>
    <t>G399</t>
  </si>
  <si>
    <t>• Primary Service Area</t>
  </si>
  <si>
    <t>G400</t>
  </si>
  <si>
    <t>4. Primary Contact</t>
  </si>
  <si>
    <t>G401</t>
  </si>
  <si>
    <t>The person lenders contact.</t>
  </si>
  <si>
    <t>G402</t>
  </si>
  <si>
    <t>• Contact Name</t>
  </si>
  <si>
    <t>G403</t>
  </si>
  <si>
    <t>• Title</t>
  </si>
  <si>
    <t>G404</t>
  </si>
  <si>
    <t>• Mobile Phone</t>
  </si>
  <si>
    <t>G405</t>
  </si>
  <si>
    <t>• Email</t>
  </si>
  <si>
    <t>G406</t>
  </si>
  <si>
    <t>G407</t>
  </si>
  <si>
    <t>• Preferred Contact Method</t>
  </si>
  <si>
    <t>G408</t>
  </si>
  <si>
    <t>5. Ownership / Guarantor Information</t>
  </si>
  <si>
    <t>G409</t>
  </si>
  <si>
    <t>Most lenders require owners with 20–25%+ ownership.</t>
  </si>
  <si>
    <t>G410</t>
  </si>
  <si>
    <t>For each owner:</t>
  </si>
  <si>
    <t>G411</t>
  </si>
  <si>
    <t>G412</t>
  </si>
  <si>
    <t>• First Name</t>
  </si>
  <si>
    <t>G413</t>
  </si>
  <si>
    <t>• Middle Initial</t>
  </si>
  <si>
    <t>G414</t>
  </si>
  <si>
    <t>• Last Name</t>
  </si>
  <si>
    <t>G415</t>
  </si>
  <si>
    <t>• Ownership %</t>
  </si>
  <si>
    <t>G416</t>
  </si>
  <si>
    <t>• Date of Birth</t>
  </si>
  <si>
    <t>G417</t>
  </si>
  <si>
    <t>Some lenders require:</t>
  </si>
  <si>
    <t>G418</t>
  </si>
  <si>
    <t>• SSN</t>
  </si>
  <si>
    <t>G419</t>
  </si>
  <si>
    <t>(or last 4 digits)</t>
  </si>
  <si>
    <t>G420</t>
  </si>
  <si>
    <t>G421</t>
  </si>
  <si>
    <t>G422</t>
  </si>
  <si>
    <t>• Home Address</t>
  </si>
  <si>
    <t>G423</t>
  </si>
  <si>
    <t>• Apt / Unit</t>
  </si>
  <si>
    <t>G424</t>
  </si>
  <si>
    <t>G425</t>
  </si>
  <si>
    <t>G426</t>
  </si>
  <si>
    <t>G427</t>
  </si>
  <si>
    <t>G428</t>
  </si>
  <si>
    <t>• Personal Guarantor (yes/no)</t>
  </si>
  <si>
    <t>G429</t>
  </si>
  <si>
    <t>6. Banking / Funding Information</t>
  </si>
  <si>
    <t>G430</t>
  </si>
  <si>
    <t>Required for funding.</t>
  </si>
  <si>
    <t>G431</t>
  </si>
  <si>
    <t>• Bank Name</t>
  </si>
  <si>
    <t>G432</t>
  </si>
  <si>
    <t>• Account Holder Name</t>
  </si>
  <si>
    <t>G433</t>
  </si>
  <si>
    <t>• Account Type</t>
  </si>
  <si>
    <t>G434</t>
  </si>
  <si>
    <t>Checking</t>
  </si>
  <si>
    <t>G435</t>
  </si>
  <si>
    <t>Savings</t>
  </si>
  <si>
    <t>G436</t>
  </si>
  <si>
    <t>• Routing Number (ABA)</t>
  </si>
  <si>
    <t>G437</t>
  </si>
  <si>
    <t>• Account Number</t>
  </si>
  <si>
    <t>G438</t>
  </si>
  <si>
    <t>• Funding Email</t>
  </si>
  <si>
    <t>G439</t>
  </si>
  <si>
    <t>Alternative upload instead of typing:</t>
  </si>
  <si>
    <t>G440</t>
  </si>
  <si>
    <t>• Voided Check Upload</t>
  </si>
  <si>
    <t>G441</t>
  </si>
  <si>
    <t>• Bank Letter Upload</t>
  </si>
  <si>
    <t>G442</t>
  </si>
  <si>
    <t>7. Trade References</t>
  </si>
  <si>
    <t>G443</t>
  </si>
  <si>
    <t>Many lenders require 2–3 references.</t>
  </si>
  <si>
    <t>G444</t>
  </si>
  <si>
    <t>For each reference:</t>
  </si>
  <si>
    <t>G445</t>
  </si>
  <si>
    <t>• Company Name</t>
  </si>
  <si>
    <t>G446</t>
  </si>
  <si>
    <t>• Account Number (optional)</t>
  </si>
  <si>
    <t>G447</t>
  </si>
  <si>
    <t>• Contact Person Name</t>
  </si>
  <si>
    <t>G448</t>
  </si>
  <si>
    <t>• Contact Email</t>
  </si>
  <si>
    <t>G449</t>
  </si>
  <si>
    <t>• Contact Phone</t>
  </si>
  <si>
    <t>G450</t>
  </si>
  <si>
    <t>• Address</t>
  </si>
  <si>
    <t>G451</t>
  </si>
  <si>
    <t>G452</t>
  </si>
  <si>
    <t>G453</t>
  </si>
  <si>
    <t>G454</t>
  </si>
  <si>
    <t>8. Contractor Business Questions</t>
  </si>
  <si>
    <t>G455</t>
  </si>
  <si>
    <t>These are important for roofing/window lenders.</t>
  </si>
  <si>
    <t>G456</t>
  </si>
  <si>
    <t>• Products Sold</t>
  </si>
  <si>
    <t>G457</t>
  </si>
  <si>
    <t>Roof replacement</t>
  </si>
  <si>
    <t>G458</t>
  </si>
  <si>
    <t>Roof repair</t>
  </si>
  <si>
    <t>G459</t>
  </si>
  <si>
    <t>G460</t>
  </si>
  <si>
    <t>G461</t>
  </si>
  <si>
    <t>G462</t>
  </si>
  <si>
    <t>G463</t>
  </si>
  <si>
    <t>G464</t>
  </si>
  <si>
    <t>G465</t>
  </si>
  <si>
    <t>• Average Job Size</t>
  </si>
  <si>
    <t>G466</t>
  </si>
  <si>
    <t>• Largest Job Size in last 12 months</t>
  </si>
  <si>
    <t>G467</t>
  </si>
  <si>
    <t>• Do you use subcontractors? (yes/no)</t>
  </si>
  <si>
    <t>G468</t>
  </si>
  <si>
    <t>• Do you collect deposits before installation?</t>
  </si>
  <si>
    <t>G469</t>
  </si>
  <si>
    <t>• Typical install timeline</t>
  </si>
  <si>
    <t>G470</t>
  </si>
  <si>
    <t>• Do you sell to</t>
  </si>
  <si>
    <t>G471</t>
  </si>
  <si>
    <t>Residential</t>
  </si>
  <si>
    <t>G472</t>
  </si>
  <si>
    <t>Commercial</t>
  </si>
  <si>
    <t>G473</t>
  </si>
  <si>
    <t>Both</t>
  </si>
  <si>
    <t>G474</t>
  </si>
  <si>
    <t>• Do you currently offer financing?</t>
  </si>
  <si>
    <t>G475</t>
  </si>
  <si>
    <t>• Current finance partners</t>
  </si>
  <si>
    <t>G476</t>
  </si>
  <si>
    <t>• Estimated monthly financing volume</t>
  </si>
  <si>
    <t>G477</t>
  </si>
  <si>
    <t>9. Document Uploads</t>
  </si>
  <si>
    <t>G478</t>
  </si>
  <si>
    <t>These are critical for lender onboarding.</t>
  </si>
  <si>
    <t>G479</t>
  </si>
  <si>
    <t>Required by most lenders:</t>
  </si>
  <si>
    <t>G480</t>
  </si>
  <si>
    <t>• Business License / Contractor License</t>
  </si>
  <si>
    <t>G481</t>
  </si>
  <si>
    <t>• W9</t>
  </si>
  <si>
    <t>G482</t>
  </si>
  <si>
    <t>• Voided Check OR Bank Letter</t>
  </si>
  <si>
    <t>G483</t>
  </si>
  <si>
    <t>• Owner Government ID</t>
  </si>
  <si>
    <t>G484</t>
  </si>
  <si>
    <t>Often required by some lenders:</t>
  </si>
  <si>
    <t>G485</t>
  </si>
  <si>
    <t>• Articles of Incorporation / Organization</t>
  </si>
  <si>
    <t>G486</t>
  </si>
  <si>
    <t>• Secretary of State filing</t>
  </si>
  <si>
    <t>G487</t>
  </si>
  <si>
    <t>• Proof of Insurance (COI)</t>
  </si>
  <si>
    <t>G488</t>
  </si>
  <si>
    <t>• Utility Bill (business address verification)</t>
  </si>
  <si>
    <t>G489</t>
  </si>
  <si>
    <t>• Bank Statement (recent)</t>
  </si>
  <si>
    <t>G490</t>
  </si>
  <si>
    <t>• Sample Customer Contract / Invoice</t>
  </si>
  <si>
    <t>G491</t>
  </si>
  <si>
    <t>10. Compliance / Certification</t>
  </si>
  <si>
    <t>G492</t>
  </si>
  <si>
    <t>Dealer must certify the application.</t>
  </si>
  <si>
    <t>G493</t>
  </si>
  <si>
    <t>Checkboxes:</t>
  </si>
  <si>
    <t>G494</t>
  </si>
  <si>
    <t>• Information is accurate</t>
  </si>
  <si>
    <t>G495</t>
  </si>
  <si>
    <t>• Authorized to submit application</t>
  </si>
  <si>
    <t>G496</t>
  </si>
  <si>
    <t>• Consent to lender underwriting review</t>
  </si>
  <si>
    <t>G497</t>
  </si>
  <si>
    <t>• Consent to electronic communication</t>
  </si>
  <si>
    <t>G498</t>
  </si>
  <si>
    <t>• Consent to share information with lenders</t>
  </si>
  <si>
    <t>G499</t>
  </si>
  <si>
    <t>Signature:</t>
  </si>
  <si>
    <t>G500</t>
  </si>
  <si>
    <t>• Signer Name</t>
  </si>
  <si>
    <t>G501</t>
  </si>
  <si>
    <t>G502</t>
  </si>
  <si>
    <t>• Date</t>
  </si>
  <si>
    <t>G503</t>
  </si>
  <si>
    <t>• E-Signature</t>
  </si>
  <si>
    <t>G504</t>
  </si>
  <si>
    <t>11. Internal Fields (Not visible to dealer)</t>
  </si>
  <si>
    <t>G505</t>
  </si>
  <si>
    <t>For Finti admin portal:</t>
  </si>
  <si>
    <t>G506</t>
  </si>
  <si>
    <t>• Application Status</t>
  </si>
  <si>
    <t>G507</t>
  </si>
  <si>
    <t>Draft</t>
  </si>
  <si>
    <t>G508</t>
  </si>
  <si>
    <t>G509</t>
  </si>
  <si>
    <t>Missing Info</t>
  </si>
  <si>
    <t>G510</t>
  </si>
  <si>
    <t>In Review</t>
  </si>
  <si>
    <t>G511</t>
  </si>
  <si>
    <t>Sent to Lender</t>
  </si>
  <si>
    <t>G512</t>
  </si>
  <si>
    <t>G513</t>
  </si>
  <si>
    <t>G514</t>
  </si>
  <si>
    <t>• Internal Notes</t>
  </si>
  <si>
    <t>G515</t>
  </si>
  <si>
    <t>• Lender Assignment</t>
  </si>
  <si>
    <t>G516</t>
  </si>
  <si>
    <t>• Documents Status</t>
  </si>
  <si>
    <t>G517</t>
  </si>
  <si>
    <t>Minimum Fields Needed for MVP</t>
  </si>
  <si>
    <t>G518</t>
  </si>
  <si>
    <t>If you want the fastest onboarding form possible, require:</t>
  </si>
  <si>
    <t>G519</t>
  </si>
  <si>
    <t>G520</t>
  </si>
  <si>
    <t>• Legal Name</t>
  </si>
  <si>
    <t>G521</t>
  </si>
  <si>
    <t>• EIN</t>
  </si>
  <si>
    <t>G522</t>
  </si>
  <si>
    <t>G523</t>
  </si>
  <si>
    <t>• Contractor License</t>
  </si>
  <si>
    <t>G524</t>
  </si>
  <si>
    <t>Contact</t>
  </si>
  <si>
    <t>G525</t>
  </si>
  <si>
    <t>G526</t>
  </si>
  <si>
    <t>• Phone</t>
  </si>
  <si>
    <t>G527</t>
  </si>
  <si>
    <t>G528</t>
  </si>
  <si>
    <t>G529</t>
  </si>
  <si>
    <t>• One Owner Name</t>
  </si>
  <si>
    <t>G530</t>
  </si>
  <si>
    <t>• DOB</t>
  </si>
  <si>
    <t>G531</t>
  </si>
  <si>
    <t>G532</t>
  </si>
  <si>
    <t>Bank</t>
  </si>
  <si>
    <t>G533</t>
  </si>
  <si>
    <t>• Routing Number</t>
  </si>
  <si>
    <t>G534</t>
  </si>
  <si>
    <t>G535</t>
  </si>
  <si>
    <t>Docs</t>
  </si>
  <si>
    <t>G536</t>
  </si>
  <si>
    <t>• Business License</t>
  </si>
  <si>
    <t>G537</t>
  </si>
  <si>
    <t>G538</t>
  </si>
  <si>
    <t>• Voided Check</t>
  </si>
  <si>
    <t>G539</t>
  </si>
  <si>
    <t>Signature</t>
  </si>
  <si>
    <t>G540</t>
  </si>
  <si>
    <t>• Certification + E-sign</t>
  </si>
  <si>
    <t>G541</t>
  </si>
  <si>
    <t>What Lenders Usually Add (Comparison)</t>
  </si>
  <si>
    <t>G542</t>
  </si>
  <si>
    <t>When you compare lenders, these are the fields that vary most:</t>
  </si>
  <si>
    <t>G543</t>
  </si>
  <si>
    <t></t>
  </si>
  <si>
    <t>G544</t>
  </si>
  <si>
    <t>Field</t>
  </si>
  <si>
    <t>H544</t>
  </si>
  <si>
    <t>Some lenders</t>
  </si>
  <si>
    <t>I544</t>
  </si>
  <si>
    <t>Many lenders</t>
  </si>
  <si>
    <t>G545</t>
  </si>
  <si>
    <t>SSN</t>
  </si>
  <si>
    <t>H545</t>
  </si>
  <si>
    <t>Last 4</t>
  </si>
  <si>
    <t>I545</t>
  </si>
  <si>
    <t>Full SSN</t>
  </si>
  <si>
    <t>G546</t>
  </si>
  <si>
    <t>Owners required</t>
  </si>
  <si>
    <t>H546</t>
  </si>
  <si>
    <t>I546</t>
  </si>
  <si>
    <t>All 20%+</t>
  </si>
  <si>
    <t>G547</t>
  </si>
  <si>
    <t>Bank verification</t>
  </si>
  <si>
    <t>H547</t>
  </si>
  <si>
    <t>manual</t>
  </si>
  <si>
    <t>I547</t>
  </si>
  <si>
    <t>voided check</t>
  </si>
  <si>
    <t>G548</t>
  </si>
  <si>
    <t>Trade references</t>
  </si>
  <si>
    <t>H548</t>
  </si>
  <si>
    <t>optional</t>
  </si>
  <si>
    <t>I548</t>
  </si>
  <si>
    <t>required</t>
  </si>
  <si>
    <t>G549</t>
  </si>
  <si>
    <t>Insurance</t>
  </si>
  <si>
    <t>H549</t>
  </si>
  <si>
    <t>I549</t>
  </si>
  <si>
    <t>▼  Missing Fields for Lenders</t>
  </si>
  <si>
    <t>Missing Fields for Lenders</t>
  </si>
  <si>
    <t xml:space="preserve">Sunlight </t>
  </si>
  <si>
    <t>Hints and tips:</t>
  </si>
  <si>
    <t>Current Year Projected Revenue</t>
  </si>
  <si>
    <t>is the business applying personally owned or owned by another business?</t>
  </si>
  <si>
    <t xml:space="preserve">Highest financed ticket </t>
  </si>
  <si>
    <t>Missing owner home address?  1. Check drivers license.  2. check  here -&gt;</t>
  </si>
  <si>
    <t>https://www.familytreenow.com/search#google_vignette</t>
  </si>
  <si>
    <t>List of all states you plan to fund loans</t>
  </si>
  <si>
    <t>Frequency of Highest Average Ticket(# / year)</t>
  </si>
  <si>
    <t>Multiple state licenses</t>
  </si>
  <si>
    <t>How many days does it take for the cardholder to receive their product or completed service? </t>
  </si>
  <si>
    <t>Please give a summary of your industry experience</t>
  </si>
  <si>
    <t>Material Trade references</t>
  </si>
  <si>
    <t>full bank account number</t>
  </si>
  <si>
    <t>2 bank statements</t>
  </si>
  <si>
    <t>Online form fields:</t>
  </si>
  <si>
    <t>▼  Sheet1</t>
  </si>
  <si>
    <t>Sheet1</t>
  </si>
  <si>
    <t>Required Onboarding info:</t>
  </si>
  <si>
    <t>AZ Insulation &amp; Energy Solutions LLC</t>
  </si>
  <si>
    <t>342090</t>
  </si>
  <si>
    <t>471743024</t>
  </si>
  <si>
    <t>HVAC, Insulation</t>
  </si>
  <si>
    <t>7205 E Southern Ave. Suite 120</t>
  </si>
  <si>
    <t>Mesa</t>
  </si>
  <si>
    <t>85209</t>
  </si>
  <si>
    <t>Ashley Buchholzer</t>
  </si>
  <si>
    <t>10/17/2014</t>
  </si>
  <si>
    <t>https://az-insulation.com/</t>
  </si>
  <si>
    <t>3600000</t>
  </si>
  <si>
    <t>Robert</t>
  </si>
  <si>
    <t>Ellsworth</t>
  </si>
  <si>
    <t>602-320-5111</t>
  </si>
  <si>
    <t>Ashley</t>
  </si>
  <si>
    <t>Buchholzer</t>
  </si>
  <si>
    <t>480-662-2874</t>
  </si>
  <si>
    <t>ashley@az-insulation.com</t>
  </si>
  <si>
    <t>Chase</t>
  </si>
  <si>
    <t>122100024</t>
  </si>
  <si>
    <t>636860723</t>
  </si>
  <si>
    <t>n/A</t>
  </si>
  <si>
    <t>attached</t>
  </si>
  <si>
    <t>▼  Clint Prospects</t>
  </si>
  <si>
    <t>Clint Prospects</t>
  </si>
  <si>
    <t>https://homegeniusexteriors.com/</t>
  </si>
  <si>
    <t>We have a roofer that does $2m/month in financing.They use a handful of lenders now for primary and have cycled through many - including Sunlight, Green Sky, and Service.  Home Genius Exteriors is the merchant - check them out here if you want:</t>
  </si>
  <si>
    <t>Text from the 32 pasted screenshots (searchable)</t>
  </si>
  <si>
    <t>The original workbook still contains all 32 screenshots as images on their lender tabs. This tab retypes what each one says so it can be searched, read on a phone, and copied. Where a screenshot was too low-resolution to read with confidence the row says so — check the image in the original before relying on those numbers.</t>
  </si>
  <si>
    <t>Lender tab</t>
  </si>
  <si>
    <t>Location</t>
  </si>
  <si>
    <t>What it shows</t>
  </si>
  <si>
    <t>Text content</t>
  </si>
  <si>
    <t>N18</t>
  </si>
  <si>
    <t>Finti portal — 'Add Store Provider' dialog</t>
  </si>
  <si>
    <t>Modal: Add Store Provider
Fields (all required):
  • Provider (dropdown) — set to: Sunlight Financial
  • Email
  • Password
Buttons: Cancel / Submit
Use: this is the screen in the Finti portal where Sunlight credentials get attached to a store.</t>
  </si>
  <si>
    <t>M8</t>
  </si>
  <si>
    <t>Finti portal — 'Edit Location Provider' dialog</t>
  </si>
  <si>
    <t>Modal: Edit Location Provider
Fields:
  • Provider (dropdown, locked) — Service Finance Company
  • Dealer ID (required) — free text
Buttons: Cancel / Submit
Use: Service Finance needs only the Dealer ID entered here (not a username/password like Sunlight).</t>
  </si>
  <si>
    <t>N1</t>
  </si>
  <si>
    <t>SFC enrollment Step 1 — Business Information (worked example: VP Roofing)</t>
  </si>
  <si>
    <t>Service Finance Company, LLC — Dealer Enrollment, Step 1 of 4: Business Information. Marked (FINTI).
Fields captured, with the example values used:
  • Business Legal Name: Vantage Point Roofing - and Restoration, LLC
  • Business Type: ROOFING MATERIAL
  • Sales: Greater than 10,000,000
  • Contractor/Business License or State Registration Name: VP Roofing
  • Contractor's Website: https://vproofing.com/
  • Address / Apt-Suite #: 687 N 2000 W Unit 8-9 / Units 8-9
  • Zip / City / State: 84663 / Springville / Utah
  • Do you offer products or services in the state of New Jersey?: No
  • Member ID - Preferred contractor # (Optional)
  • Contact Name / Contact Email: Jacke Fullmer / jake@vproofing.com
  • Contact Phone / Main Business Phone: 801-889-8609 / 801-430-9248
  • FEIN or Business Tax Id: 85-4125041
  • License type: Contractor (checked) or Business
  • License ID#: 12066923-5501
  • Date of Company Formation: 12/03/2020
Support line shown: (877) 661-6793.</t>
  </si>
  <si>
    <t>X3</t>
  </si>
  <si>
    <t>SFC Step 2 — Payment Info + business-name verification warning</t>
  </si>
  <si>
    <t>Service Finance enrollment, Payment Info screen (voided-check capture).
Warning modal — 'Verify Business Name Listed in Step 1':
  Business Legal Name: VANTAGE POINT ROOFING - AND RESTORATION, LLC
  Contractor/Business License Name: VP ROOFING
  'The business check you submit with this application must have one of the names listed above.
   If it does not, please return to Step 1 and make the necessary changes.'
  Buttons: Go Back / Ok
IMPORTANT for onboarding: the voided check name must match the legal name or the license name, or the app is rejected.
Fields on the page: ABA Number (routing), Account Number, Bank Name, and the email funding info should go to.
Example values: ABA 324079555 / Acct 12494058 / MOUNTAIN AMERICA CU / jake@vproofing.com</t>
  </si>
  <si>
    <t>AG3</t>
  </si>
  <si>
    <t>SFC Step 4 — Trade References (3 required)</t>
  </si>
  <si>
    <t>Service Finance enrollment, Step 4 of 4: Trade References. Three reference blocks, each capturing:
  Company Name, Account Number, Contact Person Name, Email, Contact Person Phone Number,
  Address, Apt/Suite #, Zip, City, State.
Buttons: Remove Trade / Add Trade / Back / Proceed.
Worked example used:
  Ref 1 — ABC Supply, acct 2010489-0001, Matt Johnson, matthew.johnson3@abcsupply.com, 801-420-3475, 1522 W 400 S, Orem UT 84058
  Ref 2 — GAF, acct 1136945, Beau Ballard, beau.ballard@gaf.com, 801-797-4593, 1 Campus Drive, Parsippany NJ 07054
  Ref 3 — R and R Solar Roofs, acct 'VP Roofing', Seth, seth@randrsolarroofs.com, 385-539-8892, 721 S 400 W, Orem UT 84058</t>
  </si>
  <si>
    <t>AP1</t>
  </si>
  <si>
    <t>SFC — final confirmation / review page</t>
  </si>
  <si>
    <t>Service Finance 'Please Confirm that everything is correct' review page. Restates every value before submission:
  Business block: Legal Name, Contractor/Business License or State Registration Name, FEIN or Business Tax ID,
    License type, License ID#, Business type, Date of Company Formation, Sales, Address, Contact Person,
    Main Business Phone, Contact Phone, Fax, Email, Website.
  Owner/Officer 1 Information: First Name, M.I., Last Name, Title, Cell Phone Number, Address, Email.
  Payment Information: Funding email, Bank Name, Routing Number, Account Number.
  Trade References 1-3: Company/Supplier Name, Account Number, Phone, Fax, Contact Person, Email, Address,
    and 'Do you offer products or services in the state of New Jersey?'
  Disclaimer + 'Please check to acknowledge' checkbox restating the voided-check name-match rule.
Buttons: Revise / Proceed.</t>
  </si>
  <si>
    <t>AW3</t>
  </si>
  <si>
    <t>SFC — 'Verify your email address' prompt</t>
  </si>
  <si>
    <t>Modal: Verify your email address.
'Thank you for your interest in becoming a Service Finance Dealer. A valid email address is required to proceed
 with the enrollment process. We will send a confirmation email, to the email address below, with detailed
 instructions on how to proceed. If the email address shown below is incorrect, click Go back and then change
 the email address.'
Buttons: Go Back / Proceed.</t>
  </si>
  <si>
    <t>AW22</t>
  </si>
  <si>
    <t>SFC — 'Confirm your email Address' hand-off screen</t>
  </si>
  <si>
    <t>Banner: Confirm your email Address.
'Check your inbox for a confirmation email from Service Finance LLC. Please follow the instructions in that email
 in order to move forward with the enrollment process.'
NOTE for MO: enrollment stalls here until the dealer clicks through the email. Common reason an SFC app sits 'submitted'.</t>
  </si>
  <si>
    <t>G39</t>
  </si>
  <si>
    <t>SFC Step 1 header (Bluebird Turf example)</t>
  </si>
  <si>
    <t>Business Information / (FINTI) / Business Legal Name: Bluebird Turf Co</t>
  </si>
  <si>
    <t>FFC — Verification Email (new dealer user account)</t>
  </si>
  <si>
    <t>Slide: Verification Email.
'When a new dealer is signed up, FFC will create a new user account. The user must verify their credentials for
 applications to be submitted via the API.'
Example: Username: testuserexample / Verification Code: 49b1f4
The email arrives from noreply@foundationfinance.com, subject '[External] Foundation Finance - Email Verification',
contains the created user ID and a verification code, plus a 'Verify Email' button.</t>
  </si>
  <si>
    <t>P26</t>
  </si>
  <si>
    <t>FFC — Verify Email / Set Password flow</t>
  </si>
  <si>
    <t>Slide: Verify Email.
'Clicking Verify Email will open a new browser where the user can reset their password. Copy and paste the
 verification code from the email into the Verification Code Box. Next create a new password ensuring all
 criteria is met.'
SET PASSWORD screen fields: Verification Code, Password, confirm Password.
Password must include: 12-128 characters; both upper AND lowercase letters; a number (0-9).</t>
  </si>
  <si>
    <t>FFC — PROGRAM TERMS AND PROMOTIONS (rate card, page 1)</t>
  </si>
  <si>
    <t>Foundation Finance Company — Program Terms and Promotions.
Application Amounts: $1,000 - $100,000. All States Served (see state specific info).
INSTALLMENT TERMS 12-240 mos+. 240-month terms carry an additional 1.5% discount for all programs.
Tier 1 (ACH Bonus 1%, $250 max) — Interest Rate / Promo Discount:
  11.9% FREE | 10.9% 2.0% | 9.9% 4.0% | 8.9% 7.0% | 7.9% 9.5% | 6.9% 12.0% | 5.9% 14.0%
Tier 2 (ACH Bonus 1%, $250 max):
  13.5% FREE | 12.9% 1.5% | 11.9% 4.0% | 10.9% 6.5% | 9.9% 9.0% | 8.9% 11.5% | 7.9% 13.5% | 6.9% 16.5% | 5.9% 19.5%
Tier 3 (ACH Bonus 2.5%, $250 max). Tier 3 Risk Discount varies based on credit; total dealer cost = risk discount + promo discount:
  15.99% FREE | 14.9% 2.5% | 13.5% 6.0% | 12.9% 7.5% | 11.9% 10.0% | 10.9% 13.5% | 9.9% 16.0%
Tier 4 (ACH Bonus 2.5%, $250 max). Tier 4 Risk Discount varies based on credit:
  17.99% FREE | 16.99% 2.5% | 15.99% 5.0% | 14.9% 7.5% | 13.5% 11.0% | 12.9% 13.0% | 11.9% 15.5% | 10.9% 18.5% | 9.9% 21.5%
Tier 5 — Risk Discount varies based on credit. No additional promotions can be added. ACH Bonus 2.5% ($250 max):
  17.99% FREE
Footnotes: May be combined with 3-months-deferred-payment promo at a 2% additional discount for Tiers 1 &amp; 2;
for Tiers 3 &amp; 4 add an additional 3% discount. Interest begins accruing upon substantial project completion and is
not waived. Monthly payments deferred during the promotional period (3 months from substantial project completion).
ACH BONUS: $250 maximum; complete ACH info must be provided with contract documents &amp; customers must verify
information during the verification call. Tier 5 approvals: $30,000 maximum contract size, 144-month term maximum.
State rate restrictions may apply.</t>
  </si>
  <si>
    <t>M48</t>
  </si>
  <si>
    <t>FFC — STATE SPECIFIC RESTRICTIONS (Florida &amp; Georgia)</t>
  </si>
  <si>
    <t>Foundation Finance — State Specific Restrictions.
FLORIDA: Maximum Interest Rate Allowed by Term and Program.
Doc stamp fee of 35 cents per $100 financed will be deducted. Buy-down discounts apply.
Terms shown: 12/24/36/48/60/72/84/96/108/120/144/180/240 months.
  Standard: 17.99% through 120mo; 16.99% at 144 and 180; 15.99% at 240.
  SAC (Same-As-Cash): same as Standard.
  NOP (No Payments-No Interest): 17.99% through 120mo; term not allowed at 144/180/240.
  3 MODEF (3 Months Deferred Payments): 17.99% through 108mo; 16.99% at 120 and 144; 15.99% at 180 and 240.
  6 &amp; 12 MODEFSAC: term not allowed at 12 or 240; 15.99% for 24 through 180.
  18 &amp; 24 MODEFSAC: term not allowed at 12 or 240; 13.50% for 24 through 180.
GEORGIA: Maximum Interest Rate Allowed by Term and Program. Buy-down discounts apply.
  Standard: 17.99% through 180mo; 16.99% at 240.
  SAC: same as Standard.
  NOP: 17.99% through 180mo; term not allowed at 240.
  3 MODEF: 17.99% through 144mo; 16.99% at 180 and 240.
  6 &amp; 12 MODEFSAC: term not allowed at 12 or 240; 16.99% for 24 through 180.
  18 &amp; 24 MODEFSAC: term not allowed at 12 or 240; 13.50% for 24 through 180.</t>
  </si>
  <si>
    <t>FFC — promo plan matrix (SAC / DEFSAC / NOP / EQL), page 1 of 2</t>
  </si>
  <si>
    <t>Foundation Finance promotional plan matrix.
Same-as-Cash With Monthly Payments (SAC) — 17.99% interest rate unless state restrictions apply:
  6 MOSAC: Tier 1 = 7.0%; Tiers 2, 3 &amp; 4 = 8.0%
  12 MOSAC: Tier 1 = 8.0%; Tier 2 = 10.0%; Tiers 3 &amp; 4 = 11.0%
  18 MOSAC: Tier 1 = 9.0%; Tier 2 = 11.5%; Tiers 3 &amp; 4 = 14.0%
  24 MOSAC: 18.0%
Same-as-Cash With Deferred Monthly Payments (DEFSAC) — 17.99% unless state restrictions apply:
  6 MODEFSAC: Tier 1 = 7.5%; Tiers 2, 3 &amp; 4 = 9.5%
  12 MODEFSAC: Tier 1 = 8.5%; Tier 2 = 11.0%; Tiers 3 &amp; 4 = 15.0%
  18 MODEFSAC: Tier 1 = 10.0%; Tier 2 = 13.0%; Tiers 3 &amp; 4 = not available
  24 MODEFSAC: Tier 1 = 14.0%; Tier 2 = 17.0%; Tiers 3 &amp; 4 = not available
No Payments-No Interest (NOP) — rate buy-downs not allowed, state restrictions apply:
  6 MONOP @ 17.99%: All Tiers = 11.5%
  6 MONOP @ 12.99%: Tier 1 = 9.0%; Tier 2 = 13.0%; Tiers 3 &amp; 4 = not available
  6 MONOP @ 9.99%: Tier 1 = 11.0%; Tier 2 = 15.0%; Tiers 3 &amp; 4 = not available
  12 MONOP @ 17.99%: All Tiers = 18.0%
  12 MONOP @ 12.99%: Tier 1 = 11.0%; Tier 2 = 15.0%; Tiers 3 &amp; 4 = not available
  12 MONOP @ 9.99%: Tier 1 = 13.0%; Tier 2 = 17.0%; Tiers 3 &amp; 4 = not available
Equal Payments (EQL) — 0% interest rate:
  12 MOEQL: Tier 1 = 8.5%; Tier 2 = 11.0%; Tiers 3 &amp; 4 = 14.0%
  24 MOEQL: Tier 1 = 13.5%; Tier 2 = 16.0%; Tiers 3 &amp; 4 = 19.0%
  36 MOEQL: Tier 1 = 18.0%; Tier 2 = 20.5%; Tiers 3 &amp; 4 = 24.0%
  48 MOEQL: Tier 1 = 22.0%; Tier 2 = 24.5%; Tiers 3 &amp; 4 = 29.0%
  60 MOEQL: Tier 1 = 25.0%; Tier 2 = 27.5%; Tiers 3 &amp; 4 = 34.0%
Combined Plans (reduced interest rate with SAC or DEFSAC): at 13.5% add +2.5% (SAC) / +5.0% (DEFSAC);
  at 9.9% add +11.0% (SAC) / +13.5% (DEFSAC).
Bids must be 90% or higher to use the 12MONOP &amp; 12-24 MODEFSAC plans.
144-month term available for contract sizes greater than $7,500. 180-month term for FICOs &gt; 680 and contracts &gt; $25k.
240-month term for FICOs &gt; 680 and contracts &gt; $35k; 240-month contracts carry an additional 1.5% discount.
A promotional interest rate program must be selected or the standard rate of 17.99% applies.
AL, AR, CT, FL, GA, MI, MN, PA, TN, VT: restrictions apply.</t>
  </si>
  <si>
    <t>M73</t>
  </si>
  <si>
    <t>FFC — STATE SPECIFIC RESTRICTIONS (MI/PA, TN, + AL/AR/CT/MN/VT), page 2 of 2</t>
  </si>
  <si>
    <t>MICHIGAN &amp; PENNSYLVANIA: Maximum Interest Rate Allowed by Term and Program.
Home Improvement and HVAC projects. Buy-down discounts apply.
  Standard: 13.50% for 12-84mo; 11.90% for 96-180mo; 10.90% at 240.
  SAC: same as Standard.
  NOP: term not allowed at any term.
  3 MODEF: 11.90% at 12; 13.50% for 24-60; 11.90% for 72-180; 10.90% at 240.
  6, 12, 18 &amp; 24 MODEFSAC: term not allowed at 12 or 24; 9.90% for 36 through 240.
TENNESSEE: Maximum Interest Rate Allowed by Term and Program. Buy-down discounts apply.
  Standard: 17.99% through 120mo; 17.00% at 144; 15.99% at 180 and 240.
  SAC: same as Standard.
  NOP: 17.99% through 120mo; term not allowed at 144/180/240.
  3 MODEF: 17.99% through 96mo; 17.00% for 108-144; 15.99% at 180; 14.90% at 240.
  6 &amp; 12 MODEFSAC: term not allowed at 12; 14.90% for 24 through 240.
  18 &amp; 24 MODEFSAC: term not allowed at 12; 13.50% for 24 through 240.
ALABAMA: Min. contract size $2,001.
ARKANSAS: 17.00% Max rate.
CONNECTICUT: 12.00% Max rate. Buy-down discounts apply.
MINNESOTA: 8.00% Max rate. Buy-down discounts apply.
VERMONT: 15.00% Max rate. Buy-down discounts apply.
For dealer use only. Not a consumer advertisement. All credit products subject to credit approval. Rates, terms,
conditions and promotional programs may vary by dealer and are subject to change without notice.
Contact FFC for complete program details. 1-855-241-0024 - foundationfinance.com - REV. 10/15/2024</t>
  </si>
  <si>
    <t>FFC — HVAC Program Terms &amp; Promotions</t>
  </si>
  <si>
    <t>Foundation Finance — HVAC Program Terms &amp; Promotions.
Application amounts $1,000 - $100,000, all states served. Installment terms 12-240 mos; 240-month terms carry an
additional 1.5% discount for all programs.
Tier ACH bonuses: Tier 1 = 1% ($250 max), Tier 2 = 1% ($250 max), Tier 3 = 2.5% ($250 max), Tier 4 = 2.5% ($250 max).
Interest rates with NO dealer discount: Tier 1 = 9.99% | Tier 2 = 12.99% | Tier 3 = 13.99% | Tier 4 = 17.99%
Reduced Interest Rate (promo discount by tier):
  12.99%: Tier 1 n/a, Tier 2 n/a, Tier 3 2.0%, Tier 4 12.0%
  9.99%:  Tier 1 n/a, Tier 2 6.5%, Tier 3 10.0%, Tier 4 20.0%
  7.99%:  Tier 1 4.5%, Tier 2 10.5%, Tier 3 18.0%, Tier 4 29.0%
Same-as-Cash with Monthly Payments (by rate, then Tier 1/2/3/4):
  6MOSAC  @17.99%: 5.0/5.0/6.0/8.0   @12.99%: 7.0/8.0/10.0/13.0   @9.99%: 8.0/11.0/13.0/17.0
  12MOSAC @17.99%: 7.0/7.0/10.0/15.0 @12.99%: 9.0/10.0/14.0/20.0  @9.99%: 10.0/13.0/17.0/24.0
  18MOSAC @17.99%: 8.0/8.0/13.0/18.0 @12.99%: 10.0/11.0/17.0/23.0 @9.99%: 11.0/14.0/20.0/27.0
  24MOSAC @17.99%: 10.0/10.0/15.0/24.0 @12.99%: 12.0/13.0/19.0/29.0 @9.99%: 13.0/16.0/22.0/33.0
Same-as-Cash with Deferred Monthly Payments — 12MODEFSAC:
  @17.99%: 8.0/8.0/12.0/17.0  @12.99%: 10.0/14.0/20.0/25.0  @9.99%: 13.0/19.0/26.0/31.0
No Payments - No Interest — 6MONOP @12.99%: 6.0/9.0/13.0/21.0
Equal Payments @ 0%: 36 MOEQL 15.0/18.0/21.0/30.0 | 48 MOEQL 18.0/21.0/24.0/34.0 | 60 MOEQL 20.0/24.0/27.0/37.0
Tier 5 Buy Deep Plan: Tier 5 dealer discount 15-25% based on credit. No additional promotions can be added.
  ACH Bonus 2.5% ($250 maximum). Interest rate 17.99%, promo discount FREE.
Tier 5 approvals: $30,000 maximum contract size, 144-month term maximum. State rate restrictions may apply.
AL, AR, CT, FL, GA, MI, PA, TN, VT: restrictions apply.</t>
  </si>
  <si>
    <t>N102</t>
  </si>
  <si>
    <t>FFC — STATE SPECIFIC RESTRICTIONS (HVAC deck copy)</t>
  </si>
  <si>
    <t>Second copy of the Foundation Finance 'State Specific Restrictions' page attached to the HVAC deck.
Content matches the State Specific Restrictions transcription above (MI/PA, TN rate grids and the
ALABAMA min. contract size $2,001 / ARKANSAS 17.00% / CONNECTICUT 12.00% / MINNESOTA 8.00% /
VERMONT 15.00% max-rate row). Refer to the image on this tab for the full grid.</t>
  </si>
  <si>
    <t>H157</t>
  </si>
  <si>
    <t>FFC dealer application — Company Information (blank)</t>
  </si>
  <si>
    <t>Foundation Finance dealer application, Company Information section.
Fields: Company Name (required), Doing Business As (DBA).</t>
  </si>
  <si>
    <t>H167</t>
  </si>
  <si>
    <t>FFC dealer application — Owner Information (how many owners)</t>
  </si>
  <si>
    <t>Foundation Finance dealer application, Owner Information section.
'How Many Owners Are There?' (required, dropdown)
'All owners owning 10% or more of business must be provided. Any missing ownership will delay the processing of
 your dealer application. If more than 4 owners, we will collect that information during the application review process.'</t>
  </si>
  <si>
    <t>H179</t>
  </si>
  <si>
    <t>FFC dealer application — Company Information (worked example)</t>
  </si>
  <si>
    <t>Foundation Finance dealer application, Company Information filled in:
  Company Name: Jessica Enterprises
  Doing Business As (DBA): Jessica Siding of Wisconsin</t>
  </si>
  <si>
    <t>H192</t>
  </si>
  <si>
    <t>FFC dealer application — Primary Contact Person</t>
  </si>
  <si>
    <t>Foundation Finance dealer application, Primary Contact Person (required).
Fields: First / Last name, Title.
Example: Jessica Gille, Title: CEO of Jessica Enterprises</t>
  </si>
  <si>
    <t>H204</t>
  </si>
  <si>
    <t>FFC dealer application — Owner 1 block</t>
  </si>
  <si>
    <t>Foundation Finance dealer application, Owner Information.
'How Many Owners Are There?' = 1
'All owners owning 10% or more of business must be provided. Any missing ownership will delay the processing of
 your dealer application. If more than 4 owners, we will collect that information during the application review process.'
Owner 1: Name (First / Last) — example placeholder 'Foundation Finance Company'.</t>
  </si>
  <si>
    <t>H220</t>
  </si>
  <si>
    <t>FFC dealer application — Owner SSN &amp; DOB (soft credit pull)</t>
  </si>
  <si>
    <t>Foundation Finance dealer application, Owner 1 identity fields.
  Owner 1: SSN (required) — 9 of 9 max characters.
  'Invalid SSN will delay the processing of the dealer application. Owner SSN is required for verification and other
   compliance purposes, and will be used to perform a soft inquiry on the owner's credit report, which will not
   affect the owner's credit score.'
  Owner 1: Date of Birth (required) — Month / Day / Year.
NOTE: example values shown in the screenshot are dummy placeholders (000000000 / 01-01-2000), not real data.</t>
  </si>
  <si>
    <t>H240</t>
  </si>
  <si>
    <t>FFC dealer application — Owner Signature &amp; ACH Agreement</t>
  </si>
  <si>
    <t>Foundation Finance dealer application, Owner Signature &amp; ACH Agreement.
Owner 1 Agreement (required checkbox): 'By checking this box, I agree that for the purpose of establishing and
 maintaining a dealer relationship with Foundation Finance Company (FFC), I hereby authorize FFC to make all
 investigations deemed necessary, including but not limited to obtaining credit reports of any owner or principal of
 the dealer and obtaining other relevant information from or through third-party sources. Any reference listed on
 this application is authorized to release information about their experience with the dealer. This information is for
 FFC's internal use only to establish financial soundness and credit worthiness of dealer principals. I am authorized
 to provide this information on behalf of the dealer. I authorize FFC to initiate credit entries and to initiate debit
 entries and adjustments for any entries in error to the bank account provided them.'
Then: 'I agree' checkbox, Owner 1 Name (First / Last).</t>
  </si>
  <si>
    <t>Chowder — Product Summary</t>
  </si>
  <si>
    <t>Chowder — Product Summary / Product Overview.
  Product Vehicle: Lease Purchase / Lease-to-Own — a flexible alternative to installment lending, expanding access
    for credit-challenged homeowners.
  Products: HVAC systems and Water Heaters
  Term: Up to 96 months (longest term in the subprime market)
  Loan Amount: $300 - $18,000
  Credit Requirements: No FICO needed
  Minimum Income: $2,500/month (combined household income)
  Approval Rate: Up to 80%, based on customer profile mix
  Market Coverage: Active in 41 states</t>
  </si>
  <si>
    <t>Chowder — Benefits / Why Choose Chowder</t>
  </si>
  <si>
    <t>Chowder — Benefits: Why Choose Chowder?
  Expanded FICO Coverage
    • Say 'Yes' more often by extending your buy box
    • Increase approvals and boost overall sales with broader credit coverage
  Market-Leading Tech Stack
    • Fully automated application process — fast, seamless, and frictionless
    • Approval &amp; install in under 5 minutes for homeowners
    • No stipulations required — leveraging data-driven automation</t>
  </si>
  <si>
    <t>F38</t>
  </si>
  <si>
    <t>Chowder — Connectivity / 5 steps to an approval</t>
  </si>
  <si>
    <t>Chowder — Connectivity &amp; Technology. '5 Simple Steps to an Approval'.
Chowder has met with home improvement industry leaders to provide a customer experience that eliminates
friction points, driving throughput and more sales.
  1. VALIDATE MY INFORMATION — English or Spanish flow; First &amp; Last Name; DOB; Phone #; SSN/ITIN; State;
     Household Income
  2. SELECT LEASE OPTIONS — Invoice Amount; Select Lease Option; Early Purchase Option
  3. CONTRACT SIGNATURE — Agreement Signature
  4. MAKE MY FIRST PAYMENT — Debit or Credit Card
  5. READY FOR INSTALLATION — Schedule Installation date &amp; Request Funds</t>
  </si>
  <si>
    <t>Chowder — competitive comparison table</t>
  </si>
  <si>
    <t>Chowder vs. competition comparison:
  Decision to Install Time: Chowder 5 minutes | Competitor several days
  Max Term Length: Chowder up to 96 months | Competitor up to 72 months
  Max Lease Amount: Chowder (higher) | Competitor up to $15k
  Payment Factor Rates: Chowder industry-best | Competitor standard rates
  Approval Rate: Chowder highest to date | Competitor moderate
  Lease Segment Specialist: Chowder yes | Competitor partial</t>
  </si>
  <si>
    <t>Chowder — Product Benefits + states NOT served</t>
  </si>
  <si>
    <t>Chowder — Our Product Benefits:
  • Approval amounts up to $18,000
  • Up to 96-month terms
  • Submission to install within 10 minutes
  • Automated application process
  • Servicing homes in 40 different states
  • No contractor fees
  • Expanded credit box (sub prime)
  • Decision rendered in under 5 minutes
  • Receive funding in 24 to 48 hours after completed installation
IMPORTANT — Chowder does NOT currently operate in: Alaska, California, Hawaii, Massachusetts, Maine,
Minnesota, New Jersey, Vermont, Wisconsin, West Virginia, and Wyoming.</t>
  </si>
  <si>
    <t>AM38</t>
  </si>
  <si>
    <t>Chowder — offered repairs and replacements</t>
  </si>
  <si>
    <t>Chowder — Offered Repairs And Replacements:
  Condenser | Air Handler | Water Heater | Furnace | Boiler | Evaporative Coolers / Swamp Cooler |
  Heat Pump | Mini-Split | Oil Tank
  Coil Replacement | Fan / Blower Motor Replacement | Capacitor Replacement | Compressor Replacement |
  Control Board Replacement | Heat Exchanger Replacement | Heat Exchange Valve Replacement</t>
  </si>
  <si>
    <t>US Bank Avvance — merchant onboarding tips by vertical</t>
  </si>
  <si>
    <t>U.S. Bank Avvance - Merchant Onboarding, Tips by Vertical.
1. Physical Goods (including Furniture)
   • For furniture vendors: always submit 2 years of audited business financial statements upfront (due to high-risk
     classification), along with interim statements if they exceed 6 months.
   • Possible alternatives include: tax returns (covering one or more years); unaudited financial statements.
   • Provide data on chargebacks and disputes.
   • Provide statistics on the time elapsed from order placement to receipt of goods.
   • Include information on the geographic sourcing of goods.
   • Include details about inventory levels.
2. Services (Elective Medical, Audiology, Home Improvement)
   • Submit 2 years of financial statements, plus interim statements if older than 6 months.
   • Provide specific details on delayed delivery procedures, including the timeframe from card charge to procedure
     delivery.
   • Clarify the refund policy, if applicable.
   • Processing statements may be submitted, optionally.</t>
  </si>
  <si>
    <t>US Bank Avvance — pricing / referral fee schedule</t>
  </si>
  <si>
    <t>U.S. Bank Avvance pricing schedule.
'The pricing on this schedule replaces Avvance pricing that was agreed upon on the Elavon US Monarch Schedule B-1.'
Referral Fee by Tier / Monthly Volume Tiers: &lt; $1 million; 1.00% for $1-$10 million.
Note: partner will be compensated an additional 0.15% of the loan amount to cover assessment fees billed to the partner.
Avvance Buy Box: Interest-Bearing vs Lifetime Zero APR — FICOs; terms 8-60 months / 8-36 months.
MDRs by Loan Type:
  Standard Interest-Bearing (all terms) — 3.75%
  Lifetime Zero APR, 3-month term (A La Carte) — 5.00%
  Lifetime Zero APR, 6-month term (A La Carte) — 6.00%
  Lifetime Zero APR, 12-month term (A La Carte) — 8.00%
  Lifetime Zero APR, 18-month term (A La Carte) — 12.00%
  Lifetime Zero APR, 24-month term (A La Carte) — 14.00%
  Lifetime Zero APR, 36-month term (A La Carte) — 16.00%
  Standard Interest-Bearing (all terms) APR range — 9.99% to 24.99%
* Subject to change.
NOTE: some values in this table were partially obscured in the source screenshot. Verify against the image on this
tab, or against the signed schedule, before quoting pricing.</t>
  </si>
  <si>
    <t>SERVICE FINANCE</t>
  </si>
  <si>
    <t>APPLICATION LINK</t>
  </si>
  <si>
    <t xml:space="preserve">https://enroll.svcfin.com/finti </t>
  </si>
  <si>
    <t>https://enroll.svcfin.com/dealer/enroll?id=48050</t>
  </si>
  <si>
    <t>FintiKey: 0873cce4-c289-49fd-ba61-106a3b00fad5</t>
  </si>
  <si>
    <t>Note: Use letters only in the company name field — no commas, periods, or dashes, or the application will not submit.</t>
  </si>
  <si>
    <t>Janet Lasauskas — Service Finance Dealer Enrollment Manager — enroll@svcfin.com / janet.lasauskas@svcfin.com — Office: 866.254.0497 ext 3869 | Direct: 561.571.3869 | Alt: 866.307.1373</t>
  </si>
  <si>
    <t>APPROVED MERCHANT VERTICALS</t>
  </si>
  <si>
    <t>All US-based business types are open for consideration. Eligibility is driven by the project being financed, not by the merchant's industry label.</t>
  </si>
  <si>
    <t>RESTRICTED / PROHIBITED INDUSTRIES</t>
  </si>
  <si>
    <t>Service Finance will finance all home improvement projects EXCEPT:</t>
  </si>
  <si>
    <t>Solar installations</t>
  </si>
  <si>
    <t>Living landscapes — not financeable on their own; eligible only when part of another financeable home improvement project</t>
  </si>
  <si>
    <t>Above-ground pools</t>
  </si>
  <si>
    <t>MINIMUM TIME IN BUSINESS</t>
  </si>
  <si>
    <t>1 year.</t>
  </si>
  <si>
    <t>MINIMUM REVENUE REQUIREMENTS</t>
  </si>
  <si>
    <t>None. Service Finance sets no minimum annual revenue. Revenue and finance-volume figures are still collected for the dealer profile below, for tiering and priority, not as a pass/fail screen.</t>
  </si>
  <si>
    <t>LICENSING REQUIREMENTS</t>
  </si>
  <si>
    <t>Dealer must be licensed for the work performed in the home.</t>
  </si>
  <si>
    <t>Service Finance follows all applicable state-required licensing requirements — the bar is whatever the state where the job is performed requires for that trade.</t>
  </si>
  <si>
    <t>STATE RESTRICTIONS</t>
  </si>
  <si>
    <t>None. No state-level exclusions; the only state-specific gate is licensing (above).</t>
  </si>
  <si>
    <t>UNDERWRITING GUIDELINES</t>
  </si>
  <si>
    <t>Successful OFAC review required.</t>
  </si>
  <si>
    <t>BBB complaint history reviewed.</t>
  </si>
  <si>
    <t>Local advocacy / consumer complaint reviews considered.</t>
  </si>
  <si>
    <t>Minimum 1 year in business; no minimum revenue.</t>
  </si>
  <si>
    <t>DOCUMENTATION REQUIREMENTS</t>
  </si>
  <si>
    <t>SSN not required at enrollment, unless OFAC cannot be cleared using DOB + home address (rare) — then SSN is required.</t>
  </si>
  <si>
    <t>Driver's license and voided check — uploaded by the dealer after submission, through the email Service Finance sends (see NOTES).</t>
  </si>
  <si>
    <t>Dealer profile information — see the list below.</t>
  </si>
  <si>
    <t>INFO NEEDED FOR DEALER PROFILE</t>
  </si>
  <si>
    <t>DBA / Business Name; Entity type + state of registration &amp; date registered; EIN filing date (if available); length in business</t>
  </si>
  <si>
    <t>Owners/Partners (full legal names); % ownership; key equity partners, or note if bootstrapped</t>
  </si>
  <si>
    <t>TOP LINE annual revenue; most recent monthly revenue (top line) + month/year; forward forecast (next 12–24 months) incl. marketing materials &amp; revenue assumptions</t>
  </si>
  <si>
    <t>% of sales currently financed; annual finance volume; average ticket size and whether recurring or one-time</t>
  </si>
  <si>
    <t>Existing financing relationships / loan programs currently used; notes on financing performance or missed opportunities</t>
  </si>
  <si>
    <t>Sales tactics and channels (door-to-door, retail, ecommerce, etc.)</t>
  </si>
  <si>
    <t>Online presence — Google reviews/complaints, and a review/reputation link (Google, Trustmary, etc.)</t>
  </si>
  <si>
    <t>Anything shareable about profitability</t>
  </si>
  <si>
    <t>SUPPORT CONTACTS</t>
  </si>
  <si>
    <t>Credit Operations — Gary Lobban — 866-254-0497 (Ext. 3819) — Gary.Lobban@svcfin.com</t>
  </si>
  <si>
    <t>Treasury Management — Karl McNish — 866-254-0497 (Ext. 3846) — Karl.McNish@svcfin.com</t>
  </si>
  <si>
    <t>Operational Support — Jaclynn Johnston-Gunning — 561-571-3849 — Jaclynn.Johnston@svcfin.com</t>
  </si>
  <si>
    <t>Dealer Enrollment — Janet Lasauskas — 561-571-3869 — Janet.Lasauskas@svcfin.com</t>
  </si>
  <si>
    <t>Dealer Concierge — Dean Schroedle — 561-229-1174 — Dean.Schroedle@svcfin.com</t>
  </si>
  <si>
    <t>Customer Call Center — Michael Shortino — 561-486-8741 — michael.shortino@svcfin.com</t>
  </si>
  <si>
    <t>Customer Complaints — Brittany Thompson — 561-571-3907 — Brittany.A.Thompson@truist.com</t>
  </si>
  <si>
    <t>BUSINESS DEVELOPMENT CONTACTS</t>
  </si>
  <si>
    <t>VP of Business Development — Chuck Upshur — 866-293-7567 — Chuck.Upshur@svcfin.com</t>
  </si>
  <si>
    <t>VP of National Accounts — Mike Cheatham — 317-432-8561 — Mike.Cheatham@svcfin.com</t>
  </si>
  <si>
    <t>VP of Marketing — Jim Cadena — 972-569-0642 — James.Cadena@svcfin.com</t>
  </si>
  <si>
    <t>VP of Regional Sales — Dave Anderson — 786-559-5742 — Dave.Anderson@svcfin.com</t>
  </si>
  <si>
    <t>MANAGEMENT CONTACTS</t>
  </si>
  <si>
    <t>Head of Home Improvement Lending — Jennifer S. Harmon — Jennifer.Harmon@truist.com</t>
  </si>
  <si>
    <t>Operations Leader — Brian Edmundson — Brian.Edmundson@svcfin.com</t>
  </si>
  <si>
    <t>NOTES</t>
  </si>
  <si>
    <t>Immediately after submitting, the dealer receives an email and must upload a driver's license and voided check — email the dealer and rep to confirm this.</t>
  </si>
  <si>
    <t>If the dealer already has an existing SF account, submit a new application using the link and reference their existing Merchant ID.</t>
  </si>
  <si>
    <t>Landscaping only qualifies when it rides along with another financeable home improvement project.</t>
  </si>
  <si>
    <t>Eligibility source: Service Finance guidance from Jim Cadena, VP of Marketing (see BUSINESS DEVELOPMENT CONTACTS). Last reconciled 9/9/2026.</t>
  </si>
  <si>
    <t>FOUNDATION FINANCE</t>
  </si>
  <si>
    <t>foundationfinance.com/finti (custom onboarding link)</t>
  </si>
  <si>
    <t>No hard minimum requirements on annual sales revenue or years in business — but a positive online presence and reputable business matter. Foundation works with many small, "mom-and-pop" shops.</t>
  </si>
  <si>
    <t>Turnaround time is typically about 9 days — feel free to email to check status.</t>
  </si>
  <si>
    <t>REQUIREMENTS</t>
  </si>
  <si>
    <t>Contractor's registration/license required</t>
  </si>
  <si>
    <t>Requires ownership info for 100% of the business — if there are additional owners (10%+ ownership), both owners' full info is needed, including a valid SSN (full 9 digits) for each</t>
  </si>
  <si>
    <t>A soft TransUnion credit report/inquiry is run for each qualifying owner; a credit freeze can delay or, if not lifted, result in denial</t>
  </si>
  <si>
    <t>An owner verification call is required prior to approval (up to 3 outbound attempts via call, voicemail, email, and text); an incomplete call can delay or deny the application</t>
  </si>
  <si>
    <t>Financing/lending licenses required in certain states — see STATE LICENSING REQUIREMENTS below.</t>
  </si>
  <si>
    <t>Home automation and alarm systems are not supported (see Excluded Verticals below)</t>
  </si>
  <si>
    <t>APPLICATION TIPS (from Dealer Application FAQs / Standard Practices)</t>
  </si>
  <si>
    <t>Use the exact legal entity name matching the Secretary of State filing in the "Company Name" field — mismatches can trigger a request for a new application. If an entity operates under different corporate names in different states, a separate dealer application/account is needed per name.</t>
  </si>
  <si>
    <t>List everyone who owns 10%+ of the business — missing owners can delay or, if unresolved, deny the application. If more than 4 owners hold 10%+, use the condensed application for the remaining owners: foundationfinance.com/additional-owners/</t>
  </si>
  <si>
    <t>Including ACH info (voided check or bank letter) and General Liability insurance at application time is helpful but not required — these, plus licensing and dealer agreements, are required before funding.</t>
  </si>
  <si>
    <t>If the operating business is owned by another entity: Company Name = the operating business's legal name; DBA = its DBA; Main Contact = its contact; Ownership = the owning entity's name (SSN field can be all 0s or the EIN; DOB field can be a placeholder date or the entity's formation date). No credit inquiry is run when entity-owned. Signature must be from a corporate officer of the owning entity.</t>
  </si>
  <si>
    <t>ONBOARDING / CREDENTIAL NOTES</t>
  </si>
  <si>
    <t>When approved, before Finti receives API info, Foundation emails the dealer directly — the dealer must log in, verify their account, and reset their password before they can submit applications via the API.</t>
  </si>
  <si>
    <t>Jessica Gille — Questions — jgille@foundationfinance.com</t>
  </si>
  <si>
    <t>Nicole Kautza — Senior Project Analyst, Foundation Finance Company — nkautza@foundationfinance.com — Office: 1-715-847-5025 | Fax: 715-847-4429</t>
  </si>
  <si>
    <t>Michelle Hendricks — Integrator questions/concerns — mhendricks@foundationfinance.com</t>
  </si>
  <si>
    <t>Credit team (stipulations, bid/tier changes, pricing increases) — credit@foundationfinance.com</t>
  </si>
  <si>
    <t>Funding team (loan document questions, resending docs, changing customer emails) — funding@foundationfinance.com</t>
  </si>
  <si>
    <t>Awnings, Basement Finishing, Basement Waterproofing, Bathroom Remodel, Battery Back Up (Solar), Blinds/Shades, Boilers, Cement/Concrete, Container Homes, Dog Fences, Doors, Drywall, Electrical, EnergyMax Smart Chip/HVAC, EV Carports/Chargers, Fences, Fireplaces/Chimneys, Flooring, Foundation, Garage/Storage/Sheds/Buildings, Generators (hardwired only), Gutters, HVAC, Insulation, Kitchen Remodel, Landscaping, Mold Remediation (invoice), Other Exterior (outdoor grills), Outdoor Lighting, Painting, Patios/Decks, Perma Seal/Decking, Plumbing, Pools/Spas, Roofing, Room Additions, Septic, Sheds, Shelving, Siding, Solar/Energy Efficiency, Stairlifts/Mobility, Turf, Walk-in Tubs/Showers, Water Treatment, Windows</t>
  </si>
  <si>
    <t>*Some verticals on this list may be exempt from the standard 1-year-in-business requirement (per original notes).</t>
  </si>
  <si>
    <t>Foundation also finances other approved home improvement categories it lists — ask if a vertical is not named here.</t>
  </si>
  <si>
    <t>NOT APPROVED / EXCLUDED VERTICALS</t>
  </si>
  <si>
    <t>Apparel, Appliances, Beauty/Cosmetics, Bicycles, Boats/Cars/RV/Campers, Books/Education, Electronics, Fire Systems (sprinklers/alarms), Footwear, Furniture, Gardening (plants), Gas Repairs, Home Automation Systems, Houseware, Jewelry, Mortgage/Refinance, Plug-in Water Systems, Re-Fi, Retail (retail-only businesses), Security Systems, Services or Repairs Only, Tree Removal, Vacuums</t>
  </si>
  <si>
    <t>SITUATIONAL / REQUIRES REVIEW</t>
  </si>
  <si>
    <t>Neither auto-approved nor auto-excluded. Foundation reviews these case by case — get confirmation from Foundation before submitting the merchant.</t>
  </si>
  <si>
    <t>Air purifiers — Aerus Group only</t>
  </si>
  <si>
    <t>Pest control — Foundation's excluded list names mosquito/bug control specifically, so confirm the merchant's scope before submitting</t>
  </si>
  <si>
    <t>Radon</t>
  </si>
  <si>
    <t>Insurance deductibles</t>
  </si>
  <si>
    <t>HVAC service/parts only (no installation)</t>
  </si>
  <si>
    <t>Design or service plans without installation</t>
  </si>
  <si>
    <t>Financing products without installation (e.g. flooring, bath tub)</t>
  </si>
  <si>
    <t>Financing rebates</t>
  </si>
  <si>
    <t>STATE LICENSING REQUIREMENTS</t>
  </si>
  <si>
    <t>The dealer must hold the state registrations and financing licenses that apply where it sells and installs.</t>
  </si>
  <si>
    <t>See the Foundation Finance state licensing registration matrix (Finance License Registration Type-Cost.xlsx) for the registration type and cost required in each state.</t>
  </si>
  <si>
    <t>Registrations renew annually in the states that require it — track renewal dates so a lapse does not stall funding.</t>
  </si>
  <si>
    <t>States where Foundation flags a financing license: CO, DC, FL, IA, IN, KS, LA, ME, NJ, OK, SC, TX, UT, WI, WV, WY.</t>
  </si>
  <si>
    <t>Contact Foundation Finance for clarification on any merchant industry not clearly identified in the approved, prohibited, or situational categories.</t>
  </si>
  <si>
    <t>Vertical, situational and state licensing sections last updated Sept 9, 2026 from Foundation Finance underwriting / merchant eligibility guidance.</t>
  </si>
  <si>
    <t>US BANK — AVVANCE</t>
  </si>
  <si>
    <t>MINIMUM QUALIFICATIONS</t>
  </si>
  <si>
    <t>Business must be based in the United States</t>
  </si>
  <si>
    <t>At least one owner with 12+ months ownership tenure</t>
  </si>
  <si>
    <t>Average transaction between $300 and $25,000</t>
  </si>
  <si>
    <t>BUSINESS INFO REQUIRED</t>
  </si>
  <si>
    <t>Legal Business Name — registered legal name</t>
  </si>
  <si>
    <t>DBA Name — doing business as name</t>
  </si>
  <si>
    <t>Ownership Type — LLC, Corp, etc.</t>
  </si>
  <si>
    <t>Tax ID (EIN/SSN) — federal tax identification</t>
  </si>
  <si>
    <t>Business Establishment Date — year business started (must be 1+ year)</t>
  </si>
  <si>
    <t>Time in Business — total years/months operating</t>
  </si>
  <si>
    <t>Business Address — full address details</t>
  </si>
  <si>
    <t>Website URL — use avvance.com in SAT, real site in notes</t>
  </si>
  <si>
    <t>Customer Service Phone — merchant contact number</t>
  </si>
  <si>
    <t>OWNERS / PRINCIPALS</t>
  </si>
  <si>
    <t>Owner Name(s) — all business owners</t>
  </si>
  <si>
    <t>Ownership % — ownership percentage per owner</t>
  </si>
  <si>
    <t xml:space="preserve">
</t>
  </si>
  <si>
    <t>Personal Guarantee (PG) — at least one guarantor recommended; can reduce financial requirements</t>
  </si>
  <si>
    <t>FINANCIAL / VOLUME</t>
  </si>
  <si>
    <t>Annual Financing Volume — expected financed volume (critical for underwriting)</t>
  </si>
  <si>
    <t>Projected Monthly Volume — monthly Avvance volume</t>
  </si>
  <si>
    <t>Average Transaction Amount — average loan size, $300 to $25K range</t>
  </si>
  <si>
    <t>Highest Ticket Size — max transaction amount, up to $25,000</t>
  </si>
  <si>
    <t>Average Delivery Days — time to fulfill product/service (impacts underwriting)</t>
  </si>
  <si>
    <t>Processing statements — last 3 months (recommended)</t>
  </si>
  <si>
    <t>Bank Routing Number — business bank routing</t>
  </si>
  <si>
    <t>Bank Account Number — business bank account</t>
  </si>
  <si>
    <t>COMPLIANCE</t>
  </si>
  <si>
    <t>Legal Verification Documents — proof of legal status (owner ID)</t>
  </si>
  <si>
    <t>Financial Statements — tax returns, P&amp;L, etc.; required if risk thresholds are met</t>
  </si>
  <si>
    <t>Inventory / Fulfillment Info — inventory and delivery details (conditional)</t>
  </si>
  <si>
    <t>PORTAL &amp; LOGIN</t>
  </si>
  <si>
    <t>Elavon login: https://buynow.elavon.net/sales/#/home/dashboard</t>
  </si>
  <si>
    <t>Password: see the US Bank - Avvance tab on the old tracker</t>
  </si>
  <si>
    <t>Row</t>
  </si>
  <si>
    <t>Now Shows</t>
  </si>
  <si>
    <t>Before Rebuild</t>
  </si>
  <si>
    <t>What To Verify</t>
  </si>
  <si>
    <t>Britt's Notes</t>
  </si>
  <si>
    <t>In Process</t>
  </si>
  <si>
    <t>Foundation and US Bank are marked Active and Live. Confirm the dealer is really funded and running with both.</t>
  </si>
  <si>
    <t>Foundation is live, US Bank api is loaded but rates are still being uploaded to the portal</t>
  </si>
  <si>
    <t>Foundation shows Active and Live; SF and Sunlight Declined. US Bank sits at Submitted - chase that decision.</t>
  </si>
  <si>
    <t>need to apply to us bank</t>
  </si>
  <si>
    <t>Note says Complete but its box is unchecked. Tick the To-Do Done box so the note stops counting as open.</t>
  </si>
  <si>
    <t>done</t>
  </si>
  <si>
    <t>Applications</t>
  </si>
  <si>
    <t>Foundation marked Active and Live while SF is only Submitted and Sunlight Declined. Confirm FF is actually live.</t>
  </si>
  <si>
    <t>the api key is loaded, needs rate sheet and training</t>
  </si>
  <si>
    <t>Waiting on Lender</t>
  </si>
  <si>
    <t>Note says still pending with SF, yet Sunlight and Chowder are marked live. SF shows Approved but not live. Confirm which is true.</t>
  </si>
  <si>
    <t>*Shawn is the only one who has done anything with Tetra, so he probably needs to confirm that one, and if he doesn't know, then we can start reading the million emails in the Tetra folder</t>
  </si>
  <si>
    <t>Sunlight is marked Active and Live; SF only Submitted 8/25. Confirm Sunlight is truly boarded and live.</t>
  </si>
  <si>
    <t>Sunlight is live, but rate sheets need to be added, and training done</t>
  </si>
  <si>
    <t>SF and FF cells say Active but every Live flag is No. Either flip Live to Yes (row becomes Active) or the lender cells overstate where things are.</t>
  </si>
  <si>
    <t>not sure what you need me to do here. looks good to me</t>
  </si>
  <si>
    <t>SF and FF changed from In Process to Submitted during cleanup. Confirm both applications are actually with the lenders.</t>
  </si>
  <si>
    <t>Note just says In process and only FF is Submitted. Spell out what the dealer owes, or tick the box and the row becomes Waiting on Lender.</t>
  </si>
  <si>
    <t>SF, SL and FF changed from In Process to Submitted during cleanup. Confirm all three are really submitted.</t>
  </si>
  <si>
    <t>-</t>
  </si>
  <si>
    <t>Note reads like a status update, not something the dealer owes. If nothing is owed, tick the box; the row becomes Waiting on Lender.</t>
  </si>
  <si>
    <t>Listed twice (rows 27 and 28) with different notes. Confirm it is one merchant, merge the notes, delete the extra row.</t>
  </si>
  <si>
    <t>SF: Pending - verify</t>
  </si>
  <si>
    <t>SF changed from Pending - verify to Not Started. Verify with Service Finance whether an application actually exists.</t>
  </si>
  <si>
    <t>FF is Active and Live. The old typed status did not survive the rebuild and Chowder reset to Not Started because the vertical is HVAC. Confirm where this one stands.</t>
  </si>
  <si>
    <t>IDK how to catagorize in SFC APP</t>
  </si>
  <si>
    <t xml:space="preserve">OC </t>
  </si>
  <si>
    <t>36443000 </t>
  </si>
  <si>
    <t>Luis needs to do what is required in the SF email. Texted him 9/14/26</t>
  </si>
  <si>
    <t>Resubmitted to FOUNDATION</t>
  </si>
  <si>
    <t>Sunlight needs additional documents - sales contract, insurance, July or August bank statement; complete dealer call for Foundation</t>
  </si>
  <si>
    <t>Complete dealer call for Foundation</t>
  </si>
  <si>
    <t>Need bank statements for Sunlight</t>
  </si>
  <si>
    <t>All Docs Upload | agreements</t>
  </si>
  <si>
    <t>Need total number of sales per month/financed sales for FF &amp; trade reference emails for 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</si>
</sst>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lt;=9999999]###\-####;\(###\)\ ###\-####"/>
    <numFmt numFmtId="165" formatCode="m/d/yy"/>
  </numFmts>
  <fonts count="71">
    <font>
      <sz val="11"/>
      <color theme="1"/>
      <name val="Calibri"/>
      <family val="2"/>
      <charset val="1"/>
    </font>
    <font>
      <b/>
      <sz val="16"/>
      <color rgb="FF1F4E5F"/>
      <name val="Aptos Narrow"/>
      <charset val="1"/>
    </font>
    <font>
      <i/>
      <sz val="10"/>
      <color rgb="FF666666"/>
      <name val="Aptos Narrow"/>
      <charset val="1"/>
    </font>
    <font>
      <b/>
      <sz val="11"/>
      <color rgb="FFFFFFFF"/>
      <name val="Aptos Narrow"/>
      <charset val="1"/>
    </font>
    <font>
      <sz val="10"/>
      <name val="Aptos Narrow"/>
      <charset val="1"/>
    </font>
    <font>
      <b/>
      <sz val="12"/>
      <color rgb="FFFFFFFF"/>
      <name val="Aptos Narrow"/>
      <charset val="1"/>
    </font>
    <font>
      <b/>
      <sz val="10"/>
      <name val="Aptos Narrow"/>
      <charset val="1"/>
    </font>
    <font>
      <u/>
      <sz val="11"/>
      <color theme="10"/>
      <name val="Calibri"/>
      <family val="2"/>
      <charset val="1"/>
    </font>
    <font>
      <sz val="11"/>
      <color theme="1"/>
      <name val="Aptos Narrow"/>
    </font>
    <font>
      <b/>
      <sz val="11"/>
      <color theme="1"/>
      <name val="Aptos Narrow"/>
    </font>
    <font>
      <b/>
      <sz val="12"/>
      <color rgb="FFFFFFFF"/>
      <name val="Aptos Narrow"/>
    </font>
    <font>
      <b/>
      <sz val="11"/>
      <color rgb="FFFFFFFF"/>
      <name val="Aptos Narrow"/>
    </font>
    <font>
      <sz val="10"/>
      <name val="Aptos Narrow"/>
    </font>
    <font>
      <u/>
      <sz val="11"/>
      <color theme="10"/>
      <name val="Aptos Narrow"/>
    </font>
    <font>
      <sz val="10"/>
      <color rgb="FF000000"/>
      <name val="Aptos Narrow"/>
    </font>
    <font>
      <sz val="11"/>
      <color rgb="FF000000"/>
      <name val="Aptos Narrow"/>
    </font>
    <font>
      <sz val="12"/>
      <color theme="1"/>
      <name val="Aptos Narrow"/>
    </font>
    <font>
      <u/>
      <sz val="10"/>
      <color rgb="FF1155CC"/>
      <name val="Aptos Narrow"/>
    </font>
    <font>
      <sz val="10"/>
      <color theme="1"/>
      <name val="Aptos Narrow"/>
    </font>
    <font>
      <sz val="9"/>
      <color rgb="FF808080"/>
      <name val="Aptos Narrow"/>
    </font>
    <font>
      <b/>
      <sz val="10"/>
      <color rgb="FFB45F06"/>
      <name val="Aptos Narrow"/>
    </font>
    <font>
      <b/>
      <sz val="11"/>
      <color rgb="FF000000"/>
      <name val="Aptos Narrow"/>
    </font>
    <font>
      <b/>
      <sz val="18"/>
      <color rgb="FF1F4E5F"/>
      <name val="Aptos Narrow"/>
    </font>
    <font>
      <i/>
      <sz val="11"/>
      <color rgb="FF595959"/>
      <name val="Aptos Narrow"/>
    </font>
    <font>
      <b/>
      <sz val="11"/>
      <color rgb="FFB45F06"/>
      <name val="Aptos Narrow"/>
    </font>
    <font>
      <b/>
      <sz val="13"/>
      <color rgb="FF1F4E5F"/>
      <name val="Aptos Narrow"/>
    </font>
    <font>
      <i/>
      <sz val="10"/>
      <color rgb="FF595959"/>
      <name val="Aptos Narrow"/>
    </font>
    <font>
      <b/>
      <sz val="10"/>
      <color rgb="FF808080"/>
      <name val="Aptos Narrow"/>
    </font>
    <font>
      <b/>
      <sz val="10"/>
      <color rgb="FF8A6D00"/>
      <name val="Aptos Narrow"/>
    </font>
    <font>
      <b/>
      <sz val="10"/>
      <color rgb="FF1F4E78"/>
      <name val="Aptos Narrow"/>
    </font>
    <font>
      <b/>
      <sz val="10"/>
      <color rgb="FF38761D"/>
      <name val="Aptos Narrow"/>
    </font>
    <font>
      <b/>
      <sz val="10"/>
      <color rgb="FF1E7A34"/>
      <name val="Aptos Narrow"/>
    </font>
    <font>
      <b/>
      <sz val="10"/>
      <color rgb="FFA6302B"/>
      <name val="Aptos Narrow"/>
    </font>
    <font>
      <b/>
      <sz val="10"/>
      <color rgb="FF595959"/>
      <name val="Aptos Narrow"/>
    </font>
    <font>
      <b/>
      <sz val="11"/>
      <color rgb="FF17365D"/>
      <name val="Aptos Narrow"/>
    </font>
    <font>
      <sz val="10"/>
      <color rgb="FF999999"/>
      <name val="Aptos Narrow"/>
    </font>
    <font>
      <b/>
      <sz val="10"/>
      <color theme="1"/>
      <name val="Aptos Narrow"/>
    </font>
    <font>
      <b/>
      <sz val="11"/>
      <color theme="1"/>
      <name val="Calibri"/>
      <family val="2"/>
      <charset val="1"/>
    </font>
    <font>
      <b/>
      <sz val="16"/>
      <color theme="1"/>
      <name val="Calibri"/>
      <family val="2"/>
      <charset val="1"/>
    </font>
    <font>
      <i/>
      <sz val="11"/>
      <color theme="1"/>
      <name val="Calibri"/>
      <family val="2"/>
      <charset val="1"/>
    </font>
    <font>
      <sz val="15"/>
      <name val="Aptos Narrow"/>
    </font>
    <font>
      <b/>
      <sz val="15"/>
      <color rgb="FF1F4E5F"/>
      <name val="Aptos Narrow"/>
    </font>
    <font>
      <sz val="15"/>
      <color theme="1"/>
      <name val="Aptos Narrow"/>
    </font>
    <font>
      <b/>
      <sz val="15"/>
      <color theme="1"/>
      <name val="Aptos Narrow"/>
    </font>
    <font>
      <u/>
      <sz val="15"/>
      <color theme="10"/>
      <name val="Aptos Narrow"/>
    </font>
    <font>
      <sz val="15"/>
      <color theme="1"/>
      <name val="Arial"/>
      <charset val="1"/>
    </font>
    <font>
      <b/>
      <sz val="16"/>
      <color rgb="FFFFFFFF"/>
      <name val="Aptos Narrow"/>
    </font>
    <font>
      <b/>
      <sz val="10"/>
      <color rgb="FF000000"/>
      <name val="Aptos Narrow"/>
    </font>
    <font>
      <i/>
      <sz val="10"/>
      <color rgb="FF000000"/>
      <name val="Aptos Narrow"/>
    </font>
    <font>
      <sz val="11"/>
      <color theme="1"/>
      <name val="Segoe UI"/>
      <charset val="1"/>
    </font>
    <font>
      <b/>
      <sz val="14"/>
      <color theme="1"/>
      <name val="Calibri"/>
      <family val="2"/>
      <charset val="1"/>
    </font>
    <font>
      <sz val="11"/>
      <color rgb="FF000000"/>
      <name val="Lato"/>
    </font>
    <font>
      <i/>
      <sz val="9"/>
      <color rgb="FF808080"/>
      <name val="Calibri"/>
      <family val="2"/>
      <charset val="1"/>
    </font>
    <font>
      <b/>
      <sz val="11"/>
      <color rgb="FF1F3864"/>
      <name val="Calibri"/>
      <family val="2"/>
      <charset val="1"/>
    </font>
    <font>
      <b/>
      <sz val="10"/>
      <color rgb="FF1F3864"/>
      <name val="Calibri"/>
      <family val="2"/>
      <charset val="1"/>
    </font>
    <font>
      <b/>
      <sz val="9"/>
      <color rgb="FF808080"/>
      <name val="Calibri"/>
      <family val="2"/>
      <charset val="1"/>
    </font>
    <font>
      <sz val="10"/>
      <color rgb="FF000000"/>
      <name val="Calibri"/>
      <family val="2"/>
      <charset val="1"/>
    </font>
    <font>
      <sz val="14"/>
      <color theme="1"/>
      <name val="Aptos"/>
    </font>
    <font>
      <sz val="12"/>
      <color theme="1"/>
      <name val="Aptos"/>
      <family val="2"/>
      <charset val="1"/>
    </font>
    <font>
      <b/>
      <sz val="18"/>
      <color rgb="FF1F3864"/>
      <name val="Calibri"/>
      <family val="2"/>
      <charset val="1"/>
    </font>
    <font>
      <i/>
      <sz val="11"/>
      <color rgb="FF666666"/>
      <name val="Calibri"/>
      <family val="2"/>
      <charset val="1"/>
    </font>
    <font>
      <b/>
      <sz val="11"/>
      <color rgb="FFFFFFFF"/>
      <name val="Calibri"/>
      <family val="2"/>
      <charset val="1"/>
    </font>
    <font>
      <sz val="12"/>
      <color theme="1"/>
      <name val="Aptos"/>
    </font>
    <font>
      <b/>
      <sz val="10"/>
      <color rgb="FF1F3864"/>
      <name val="Aptos Narrow"/>
    </font>
    <font>
      <i/>
      <sz val="9"/>
      <color rgb="FFFFFFFF"/>
      <name val="Aptos Narrow"/>
    </font>
    <font>
      <sz val="12"/>
      <color rgb="FF000000"/>
      <name val="Aptos"/>
      <charset val="1"/>
    </font>
    <font>
      <sz val="9"/>
      <name val="Aptos Narrow"/>
    </font>
    <font>
      <sz val="9"/>
      <color theme="1"/>
      <name val="Aptos Narrow"/>
    </font>
    <font>
      <u/>
      <sz val="9"/>
      <color theme="10"/>
      <name val="Aptos Narrow"/>
    </font>
    <font>
      <sz val="9"/>
      <color rgb="FF000000"/>
      <name val="Aptos Narrow"/>
    </font>
    <font>
      <i/>
      <sz val="11"/>
      <color rgb="FF38761D"/>
      <name val="Calibri"/>
      <family val="2"/>
      <charset val="1"/>
    </font>
  </fonts>
  <fills count="39">
    <fill>
      <patternFill patternType="none"/>
    </fill>
    <fill>
      <patternFill patternType="gray125"/>
    </fill>
    <fill>
      <patternFill patternType="solid">
        <fgColor rgb="FFFCE5CD"/>
        <bgColor rgb="FFFFF2CC"/>
      </patternFill>
    </fill>
    <fill>
      <patternFill patternType="solid">
        <fgColor rgb="FFF2F2F2"/>
        <bgColor rgb="FFEDEDED"/>
      </patternFill>
    </fill>
    <fill>
      <patternFill patternType="solid">
        <fgColor rgb="FFFFF2CC"/>
        <bgColor rgb="FFFCE5CD"/>
      </patternFill>
    </fill>
    <fill>
      <patternFill patternType="solid">
        <fgColor rgb="FFBDD7EE"/>
        <bgColor rgb="FFD9D9D9"/>
      </patternFill>
    </fill>
    <fill>
      <patternFill patternType="solid">
        <fgColor rgb="FFD9EAD3"/>
        <bgColor rgb="FFC6EFCE"/>
      </patternFill>
    </fill>
    <fill>
      <patternFill patternType="solid">
        <fgColor rgb="FFC6EFCE"/>
        <bgColor rgb="FFD9EAD3"/>
      </patternFill>
    </fill>
    <fill>
      <patternFill patternType="solid">
        <fgColor rgb="FF9DE3A0"/>
        <bgColor rgb="FFA9D18E"/>
      </patternFill>
    </fill>
    <fill>
      <patternFill patternType="solid">
        <fgColor rgb="FFF8CBCB"/>
        <bgColor rgb="FFFCE5CD"/>
      </patternFill>
    </fill>
    <fill>
      <patternFill patternType="solid">
        <fgColor rgb="FFEDEDED"/>
        <bgColor rgb="FFF2F2F2"/>
      </patternFill>
    </fill>
    <fill>
      <patternFill patternType="solid">
        <fgColor rgb="FFD9D9D9"/>
        <bgColor rgb="FFD9EAD3"/>
      </patternFill>
    </fill>
    <fill>
      <patternFill patternType="solid">
        <fgColor rgb="FF1F4E5F"/>
        <bgColor rgb="FF1F4E78"/>
      </patternFill>
    </fill>
    <fill>
      <patternFill patternType="solid">
        <fgColor rgb="FF7F6000"/>
        <bgColor rgb="FF8A6D00"/>
      </patternFill>
    </fill>
    <fill>
      <patternFill patternType="solid">
        <fgColor rgb="FFFF0000"/>
        <bgColor indexed="64"/>
      </patternFill>
    </fill>
    <fill>
      <patternFill patternType="solid">
        <fgColor rgb="FF2F75B5"/>
        <bgColor indexed="64"/>
      </patternFill>
    </fill>
    <fill>
      <patternFill patternType="solid">
        <fgColor rgb="FFD9EAF7"/>
        <bgColor indexed="64"/>
      </patternFill>
    </fill>
    <fill>
      <patternFill patternType="solid">
        <fgColor rgb="FFFFF2CC"/>
        <bgColor indexed="64"/>
      </patternFill>
    </fill>
    <fill>
      <patternFill patternType="solid">
        <fgColor rgb="FFF2F2F2"/>
        <bgColor indexed="64"/>
      </patternFill>
    </fill>
    <fill>
      <patternFill patternType="solid">
        <fgColor rgb="FFFAFAFA"/>
        <bgColor indexed="64"/>
      </patternFill>
    </fill>
    <fill>
      <patternFill patternType="solid">
        <fgColor rgb="FFFF9900"/>
        <bgColor indexed="64"/>
      </patternFill>
    </fill>
    <fill>
      <patternFill patternType="solid">
        <fgColor rgb="FFCFE2F3"/>
        <bgColor indexed="64"/>
      </patternFill>
    </fill>
    <fill>
      <patternFill patternType="solid">
        <fgColor rgb="FFD9EAD3"/>
        <bgColor indexed="64"/>
      </patternFill>
    </fill>
    <fill>
      <patternFill patternType="solid">
        <fgColor rgb="FFF4CCCC"/>
        <bgColor indexed="64"/>
      </patternFill>
    </fill>
    <fill>
      <patternFill patternType="solid">
        <fgColor rgb="FF333333"/>
        <bgColor indexed="64"/>
      </patternFill>
    </fill>
    <fill>
      <patternFill patternType="solid">
        <fgColor rgb="FFD9D9D9"/>
        <bgColor indexed="64"/>
      </patternFill>
    </fill>
    <fill>
      <patternFill patternType="solid">
        <fgColor rgb="FF000000"/>
        <bgColor indexed="64"/>
      </patternFill>
    </fill>
    <fill>
      <patternFill patternType="solid">
        <fgColor rgb="FF44546A"/>
        <bgColor indexed="64"/>
      </patternFill>
    </fill>
    <fill>
      <patternFill patternType="solid">
        <fgColor rgb="FFD6DCE4"/>
        <bgColor indexed="64"/>
      </patternFill>
    </fill>
    <fill>
      <patternFill patternType="solid">
        <fgColor rgb="FF93C47D"/>
        <bgColor indexed="64"/>
      </patternFill>
    </fill>
    <fill>
      <patternFill patternType="solid">
        <fgColor rgb="FFFFD966"/>
        <bgColor indexed="64"/>
      </patternFill>
    </fill>
    <fill>
      <patternFill patternType="solid">
        <fgColor rgb="FF1F3864"/>
        <bgColor indexed="64"/>
      </patternFill>
    </fill>
    <fill>
      <patternFill patternType="solid">
        <fgColor rgb="FF2E75B6"/>
        <bgColor indexed="64"/>
      </patternFill>
    </fill>
    <fill>
      <patternFill patternType="solid">
        <fgColor rgb="FFFFE599"/>
        <bgColor indexed="64"/>
      </patternFill>
    </fill>
    <fill>
      <patternFill patternType="solid">
        <fgColor rgb="FF92D050"/>
        <bgColor indexed="64"/>
      </patternFill>
    </fill>
    <fill>
      <patternFill patternType="solid">
        <fgColor rgb="FFFFFFFF"/>
        <bgColor indexed="64"/>
      </patternFill>
    </fill>
    <fill>
      <patternFill patternType="solid">
        <fgColor rgb="FFD9E2F3"/>
        <bgColor indexed="64"/>
      </patternFill>
    </fill>
    <fill>
      <patternFill patternType="solid">
        <fgColor rgb="FFD9E1F2"/>
        <bgColor indexed="64"/>
      </patternFill>
    </fill>
    <fill>
      <patternFill patternType="solid">
        <fgColor rgb="FFEDF2F9"/>
        <bgColor indexed="64"/>
      </patternFill>
    </fill>
  </fills>
  <borders count="27">
    <border>
      <left/>
      <right/>
      <top/>
      <bottom/>
      <diagonal/>
    </border>
    <border>
      <left style="thin">
        <color rgb="FFD0D0D0"/>
      </left>
      <right/>
      <top style="thin">
        <color rgb="FFD0D0D0"/>
      </top>
      <bottom/>
      <diagonal/>
    </border>
    <border>
      <left style="thin">
        <color rgb="FFD0D0D0"/>
      </left>
      <right/>
      <top/>
      <bottom style="thin">
        <color rgb="FFD0D0D0"/>
      </bottom>
      <diagonal/>
    </border>
    <border>
      <left style="thin">
        <color rgb="FFD0D0D0"/>
      </left>
      <right style="thin">
        <color rgb="FFD0D0D0"/>
      </right>
      <top style="thin">
        <color rgb="FFD0D0D0"/>
      </top>
      <bottom/>
      <diagonal/>
    </border>
    <border>
      <left style="thin">
        <color rgb="FFD0D0D0"/>
      </left>
      <right style="thin">
        <color rgb="FFD0D0D0"/>
      </right>
      <top/>
      <bottom/>
      <diagonal/>
    </border>
    <border>
      <left style="thin">
        <color rgb="FFD0D0D0"/>
      </left>
      <right style="thin">
        <color rgb="FFD0D0D0"/>
      </right>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top style="thin">
        <color rgb="FFD0D0D0"/>
      </top>
      <bottom style="thin">
        <color rgb="FFD0D0D0"/>
      </bottom>
      <diagonal/>
    </border>
    <border>
      <left/>
      <right style="thin">
        <color rgb="FFD0D0D0"/>
      </right>
      <top style="thin">
        <color rgb="FFD0D0D0"/>
      </top>
      <bottom/>
      <diagonal/>
    </border>
    <border>
      <left/>
      <right style="thin">
        <color rgb="FFD0D0D0"/>
      </right>
      <top/>
      <bottom style="thin">
        <color rgb="FFD0D0D0"/>
      </bottom>
      <diagonal/>
    </border>
    <border>
      <left/>
      <right style="thin">
        <color rgb="FFD0D0D0"/>
      </right>
      <top style="thin">
        <color rgb="FFD0D0D0"/>
      </top>
      <bottom style="thin">
        <color rgb="FFD0D0D0"/>
      </bottom>
      <diagonal/>
    </border>
    <border>
      <left/>
      <right/>
      <top style="thin">
        <color rgb="FF7F8C8D"/>
      </top>
      <bottom/>
      <diagonal/>
    </border>
    <border>
      <left/>
      <right/>
      <top/>
      <bottom style="thin">
        <color rgb="FFD0D7DE"/>
      </bottom>
      <diagonal/>
    </border>
    <border>
      <left style="thin">
        <color rgb="FF8EA0B8"/>
      </left>
      <right style="thin">
        <color rgb="FF8EA0B8"/>
      </right>
      <top style="thin">
        <color rgb="FF8EA0B8"/>
      </top>
      <bottom style="thin">
        <color rgb="FF8EA0B8"/>
      </bottom>
      <diagonal/>
    </border>
    <border>
      <left style="thin">
        <color auto="1"/>
      </left>
      <right style="thin">
        <color auto="1"/>
      </right>
      <top/>
      <bottom style="thin">
        <color auto="1"/>
      </bottom>
      <diagonal/>
    </border>
    <border>
      <left style="thin">
        <color rgb="FFBFBFBF"/>
      </left>
      <right style="thin">
        <color rgb="FFBFBFBF"/>
      </right>
      <top style="thin">
        <color rgb="FFBFBFBF"/>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bottom/>
      <diagonal/>
    </border>
    <border>
      <left/>
      <right/>
      <top style="thin">
        <color rgb="FFBFBFBF"/>
      </top>
      <bottom/>
      <diagonal/>
    </border>
    <border>
      <left/>
      <right/>
      <top/>
      <bottom style="thin">
        <color rgb="FFBFBFBF"/>
      </bottom>
      <diagonal/>
    </border>
    <border>
      <left style="thin">
        <color rgb="FFBFBFBF"/>
      </left>
      <right/>
      <top style="thin">
        <color rgb="FFBFBFBF"/>
      </top>
      <bottom/>
      <diagonal/>
    </border>
    <border>
      <left style="thin">
        <color rgb="FFBFBFBF"/>
      </left>
      <right/>
      <top/>
      <bottom/>
      <diagonal/>
    </border>
    <border>
      <left style="thin">
        <color rgb="FFBFBFBF"/>
      </left>
      <right/>
      <top/>
      <bottom style="thin">
        <color rgb="FFBFBFBF"/>
      </bottom>
      <diagonal/>
    </border>
    <border>
      <left/>
      <right style="thin">
        <color rgb="FFBFBFBF"/>
      </right>
      <top style="thin">
        <color rgb="FFBFBFBF"/>
      </top>
      <bottom/>
      <diagonal/>
    </border>
    <border>
      <left/>
      <right style="thin">
        <color rgb="FFBFBFBF"/>
      </right>
      <top/>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s>
  <cellStyleXfs count="2">
    <xf numFmtId="0" fontId="0" fillId="0" borderId="0"/>
    <xf numFmtId="0" fontId="7" fillId="0" borderId="0" applyNumberFormat="0" applyFill="0" applyBorder="0" applyAlignment="0" applyProtection="0"/>
  </cellStyleXfs>
  <cellXfs count="304">
    <xf numFmtId="0" fontId="0" fillId="0" borderId="0" xfId="0"/>
    <xf numFmtId="0" fontId="0" fillId="0" borderId="6" xfId="0" applyBorder="1"/>
    <xf numFmtId="0" fontId="3" fillId="12" borderId="6" xfId="0" applyFont="1" applyFill="1" applyBorder="1" applyAlignment="1">
      <alignment horizontal="center" vertical="center" wrapText="1"/>
    </xf>
    <xf numFmtId="0" fontId="4" fillId="0" borderId="6" xfId="0" applyFont="1" applyBorder="1" applyAlignment="1">
      <alignment vertical="top" wrapText="1"/>
    </xf>
    <xf numFmtId="0" fontId="7" fillId="0" borderId="6" xfId="1" applyBorder="1" applyAlignment="1">
      <alignment vertical="top" wrapText="1"/>
    </xf>
    <xf numFmtId="0" fontId="5" fillId="13" borderId="6" xfId="0" applyFont="1" applyFill="1" applyBorder="1"/>
    <xf numFmtId="0" fontId="0" fillId="13" borderId="6" xfId="0" applyFill="1" applyBorder="1"/>
    <xf numFmtId="0" fontId="0" fillId="0" borderId="6" xfId="0" applyBorder="1" applyAlignment="1">
      <alignment vertical="top" wrapText="1"/>
    </xf>
    <xf numFmtId="0" fontId="6" fillId="0" borderId="6" xfId="0" applyFont="1" applyBorder="1" applyAlignment="1">
      <alignment vertical="top" wrapText="1"/>
    </xf>
    <xf numFmtId="0" fontId="8" fillId="0" borderId="6" xfId="0" applyFont="1" applyBorder="1"/>
    <xf numFmtId="0" fontId="8" fillId="0" borderId="0" xfId="0" applyFont="1"/>
    <xf numFmtId="164" fontId="8" fillId="0" borderId="0" xfId="0" applyNumberFormat="1" applyFont="1"/>
    <xf numFmtId="0" fontId="12" fillId="0" borderId="6" xfId="0" applyFont="1" applyBorder="1" applyAlignment="1">
      <alignment vertical="top" wrapText="1"/>
    </xf>
    <xf numFmtId="14" fontId="12" fillId="0" borderId="6" xfId="0" applyNumberFormat="1" applyFont="1" applyBorder="1" applyAlignment="1">
      <alignment horizontal="left" vertical="top" wrapText="1"/>
    </xf>
    <xf numFmtId="164" fontId="12" fillId="0" borderId="6" xfId="0" applyNumberFormat="1" applyFont="1" applyBorder="1" applyAlignment="1">
      <alignment vertical="top" wrapText="1"/>
    </xf>
    <xf numFmtId="0" fontId="13" fillId="0" borderId="6" xfId="1" applyFont="1" applyBorder="1" applyAlignment="1">
      <alignment vertical="top" wrapText="1"/>
    </xf>
    <xf numFmtId="0" fontId="17" fillId="0" borderId="6" xfId="0" applyFont="1" applyBorder="1" applyAlignment="1">
      <alignment horizontal="center" vertical="center"/>
    </xf>
    <xf numFmtId="14" fontId="12" fillId="0" borderId="3" xfId="0" applyNumberFormat="1" applyFont="1" applyBorder="1" applyAlignment="1">
      <alignment horizontal="left" vertical="top" wrapText="1"/>
    </xf>
    <xf numFmtId="0" fontId="16" fillId="0" borderId="0" xfId="0" applyFont="1"/>
    <xf numFmtId="0" fontId="18" fillId="0" borderId="6" xfId="0" applyFont="1" applyBorder="1"/>
    <xf numFmtId="0" fontId="18" fillId="0" borderId="0" xfId="0" applyFont="1"/>
    <xf numFmtId="0" fontId="18" fillId="14" borderId="0" xfId="0" applyFont="1" applyFill="1"/>
    <xf numFmtId="0" fontId="18" fillId="0" borderId="6" xfId="0" applyFont="1" applyBorder="1" applyAlignment="1">
      <alignment wrapText="1"/>
    </xf>
    <xf numFmtId="0" fontId="14" fillId="14" borderId="0" xfId="0" applyFont="1" applyFill="1"/>
    <xf numFmtId="0" fontId="18" fillId="0" borderId="6" xfId="0" applyFont="1" applyBorder="1">
      <extLst>
        <ext xmlns:xfpb="http://schemas.microsoft.com/office/spreadsheetml/2022/featurepropertybag" uri="{C7286773-470A-42A8-94C5-96B5CB345126}">
          <xfpb:xfComplement i="0"/>
        </ext>
      </extLst>
    </xf>
    <xf numFmtId="0" fontId="18" fillId="0" borderId="3" xfId="0" applyFont="1" applyBorder="1"/>
    <xf numFmtId="0" fontId="11" fillId="12" borderId="9" xfId="0" applyFont="1" applyFill="1" applyBorder="1" applyAlignment="1">
      <alignment horizontal="center" vertical="center" wrapText="1"/>
    </xf>
    <xf numFmtId="0" fontId="11" fillId="12" borderId="5" xfId="0" applyFont="1" applyFill="1" applyBorder="1" applyAlignment="1">
      <alignment horizontal="center" vertical="center" wrapText="1"/>
    </xf>
    <xf numFmtId="0" fontId="11" fillId="12" borderId="2" xfId="0" applyFont="1" applyFill="1" applyBorder="1" applyAlignment="1">
      <alignment horizontal="center" vertical="center" wrapText="1"/>
    </xf>
    <xf numFmtId="0" fontId="12" fillId="0" borderId="10" xfId="0" applyFont="1" applyBorder="1" applyAlignment="1">
      <alignment vertical="top" wrapText="1"/>
    </xf>
    <xf numFmtId="0" fontId="13" fillId="0" borderId="6" xfId="1" applyFont="1" applyBorder="1" applyAlignment="1">
      <alignment horizontal="center" vertical="center"/>
    </xf>
    <xf numFmtId="0" fontId="19" fillId="0" borderId="7" xfId="0" applyFont="1" applyBorder="1" applyAlignment="1">
      <alignment vertical="top" wrapText="1"/>
    </xf>
    <xf numFmtId="0" fontId="12" fillId="14" borderId="10" xfId="0" applyFont="1" applyFill="1" applyBorder="1" applyAlignment="1">
      <alignment vertical="top" wrapText="1"/>
    </xf>
    <xf numFmtId="0" fontId="13" fillId="14" borderId="6" xfId="1" applyFont="1" applyFill="1" applyBorder="1" applyAlignment="1">
      <alignment horizontal="center" vertical="center"/>
    </xf>
    <xf numFmtId="0" fontId="12" fillId="14" borderId="6" xfId="0" applyFont="1" applyFill="1" applyBorder="1" applyAlignment="1">
      <alignment vertical="top" wrapText="1"/>
    </xf>
    <xf numFmtId="0" fontId="19" fillId="14" borderId="7" xfId="0" applyFont="1" applyFill="1" applyBorder="1" applyAlignment="1">
      <alignment vertical="top" wrapText="1"/>
    </xf>
    <xf numFmtId="0" fontId="20" fillId="2" borderId="6" xfId="0" applyFont="1" applyFill="1" applyBorder="1" applyAlignment="1">
      <alignment vertical="top" wrapText="1"/>
    </xf>
    <xf numFmtId="0" fontId="8" fillId="0" borderId="8" xfId="0" applyFont="1" applyBorder="1"/>
    <xf numFmtId="0" fontId="13" fillId="0" borderId="3" xfId="1" applyFont="1" applyBorder="1"/>
    <xf numFmtId="0" fontId="8" fillId="0" borderId="3" xfId="0" applyFont="1" applyBorder="1" applyAlignment="1">
      <alignment wrapText="1"/>
    </xf>
    <xf numFmtId="0" fontId="8" fillId="0" borderId="1" xfId="0" applyFont="1" applyBorder="1" applyAlignment="1">
      <alignment wrapText="1"/>
    </xf>
    <xf numFmtId="0" fontId="9" fillId="0" borderId="6" xfId="0" applyFont="1" applyBorder="1"/>
    <xf numFmtId="0" fontId="13" fillId="0" borderId="6" xfId="1" applyFont="1" applyBorder="1"/>
    <xf numFmtId="0" fontId="15" fillId="0" borderId="6" xfId="1" applyFont="1" applyBorder="1"/>
    <xf numFmtId="0" fontId="8" fillId="0" borderId="6" xfId="0" applyFont="1" applyBorder="1" applyAlignment="1">
      <alignment horizontal="left"/>
    </xf>
    <xf numFmtId="0" fontId="8" fillId="0" borderId="6" xfId="0" applyFont="1" applyBorder="1" applyAlignment="1">
      <alignment horizontal="right"/>
    </xf>
    <xf numFmtId="0" fontId="21" fillId="0" borderId="6" xfId="0" applyFont="1" applyBorder="1"/>
    <xf numFmtId="0" fontId="11" fillId="24" borderId="0" xfId="0" applyFont="1" applyFill="1" applyAlignment="1">
      <alignment vertical="top" wrapText="1"/>
    </xf>
    <xf numFmtId="0" fontId="8" fillId="0" borderId="0" xfId="0" applyFont="1" applyAlignment="1">
      <alignment vertical="top" wrapText="1"/>
    </xf>
    <xf numFmtId="0" fontId="22" fillId="0" borderId="0" xfId="0" applyFont="1" applyAlignment="1">
      <alignment vertical="top" wrapText="1"/>
    </xf>
    <xf numFmtId="0" fontId="23" fillId="0" borderId="0" xfId="0" applyFont="1" applyAlignment="1">
      <alignment vertical="top" wrapText="1"/>
    </xf>
    <xf numFmtId="0" fontId="24" fillId="2" borderId="0" xfId="0" applyFont="1" applyFill="1" applyAlignment="1">
      <alignment vertical="top" wrapText="1"/>
    </xf>
    <xf numFmtId="0" fontId="25" fillId="0" borderId="0" xfId="0" applyFont="1" applyAlignment="1">
      <alignment vertical="top" wrapText="1"/>
    </xf>
    <xf numFmtId="0" fontId="15" fillId="0" borderId="0" xfId="0" applyFont="1" applyAlignment="1">
      <alignment vertical="top" wrapText="1"/>
    </xf>
    <xf numFmtId="0" fontId="26" fillId="3" borderId="0" xfId="0" applyFont="1" applyFill="1" applyAlignment="1">
      <alignment vertical="top" wrapText="1"/>
    </xf>
    <xf numFmtId="0" fontId="27" fillId="3" borderId="0" xfId="0" applyFont="1" applyFill="1"/>
    <xf numFmtId="0" fontId="28" fillId="4" borderId="0" xfId="0" applyFont="1" applyFill="1"/>
    <xf numFmtId="0" fontId="20" fillId="2" borderId="0" xfId="0" applyFont="1" applyFill="1"/>
    <xf numFmtId="0" fontId="29" fillId="5" borderId="0" xfId="0" applyFont="1" applyFill="1"/>
    <xf numFmtId="0" fontId="30" fillId="6" borderId="0" xfId="0" applyFont="1" applyFill="1"/>
    <xf numFmtId="0" fontId="31" fillId="7" borderId="0" xfId="0" applyFont="1" applyFill="1"/>
    <xf numFmtId="0" fontId="31" fillId="8" borderId="0" xfId="0" applyFont="1" applyFill="1"/>
    <xf numFmtId="0" fontId="32" fillId="9" borderId="0" xfId="0" applyFont="1" applyFill="1"/>
    <xf numFmtId="0" fontId="27" fillId="10" borderId="0" xfId="0" applyFont="1" applyFill="1"/>
    <xf numFmtId="0" fontId="33" fillId="11" borderId="0" xfId="0" applyFont="1" applyFill="1"/>
    <xf numFmtId="0" fontId="8" fillId="0" borderId="0" xfId="0" applyFont="1" applyAlignment="1">
      <alignment horizontal="left" wrapText="1"/>
    </xf>
    <xf numFmtId="0" fontId="34" fillId="16" borderId="0" xfId="0" applyFont="1" applyFill="1" applyAlignment="1">
      <alignment horizontal="center" vertical="center"/>
    </xf>
    <xf numFmtId="0" fontId="9" fillId="19" borderId="11" xfId="0" applyFont="1" applyFill="1" applyBorder="1" applyAlignment="1">
      <alignment vertical="top" wrapText="1"/>
    </xf>
    <xf numFmtId="0" fontId="8" fillId="19" borderId="11" xfId="0" applyFont="1" applyFill="1" applyBorder="1" applyAlignment="1">
      <alignment vertical="top" wrapText="1"/>
    </xf>
    <xf numFmtId="0" fontId="9" fillId="19" borderId="0" xfId="0" applyFont="1" applyFill="1" applyAlignment="1">
      <alignment vertical="top" wrapText="1"/>
    </xf>
    <xf numFmtId="0" fontId="8" fillId="19" borderId="0" xfId="0" applyFont="1" applyFill="1" applyAlignment="1">
      <alignment vertical="top" wrapText="1"/>
    </xf>
    <xf numFmtId="0" fontId="9" fillId="19" borderId="12" xfId="0" applyFont="1" applyFill="1" applyBorder="1" applyAlignment="1">
      <alignment vertical="top" wrapText="1"/>
    </xf>
    <xf numFmtId="0" fontId="8" fillId="19" borderId="12" xfId="0" applyFont="1" applyFill="1" applyBorder="1" applyAlignment="1">
      <alignment vertical="top" wrapText="1"/>
    </xf>
    <xf numFmtId="0" fontId="18" fillId="20" borderId="13" xfId="0" applyFont="1" applyFill="1" applyBorder="1" applyAlignment="1">
      <alignment vertical="center" wrapText="1"/>
    </xf>
    <xf numFmtId="0" fontId="18" fillId="0" borderId="13" xfId="0" applyFont="1" applyBorder="1" applyAlignment="1">
      <alignment vertical="center" wrapText="1"/>
    </xf>
    <xf numFmtId="0" fontId="18" fillId="21" borderId="13" xfId="0" applyFont="1" applyFill="1" applyBorder="1" applyAlignment="1">
      <alignment vertical="center" wrapText="1"/>
    </xf>
    <xf numFmtId="0" fontId="18" fillId="22" borderId="13" xfId="0" applyFont="1" applyFill="1" applyBorder="1" applyAlignment="1">
      <alignment vertical="center" wrapText="1"/>
    </xf>
    <xf numFmtId="0" fontId="18" fillId="23" borderId="13" xfId="0" applyFont="1" applyFill="1" applyBorder="1" applyAlignment="1">
      <alignment vertical="center" wrapText="1"/>
    </xf>
    <xf numFmtId="0" fontId="18" fillId="25" borderId="13" xfId="0" applyFont="1" applyFill="1" applyBorder="1" applyAlignment="1">
      <alignment vertical="center" wrapText="1"/>
    </xf>
    <xf numFmtId="0" fontId="18" fillId="26" borderId="13" xfId="0" applyFont="1" applyFill="1" applyBorder="1" applyAlignment="1">
      <alignment vertical="center" wrapText="1"/>
    </xf>
    <xf numFmtId="0" fontId="14" fillId="17" borderId="16" xfId="0" applyFont="1" applyFill="1" applyBorder="1" applyAlignment="1" applyProtection="1">
      <alignment horizontal="left"/>
      <protection locked="0"/>
    </xf>
    <xf numFmtId="49" fontId="14" fillId="17" borderId="16" xfId="0" applyNumberFormat="1" applyFont="1" applyFill="1" applyBorder="1" applyAlignment="1" applyProtection="1">
      <alignment horizontal="left"/>
      <protection locked="0"/>
    </xf>
    <xf numFmtId="0" fontId="14" fillId="17" borderId="15" xfId="0" applyFont="1" applyFill="1" applyBorder="1" applyAlignment="1" applyProtection="1">
      <alignment horizontal="left"/>
      <protection locked="0"/>
    </xf>
    <xf numFmtId="0" fontId="7" fillId="0" borderId="0" xfId="1"/>
    <xf numFmtId="0" fontId="7" fillId="0" borderId="0" xfId="1" applyProtection="1"/>
    <xf numFmtId="0" fontId="40" fillId="0" borderId="6" xfId="0" applyFont="1" applyBorder="1" applyAlignment="1">
      <alignment horizontal="center" vertical="center"/>
    </xf>
    <xf numFmtId="0" fontId="41" fillId="0" borderId="6" xfId="0" applyFont="1" applyBorder="1"/>
    <xf numFmtId="0" fontId="42" fillId="0" borderId="6" xfId="0" applyFont="1" applyBorder="1"/>
    <xf numFmtId="164" fontId="42" fillId="0" borderId="6" xfId="0" applyNumberFormat="1" applyFont="1" applyBorder="1"/>
    <xf numFmtId="0" fontId="42" fillId="0" borderId="6" xfId="0" applyFont="1" applyBorder="1" applyAlignment="1">
      <alignment wrapText="1"/>
    </xf>
    <xf numFmtId="0" fontId="42" fillId="0" borderId="0" xfId="0" applyFont="1"/>
    <xf numFmtId="164" fontId="42" fillId="0" borderId="0" xfId="0" applyNumberFormat="1" applyFont="1"/>
    <xf numFmtId="0" fontId="43" fillId="20" borderId="0" xfId="0" applyFont="1" applyFill="1" applyAlignment="1">
      <alignment horizontal="left" wrapText="1"/>
    </xf>
    <xf numFmtId="0" fontId="43" fillId="21" borderId="0" xfId="0" applyFont="1" applyFill="1" applyAlignment="1">
      <alignment horizontal="left" wrapText="1"/>
    </xf>
    <xf numFmtId="0" fontId="43" fillId="22" borderId="0" xfId="0" applyFont="1" applyFill="1" applyAlignment="1">
      <alignment horizontal="left" wrapText="1"/>
    </xf>
    <xf numFmtId="0" fontId="43" fillId="29" borderId="0" xfId="0" applyFont="1" applyFill="1" applyAlignment="1">
      <alignment horizontal="left" wrapText="1"/>
    </xf>
    <xf numFmtId="0" fontId="43" fillId="23" borderId="0" xfId="0" applyFont="1" applyFill="1" applyAlignment="1">
      <alignment horizontal="left" wrapText="1"/>
    </xf>
    <xf numFmtId="0" fontId="43" fillId="30" borderId="0" xfId="0" applyFont="1" applyFill="1" applyAlignment="1">
      <alignment horizontal="left" wrapText="1"/>
    </xf>
    <xf numFmtId="0" fontId="42" fillId="0" borderId="4" xfId="0" applyFont="1" applyBorder="1"/>
    <xf numFmtId="0" fontId="40" fillId="0" borderId="6" xfId="0" applyFont="1" applyBorder="1" applyAlignment="1">
      <alignment vertical="top" wrapText="1"/>
    </xf>
    <xf numFmtId="0" fontId="40" fillId="0" borderId="6" xfId="0" applyFont="1" applyBorder="1" applyAlignment="1">
      <alignment vertical="center"/>
    </xf>
    <xf numFmtId="14" fontId="40" fillId="0" borderId="6" xfId="0" applyNumberFormat="1" applyFont="1" applyBorder="1" applyAlignment="1">
      <alignment vertical="center"/>
    </xf>
    <xf numFmtId="0" fontId="40" fillId="0" borderId="6" xfId="0" applyFont="1" applyBorder="1" applyAlignment="1">
      <alignment vertical="top" wrapText="1"/>
      <extLst>
        <ext xmlns:xfpb="http://schemas.microsoft.com/office/spreadsheetml/2022/featurepropertybag" uri="{C7286773-470A-42A8-94C5-96B5CB345126}">
          <xfpb:xfComplement i="0"/>
        </ext>
      </extLst>
    </xf>
    <xf numFmtId="0" fontId="42" fillId="0" borderId="5" xfId="0" applyFont="1" applyBorder="1"/>
    <xf numFmtId="49" fontId="40" fillId="0" borderId="5" xfId="0" applyNumberFormat="1" applyFont="1" applyBorder="1" applyAlignment="1">
      <alignment horizontal="left" vertical="top" wrapText="1"/>
    </xf>
    <xf numFmtId="14" fontId="40" fillId="0" borderId="5" xfId="0" applyNumberFormat="1" applyFont="1" applyBorder="1" applyAlignment="1">
      <alignment horizontal="left" vertical="top" wrapText="1"/>
    </xf>
    <xf numFmtId="14" fontId="40" fillId="0" borderId="6" xfId="0" applyNumberFormat="1" applyFont="1" applyBorder="1" applyAlignment="1">
      <alignment horizontal="left" vertical="top" wrapText="1"/>
    </xf>
    <xf numFmtId="49" fontId="40" fillId="0" borderId="6" xfId="0" applyNumberFormat="1" applyFont="1" applyBorder="1" applyAlignment="1">
      <alignment horizontal="left" vertical="top" wrapText="1"/>
    </xf>
    <xf numFmtId="164" fontId="40" fillId="0" borderId="6" xfId="0" applyNumberFormat="1" applyFont="1" applyBorder="1" applyAlignment="1">
      <alignment vertical="top" wrapText="1"/>
    </xf>
    <xf numFmtId="164" fontId="42" fillId="0" borderId="6" xfId="0" applyNumberFormat="1" applyFont="1" applyBorder="1" applyAlignment="1">
      <alignment wrapText="1"/>
    </xf>
    <xf numFmtId="0" fontId="42" fillId="0" borderId="6" xfId="0" applyFont="1" applyBorder="1">
      <extLst>
        <ext xmlns:xfpb="http://schemas.microsoft.com/office/spreadsheetml/2022/featurepropertybag" uri="{C7286773-470A-42A8-94C5-96B5CB345126}">
          <xfpb:xfComplement i="0"/>
        </ext>
      </extLst>
    </xf>
    <xf numFmtId="0" fontId="14" fillId="0" borderId="0" xfId="0" applyFont="1" applyAlignment="1">
      <alignment vertical="top" wrapText="1"/>
    </xf>
    <xf numFmtId="0" fontId="14" fillId="0" borderId="16" xfId="0" applyFont="1" applyBorder="1" applyAlignment="1">
      <alignment vertical="top" wrapText="1"/>
    </xf>
    <xf numFmtId="0" fontId="14" fillId="0" borderId="15" xfId="0" applyFont="1" applyBorder="1" applyAlignment="1">
      <alignment vertical="top" wrapText="1"/>
    </xf>
    <xf numFmtId="0" fontId="47" fillId="25" borderId="15" xfId="0" applyFont="1" applyFill="1" applyBorder="1" applyAlignment="1">
      <alignment horizontal="center" vertical="top" wrapText="1"/>
    </xf>
    <xf numFmtId="0" fontId="14" fillId="17" borderId="16" xfId="0" applyFont="1" applyFill="1" applyBorder="1" applyAlignment="1">
      <alignment vertical="top" wrapText="1"/>
    </xf>
    <xf numFmtId="0" fontId="14" fillId="17" borderId="15" xfId="0" applyFont="1" applyFill="1" applyBorder="1" applyAlignment="1">
      <alignment vertical="top" wrapText="1"/>
    </xf>
    <xf numFmtId="0" fontId="48" fillId="0" borderId="16" xfId="0" applyFont="1" applyBorder="1" applyAlignment="1">
      <alignment vertical="top" wrapText="1"/>
    </xf>
    <xf numFmtId="0" fontId="47" fillId="18" borderId="15" xfId="0" applyFont="1" applyFill="1" applyBorder="1" applyAlignment="1">
      <alignment horizontal="center" vertical="center" wrapText="1"/>
    </xf>
    <xf numFmtId="0" fontId="48" fillId="0" borderId="15" xfId="0" applyFont="1" applyBorder="1" applyAlignment="1">
      <alignment vertical="top" wrapText="1"/>
    </xf>
    <xf numFmtId="0" fontId="47" fillId="20" borderId="15" xfId="0" applyFont="1" applyFill="1" applyBorder="1" applyAlignment="1">
      <alignment horizontal="center" vertical="center" wrapText="1"/>
    </xf>
    <xf numFmtId="0" fontId="47" fillId="21" borderId="15" xfId="0" applyFont="1" applyFill="1" applyBorder="1" applyAlignment="1">
      <alignment horizontal="center" vertical="center" wrapText="1"/>
    </xf>
    <xf numFmtId="0" fontId="47" fillId="22" borderId="15" xfId="0" applyFont="1" applyFill="1" applyBorder="1" applyAlignment="1">
      <alignment horizontal="center" vertical="center" wrapText="1"/>
    </xf>
    <xf numFmtId="0" fontId="47" fillId="33" borderId="15" xfId="0" applyFont="1" applyFill="1" applyBorder="1" applyAlignment="1">
      <alignment horizontal="center" vertical="center" wrapText="1"/>
    </xf>
    <xf numFmtId="0" fontId="47" fillId="29" borderId="15" xfId="0" applyFont="1" applyFill="1" applyBorder="1" applyAlignment="1">
      <alignment horizontal="center" vertical="center" wrapText="1"/>
    </xf>
    <xf numFmtId="0" fontId="47" fillId="23" borderId="16" xfId="0" applyFont="1" applyFill="1" applyBorder="1" applyAlignment="1">
      <alignment horizontal="center" vertical="center" wrapText="1"/>
    </xf>
    <xf numFmtId="0" fontId="8" fillId="0" borderId="0" xfId="0" applyFont="1" applyAlignment="1">
      <alignment wrapText="1"/>
    </xf>
    <xf numFmtId="0" fontId="40" fillId="34" borderId="6" xfId="0" applyFont="1" applyFill="1" applyBorder="1" applyAlignment="1">
      <alignment vertical="top" wrapText="1"/>
    </xf>
    <xf numFmtId="0" fontId="42" fillId="34" borderId="6" xfId="0" applyFont="1" applyFill="1" applyBorder="1"/>
    <xf numFmtId="164" fontId="42" fillId="34" borderId="6" xfId="0" applyNumberFormat="1" applyFont="1" applyFill="1" applyBorder="1"/>
    <xf numFmtId="0" fontId="40" fillId="34" borderId="6" xfId="0" applyFont="1" applyFill="1" applyBorder="1" applyAlignment="1">
      <alignment vertical="center"/>
    </xf>
    <xf numFmtId="0" fontId="40" fillId="34" borderId="6" xfId="0" applyFont="1" applyFill="1" applyBorder="1" applyAlignment="1">
      <alignment horizontal="center" vertical="center"/>
    </xf>
    <xf numFmtId="14" fontId="40" fillId="34" borderId="6" xfId="0" applyNumberFormat="1" applyFont="1" applyFill="1" applyBorder="1" applyAlignment="1">
      <alignment vertical="center"/>
    </xf>
    <xf numFmtId="0" fontId="40" fillId="34" borderId="6" xfId="0" applyFont="1" applyFill="1" applyBorder="1" applyAlignment="1">
      <alignment vertical="top" wrapText="1"/>
      <extLst>
        <ext xmlns:xfpb="http://schemas.microsoft.com/office/spreadsheetml/2022/featurepropertybag" uri="{C7286773-470A-42A8-94C5-96B5CB345126}">
          <xfpb:xfComplement i="0"/>
        </ext>
      </extLst>
    </xf>
    <xf numFmtId="0" fontId="42" fillId="34" borderId="5" xfId="0" applyFont="1" applyFill="1" applyBorder="1"/>
    <xf numFmtId="49" fontId="40" fillId="34" borderId="5" xfId="0" applyNumberFormat="1" applyFont="1" applyFill="1" applyBorder="1" applyAlignment="1">
      <alignment horizontal="left" vertical="top" wrapText="1"/>
    </xf>
    <xf numFmtId="14" fontId="40" fillId="34" borderId="5" xfId="0" applyNumberFormat="1" applyFont="1" applyFill="1" applyBorder="1" applyAlignment="1">
      <alignment horizontal="left" vertical="top" wrapText="1"/>
    </xf>
    <xf numFmtId="0" fontId="18" fillId="34" borderId="0" xfId="0" applyFont="1" applyFill="1"/>
    <xf numFmtId="14" fontId="40" fillId="34" borderId="6" xfId="0" applyNumberFormat="1" applyFont="1" applyFill="1" applyBorder="1" applyAlignment="1">
      <alignment horizontal="left" vertical="top" wrapText="1"/>
    </xf>
    <xf numFmtId="49" fontId="40" fillId="34" borderId="6" xfId="0" applyNumberFormat="1" applyFont="1" applyFill="1" applyBorder="1" applyAlignment="1">
      <alignment horizontal="left" vertical="top" wrapText="1"/>
    </xf>
    <xf numFmtId="0" fontId="14" fillId="17" borderId="15" xfId="0" applyFont="1" applyFill="1" applyBorder="1" applyAlignment="1" applyProtection="1">
      <alignment horizontal="left" vertical="top" wrapText="1"/>
      <protection locked="0"/>
    </xf>
    <xf numFmtId="0" fontId="7" fillId="0" borderId="6" xfId="1" applyBorder="1"/>
    <xf numFmtId="0" fontId="37" fillId="0" borderId="0" xfId="0" applyFont="1"/>
    <xf numFmtId="0" fontId="0" fillId="0" borderId="0" xfId="0" applyAlignment="1">
      <alignment wrapText="1"/>
    </xf>
    <xf numFmtId="0" fontId="50" fillId="0" borderId="0" xfId="0" applyFont="1"/>
    <xf numFmtId="0" fontId="0" fillId="35" borderId="21" xfId="0" applyFill="1" applyBorder="1" applyAlignment="1" applyProtection="1">
      <alignment horizontal="center"/>
      <protection locked="0"/>
      <extLst>
        <ext xmlns:xfpb="http://schemas.microsoft.com/office/spreadsheetml/2022/featurepropertybag" uri="{C7286773-470A-42A8-94C5-96B5CB345126}">
          <xfpb:xfComplement i="0"/>
        </ext>
      </extLst>
    </xf>
    <xf numFmtId="0" fontId="0" fillId="35" borderId="22" xfId="0" applyFill="1" applyBorder="1" applyAlignment="1" applyProtection="1">
      <alignment horizontal="center"/>
      <protection locked="0"/>
      <extLst>
        <ext xmlns:xfpb="http://schemas.microsoft.com/office/spreadsheetml/2022/featurepropertybag" uri="{C7286773-470A-42A8-94C5-96B5CB345126}">
          <xfpb:xfComplement i="0"/>
        </ext>
      </extLst>
    </xf>
    <xf numFmtId="0" fontId="0" fillId="35" borderId="19" xfId="0" applyFill="1" applyBorder="1" applyAlignment="1" applyProtection="1">
      <alignment horizontal="center"/>
      <protection locked="0"/>
      <extLst>
        <ext xmlns:xfpb="http://schemas.microsoft.com/office/spreadsheetml/2022/featurepropertybag" uri="{C7286773-470A-42A8-94C5-96B5CB345126}">
          <xfpb:xfComplement i="0"/>
        </ext>
      </extLst>
    </xf>
    <xf numFmtId="14" fontId="42" fillId="0" borderId="6" xfId="0" applyNumberFormat="1" applyFont="1" applyBorder="1"/>
    <xf numFmtId="14" fontId="18" fillId="0" borderId="6" xfId="0" applyNumberFormat="1" applyFont="1" applyBorder="1"/>
    <xf numFmtId="0" fontId="18" fillId="17" borderId="0" xfId="0" applyFont="1" applyFill="1" applyProtection="1">
      <protection locked="0"/>
    </xf>
    <xf numFmtId="165" fontId="40" fillId="0" borderId="6" xfId="0" applyNumberFormat="1" applyFont="1" applyBorder="1" applyAlignment="1">
      <alignment vertical="center"/>
    </xf>
    <xf numFmtId="49" fontId="7" fillId="0" borderId="6" xfId="1" applyNumberFormat="1" applyBorder="1" applyAlignment="1">
      <alignment horizontal="left" vertical="top" wrapText="1"/>
    </xf>
    <xf numFmtId="0" fontId="59" fillId="0" borderId="0" xfId="0" applyFont="1"/>
    <xf numFmtId="0" fontId="60" fillId="0" borderId="0" xfId="0" applyFont="1"/>
    <xf numFmtId="0" fontId="61" fillId="31" borderId="0" xfId="0" applyFont="1" applyFill="1"/>
    <xf numFmtId="14" fontId="0" fillId="17" borderId="0" xfId="0" applyNumberFormat="1" applyFill="1"/>
    <xf numFmtId="0" fontId="37" fillId="36" borderId="19" xfId="0" applyFont="1" applyFill="1" applyBorder="1" applyAlignment="1">
      <alignment vertical="center"/>
    </xf>
    <xf numFmtId="0" fontId="0" fillId="0" borderId="16" xfId="0" applyBorder="1" applyAlignment="1">
      <alignment vertical="top" wrapText="1"/>
    </xf>
    <xf numFmtId="0" fontId="0" fillId="17" borderId="16" xfId="0" applyFill="1" applyBorder="1" applyAlignment="1">
      <alignment vertical="top" wrapText="1"/>
    </xf>
    <xf numFmtId="14" fontId="0" fillId="17" borderId="16" xfId="0" applyNumberFormat="1" applyFill="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0" fillId="0" borderId="16" xfId="0" applyBorder="1" applyAlignment="1">
      <alignment horizontal="center" vertical="top" wrapText="1"/>
    </xf>
    <xf numFmtId="0" fontId="42" fillId="0" borderId="0" xfId="0" applyFont="1" applyAlignment="1">
      <alignment wrapText="1"/>
      <extLst>
        <ext xmlns:xfpb="http://schemas.microsoft.com/office/spreadsheetml/2022/featurepropertybag" uri="{C7286773-470A-42A8-94C5-96B5CB345126}">
          <xfpb:xfComplement i="0"/>
        </ext>
      </extLst>
    </xf>
    <xf numFmtId="0" fontId="51" fillId="35" borderId="0" xfId="0" applyFont="1" applyFill="1" applyAlignment="1">
      <alignment wrapText="1"/>
    </xf>
    <xf numFmtId="0" fontId="58" fillId="0" borderId="0" xfId="0" applyFont="1"/>
    <xf numFmtId="0" fontId="57" fillId="0" borderId="0" xfId="0" applyFont="1" applyAlignment="1">
      <alignment horizontal="left" vertical="top"/>
    </xf>
    <xf numFmtId="0" fontId="49" fillId="0" borderId="0" xfId="0" applyFont="1"/>
    <xf numFmtId="0" fontId="45" fillId="0" borderId="0" xfId="0" applyFont="1"/>
    <xf numFmtId="0" fontId="37" fillId="36" borderId="0" xfId="0" applyFont="1" applyFill="1" applyAlignment="1">
      <alignment vertical="center"/>
    </xf>
    <xf numFmtId="0" fontId="62" fillId="0" borderId="0" xfId="0" applyFont="1"/>
    <xf numFmtId="0" fontId="9" fillId="0" borderId="0" xfId="0" applyFont="1"/>
    <xf numFmtId="49" fontId="18" fillId="0" borderId="0" xfId="0" applyNumberFormat="1" applyFont="1"/>
    <xf numFmtId="49" fontId="18" fillId="14" borderId="0" xfId="0" applyNumberFormat="1" applyFont="1" applyFill="1"/>
    <xf numFmtId="49" fontId="14" fillId="14" borderId="0" xfId="0" applyNumberFormat="1" applyFont="1" applyFill="1"/>
    <xf numFmtId="0" fontId="14" fillId="0" borderId="0" xfId="0" applyFont="1" applyAlignment="1">
      <alignment vertical="center"/>
    </xf>
    <xf numFmtId="0" fontId="47" fillId="0" borderId="0" xfId="0" applyFont="1" applyAlignment="1">
      <alignment vertical="center"/>
    </xf>
    <xf numFmtId="0" fontId="11" fillId="31" borderId="0" xfId="0" applyFont="1" applyFill="1" applyAlignment="1">
      <alignment vertical="center"/>
    </xf>
    <xf numFmtId="0" fontId="63" fillId="37" borderId="0" xfId="0" applyFont="1" applyFill="1" applyAlignment="1">
      <alignment vertical="center"/>
    </xf>
    <xf numFmtId="0" fontId="47" fillId="0" borderId="0" xfId="0" applyFont="1" applyAlignment="1">
      <alignment vertical="center" wrapText="1"/>
    </xf>
    <xf numFmtId="0" fontId="14" fillId="17" borderId="0" xfId="0" applyFont="1" applyFill="1" applyAlignment="1" applyProtection="1">
      <alignment horizontal="left" vertical="center"/>
      <protection locked="0"/>
    </xf>
    <xf numFmtId="49" fontId="14" fillId="17" borderId="0" xfId="0" applyNumberFormat="1" applyFont="1" applyFill="1" applyAlignment="1" applyProtection="1">
      <alignment horizontal="left" vertical="center"/>
      <protection locked="0"/>
    </xf>
    <xf numFmtId="0" fontId="14" fillId="17" borderId="0" xfId="0" applyFont="1" applyFill="1" applyAlignment="1" applyProtection="1">
      <alignment horizontal="center" vertical="center"/>
      <protection locked="0"/>
      <extLst>
        <ext xmlns:xfpb="http://schemas.microsoft.com/office/spreadsheetml/2022/featurepropertybag" uri="{C7286773-470A-42A8-94C5-96B5CB345126}">
          <xfpb:xfComplement i="0"/>
        </ext>
      </extLst>
    </xf>
    <xf numFmtId="0" fontId="64" fillId="31" borderId="0" xfId="0" applyFont="1" applyFill="1" applyAlignment="1">
      <alignment vertical="center"/>
    </xf>
    <xf numFmtId="0" fontId="47" fillId="38" borderId="0" xfId="0" applyFont="1" applyFill="1" applyAlignment="1">
      <alignment vertical="center"/>
    </xf>
    <xf numFmtId="49" fontId="7" fillId="34" borderId="5" xfId="1" applyNumberFormat="1" applyFill="1" applyBorder="1" applyAlignment="1">
      <alignment horizontal="left" vertical="top" wrapText="1"/>
    </xf>
    <xf numFmtId="49" fontId="7" fillId="34" borderId="6" xfId="1" applyNumberFormat="1" applyFill="1" applyBorder="1" applyAlignment="1">
      <alignment horizontal="left" vertical="top" wrapText="1"/>
    </xf>
    <xf numFmtId="0" fontId="11" fillId="12" borderId="6" xfId="0" applyFont="1" applyFill="1" applyBorder="1" applyAlignment="1">
      <alignment horizontal="center" vertical="center" wrapText="1"/>
    </xf>
    <xf numFmtId="164" fontId="11" fillId="12" borderId="6" xfId="0" applyNumberFormat="1" applyFont="1" applyFill="1" applyBorder="1" applyAlignment="1">
      <alignment horizontal="center" vertical="center" wrapText="1"/>
    </xf>
    <xf numFmtId="0" fontId="11" fillId="12" borderId="4" xfId="0" applyFont="1" applyFill="1" applyBorder="1" applyAlignment="1">
      <alignment horizontal="center" vertical="center" wrapText="1"/>
    </xf>
    <xf numFmtId="0" fontId="8" fillId="0" borderId="6" xfId="0" applyFont="1" applyBorder="1" applyAlignment="1">
      <alignment horizontal="center" vertical="center" wrapText="1"/>
    </xf>
    <xf numFmtId="0" fontId="44" fillId="34" borderId="6" xfId="1" applyFont="1" applyFill="1" applyBorder="1" applyAlignment="1">
      <alignment vertical="center" wrapText="1"/>
    </xf>
    <xf numFmtId="0" fontId="44" fillId="0" borderId="6" xfId="1" applyFont="1" applyFill="1" applyBorder="1" applyAlignment="1">
      <alignment vertical="center" wrapText="1"/>
    </xf>
    <xf numFmtId="0" fontId="40" fillId="34" borderId="6" xfId="0" applyFont="1" applyFill="1" applyBorder="1" applyAlignment="1">
      <alignment vertical="center" wrapText="1"/>
    </xf>
    <xf numFmtId="0" fontId="40" fillId="0" borderId="6" xfId="0" applyFont="1" applyBorder="1" applyAlignment="1">
      <alignment vertical="center" wrapText="1"/>
    </xf>
    <xf numFmtId="0" fontId="42" fillId="0" borderId="6" xfId="0" applyFont="1" applyBorder="1" applyAlignment="1">
      <alignment vertical="center" wrapText="1"/>
    </xf>
    <xf numFmtId="0" fontId="18" fillId="0" borderId="6" xfId="0" applyFont="1" applyBorder="1" applyAlignment="1">
      <alignment vertical="center" wrapText="1"/>
    </xf>
    <xf numFmtId="0" fontId="42" fillId="0" borderId="0" xfId="0" applyFont="1" applyAlignment="1">
      <alignment vertical="center" wrapText="1"/>
    </xf>
    <xf numFmtId="0" fontId="65" fillId="0" borderId="0" xfId="0" applyFont="1" applyAlignment="1">
      <alignment vertical="center" wrapText="1"/>
    </xf>
    <xf numFmtId="0" fontId="42" fillId="34" borderId="6" xfId="0" applyFont="1" applyFill="1" applyBorder="1" applyAlignment="1">
      <alignment vertical="center" wrapText="1"/>
    </xf>
    <xf numFmtId="0" fontId="12" fillId="0" borderId="6" xfId="0" applyFont="1" applyBorder="1" applyAlignment="1">
      <alignment vertical="center" wrapText="1"/>
    </xf>
    <xf numFmtId="0" fontId="7" fillId="0" borderId="6" xfId="1" applyFill="1" applyBorder="1" applyAlignment="1">
      <alignment vertical="center" wrapText="1"/>
    </xf>
    <xf numFmtId="49" fontId="42" fillId="0" borderId="6" xfId="0" applyNumberFormat="1" applyFont="1" applyBorder="1" applyAlignment="1">
      <alignment horizontal="left" wrapText="1"/>
    </xf>
    <xf numFmtId="49" fontId="18" fillId="0" borderId="6" xfId="0" applyNumberFormat="1" applyFont="1" applyBorder="1" applyAlignment="1">
      <alignment horizontal="left" wrapText="1"/>
    </xf>
    <xf numFmtId="0" fontId="66" fillId="0" borderId="6" xfId="0" applyFont="1" applyBorder="1" applyAlignment="1">
      <alignment vertical="center"/>
    </xf>
    <xf numFmtId="0" fontId="66" fillId="0" borderId="6" xfId="0" applyFont="1" applyBorder="1" applyAlignment="1">
      <alignment horizontal="center" vertical="center"/>
    </xf>
    <xf numFmtId="14" fontId="66" fillId="0" borderId="6" xfId="0" applyNumberFormat="1" applyFont="1" applyBorder="1" applyAlignment="1">
      <alignment vertical="center"/>
    </xf>
    <xf numFmtId="0" fontId="67" fillId="0" borderId="6" xfId="0" applyFont="1" applyBorder="1" applyAlignment="1">
      <alignment vertical="center"/>
    </xf>
    <xf numFmtId="0" fontId="68" fillId="0" borderId="6" xfId="1" applyFont="1" applyFill="1" applyBorder="1" applyAlignment="1">
      <alignment vertical="center"/>
    </xf>
    <xf numFmtId="164" fontId="67" fillId="0" borderId="6" xfId="0" applyNumberFormat="1" applyFont="1" applyBorder="1" applyAlignment="1">
      <alignment vertical="center"/>
    </xf>
    <xf numFmtId="49" fontId="66" fillId="0" borderId="6" xfId="0" applyNumberFormat="1" applyFont="1" applyBorder="1" applyAlignment="1">
      <alignment horizontal="left" vertical="center"/>
    </xf>
    <xf numFmtId="0" fontId="66" fillId="0" borderId="6" xfId="0" applyFont="1" applyBorder="1" applyAlignment="1">
      <alignment vertical="center"/>
      <extLst>
        <ext xmlns:xfpb="http://schemas.microsoft.com/office/spreadsheetml/2022/featurepropertybag" uri="{C7286773-470A-42A8-94C5-96B5CB345126}">
          <xfpb:xfComplement i="0"/>
        </ext>
      </extLst>
    </xf>
    <xf numFmtId="14" fontId="66" fillId="0" borderId="6" xfId="0" applyNumberFormat="1" applyFont="1" applyBorder="1" applyAlignment="1">
      <alignment horizontal="left" vertical="center"/>
    </xf>
    <xf numFmtId="164" fontId="66" fillId="0" borderId="6" xfId="0" applyNumberFormat="1" applyFont="1" applyBorder="1" applyAlignment="1">
      <alignment vertical="center"/>
    </xf>
    <xf numFmtId="0" fontId="69" fillId="0" borderId="6" xfId="0" applyFont="1" applyBorder="1" applyAlignment="1">
      <alignment vertical="center"/>
    </xf>
    <xf numFmtId="0" fontId="69" fillId="0" borderId="6" xfId="0" applyFont="1" applyBorder="1" applyAlignment="1">
      <alignment horizontal="center" vertical="center"/>
    </xf>
    <xf numFmtId="14" fontId="69" fillId="0" borderId="6" xfId="0" applyNumberFormat="1" applyFont="1" applyBorder="1" applyAlignment="1">
      <alignment vertical="center"/>
    </xf>
    <xf numFmtId="0" fontId="69" fillId="14" borderId="6" xfId="0" applyFont="1" applyFill="1" applyBorder="1" applyAlignment="1">
      <alignment vertical="center"/>
    </xf>
    <xf numFmtId="164" fontId="69" fillId="0" borderId="6" xfId="0" applyNumberFormat="1" applyFont="1" applyBorder="1" applyAlignment="1">
      <alignment vertical="center"/>
    </xf>
    <xf numFmtId="49" fontId="69" fillId="0" borderId="6" xfId="0" applyNumberFormat="1" applyFont="1" applyBorder="1" applyAlignment="1">
      <alignment horizontal="left" vertical="center"/>
    </xf>
    <xf numFmtId="0" fontId="69" fillId="0" borderId="6" xfId="0" applyFont="1" applyBorder="1" applyAlignment="1">
      <alignment vertical="center"/>
      <extLst>
        <ext xmlns:xfpb="http://schemas.microsoft.com/office/spreadsheetml/2022/featurepropertybag" uri="{C7286773-470A-42A8-94C5-96B5CB345126}">
          <xfpb:xfComplement i="0"/>
        </ext>
      </extLst>
    </xf>
    <xf numFmtId="0" fontId="11" fillId="12" borderId="10" xfId="0" applyFont="1" applyFill="1" applyBorder="1" applyAlignment="1">
      <alignment horizontal="center" vertical="center" wrapText="1"/>
    </xf>
    <xf numFmtId="0" fontId="40" fillId="34" borderId="10" xfId="0" applyFont="1" applyFill="1" applyBorder="1" applyAlignment="1">
      <alignment vertical="center" wrapText="1"/>
    </xf>
    <xf numFmtId="0" fontId="40" fillId="0" borderId="10" xfId="0" applyFont="1" applyBorder="1" applyAlignment="1">
      <alignment vertical="center" wrapText="1"/>
    </xf>
    <xf numFmtId="0" fontId="66" fillId="0" borderId="10" xfId="0" applyFont="1" applyBorder="1" applyAlignment="1">
      <alignment vertical="center"/>
    </xf>
    <xf numFmtId="0" fontId="69" fillId="14" borderId="10" xfId="0" applyFont="1" applyFill="1" applyBorder="1" applyAlignment="1">
      <alignment vertical="center"/>
    </xf>
    <xf numFmtId="0" fontId="42" fillId="0" borderId="10" xfId="0" applyFont="1" applyBorder="1" applyAlignment="1">
      <alignment vertical="center" wrapText="1"/>
    </xf>
    <xf numFmtId="0" fontId="40" fillId="0" borderId="3" xfId="0" applyFont="1" applyBorder="1" applyAlignment="1">
      <alignment vertical="top" wrapText="1"/>
      <extLst>
        <ext xmlns:xfpb="http://schemas.microsoft.com/office/spreadsheetml/2022/featurepropertybag" uri="{C7286773-470A-42A8-94C5-96B5CB345126}">
          <xfpb:xfComplement i="0"/>
        </ext>
      </extLst>
    </xf>
    <xf numFmtId="0" fontId="0" fillId="0" borderId="0" xfId="0" applyAlignment="1">
      <alignment horizontal="center"/>
    </xf>
    <xf numFmtId="49" fontId="49" fillId="0" borderId="0" xfId="0" applyNumberFormat="1" applyFont="1"/>
    <xf numFmtId="49" fontId="45" fillId="0" borderId="0" xfId="0" applyNumberFormat="1" applyFont="1"/>
    <xf numFmtId="0" fontId="40" fillId="0" borderId="8" xfId="0" applyFont="1" applyBorder="1" applyAlignment="1">
      <alignment vertical="center" wrapText="1"/>
    </xf>
    <xf numFmtId="0" fontId="40" fillId="0" borderId="3" xfId="0" applyFont="1" applyBorder="1" applyAlignment="1">
      <alignment vertical="top" wrapText="1"/>
    </xf>
    <xf numFmtId="0" fontId="42" fillId="0" borderId="3" xfId="0" applyFont="1" applyBorder="1" applyAlignment="1">
      <alignment vertical="center" wrapText="1"/>
    </xf>
    <xf numFmtId="164" fontId="42" fillId="0" borderId="3" xfId="0" applyNumberFormat="1" applyFont="1" applyBorder="1"/>
    <xf numFmtId="0" fontId="40" fillId="0" borderId="3" xfId="0" applyFont="1" applyBorder="1" applyAlignment="1">
      <alignment vertical="center"/>
    </xf>
    <xf numFmtId="49" fontId="40" fillId="0" borderId="3" xfId="0" applyNumberFormat="1" applyFont="1" applyBorder="1" applyAlignment="1">
      <alignment horizontal="left" vertical="top" wrapText="1"/>
    </xf>
    <xf numFmtId="0" fontId="40" fillId="0" borderId="3" xfId="0" applyFont="1" applyBorder="1" applyAlignment="1">
      <alignment horizontal="center" vertical="center"/>
    </xf>
    <xf numFmtId="165" fontId="40" fillId="0" borderId="3" xfId="0" applyNumberFormat="1" applyFont="1" applyBorder="1" applyAlignment="1">
      <alignment vertical="center"/>
    </xf>
    <xf numFmtId="14" fontId="40" fillId="0" borderId="3" xfId="0" applyNumberFormat="1" applyFont="1" applyBorder="1" applyAlignment="1">
      <alignment vertical="center"/>
    </xf>
    <xf numFmtId="0" fontId="40" fillId="0" borderId="3" xfId="0" applyFont="1" applyBorder="1" applyAlignment="1">
      <alignment vertical="center" wrapText="1"/>
    </xf>
    <xf numFmtId="0" fontId="42" fillId="0" borderId="3" xfId="0" applyFont="1" applyBorder="1"/>
    <xf numFmtId="14" fontId="40" fillId="0" borderId="3" xfId="0" applyNumberFormat="1" applyFont="1" applyBorder="1" applyAlignment="1">
      <alignment horizontal="left" vertical="top" wrapText="1"/>
    </xf>
    <xf numFmtId="0" fontId="44" fillId="0" borderId="3" xfId="0" applyFont="1" applyBorder="1" applyAlignment="1">
      <alignment vertical="center" wrapText="1"/>
    </xf>
    <xf numFmtId="0" fontId="47" fillId="18" borderId="16" xfId="0" applyFont="1" applyFill="1" applyBorder="1" applyAlignment="1">
      <alignment vertical="top" wrapText="1"/>
    </xf>
    <xf numFmtId="0" fontId="14" fillId="0" borderId="16" xfId="0" applyFont="1" applyBorder="1" applyAlignment="1">
      <alignment vertical="top" wrapText="1"/>
    </xf>
    <xf numFmtId="0" fontId="11" fillId="32" borderId="15" xfId="0" applyFont="1" applyFill="1" applyBorder="1" applyAlignment="1">
      <alignment vertical="center" wrapText="1"/>
    </xf>
    <xf numFmtId="0" fontId="47" fillId="18" borderId="15" xfId="0" applyFont="1" applyFill="1" applyBorder="1" applyAlignment="1">
      <alignment vertical="top" wrapText="1"/>
    </xf>
    <xf numFmtId="0" fontId="14" fillId="0" borderId="15" xfId="0" applyFont="1" applyBorder="1" applyAlignment="1">
      <alignment vertical="top" wrapText="1"/>
    </xf>
    <xf numFmtId="0" fontId="46" fillId="31" borderId="0" xfId="0" applyFont="1" applyFill="1" applyAlignment="1">
      <alignment vertical="center" wrapText="1"/>
    </xf>
    <xf numFmtId="0" fontId="26" fillId="0" borderId="0" xfId="0" applyFont="1" applyAlignment="1">
      <alignment vertical="top" wrapText="1"/>
    </xf>
    <xf numFmtId="0" fontId="18" fillId="0" borderId="13" xfId="0" applyFont="1" applyBorder="1" applyAlignment="1">
      <alignment vertical="center" wrapText="1"/>
    </xf>
    <xf numFmtId="0" fontId="36" fillId="28" borderId="13" xfId="0" applyFont="1" applyFill="1" applyBorder="1" applyAlignment="1">
      <alignment vertical="center" wrapText="1"/>
    </xf>
    <xf numFmtId="0" fontId="35" fillId="0" borderId="13" xfId="0" applyFont="1" applyBorder="1" applyAlignment="1">
      <alignment vertical="center" wrapText="1"/>
    </xf>
    <xf numFmtId="0" fontId="10" fillId="15" borderId="0" xfId="0" applyFont="1" applyFill="1" applyAlignment="1">
      <alignment vertical="center"/>
    </xf>
    <xf numFmtId="0" fontId="8" fillId="18" borderId="12" xfId="0" applyFont="1" applyFill="1" applyBorder="1" applyAlignment="1">
      <alignment vertical="top" wrapText="1"/>
    </xf>
    <xf numFmtId="0" fontId="10" fillId="27" borderId="13" xfId="0" applyFont="1" applyFill="1" applyBorder="1" applyAlignment="1">
      <alignment horizontal="center" vertical="center" wrapText="1"/>
    </xf>
    <xf numFmtId="0" fontId="40" fillId="0" borderId="6" xfId="0" applyFont="1" applyFill="1" applyBorder="1" applyAlignment="1">
      <alignment vertical="center" wrapText="1"/>
    </xf>
    <xf numFmtId="0" fontId="40" fillId="0" borderId="6" xfId="0" applyFont="1" applyFill="1" applyBorder="1" applyAlignment="1">
      <alignment vertical="top" wrapText="1"/>
    </xf>
    <xf numFmtId="0" fontId="42" fillId="0" borderId="6" xfId="0" applyFont="1" applyFill="1" applyBorder="1" applyAlignment="1">
      <alignment vertical="center" wrapText="1"/>
    </xf>
    <xf numFmtId="164" fontId="42" fillId="0" borderId="6" xfId="0" applyNumberFormat="1" applyFont="1" applyFill="1" applyBorder="1"/>
    <xf numFmtId="0" fontId="40" fillId="0" borderId="6" xfId="0" applyFont="1" applyFill="1" applyBorder="1" applyAlignment="1">
      <alignment vertical="center"/>
    </xf>
    <xf numFmtId="49" fontId="40" fillId="0" borderId="6" xfId="0" applyNumberFormat="1" applyFont="1" applyFill="1" applyBorder="1" applyAlignment="1">
      <alignment horizontal="left" vertical="top" wrapText="1"/>
    </xf>
    <xf numFmtId="0" fontId="40" fillId="0" borderId="6" xfId="0" applyFont="1" applyFill="1" applyBorder="1" applyAlignment="1">
      <alignment horizontal="center" vertical="center"/>
    </xf>
    <xf numFmtId="14" fontId="40" fillId="0" borderId="6" xfId="0" applyNumberFormat="1" applyFont="1" applyFill="1" applyBorder="1" applyAlignment="1">
      <alignment vertical="center"/>
    </xf>
    <xf numFmtId="0" fontId="40" fillId="0" borderId="6" xfId="0" applyFont="1" applyFill="1" applyBorder="1" applyAlignment="1">
      <alignment vertical="top" wrapText="1"/>
      <extLst>
        <ext xmlns:xfpb="http://schemas.microsoft.com/office/spreadsheetml/2022/featurepropertybag" uri="{C7286773-470A-42A8-94C5-96B5CB345126}">
          <xfpb:xfComplement i="0"/>
        </ext>
      </extLst>
    </xf>
    <xf numFmtId="0" fontId="42" fillId="0" borderId="5" xfId="0" applyFont="1" applyFill="1" applyBorder="1"/>
    <xf numFmtId="49" fontId="40" fillId="0" borderId="5" xfId="0" applyNumberFormat="1" applyFont="1" applyFill="1" applyBorder="1" applyAlignment="1">
      <alignment horizontal="left" vertical="top" wrapText="1"/>
    </xf>
    <xf numFmtId="14" fontId="40" fillId="0" borderId="5" xfId="0" applyNumberFormat="1" applyFont="1" applyFill="1" applyBorder="1" applyAlignment="1">
      <alignment horizontal="left" vertical="top" wrapText="1"/>
    </xf>
    <xf numFmtId="49" fontId="7" fillId="0" borderId="5" xfId="1" applyNumberFormat="1" applyFont="1" applyFill="1" applyBorder="1" applyAlignment="1">
      <alignment horizontal="left" vertical="top" wrapText="1"/>
    </xf>
    <xf numFmtId="0" fontId="18" fillId="0" borderId="0" xfId="0" applyFont="1" applyFill="1"/>
    <xf numFmtId="49" fontId="18" fillId="0" borderId="0" xfId="0" applyNumberFormat="1" applyFont="1" applyFill="1"/>
    <xf numFmtId="165" fontId="40" fillId="0" borderId="6" xfId="0" applyNumberFormat="1" applyFont="1" applyFill="1" applyBorder="1" applyAlignment="1">
      <alignment vertical="center"/>
    </xf>
    <xf numFmtId="0" fontId="38" fillId="0" borderId="0" xfId="0" applyFont="1" applyProtection="1"/>
    <xf numFmtId="0" fontId="0" fillId="0" borderId="0" xfId="0" applyProtection="1"/>
    <xf numFmtId="0" fontId="39" fillId="0" borderId="0" xfId="0" applyFont="1" applyProtection="1"/>
    <xf numFmtId="0" fontId="70" fillId="0" borderId="0" xfId="0" applyFont="1" applyProtection="1"/>
    <xf numFmtId="0" fontId="53" fillId="35" borderId="20" xfId="0" applyFont="1" applyFill="1" applyBorder="1" applyProtection="1"/>
    <xf numFmtId="0" fontId="0" fillId="35" borderId="18" xfId="0" applyFill="1" applyBorder="1" applyProtection="1"/>
    <xf numFmtId="0" fontId="0" fillId="35" borderId="23" xfId="0" applyFill="1" applyBorder="1" applyProtection="1"/>
    <xf numFmtId="0" fontId="54" fillId="35" borderId="0" xfId="0" applyFont="1" applyFill="1" applyBorder="1" applyProtection="1"/>
    <xf numFmtId="0" fontId="0" fillId="35" borderId="0" xfId="0" applyFill="1" applyBorder="1" applyProtection="1"/>
    <xf numFmtId="0" fontId="0" fillId="35" borderId="24" xfId="0" applyFill="1" applyBorder="1" applyProtection="1"/>
    <xf numFmtId="0" fontId="27" fillId="0" borderId="0" xfId="0" applyFont="1" applyProtection="1"/>
    <xf numFmtId="0" fontId="36" fillId="0" borderId="0" xfId="0" applyFont="1" applyProtection="1"/>
    <xf numFmtId="0" fontId="37" fillId="0" borderId="0" xfId="0" applyFont="1" applyProtection="1"/>
    <xf numFmtId="0" fontId="0" fillId="35" borderId="21" xfId="0" applyFill="1" applyBorder="1" applyProtection="1"/>
    <xf numFmtId="0" fontId="55" fillId="35" borderId="0" xfId="0" applyFont="1" applyFill="1" applyBorder="1" applyProtection="1"/>
    <xf numFmtId="0" fontId="56" fillId="35" borderId="0" xfId="0" applyFont="1" applyFill="1" applyBorder="1" applyProtection="1"/>
    <xf numFmtId="0" fontId="56" fillId="35" borderId="24" xfId="0" applyFont="1" applyFill="1" applyBorder="1" applyProtection="1"/>
    <xf numFmtId="14" fontId="0" fillId="17" borderId="14" xfId="0" applyNumberFormat="1" applyFill="1" applyBorder="1" applyProtection="1"/>
    <xf numFmtId="0" fontId="37" fillId="25" borderId="0" xfId="0" applyFont="1" applyFill="1" applyProtection="1"/>
    <xf numFmtId="0" fontId="0" fillId="25" borderId="0" xfId="0" applyFill="1" applyProtection="1"/>
    <xf numFmtId="0" fontId="0" fillId="17" borderId="17" xfId="0" applyFill="1" applyBorder="1" applyProtection="1"/>
    <xf numFmtId="0" fontId="55" fillId="35" borderId="19" xfId="0" applyFont="1" applyFill="1" applyBorder="1" applyProtection="1"/>
    <xf numFmtId="0" fontId="56" fillId="35" borderId="19" xfId="0" applyFont="1" applyFill="1" applyBorder="1" applyProtection="1"/>
    <xf numFmtId="0" fontId="56" fillId="35" borderId="25" xfId="0" applyFont="1" applyFill="1" applyBorder="1" applyProtection="1"/>
    <xf numFmtId="0" fontId="14" fillId="18" borderId="26" xfId="0" applyNumberFormat="1" applyFont="1" applyFill="1" applyBorder="1" applyAlignment="1" applyProtection="1">
      <alignment horizontal="left" vertical="top" wrapText="1"/>
    </xf>
    <xf numFmtId="0" fontId="52" fillId="0" borderId="0" xfId="0" applyFont="1" applyProtection="1"/>
    <xf numFmtId="0" fontId="0" fillId="35" borderId="0" xfId="0" applyFill="1" applyBorder="1" applyAlignment="1" applyProtection="1">
      <alignment horizontal="center"/>
      <protection locked="0"/>
      <extLst>
        <ext xmlns:xfpb="http://schemas.microsoft.com/office/spreadsheetml/2022/featurepropertybag" uri="{C7286773-470A-42A8-94C5-96B5CB345126}">
          <xfpb:xfComplement i="0"/>
        </ext>
      </extLst>
    </xf>
    <xf numFmtId="0" fontId="1" fillId="0" borderId="6" xfId="0" applyFont="1" applyBorder="1" applyAlignment="1"/>
    <xf numFmtId="0" fontId="2" fillId="0" borderId="6" xfId="0" applyFont="1" applyBorder="1" applyAlignment="1"/>
  </cellXfs>
  <cellStyles count="2">
    <cellStyle name="Hyperlink" xfId="1" builtinId="8"/>
    <cellStyle name="Normal" xfId="0" builtinId="0"/>
  </cellStyles>
  <dxfs count="263">
    <dxf>
      <font>
        <color rgb="FF7F6000"/>
      </font>
      <fill>
        <patternFill patternType="solid">
          <fgColor indexed="64"/>
          <bgColor rgb="FFFFF2CC"/>
        </patternFill>
      </fill>
    </dxf>
    <dxf>
      <font>
        <b/>
        <i val="0"/>
        <color rgb="FF990000"/>
      </font>
      <fill>
        <patternFill patternType="solid">
          <fgColor indexed="64"/>
          <bgColor rgb="FFF4CCCC"/>
        </patternFill>
      </fill>
    </dxf>
    <dxf>
      <font>
        <color theme="1"/>
      </font>
      <fill>
        <patternFill patternType="solid">
          <bgColor rgb="FF92D050"/>
        </patternFill>
      </fill>
    </dxf>
    <dxf>
      <font>
        <color theme="0"/>
      </font>
      <fill>
        <patternFill patternType="solid">
          <bgColor rgb="FFFF0000"/>
        </patternFill>
      </fill>
    </dxf>
    <dxf>
      <font>
        <color rgb="FF595959"/>
      </font>
    </dxf>
    <dxf>
      <font>
        <color theme="1"/>
      </font>
      <fill>
        <patternFill patternType="solid">
          <bgColor rgb="FF92D050"/>
        </patternFill>
      </fill>
    </dxf>
    <dxf>
      <fill>
        <patternFill patternType="solid">
          <fgColor indexed="64"/>
          <bgColor rgb="FFD9D9D9"/>
        </patternFill>
      </fill>
    </dxf>
    <dxf>
      <fill>
        <patternFill patternType="solid">
          <fgColor indexed="64"/>
          <bgColor rgb="FFF4CCCC"/>
        </patternFill>
      </fill>
    </dxf>
    <dxf>
      <fill>
        <patternFill patternType="solid">
          <fgColor indexed="64"/>
          <bgColor rgb="FFD9EAD3"/>
        </patternFill>
      </fill>
    </dxf>
    <dxf>
      <fill>
        <patternFill patternType="solid">
          <fgColor indexed="64"/>
          <bgColor rgb="FFCFE2F3"/>
        </patternFill>
      </fill>
    </dxf>
    <dxf>
      <fill>
        <patternFill patternType="solid">
          <bgColor rgb="FFFF9900"/>
        </patternFill>
      </fill>
    </dxf>
    <dxf>
      <fill>
        <patternFill patternType="solid">
          <fgColor indexed="64"/>
          <bgColor rgb="FFFFD966"/>
        </patternFill>
      </fill>
    </dxf>
    <dxf>
      <fill>
        <patternFill patternType="solid">
          <fgColor indexed="64"/>
          <bgColor rgb="FF93C47D"/>
        </patternFill>
      </fill>
    </dxf>
    <dxf>
      <fill>
        <patternFill patternType="solid">
          <fgColor indexed="64"/>
          <bgColor rgb="FFF4CCCC"/>
        </patternFill>
      </fill>
    </dxf>
    <dxf>
      <fill>
        <patternFill patternType="solid">
          <fgColor indexed="64"/>
          <bgColor rgb="FFD9EAD3"/>
        </patternFill>
      </fill>
    </dxf>
    <dxf>
      <fill>
        <patternFill patternType="solid">
          <fgColor indexed="64"/>
          <bgColor rgb="FFCFE2F3"/>
        </patternFill>
      </fill>
    </dxf>
    <dxf>
      <fill>
        <patternFill patternType="solid">
          <fgColor indexed="64"/>
          <bgColor rgb="FFFF9900"/>
        </patternFill>
      </fill>
    </dxf>
    <dxf>
      <font>
        <color theme="1"/>
      </font>
      <fill>
        <patternFill patternType="solid">
          <bgColor rgb="FF92D050"/>
        </patternFill>
      </fill>
    </dxf>
    <dxf>
      <font>
        <color theme="0"/>
      </font>
      <fill>
        <patternFill patternType="solid">
          <bgColor rgb="FFFF0000"/>
        </patternFill>
      </fill>
    </dxf>
    <dxf>
      <font>
        <b/>
        <i val="0"/>
        <color rgb="FFFFFFFF"/>
      </font>
      <fill>
        <patternFill patternType="solid">
          <fgColor indexed="64"/>
          <bgColor rgb="FF000000"/>
        </patternFill>
      </fill>
    </dxf>
    <dxf>
      <border diagonalUp="0" diagonalDown="0">
        <left style="thin">
          <color rgb="FFD0D0D0"/>
        </left>
        <right/>
        <top style="thin">
          <color rgb="FFD0D0D0"/>
        </top>
        <bottom style="thin">
          <color rgb="FFD0D0D0"/>
        </bottom>
        <vertical style="thin">
          <color rgb="FFD0D0D0"/>
        </vertical>
        <horizontal style="thin">
          <color rgb="FFD0D0D0"/>
        </horizontal>
      </border>
    </dxf>
    <dxf>
      <border diagonalUp="0" diagonalDown="0">
        <left style="thin">
          <color rgb="FFD0D0D0"/>
        </left>
        <right style="thin">
          <color rgb="FFD0D0D0"/>
        </right>
        <top style="thin">
          <color rgb="FFD0D0D0"/>
        </top>
        <bottom style="thin">
          <color rgb="FFD0D0D0"/>
        </bottom>
        <vertical style="thin">
          <color rgb="FFD0D0D0"/>
        </vertical>
        <horizontal style="thin">
          <color rgb="FFD0D0D0"/>
        </horizontal>
      </border>
    </dxf>
    <dxf>
      <border diagonalUp="0" diagonalDown="0">
        <left style="thin">
          <color rgb="FFD0D0D0"/>
        </left>
        <right style="thin">
          <color rgb="FFD0D0D0"/>
        </right>
        <top style="thin">
          <color rgb="FFD0D0D0"/>
        </top>
        <bottom style="thin">
          <color rgb="FFD0D0D0"/>
        </bottom>
        <vertical style="thin">
          <color rgb="FFD0D0D0"/>
        </vertical>
        <horizontal style="thin">
          <color rgb="FFD0D0D0"/>
        </horizontal>
      </border>
    </dxf>
    <dxf>
      <border diagonalUp="0" diagonalDown="0">
        <left/>
        <right style="thin">
          <color rgb="FFD0D0D0"/>
        </right>
        <top style="thin">
          <color rgb="FFD0D0D0"/>
        </top>
        <bottom style="thin">
          <color rgb="FFD0D0D0"/>
        </bottom>
        <vertical style="thin">
          <color rgb="FFD0D0D0"/>
        </vertical>
        <horizontal style="thin">
          <color rgb="FFD0D0D0"/>
        </horizontal>
      </border>
    </dxf>
    <dxf>
      <border diagonalUp="0" diagonalDown="0">
        <left style="thin">
          <color rgb="FFD0D0D0"/>
        </left>
        <right style="thin">
          <color rgb="FFD0D0D0"/>
        </right>
        <top/>
        <bottom/>
        <vertical style="thin">
          <color rgb="FFD0D0D0"/>
        </vertical>
        <horizontal style="thin">
          <color rgb="FFD0D0D0"/>
        </horizontal>
      </border>
    </dxf>
    <dxf>
      <font>
        <name val="Aptos Narrow"/>
      </font>
      <alignment wrapText="1"/>
      <border diagonalUp="0" diagonalDown="0">
        <left style="thin">
          <color rgb="FFD0D0D0"/>
        </left>
        <right/>
        <top style="thin">
          <color rgb="FFD0D0D0"/>
        </top>
        <bottom style="thin">
          <color rgb="FFD0D0D0"/>
        </bottom>
        <vertical style="thin">
          <color rgb="FFD0D0D0"/>
        </vertical>
        <horizontal style="thin">
          <color rgb="FFD0D0D0"/>
        </horizontal>
      </border>
    </dxf>
    <dxf>
      <font>
        <name val="Aptos Narrow"/>
      </font>
      <alignment wrapText="1"/>
      <border diagonalUp="0" diagonalDown="0">
        <left style="thin">
          <color rgb="FFD0D0D0"/>
        </left>
        <right style="thin">
          <color rgb="FFD0D0D0"/>
        </right>
        <top style="thin">
          <color rgb="FFD0D0D0"/>
        </top>
        <bottom style="thin">
          <color rgb="FFD0D0D0"/>
        </bottom>
        <vertical style="thin">
          <color rgb="FFD0D0D0"/>
        </vertical>
        <horizontal style="thin">
          <color rgb="FFD0D0D0"/>
        </horizontal>
      </border>
    </dxf>
    <dxf>
      <font>
        <name val="Aptos Narrow"/>
      </font>
      <alignment wrapText="1"/>
      <border diagonalUp="0" diagonalDown="0">
        <left style="thin">
          <color rgb="FFD0D0D0"/>
        </left>
        <right style="thin">
          <color rgb="FFD0D0D0"/>
        </right>
        <top style="thin">
          <color rgb="FFD0D0D0"/>
        </top>
        <bottom style="thin">
          <color rgb="FFD0D0D0"/>
        </bottom>
        <vertical style="thin">
          <color rgb="FFD0D0D0"/>
        </vertical>
        <horizontal style="thin">
          <color rgb="FFD0D0D0"/>
        </horizontal>
      </border>
    </dxf>
    <dxf>
      <font>
        <name val="Aptos Narrow"/>
      </font>
      <alignment wrapText="1"/>
      <border diagonalUp="0" diagonalDown="0">
        <left style="thin">
          <color rgb="FFD0D0D0"/>
        </left>
        <right style="thin">
          <color rgb="FFD0D0D0"/>
        </right>
        <top style="thin">
          <color rgb="FFD0D0D0"/>
        </top>
        <bottom style="thin">
          <color rgb="FFD0D0D0"/>
        </bottom>
        <vertical style="thin">
          <color rgb="FFD0D0D0"/>
        </vertical>
        <horizontal style="thin">
          <color rgb="FFD0D0D0"/>
        </horizontal>
      </border>
    </dxf>
    <dxf>
      <font>
        <name val="Aptos Narrow"/>
      </font>
      <alignment wrapText="1"/>
      <border diagonalUp="0" diagonalDown="0">
        <left style="thin">
          <color rgb="FFD0D0D0"/>
        </left>
        <right style="thin">
          <color rgb="FFD0D0D0"/>
        </right>
        <top style="thin">
          <color rgb="FFD0D0D0"/>
        </top>
        <bottom style="thin">
          <color rgb="FFD0D0D0"/>
        </bottom>
        <vertical style="thin">
          <color rgb="FFD0D0D0"/>
        </vertical>
        <horizontal style="thin">
          <color rgb="FFD0D0D0"/>
        </horizontal>
      </border>
    </dxf>
    <dxf>
      <font>
        <name val="Aptos Narrow"/>
      </font>
      <alignment wrapText="1"/>
      <border diagonalUp="0" diagonalDown="0">
        <left style="thin">
          <color rgb="FFD0D0D0"/>
        </left>
        <right style="thin">
          <color rgb="FFD0D0D0"/>
        </right>
        <top style="thin">
          <color rgb="FFD0D0D0"/>
        </top>
        <bottom style="thin">
          <color rgb="FFD0D0D0"/>
        </bottom>
        <vertical style="thin">
          <color rgb="FFD0D0D0"/>
        </vertical>
        <horizontal style="thin">
          <color rgb="FFD0D0D0"/>
        </horizontal>
      </border>
    </dxf>
    <dxf>
      <font>
        <name val="Aptos Narrow"/>
      </font>
      <alignment wrapText="1"/>
      <border diagonalUp="0" diagonalDown="0">
        <left style="thin">
          <color rgb="FFD0D0D0"/>
        </left>
        <right style="thin">
          <color rgb="FFD0D0D0"/>
        </right>
        <top style="thin">
          <color rgb="FFD0D0D0"/>
        </top>
        <bottom style="thin">
          <color rgb="FFD0D0D0"/>
        </bottom>
        <vertical style="thin">
          <color rgb="FFD0D0D0"/>
        </vertical>
        <horizontal style="thin">
          <color rgb="FFD0D0D0"/>
        </horizontal>
      </border>
    </dxf>
    <dxf>
      <font>
        <name val="Aptos Narrow"/>
      </font>
      <alignment wrapText="1"/>
      <border diagonalUp="0" diagonalDown="0">
        <left style="thin">
          <color rgb="FFD0D0D0"/>
        </left>
        <right style="thin">
          <color rgb="FFD0D0D0"/>
        </right>
        <top style="thin">
          <color rgb="FFD0D0D0"/>
        </top>
        <bottom style="thin">
          <color rgb="FFD0D0D0"/>
        </bottom>
        <vertical style="thin">
          <color rgb="FFD0D0D0"/>
        </vertical>
        <horizontal style="thin">
          <color rgb="FFD0D0D0"/>
        </horizontal>
      </border>
    </dxf>
    <dxf>
      <font>
        <name val="Aptos Narrow"/>
      </font>
      <alignment wrapText="1"/>
      <border diagonalUp="0" diagonalDown="0">
        <left style="thin">
          <color rgb="FFD0D0D0"/>
        </left>
        <right style="thin">
          <color rgb="FFD0D0D0"/>
        </right>
        <top style="thin">
          <color rgb="FFD0D0D0"/>
        </top>
        <bottom style="thin">
          <color rgb="FFD0D0D0"/>
        </bottom>
        <vertical style="thin">
          <color rgb="FFD0D0D0"/>
        </vertical>
        <horizontal style="thin">
          <color rgb="FFD0D0D0"/>
        </horizontal>
      </border>
    </dxf>
    <dxf>
      <font>
        <name val="Aptos Narrow"/>
      </font>
      <alignment wrapText="1"/>
      <border diagonalUp="0" diagonalDown="0">
        <left style="thin">
          <color rgb="FFD0D0D0"/>
        </left>
        <right style="thin">
          <color rgb="FFD0D0D0"/>
        </right>
        <top style="thin">
          <color rgb="FFD0D0D0"/>
        </top>
        <bottom style="thin">
          <color rgb="FFD0D0D0"/>
        </bottom>
        <vertical style="thin">
          <color rgb="FFD0D0D0"/>
        </vertical>
        <horizontal style="thin">
          <color rgb="FFD0D0D0"/>
        </horizontal>
      </border>
    </dxf>
    <dxf>
      <font>
        <name val="Aptos Narrow"/>
      </font>
      <border diagonalUp="0" diagonalDown="0">
        <left style="thin">
          <color rgb="FFD0D0D0"/>
        </left>
        <right style="thin">
          <color rgb="FFD0D0D0"/>
        </right>
        <top style="thin">
          <color rgb="FFD0D0D0"/>
        </top>
        <bottom style="thin">
          <color rgb="FFD0D0D0"/>
        </bottom>
        <vertical style="thin">
          <color rgb="FFD0D0D0"/>
        </vertical>
        <horizontal style="thin">
          <color rgb="FFD0D0D0"/>
        </horizontal>
      </border>
    </dxf>
    <dxf>
      <font>
        <name val="Aptos Narrow"/>
      </font>
      <border diagonalUp="0" diagonalDown="0">
        <left/>
        <right style="thin">
          <color rgb="FFD0D0D0"/>
        </right>
        <top style="thin">
          <color rgb="FFD0D0D0"/>
        </top>
        <bottom style="thin">
          <color rgb="FFD0D0D0"/>
        </bottom>
        <vertical style="thin">
          <color rgb="FFD0D0D0"/>
        </vertical>
        <horizontal style="thin">
          <color rgb="FFD0D0D0"/>
        </horizontal>
      </border>
    </dxf>
    <dxf>
      <border>
        <top style="thin">
          <color rgb="FFD0D0D0"/>
        </top>
      </border>
    </dxf>
    <dxf>
      <border>
        <bottom style="thin">
          <color rgb="FFD0D0D0"/>
        </bottom>
      </border>
    </dxf>
    <dxf>
      <border diagonalUp="0" diagonalDown="0">
        <left style="thin">
          <color rgb="FFD0D0D0"/>
        </left>
        <right style="thin">
          <color rgb="FFD0D0D0"/>
        </right>
        <top style="thin">
          <color rgb="FFD0D0D0"/>
        </top>
        <bottom style="thin">
          <color rgb="FFD0D0D0"/>
        </bottom>
      </border>
    </dxf>
    <dxf>
      <font>
        <name val="Aptos Narrow"/>
      </font>
    </dxf>
    <dxf>
      <font>
        <name val="Aptos Narrow"/>
      </font>
      <border diagonalUp="0" diagonalDown="0">
        <left style="thin">
          <color rgb="FFD0D0D0"/>
        </left>
        <right style="thin">
          <color rgb="FFD0D0D0"/>
        </right>
        <top/>
        <bottom/>
        <vertical style="thin">
          <color rgb="FFD0D0D0"/>
        </vertical>
        <horizontal style="thin">
          <color rgb="FFD0D0D0"/>
        </horizontal>
      </border>
    </dxf>
    <dxf>
      <fill>
        <patternFill patternType="solid">
          <fgColor indexed="64"/>
          <bgColor rgb="FFFF0000"/>
        </patternFill>
      </fill>
    </dxf>
    <dxf>
      <fill>
        <patternFill patternType="solid">
          <fgColor indexed="64"/>
          <bgColor rgb="FFD9D9D9"/>
        </patternFill>
      </fill>
    </dxf>
    <dxf>
      <fill>
        <patternFill patternType="solid">
          <fgColor indexed="64"/>
          <bgColor rgb="FFF4CCCC"/>
        </patternFill>
      </fill>
    </dxf>
    <dxf>
      <fill>
        <patternFill patternType="solid">
          <fgColor indexed="64"/>
          <bgColor rgb="FFD9EAD3"/>
        </patternFill>
      </fill>
    </dxf>
    <dxf>
      <font>
        <color rgb="FF7F6000"/>
      </font>
      <fill>
        <patternFill patternType="solid">
          <fgColor indexed="64"/>
          <bgColor rgb="FFFFF2CC"/>
        </patternFill>
      </fill>
    </dxf>
    <dxf>
      <fill>
        <patternFill patternType="solid">
          <fgColor indexed="64"/>
          <bgColor rgb="FFCFE2F3"/>
        </patternFill>
      </fill>
    </dxf>
    <dxf>
      <fill>
        <patternFill patternType="solid">
          <fgColor indexed="64"/>
          <bgColor rgb="FFFF9900"/>
        </patternFill>
      </fill>
    </dxf>
    <dxf>
      <fill>
        <patternFill patternType="solid">
          <fgColor indexed="64"/>
          <bgColor rgb="FFFF0000"/>
        </patternFill>
      </fill>
    </dxf>
    <dxf>
      <fill>
        <patternFill patternType="solid">
          <fgColor indexed="64"/>
          <bgColor rgb="FF92D050"/>
        </patternFill>
      </fill>
    </dxf>
    <dxf>
      <fill>
        <patternFill patternType="solid">
          <fgColor indexed="64"/>
          <bgColor rgb="FFFF9900"/>
        </patternFill>
      </fill>
    </dxf>
    <dxf>
      <fill>
        <patternFill patternType="solid">
          <fgColor indexed="64"/>
          <bgColor rgb="FFCFE2F3"/>
        </patternFill>
      </fill>
    </dxf>
    <dxf>
      <fill>
        <patternFill patternType="solid">
          <fgColor indexed="64"/>
          <bgColor rgb="FFD9EAD3"/>
        </patternFill>
      </fill>
    </dxf>
    <dxf>
      <fill>
        <patternFill patternType="solid">
          <fgColor indexed="64"/>
          <bgColor rgb="FFF4CCCC"/>
        </patternFill>
      </fill>
    </dxf>
    <dxf>
      <fill>
        <patternFill patternType="solid">
          <fgColor indexed="64"/>
          <bgColor rgb="FF93C47D"/>
        </patternFill>
      </fill>
    </dxf>
    <dxf>
      <fill>
        <patternFill patternType="solid">
          <fgColor indexed="64"/>
          <bgColor rgb="FFFFD966"/>
        </patternFill>
      </fill>
    </dxf>
    <dxf>
      <font>
        <b/>
        <i val="0"/>
        <color rgb="FFFFFFFF"/>
      </font>
      <fill>
        <patternFill patternType="solid">
          <fgColor indexed="64"/>
          <bgColor rgb="FF000000"/>
        </patternFill>
      </fill>
    </dxf>
    <dxf>
      <font>
        <color rgb="FF999999"/>
      </font>
    </dxf>
    <dxf>
      <font>
        <b/>
        <i val="0"/>
        <color rgb="FF990000"/>
      </font>
      <fill>
        <patternFill patternType="solid">
          <fgColor indexed="64"/>
          <bgColor rgb="FFF4CCCC"/>
        </patternFill>
      </fill>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numFmt numFmtId="30" formatCode="@"/>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numFmt numFmtId="0" formatCode="General"/>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numFmt numFmtId="19" formatCode="m/d/yyyy"/>
      <alignment horizontal="left" vertical="top" textRotation="0" wrapText="1"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theme="1"/>
        <name val="Aptos Narrow"/>
        <scheme val="none"/>
      </font>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theme="1"/>
        <name val="Aptos Narrow"/>
        <scheme val="none"/>
      </font>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numFmt numFmtId="19" formatCode="m/d/yyyy"/>
      <alignment horizontal="general"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numFmt numFmtId="19" formatCode="m/d/yyyy"/>
      <alignment horizontal="general"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general" vertical="top"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5"/>
        <color auto="1"/>
        <name val="Aptos Narrow"/>
        <scheme val="none"/>
      </font>
      <alignment horizontal="general" vertical="top" textRotation="0" wrapText="1" indent="0" justifyLastLine="0" shrinkToFit="0" readingOrder="0"/>
      <border diagonalUp="0" diagonalDown="0">
        <left style="thin">
          <color rgb="FFD0D0D0"/>
        </left>
        <right style="thin">
          <color rgb="FFD0D0D0"/>
        </right>
        <top style="thin">
          <color rgb="FFD0D0D0"/>
        </top>
        <bottom/>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5"/>
        <color auto="1"/>
        <name val="Aptos Narrow"/>
        <scheme val="none"/>
      </font>
      <alignment horizontal="general" vertical="center"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general" vertical="center" textRotation="0" wrapText="1"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numFmt numFmtId="19" formatCode="m/d/yyyy"/>
      <alignment horizontal="general"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numFmt numFmtId="19" formatCode="m/d/yyyy"/>
      <alignment horizontal="general"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numFmt numFmtId="19" formatCode="m/d/yyyy"/>
      <alignment horizontal="general"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numFmt numFmtId="19" formatCode="m/d/yyyy"/>
      <alignment horizontal="general"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numFmt numFmtId="19" formatCode="m/d/yyyy"/>
      <alignment horizontal="general"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numFmt numFmtId="19" formatCode="m/d/yyyy"/>
      <alignment horizontal="general"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numFmt numFmtId="19" formatCode="m/d/yyyy"/>
      <alignment horizontal="general"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numFmt numFmtId="19" formatCode="m/d/yyyy"/>
      <alignment horizontal="general"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numFmt numFmtId="19" formatCode="m/d/yyyy"/>
      <alignment horizontal="general"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numFmt numFmtId="19" formatCode="m/d/yyyy"/>
      <alignment horizontal="general"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general" vertical="center"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general" vertical="center" textRotation="0" wrapText="1"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numFmt numFmtId="19" formatCode="m/d/yyyy"/>
      <alignment horizontal="general"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numFmt numFmtId="19" formatCode="m/d/yyyy"/>
      <alignment horizontal="general"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numFmt numFmtId="165" formatCode="m/d/yy"/>
      <alignment horizontal="general"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numFmt numFmtId="165" formatCode="m/d/yy"/>
      <alignment horizontal="general"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numFmt numFmtId="0" formatCode="General"/>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center"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numFmt numFmtId="30" formatCode="@"/>
      <alignment horizontal="left" vertical="top"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numFmt numFmtId="30" formatCode="@"/>
      <alignment horizontal="left" vertical="top" textRotation="0" wrapText="1"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general" vertical="top"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general" vertical="top" textRotation="0" wrapText="1"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ertAlign val="baseline"/>
        <sz val="15"/>
        <color theme="10"/>
        <name val="Aptos Narrow"/>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ertAlign val="baseline"/>
        <sz val="15"/>
        <color theme="10"/>
        <name val="Aptos Narrow"/>
        <scheme val="none"/>
      </font>
      <alignment horizontal="general" vertical="center" textRotation="0" wrapText="1"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general"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general" vertical="center" textRotation="0" wrapText="0"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ertAlign val="baseline"/>
        <sz val="15"/>
        <color theme="10"/>
        <name val="Aptos Narrow"/>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ertAlign val="baseline"/>
        <sz val="15"/>
        <color theme="10"/>
        <name val="Aptos Narrow"/>
        <scheme val="none"/>
      </font>
      <alignment horizontal="general" vertical="center" textRotation="0" wrapText="1"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theme="1"/>
        <name val="Aptos Narrow"/>
        <scheme val="none"/>
      </font>
      <numFmt numFmtId="164" formatCode="[&lt;=9999999]###\-####;\(###\)\ ###\-####"/>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theme="1"/>
        <name val="Aptos Narrow"/>
        <scheme val="none"/>
      </font>
      <numFmt numFmtId="164" formatCode="[&lt;=9999999]###\-####;\(###\)\ ###\-####"/>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theme="1"/>
        <name val="Aptos Narrow"/>
        <scheme val="none"/>
      </font>
      <alignment horizontal="general" vertical="center"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theme="1"/>
        <name val="Aptos Narrow"/>
        <scheme val="none"/>
      </font>
      <alignment horizontal="general" vertical="center" textRotation="0" wrapText="1"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general" vertical="top"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general" vertical="top" textRotation="0" wrapText="1"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general" vertical="top" textRotation="0" wrapText="1"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general" vertical="top" textRotation="0" wrapText="1" indent="0" justifyLastLine="0" shrinkToFit="0" readingOrder="0"/>
      <border diagonalUp="0" diagonalDown="0">
        <left style="thin">
          <color rgb="FFD0D0D0"/>
        </left>
        <right style="thin">
          <color rgb="FFD0D0D0"/>
        </right>
        <top style="thin">
          <color rgb="FFD0D0D0"/>
        </top>
        <bottom/>
      </border>
    </dxf>
    <dxf>
      <font>
        <b val="0"/>
        <i val="0"/>
        <strike val="0"/>
        <condense val="0"/>
        <extend val="0"/>
        <outline val="0"/>
        <shadow val="0"/>
        <u val="none"/>
        <vertAlign val="baseline"/>
        <sz val="15"/>
        <color auto="1"/>
        <name val="Aptos Narrow"/>
        <scheme val="none"/>
      </font>
      <alignment horizontal="general" vertical="center" textRotation="0" wrapText="1" indent="0" justifyLastLine="0" shrinkToFit="0" readingOrder="0"/>
      <border diagonalUp="0" diagonalDown="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5"/>
        <color auto="1"/>
        <name val="Aptos Narrow"/>
        <scheme val="none"/>
      </font>
      <alignment horizontal="general" vertical="center" textRotation="0" wrapText="1" indent="0" justifyLastLine="0" shrinkToFit="0" readingOrder="0"/>
      <border diagonalUp="0" diagonalDown="0">
        <left/>
        <right style="thin">
          <color rgb="FFD0D0D0"/>
        </right>
        <top style="thin">
          <color rgb="FFD0D0D0"/>
        </top>
        <bottom/>
      </border>
    </dxf>
    <dxf>
      <border>
        <left style="thin">
          <color rgb="FFD0D0D0"/>
        </left>
      </border>
    </dxf>
    <dxf>
      <font>
        <b val="0"/>
      </font>
    </dxf>
    <dxf>
      <font>
        <b val="0"/>
        <i val="0"/>
        <strike val="0"/>
        <condense val="0"/>
        <extend val="0"/>
        <outline val="0"/>
        <shadow val="0"/>
        <u val="none"/>
        <vertAlign val="baseline"/>
        <sz val="10"/>
        <color theme="1"/>
        <name val="Aptos Narrow"/>
        <scheme val="none"/>
      </font>
    </dxf>
    <dxf>
      <font>
        <b/>
        <i val="0"/>
        <strike val="0"/>
        <condense val="0"/>
        <extend val="0"/>
        <outline val="0"/>
        <shadow val="0"/>
        <u val="none"/>
        <vertAlign val="baseline"/>
        <sz val="11"/>
        <color theme="1"/>
        <name val="Aptos Narrow"/>
        <scheme val="none"/>
      </font>
    </dxf>
    <dxf>
      <font>
        <color theme="1"/>
      </font>
      <fill>
        <patternFill patternType="solid">
          <bgColor rgb="FF92D050"/>
        </patternFill>
      </fill>
    </dxf>
    <dxf>
      <font>
        <color theme="0"/>
      </font>
      <fill>
        <patternFill patternType="solid">
          <bgColor rgb="FFFF0000"/>
        </patternFill>
      </fill>
    </dxf>
    <dxf>
      <font>
        <color rgb="FF7F6000"/>
      </font>
      <fill>
        <patternFill patternType="solid">
          <fgColor indexed="64"/>
          <bgColor rgb="FFFFF2CC"/>
        </patternFill>
      </fill>
    </dxf>
    <dxf>
      <font>
        <b/>
        <i val="0"/>
        <color rgb="FF990000"/>
      </font>
      <fill>
        <patternFill patternType="solid">
          <fgColor indexed="64"/>
          <bgColor rgb="FFF4CCCC"/>
        </patternFill>
      </fill>
    </dxf>
    <dxf>
      <font>
        <color theme="1"/>
      </font>
      <fill>
        <patternFill patternType="solid">
          <bgColor rgb="FF92D050"/>
        </patternFill>
      </fill>
    </dxf>
    <dxf>
      <font>
        <color theme="0"/>
      </font>
      <fill>
        <patternFill patternType="solid">
          <bgColor rgb="FFFF0000"/>
        </patternFill>
      </fill>
    </dxf>
    <dxf>
      <font>
        <color rgb="FF595959"/>
      </font>
    </dxf>
    <dxf>
      <font>
        <color theme="1"/>
      </font>
      <fill>
        <patternFill patternType="solid">
          <bgColor rgb="FF92D050"/>
        </patternFill>
      </fill>
    </dxf>
    <dxf>
      <fill>
        <patternFill patternType="solid">
          <fgColor indexed="64"/>
          <bgColor rgb="FFD9D9D9"/>
        </patternFill>
      </fill>
    </dxf>
    <dxf>
      <fill>
        <patternFill patternType="solid">
          <fgColor indexed="64"/>
          <bgColor rgb="FFF4CCCC"/>
        </patternFill>
      </fill>
    </dxf>
    <dxf>
      <fill>
        <patternFill patternType="solid">
          <fgColor indexed="64"/>
          <bgColor rgb="FFD9EAD3"/>
        </patternFill>
      </fill>
    </dxf>
    <dxf>
      <fill>
        <patternFill patternType="solid">
          <fgColor indexed="64"/>
          <bgColor rgb="FFCFE2F3"/>
        </patternFill>
      </fill>
    </dxf>
    <dxf>
      <fill>
        <patternFill patternType="solid">
          <bgColor rgb="FFFF9900"/>
        </patternFill>
      </fill>
    </dxf>
    <dxf>
      <fill>
        <patternFill patternType="solid">
          <fgColor indexed="64"/>
          <bgColor rgb="FFFFD966"/>
        </patternFill>
      </fill>
    </dxf>
    <dxf>
      <fill>
        <patternFill patternType="solid">
          <fgColor indexed="64"/>
          <bgColor rgb="FF93C47D"/>
        </patternFill>
      </fill>
    </dxf>
    <dxf>
      <fill>
        <patternFill patternType="solid">
          <fgColor indexed="64"/>
          <bgColor rgb="FFF4CCCC"/>
        </patternFill>
      </fill>
    </dxf>
    <dxf>
      <fill>
        <patternFill patternType="solid">
          <fgColor indexed="64"/>
          <bgColor rgb="FFD9EAD3"/>
        </patternFill>
      </fill>
    </dxf>
    <dxf>
      <fill>
        <patternFill patternType="solid">
          <fgColor indexed="64"/>
          <bgColor rgb="FFCFE2F3"/>
        </patternFill>
      </fill>
    </dxf>
    <dxf>
      <fill>
        <patternFill patternType="solid">
          <fgColor indexed="64"/>
          <bgColor rgb="FFFF9900"/>
        </patternFill>
      </fill>
    </dxf>
    <dxf>
      <font>
        <color theme="1"/>
      </font>
      <fill>
        <patternFill patternType="solid">
          <bgColor rgb="FF92D050"/>
        </patternFill>
      </fill>
    </dxf>
    <dxf>
      <font>
        <color theme="0"/>
      </font>
      <fill>
        <patternFill patternType="solid">
          <bgColor rgb="FFFF0000"/>
        </patternFill>
      </fill>
    </dxf>
    <dxf>
      <font>
        <b/>
        <i val="0"/>
        <color rgb="FFFFFFFF"/>
      </font>
      <fill>
        <patternFill patternType="solid">
          <fgColor indexed="64"/>
          <bgColor rgb="FF000000"/>
        </patternFill>
      </fill>
    </dxf>
    <dxf>
      <font>
        <color rgb="FFFFFFFF"/>
      </font>
      <fill>
        <patternFill patternType="solid">
          <fgColor indexed="64"/>
          <bgColor rgb="FFFFFFFF"/>
        </patternFill>
      </fill>
    </dxf>
    <dxf>
      <font>
        <color rgb="FF808080"/>
      </font>
      <fill>
        <patternFill patternType="solid">
          <fgColor indexed="64"/>
          <bgColor rgb="FFF2F2F2"/>
        </patternFill>
      </fill>
    </dxf>
    <dxf>
      <font>
        <color rgb="FFFFFFFF"/>
      </font>
      <fill>
        <patternFill patternType="solid">
          <fgColor indexed="64"/>
          <bgColor rgb="FFC00000"/>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E7A34"/>
      <rgbColor rgb="FF000080"/>
      <rgbColor rgb="FF8A6D00"/>
      <rgbColor rgb="FF800080"/>
      <rgbColor rgb="FF38761D"/>
      <rgbColor rgb="FFA9D18E"/>
      <rgbColor rgb="FF808080"/>
      <rgbColor rgb="FF9999FF"/>
      <rgbColor rgb="FF7F6000"/>
      <rgbColor rgb="FFFFF2CC"/>
      <rgbColor rgb="FFD9EAD3"/>
      <rgbColor rgb="FF660066"/>
      <rgbColor rgb="FFFF8080"/>
      <rgbColor rgb="FF1155CC"/>
      <rgbColor rgb="FFBDD7EE"/>
      <rgbColor rgb="FF000080"/>
      <rgbColor rgb="FFFF00FF"/>
      <rgbColor rgb="FFFFFF00"/>
      <rgbColor rgb="FF00FFFF"/>
      <rgbColor rgb="FF800080"/>
      <rgbColor rgb="FF800000"/>
      <rgbColor rgb="FF008080"/>
      <rgbColor rgb="FF0000FF"/>
      <rgbColor rgb="FF00CCFF"/>
      <rgbColor rgb="FFF2F2F2"/>
      <rgbColor rgb="FFC6EFCE"/>
      <rgbColor rgb="FFFCE5CD"/>
      <rgbColor rgb="FF9DE3A0"/>
      <rgbColor rgb="FFEDEDED"/>
      <rgbColor rgb="FFD9D9D9"/>
      <rgbColor rgb="FFF8CBCB"/>
      <rgbColor rgb="FF3366FF"/>
      <rgbColor rgb="FF33CCCC"/>
      <rgbColor rgb="FFBF9000"/>
      <rgbColor rgb="FFFFCC00"/>
      <rgbColor rgb="FFE7B10A"/>
      <rgbColor rgb="FFB45F06"/>
      <rgbColor rgb="FF666666"/>
      <rgbColor rgb="FF969696"/>
      <rgbColor rgb="FF1F4E5F"/>
      <rgbColor rgb="FF00B050"/>
      <rgbColor rgb="FF003300"/>
      <rgbColor rgb="FF333300"/>
      <rgbColor rgb="FFA6302B"/>
      <rgbColor rgb="FF993366"/>
      <rgbColor rgb="FF1F4E78"/>
      <rgbColor rgb="FF595959"/>
      <rgbColor rgb="00003366"/>
      <rgbColor rgb="00339966"/>
      <rgbColor rgb="00003300"/>
      <rgbColor rgb="00333300"/>
      <rgbColor rgb="00993300"/>
      <rgbColor rgb="00993366"/>
      <rgbColor rgb="00333399"/>
      <rgbColor rgb="00333333"/>
    </indexedColors>
    <mruColors>
      <color rgb="FFFCFCFC"/>
      <color rgb="FFFF9900"/>
      <color rgb="FFE6DEFA"/>
      <color rgb="FFFF0000"/>
      <color rgb="FF92D050"/>
      <color rgb="FF000000"/>
      <color rgb="FFCFE2F3"/>
      <color rgb="FF8E44AD"/>
      <color rgb="FF5B2C8A"/>
      <color rgb="FFCBB6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 Id="rId23" Type="http://schemas.openxmlformats.org/officeDocument/2006/relationships/worksheet" Target="worksheets/sheet15.xml"/><Relationship Id="rId24" Type="http://schemas.openxmlformats.org/officeDocument/2006/relationships/worksheet" Target="worksheets/sheet16.xml"/><Relationship Id="rId25" Type="http://schemas.openxmlformats.org/officeDocument/2006/relationships/worksheet" Target="worksheets/sheet17.xml"/><Relationship Id="rId26" Type="http://schemas.openxmlformats.org/officeDocument/2006/relationships/worksheet" Target="worksheets/sheet18.xml"/><Relationship Id="rId27" Type="http://schemas.openxmlformats.org/officeDocument/2006/relationships/worksheet" Target="worksheets/sheet19.xml"/><Relationship Id="rId28" Type="http://schemas.openxmlformats.org/officeDocument/2006/relationships/worksheet" Target="worksheets/sheet20.xml"/></Relationships>
</file>

<file path=xl/drawings/drawing1.xml><?xml version="1.0" encoding="utf-8"?>
<xdr:wsDr xmlns:xdr="http://schemas.openxmlformats.org/drawingml/2006/spreadsheetDrawing" xmlns:a="http://schemas.openxmlformats.org/drawingml/2006/main">
  <xdr:twoCellAnchor>
    <xdr:from>
      <xdr:col>0</xdr:col>
      <xdr:colOff>0</xdr:colOff>
      <xdr:row>29</xdr:row>
      <xdr:rowOff>0</xdr:rowOff>
    </xdr:from>
    <xdr:to>
      <xdr:col>0</xdr:col>
      <xdr:colOff>1422400</xdr:colOff>
      <xdr:row>30</xdr:row>
      <xdr:rowOff>101600</xdr:rowOff>
    </xdr:to>
    <xdr:sp macro="" textlink="">
      <xdr:nvSpPr>
        <xdr:cNvPr id="2" name="Rounded Rectangle 1">
          <a:extLst>
            <a:ext uri="{FF2B5EF4-FFF2-40B4-BE49-F238E27FC236}">
              <a16:creationId xmlns:a16="http://schemas.microsoft.com/office/drawing/2014/main" id="{8817F791-F42D-4C7A-A7A0-906796C63836}"/>
            </a:ext>
            <a:ext uri="{6ECC49D1-AA05-4338-93AA-15A1B29DFB0A}">
              <asl:scriptLink xmlns:asl="http://schemas.microsoft.com/office/drawing/2021/scriptlink" val="{&quot;shareId&quot;:&quot;ms-officescript%3A%2F%2Fonedrive_business_sharinglink%2Fu!aHR0cHM6Ly9maXJzdGFwcG9zLW15LnNoYXJlcG9pbnQuY29tLzp1Oi9nL3BlcnNvbmFsL2V2YW55b3VuZ19nZXRmaW50aV9jb20vSVFCLWFndnpqMkFfUWJGRC01RG9MOTlOQVR1LWJxVEhPYXV2UHdDaHZ6NTNRVGc&quot;}"/>
            </a:ext>
          </a:extLst>
        </xdr:cNvPr>
        <xdr:cNvSpPr/>
      </xdr:nvSpPr>
      <xdr:spPr>
        <a:xfrm>
          <a:off x="0" y="6172200"/>
          <a:ext cx="1422400" cy="292100"/>
        </a:xfrm>
        <a:prstGeom prst="roundRect">
          <a:avLst/>
        </a:prstGeom>
        <a:solidFill>
          <a:srgbClr val="107C41"/>
        </a:solidFill>
        <a:ln w="25400" cap="flat" cmpd="sng" algn="ctr">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Run Add Merchant</a:t>
          </a:r>
        </a:p>
      </xdr:txBody>
    </xdr:sp>
    <xdr:clientData/>
  </xdr:twoCellAnchor>
  <xdr:twoCellAnchor>
    <xdr:from>
      <xdr:col>1</xdr:col>
      <xdr:colOff>0</xdr:colOff>
      <xdr:row>29</xdr:row>
      <xdr:rowOff>0</xdr:rowOff>
    </xdr:from>
    <xdr:to>
      <xdr:col>1</xdr:col>
      <xdr:colOff>1803400</xdr:colOff>
      <xdr:row>30</xdr:row>
      <xdr:rowOff>101600</xdr:rowOff>
    </xdr:to>
    <xdr:sp macro="" textlink="">
      <xdr:nvSpPr>
        <xdr:cNvPr id="3" name="Rounded Rectangle 2">
          <a:extLst>
            <a:ext uri="{FF2B5EF4-FFF2-40B4-BE49-F238E27FC236}">
              <a16:creationId xmlns:a16="http://schemas.microsoft.com/office/drawing/2014/main" id="{F0428CE2-7C1F-4007-BEA7-559824707ACD}"/>
            </a:ext>
            <a:ext uri="{147F2762-F138-4A5C-976F-8EAC2B608ADB}">
              <a16:predDERef xmlns:a16="http://schemas.microsoft.com/office/drawing/2014/main" pred="{8817F791-F42D-4C7A-A7A0-906796C63836}"/>
            </a:ext>
            <a:ext uri="{6ECC49D1-AA05-4338-93AA-15A1B29DFB0A}">
              <asl:scriptLink xmlns:asl="http://schemas.microsoft.com/office/drawing/2021/scriptlink" val="{&quot;shareId&quot;:&quot;ms-officescript%3A%2F%2Fonedrive_business_sharinglink%2Fu!aHR0cHM6Ly9maXJzdGFwcG9zLW15LnNoYXJlcG9pbnQuY29tLzp1Oi9nL3BlcnNvbmFsL2V2YW55b3VuZ19nZXRmaW50aV9jb20vSVFBSDl4anp6NXlWUnJYb2N4X2R4cGhXQWVzd2dUWTVINzBZeDlmVFR1Uy1JMVk&quot;}"/>
            </a:ext>
          </a:extLst>
        </xdr:cNvPr>
        <xdr:cNvSpPr/>
      </xdr:nvSpPr>
      <xdr:spPr>
        <a:xfrm>
          <a:off x="2409825" y="6172200"/>
          <a:ext cx="1803400" cy="292100"/>
        </a:xfrm>
        <a:prstGeom prst="roundRect">
          <a:avLst/>
        </a:prstGeom>
        <a:solidFill>
          <a:srgbClr val="107C41"/>
        </a:solidFill>
        <a:ln w="25400" cap="flat" cmpd="sng" algn="ctr">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Run Copy Chowder Email</a:t>
          </a:r>
        </a:p>
      </xdr:txBody>
    </xdr:sp>
    <xdr:clientData/>
  </xdr:twoCellAnchor>
  <xdr:twoCellAnchor>
    <xdr:from>
      <xdr:col>1</xdr:col>
      <xdr:colOff>1905000</xdr:colOff>
      <xdr:row>29</xdr:row>
      <xdr:rowOff>0</xdr:rowOff>
    </xdr:from>
    <xdr:to>
      <xdr:col>1</xdr:col>
      <xdr:colOff>3835400</xdr:colOff>
      <xdr:row>30</xdr:row>
      <xdr:rowOff>101600</xdr:rowOff>
    </xdr:to>
    <xdr:sp macro="" textlink="">
      <xdr:nvSpPr>
        <xdr:cNvPr id="4" name="Rounded Rectangle 3">
          <a:extLst>
            <a:ext uri="{FF2B5EF4-FFF2-40B4-BE49-F238E27FC236}">
              <a16:creationId xmlns:a16="http://schemas.microsoft.com/office/drawing/2014/main" id="{1BA6D4D2-577A-4A98-A270-F5F619CCB6DD}"/>
            </a:ext>
            <a:ext uri="{147F2762-F138-4A5C-976F-8EAC2B608ADB}">
              <a16:predDERef xmlns:a16="http://schemas.microsoft.com/office/drawing/2014/main" pred="{F0428CE2-7C1F-4007-BEA7-559824707ACD}"/>
            </a:ext>
            <a:ext uri="{6ECC49D1-AA05-4338-93AA-15A1B29DFB0A}">
              <asl:scriptLink xmlns:asl="http://schemas.microsoft.com/office/drawing/2021/scriptlink" val="{&quot;shareId&quot;:&quot;ms-officescript%3A%2F%2Fonedrive_business_sharinglink%2Fu!aHR0cHM6Ly9maXJzdGFwcG9zLW15LnNoYXJlcG9pbnQuY29tLzp1Oi9nL3BlcnNvbmFsL2V2YW55b3VuZ19nZXRmaW50aV9jb20vSVFDZ3JoY1kzLThEVDVxdVVSeTVHOFU5QWVTWXFWX3Vfd2xfWHNkdHZ5cHVuNjA&quot;}"/>
            </a:ext>
          </a:extLst>
        </xdr:cNvPr>
        <xdr:cNvSpPr/>
      </xdr:nvSpPr>
      <xdr:spPr>
        <a:xfrm>
          <a:off x="4314825" y="6172200"/>
          <a:ext cx="1930400" cy="292100"/>
        </a:xfrm>
        <a:prstGeom prst="roundRect">
          <a:avLst/>
        </a:prstGeom>
        <a:solidFill>
          <a:srgbClr val="107C41"/>
        </a:solidFill>
        <a:ln w="25400" cap="flat" cmpd="sng" algn="ctr">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Run Clear Chowder Fields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0</xdr:col>
      <xdr:colOff>1358900</xdr:colOff>
      <xdr:row>2</xdr:row>
      <xdr:rowOff>292100</xdr:rowOff>
    </xdr:to>
    <xdr:sp macro="" textlink="">
      <xdr:nvSpPr>
        <xdr:cNvPr id="2" name="Rounded Rectangle 1">
          <a:extLst>
            <a:ext uri="{FF2B5EF4-FFF2-40B4-BE49-F238E27FC236}">
              <a16:creationId xmlns:a16="http://schemas.microsoft.com/office/drawing/2014/main" id="{F2F65AB5-775C-414F-8B29-035C8A2224D0}"/>
            </a:ext>
            <a:ext uri="{6ECC49D1-AA05-4338-93AA-15A1B29DFB0A}">
              <asl:scriptLink xmlns:asl="http://schemas.microsoft.com/office/drawing/2021/scriptlink" val="{&quot;shareId&quot;:&quot;ms-officescript%3A%2F%2Fonedrive_business_sharinglink%2Fu!aHR0cHM6Ly9maXJzdGFwcG9zLW15LnNoYXJlcG9pbnQuY29tLzp1Oi9nL3BlcnNvbmFsL2V2YW55b3VuZ19nZXRmaW50aV9jb20vSVFBVXI0UmN4UF92UXFJemZ0TnZ1UDJKQVdUa3RuYVRDQW9CZVlFN0V0bnR1c00&quot;}"/>
            </a:ext>
          </a:extLst>
        </xdr:cNvPr>
        <xdr:cNvSpPr/>
      </xdr:nvSpPr>
      <xdr:spPr>
        <a:xfrm>
          <a:off x="0" y="809625"/>
          <a:ext cx="1358900" cy="292100"/>
        </a:xfrm>
        <a:prstGeom prst="roundRect">
          <a:avLst/>
        </a:prstGeom>
        <a:solidFill>
          <a:srgbClr val="107C41"/>
        </a:solidFill>
        <a:ln w="25400" cap="flat" cmpd="sng" algn="ctr">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Run Toggle Sort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0</xdr:rowOff>
    </xdr:from>
    <xdr:to>
      <xdr:col>0</xdr:col>
      <xdr:colOff>1358900</xdr:colOff>
      <xdr:row>2</xdr:row>
      <xdr:rowOff>292100</xdr:rowOff>
    </xdr:to>
    <xdr:sp macro="" textlink="">
      <xdr:nvSpPr>
        <xdr:cNvPr id="2" name="Rounded Rectangle 1">
          <a:extLst>
            <a:ext uri="{FF2B5EF4-FFF2-40B4-BE49-F238E27FC236}">
              <a16:creationId xmlns:a16="http://schemas.microsoft.com/office/drawing/2014/main" id="{108B6A9B-90B5-4DEF-B642-033363CFD033}"/>
            </a:ext>
            <a:ext uri="{6ECC49D1-AA05-4338-93AA-15A1B29DFB0A}">
              <asl:scriptLink xmlns:asl="http://schemas.microsoft.com/office/drawing/2021/scriptlink" val="{&quot;shareId&quot;:&quot;ms-officescript%3A%2F%2Fonedrive_business_sharinglink%2Fu!aHR0cHM6Ly9maXJzdGFwcG9zLW15LnNoYXJlcG9pbnQuY29tLzp1Oi9nL3BlcnNvbmFsL2V2YW55b3VuZ19nZXRmaW50aV9jb20vSVFBVXI0UmN4UF92UXFJemZ0TnZ1UDJKQVdUa3RuYVRDQW9CZVlFN0V0bnR1c00&quot;}"/>
            </a:ext>
          </a:extLst>
        </xdr:cNvPr>
        <xdr:cNvSpPr/>
      </xdr:nvSpPr>
      <xdr:spPr>
        <a:xfrm>
          <a:off x="0" y="1181100"/>
          <a:ext cx="1358900" cy="292100"/>
        </a:xfrm>
        <a:prstGeom prst="roundRect">
          <a:avLst/>
        </a:prstGeom>
        <a:solidFill>
          <a:srgbClr val="107C41"/>
        </a:solidFill>
        <a:ln w="25400" cap="flat" cmpd="sng" algn="ctr">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Run Toggle Sort</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Brittany Shaw" id="{CE9C44EE-10C6-4BF7-B822-61F51EB8F4BE}" userId="brittany@getfinti.com" providerId="PeoplePicker"/>
  <person displayName="Evan Young" id="{EB7897BE-A47E-46AE-9F0F-B57FA5A484FC}" userId="evanyoung@getfinti.com" providerId="PeoplePicker"/>
  <person displayName="Brittany Shaw" id="{11A9F298-81F8-4451-A093-85B280590E4D}" userId="S::brittany@getfinti.com::087eb832-0889-44ae-80e6-cd7ecbccb64d" providerId="AD"/>
  <person displayName="Evan Young" id="{2E3A7CAC-0BB9-4627-BAEB-BA4FAC2A66B0}" userId="S::evanyoung@getfinti.com::063a49a8-8d2a-4ded-a69f-795be315393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9D8923-B8CA-4F0C-BEA6-CA7DDDCEF19D}" name="DealerMaster" displayName="DealerMaster" ref="A4:BY51" totalsRowCount="1" headerRowDxfId="217" dataDxfId="216" totalsRowDxfId="215" tableBorderDxfId="214">
  <autoFilter ref="A4:BY50" xr:uid="{759D8923-B8CA-4F0C-BEA6-CA7DDDCEF19D}"/>
  <tableColumns count="77">
    <tableColumn id="1" xr3:uid="{CB9794B6-6DEB-4308-9526-43075BA2C9ED}" name="Legal Business Name" totalsRowLabel="Empower Solar, Inc" dataDxfId="212" totalsRowDxfId="213"/>
    <tableColumn id="2" xr3:uid="{694FD872-9883-4282-8245-5FBA65789623}" name="DBA" totalsRowLabel="Empower Home Services" dataDxfId="210" totalsRowDxfId="211"/>
    <tableColumn id="3" xr3:uid="{7A03CFC1-7FAB-4DC6-84B4-457295B468CC}" name="Channel Partner" dataDxfId="208" totalsRowDxfId="209"/>
    <tableColumn id="4" xr3:uid="{37EB5E05-9A72-4971-9F94-7132A1C1D0D4}" name="Merchant Name" totalsRowLabel="Chad Vogl" dataDxfId="206" totalsRowDxfId="207"/>
    <tableColumn id="5" xr3:uid="{08342051-8D0C-4452-9BAF-91F3482BA929}" name="Phone #" totalsRowLabel="559-479-9967" dataDxfId="204" totalsRowDxfId="205"/>
    <tableColumn id="6" xr3:uid="{A9B69E29-14C7-4719-A609-7E8D7BFA5B2C}" name="Email" totalsRowLabel="chad@empoweryourhome.com" dataDxfId="202" totalsRowDxfId="203" dataCellStyle="Hyperlink"/>
    <tableColumn id="7" xr3:uid="{097A103F-4372-4D1B-846B-CFA04779A2BC}" name="Rep" totalsRowLabel="David Yates" dataDxfId="200" totalsRowDxfId="201"/>
    <tableColumn id="8" xr3:uid="{6352B11B-5AD3-4B61-A90D-54B29BEA4BE1}" name="Rep Email" totalsRowLabel="david.yates@getfinti.com" dataDxfId="198" totalsRowDxfId="199" dataCellStyle="Hyperlink"/>
    <tableColumn id="9" xr3:uid="{642D20D0-9C2E-458E-A2D9-DE82F1D7ADE1}" name="Vertical" totalsRowLabel="solar, HVAC, electrical, roofing" dataDxfId="196" totalsRowDxfId="197"/>
    <tableColumn id="10" xr3:uid="{AAB5A9F2-3379-4939-AAE2-13D817972DB0}" name="States Active" dataDxfId="194" totalsRowDxfId="195"/>
    <tableColumn id="11" xr3:uid="{2527DB9B-7F1B-4FF8-A501-883DA4CBEF0D}" name="Priority" totalsRowLabel="1" dataDxfId="192" totalsRowDxfId="193"/>
    <tableColumn id="12" xr3:uid="{619869BE-55F7-4337-805B-1C74F7D623CB}" name="Overall Status" totalsRowFunction="custom" dataDxfId="190" totalsRowDxfId="191">
      <calculatedColumnFormula>IF($A5="","",_xlfn.LET(_xlpm.ns,(--($P5="Ready 2 Submit"))+(--($T5="Ready 2 Submit"))+(--($X5="Ready 2 Submit"))+(--($AB5="Ready 2 Submit"))+(--($AF5="Ready 2 Submit")),_xlpm.wd,(--($P5="Waiting on Dealer"))+(--($T5="Waiting on Dealer"))+(--($X5="Waiting on Dealer"))+(--($AB5="Waiting on Dealer"))+(--($AF5="Waiting on Dealer")),_xlpm.sb,(--($P5="Submitted"))+(--($T5="Submitted"))+(--($X5="Submitted"))+(--($AB5="Submitted"))+(--($AF5="Submitted")),_xlpm.ap,(--($P5="Approved"))+(--($T5="Approved"))+(--($X5="Approved"))+(--($AB5="Approved"))+(--($AF5="Approved")),_xlpm.ac,(--($P5="Active"))+(--($T5="Active"))+(--($X5="Active"))+(--($AB5="Active"))+(--($AF5="Active")),_xlpm.dc,(--($P5="Declined"))+(--($T5="Declined"))+(--($X5="Declined"))+(--($AB5="Declined"))+(--($AF5="Declined")),_xlpm.aRS,(--($P5="Active"))*(--($R5="Yes"))+(--($T5="Active"))*(--($V5="Yes"))+(--($X5="Active"))*(--($Z5="Yes"))+(--($AB5="Active"))*(--($AD5="Yes"))+(--($AF5="Active"))*(--($AH5="Yes")),_xlpm.aDn,(--($P5="Active"))*(--($R5="Yes"))*(--((($S5="Yes")+($S5=TRUE))&gt;0))+(--($T5="Active"))*(--($V5="Yes"))*(--((($W5="Yes")+($W5=TRUE))&gt;0))+(--($X5="Active"))*(--($Z5="Yes"))*(--((($AA5="Yes")+($AA5=TRUE))&gt;0))+(--($AB5="Active"))*(--($AD5="Yes"))*(--((($AE5="Yes")+($AE5=TRUE))&gt;0))+(--($AF5="Active"))*(--($AH5="Yes"))*(--((($AI5="Yes")+($AI5=TRUE))&gt;0)),_xlpm.inPlay,_xlpm.ns+_xlpm.wd+_xlpm.sb+_xlpm.ap,IF(AND(_xlpm.ac&gt;0,_xlpm.inPlay=0,_xlpm.aDn=_xlpm.ac),"LIVE DLR",IF(AND(_xlpm.aRS&gt;0,_xlpm.aDn&lt;_xlpm.aRS),"Training",IF(_xlpm.aRS&gt;0,"Active",IF(AND(_xlpm.dc&gt;0,_xlpm.inPlay+_xlpm.ac=0),"Dead",IF(OR($CA5="Yes",$CA5=TRUE),"Rate Sheet",IF(AND($AJ5&lt;&gt;"",$AK5=FALSE),"Waiting on Dealer",IF(_xlpm.sb&gt;0,"Waiting on Lender",IF(AND(_xlpm.ap+_xlpm.ac&gt;0,_xlpm.ns+_xlpm.wd=0),"Rate Sheet","Application Submitted"))))))))))</calculatedColumnFormula>
      <totalsRowFormula>IF($A51="","",_xlfn.LET(_xlpm.ns,(--($P51="Ready 2 Submit"))+(--($T51="Ready 2 Submit"))+(--($X51="Ready 2 Submit"))+(--($AB51="Ready 2 Submit"))+(--($AF51="Ready 2 Submit")),_xlpm.wd,(--($P51="Waiting on Dealer"))+(--($T51="Waiting on Dealer"))+(--($X51="Waiting on Dealer"))+(--($AB51="Waiting on Dealer"))+(--($AF51="Waiting on Dealer")),_xlpm.sb,(--($P51="Submitted"))+(--($T51="Submitted"))+(--($X51="Submitted"))+(--($AB51="Submitted"))+(--($AF51="Submitted")),_xlpm.ap,(--($P51="Approved"))+(--($T51="Approved"))+(--($X51="Approved"))+(--($AB51="Approved"))+(--($AF51="Approved")),_xlpm.ac,(--($P51="Active"))+(--($T51="Active"))+(--($X51="Active"))+(--($AB51="Active"))+(--($AF51="Active")),_xlpm.dc,(--($P51="Declined"))+(--($T51="Declined"))+(--($X51="Declined"))+(--($AB51="Declined"))+(--($AF51="Declined")),_xlpm.aRS,(--($P51="Active"))*(--($R51="Yes"))+(--($T51="Active"))*(--($V51="Yes"))+(--($X51="Active"))*(--($Z51="Yes"))+(--($AB51="Active"))*(--($AD51="Yes"))+(--($AF51="Active"))*(--($AH51="Yes")),_xlpm.aDn,(--($P51="Active"))*(--($R51="Yes"))*(--((($S51="Yes")+($S51=TRUE))&gt;0))+(--($T51="Active"))*(--($V51="Yes"))*(--((($W51="Yes")+($W51=TRUE))&gt;0))+(--($X51="Active"))*(--($Z51="Yes"))*(--((($AA51="Yes")+($AA51=TRUE))&gt;0))+(--($AB51="Active"))*(--($AD51="Yes"))*(--((($AE51="Yes")+($AE51=TRUE))&gt;0))+(--($AF51="Active"))*(--($AH51="Yes"))*(--((($AI51="Yes")+($AI51=TRUE))&gt;0)),_xlpm.inPlay,_xlpm.ns+_xlpm.wd+_xlpm.sb+_xlpm.ap,IF(AND(_xlpm.ac&gt;0,_xlpm.inPlay=0,_xlpm.aDn=_xlpm.ac),"LIVE DLR",IF(AND(_xlpm.aRS&gt;0,_xlpm.aDn&lt;_xlpm.aRS),"Training",IF(_xlpm.aRS&gt;0,"Active",IF(AND(_xlpm.dc&gt;0,_xlpm.inPlay+_xlpm.ac=0),"Dead",IF(OR($CA51="Yes",$CA51=TRUE),"Rate Sheet",IF(AND($AJ51&lt;&gt;"",$AK51=FALSE),"Waiting on Dealer",IF(_xlpm.sb&gt;0,"Waiting on Lender",IF(AND(_xlpm.ap+_xlpm.ac&gt;0,_xlpm.ns+_xlpm.wd=0),"Rate Sheet","Application Submitted"))))))))))</totalsRowFormula>
    </tableColumn>
    <tableColumn id="13" xr3:uid="{EA8D98DA-A396-4C8C-96D1-B3037F384D80}" name="Application Date" totalsRowLabel="9/22/26" dataDxfId="188" totalsRowDxfId="189"/>
    <tableColumn id="14" xr3:uid="{8E7899C7-54EF-4222-86B8-B195507C7080}" name="Welcome Email Sent" totalsRowLabel="9/22/2026" dataDxfId="186" totalsRowDxfId="187"/>
    <tableColumn id="15" xr3:uid="{269D5AD4-7DDD-4563-90D6-72BFC4ED2627}" name="Lender Order" totalsRowLabel="SF, SL, FF, CH" dataDxfId="184" totalsRowDxfId="185"/>
    <tableColumn id="16" xr3:uid="{2FF5389A-FA34-4FB8-9DA0-A8593870B127}" name="Service Finance" totalsRowLabel="Submitted" dataDxfId="182" totalsRowDxfId="183"/>
    <tableColumn id="17" xr3:uid="{57C35FC6-2731-425F-95BE-8C67DE1AE661}" name="SF Submitted" totalsRowLabel="9/22/2026" dataDxfId="180" totalsRowDxfId="181"/>
    <tableColumn id="18" xr3:uid="{4E7EFC31-7B68-446B-AC6F-982DF2747BA9}" name="SF Rate Sheet" totalsRowLabel="No" dataDxfId="178" totalsRowDxfId="179"/>
    <tableColumn id="19" xr3:uid="{6A1BC739-0648-4F5A-8D0B-9A5E768BFA7F}" name="SF Training" totalsRowLabel="No" dataDxfId="176" totalsRowDxfId="177"/>
    <tableColumn id="20" xr3:uid="{791A5C91-3D00-4908-85CE-5BAB6B96519A}" name="Sunlight" totalsRowLabel="Ready 2 Submit" dataDxfId="174" totalsRowDxfId="175"/>
    <tableColumn id="21" xr3:uid="{867DBDA8-2DBE-405E-B1B4-6C6A22A3BADA}" name="SL Submitted" dataDxfId="172" totalsRowDxfId="173"/>
    <tableColumn id="22" xr3:uid="{DF84351E-E418-4EB5-93D9-793295BA6A1D}" name="SL Rate Sheet" totalsRowLabel="No" dataDxfId="170" totalsRowDxfId="171"/>
    <tableColumn id="23" xr3:uid="{5A69E1BD-7D31-42A6-B5E3-32C49BE4B74F}" name="SL Training" totalsRowLabel="No" dataDxfId="168" totalsRowDxfId="169"/>
    <tableColumn id="24" xr3:uid="{EFF021C8-985D-498F-84F1-575696995A1A}" name="Foundation" totalsRowLabel="Ready 2 Submit" dataDxfId="166" totalsRowDxfId="167"/>
    <tableColumn id="25" xr3:uid="{2ABC2406-061C-411C-A05B-C0C552864390}" name="FF Submitted" dataDxfId="164" totalsRowDxfId="165"/>
    <tableColumn id="26" xr3:uid="{8D28E56C-8ED7-49D8-897E-CB4C491E276B}" name="FF Rate Sheet" totalsRowLabel="No" dataDxfId="162" totalsRowDxfId="163"/>
    <tableColumn id="27" xr3:uid="{72DF165B-8C29-465C-939F-A0BC3F3C2649}" name="FF Training" totalsRowLabel="No" dataDxfId="160" totalsRowDxfId="161"/>
    <tableColumn id="28" xr3:uid="{581C1CD1-E964-4CAA-9A2E-99237477DD90}" name="Chowder" totalsRowLabel="Ready 2 Submit" dataDxfId="158" totalsRowDxfId="159"/>
    <tableColumn id="29" xr3:uid="{98F8FAAF-6A6C-4367-B112-6307ABB862E1}" name="CH Submitted" dataDxfId="156" totalsRowDxfId="157"/>
    <tableColumn id="30" xr3:uid="{B6342817-D149-4354-8445-7495C657238C}" name="CH Rate Sheet" totalsRowLabel="No" dataDxfId="154" totalsRowDxfId="155"/>
    <tableColumn id="31" xr3:uid="{07911FB2-EBC7-472A-B4CE-84B90B9809E8}" name="CH Training" totalsRowLabel="No" dataDxfId="152" totalsRowDxfId="153"/>
    <tableColumn id="32" xr3:uid="{09B1874D-2C5E-42B4-AABD-7FE90692F948}" name="US Bank" totalsRowLabel="N/A" dataDxfId="150" totalsRowDxfId="151"/>
    <tableColumn id="33" xr3:uid="{88E1D240-C82E-43BA-8256-2056A3831DE9}" name="USB Submitted" dataDxfId="148" totalsRowDxfId="149"/>
    <tableColumn id="34" xr3:uid="{22E15160-C5E2-47CE-8ADC-8B2A00D59F6B}" name="USB Rate Sheet" totalsRowLabel="No" dataDxfId="146" totalsRowDxfId="147"/>
    <tableColumn id="35" xr3:uid="{9107CA75-6D50-44BF-9F76-291BF40FB8EF}" name="USB Training" totalsRowLabel="No" dataDxfId="144" totalsRowDxfId="145"/>
    <tableColumn id="36" xr3:uid="{1496E0DC-E51B-4202-8220-D33B4E738259}" name="Merchant To-Do" totalsRowLabel="Upload docs for AZ &amp; TX" dataDxfId="142" totalsRowDxfId="143"/>
    <tableColumn id="37" xr3:uid="{864C7C58-1A89-4B2B-85B2-1ABDC674DBE0}" name="To-Do Done" dataDxfId="140" totalsRowDxfId="141"/>
    <tableColumn id="38" xr3:uid="{AD627CCC-909A-4910-8D5E-31DEBE489864}" name="Lenders Live" totalsRowFunction="custom" dataDxfId="138" totalsRowDxfId="139">
      <calculatedColumnFormula array="1">IF($A5="","",SUMPRODUCT((CHOOSE({1,2,3,4,5},$R5,$V5,$Z5,$AD5,$AH5)="Yes")*(((CHOOSE({1,2,3,4,5},$S5,$W5,$AA5,$AE5,$AI5)="Yes")+(CHOOSE({1,2,3,4,5},$S5,$W5,$AA5,$AE5,$AI5)=TRUE))&gt;0)))</calculatedColumnFormula>
      <totalsRowFormula array="1">IF($A51="","",SUMPRODUCT((CHOOSE({1,2,3,4,5},$R51,$V51,$Z51,$AD51,$AH51)="Yes")*(((CHOOSE({1,2,3,4,5},$S51,$W51,$AA51,$AE51,$AI51)="Yes")+(CHOOSE({1,2,3,4,5},$S51,$W51,$AA51,$AE51,$AI51)=TRUE))&gt;0)))</totalsRowFormula>
    </tableColumn>
    <tableColumn id="39" xr3:uid="{5048FD11-46DA-496C-ABD1-57F53E42BC12}" name="Last Status Update Emailed" totalsRowLabel="9/22/2026" dataDxfId="136" totalsRowDxfId="137"/>
    <tableColumn id="40" xr3:uid="{FF850256-78C1-454E-A12E-3FFF85A932E0}" name="Days Since Update" totalsRowFunction="custom" dataDxfId="134" totalsRowDxfId="135">
      <calculatedColumnFormula>IF(OR($A5="",$AM5=""),"",TODAY()-$AM5)</calculatedColumnFormula>
      <totalsRowFormula>IF(OR($A51="",$AM51=""),"",TODAY()-$AM51)</totalsRowFormula>
    </tableColumn>
    <tableColumn id="41" xr3:uid="{757C14C5-4C1A-4E28-927B-E945FDDEF5E5}" name="Divider" dataDxfId="132" totalsRowDxfId="133"/>
    <tableColumn id="42" xr3:uid="{15CE51EA-EC71-4252-BA33-F75A8F0C6EC0}" name="Service Finance API Code" dataDxfId="130" totalsRowDxfId="131"/>
    <tableColumn id="43" xr3:uid="{6F0B1A22-AD3C-4161-A6F2-518A1DEFC09A}" name="Service Finance States Active" dataDxfId="128" totalsRowDxfId="129"/>
    <tableColumn id="44" xr3:uid="{938A71DF-484A-4B7C-9248-C047F982766E}" name="Sunlight API Code" dataDxfId="126" totalsRowDxfId="127"/>
    <tableColumn id="45" xr3:uid="{87F0D784-2C82-4741-94AB-C2169448CEAE}" name="Sunlight States Active" dataDxfId="124" totalsRowDxfId="125"/>
    <tableColumn id="46" xr3:uid="{58FB00EE-38B4-4B0A-A410-09A03643580E}" name="Foundation API Code" dataDxfId="122" totalsRowDxfId="123"/>
    <tableColumn id="47" xr3:uid="{8F65BAE5-7BFA-4985-BBEE-F1B137940E9F}" name="Foundation States Active" dataDxfId="120" totalsRowDxfId="121"/>
    <tableColumn id="48" xr3:uid="{228F2FAE-C077-48A5-8796-BEB6554FD1C8}" name="Chowder API Code" dataDxfId="118" totalsRowDxfId="119"/>
    <tableColumn id="49" xr3:uid="{E379C7C4-86D9-45BA-8262-DBAB2F7F2B49}" name="Chowder States Active" dataDxfId="116" totalsRowDxfId="117"/>
    <tableColumn id="50" xr3:uid="{461BDC32-67B5-4C5B-852F-D42B5E3B3B63}" name="US Bank API Code" dataDxfId="114" totalsRowDxfId="115"/>
    <tableColumn id="51" xr3:uid="{E0BCEDF2-C8E8-427D-A1F4-BFFC9A12C405}" name="US Bank States Active" dataDxfId="112" totalsRowDxfId="113"/>
    <tableColumn id="52" xr3:uid="{6420DC4A-B6AC-4CA8-8A1F-FE239D555309}" name="Divider 2" dataDxfId="110" totalsRowDxfId="111"/>
    <tableColumn id="53" xr3:uid="{B0A141C6-ACA7-41F7-B606-0985879F5D3B}" name="Sort Key" dataDxfId="108" totalsRowDxfId="109"/>
    <tableColumn id="54" xr3:uid="{A6F7C46D-4D7D-4BFE-837A-859107B4F3ED}" name="Sort Temp" dataDxfId="106" totalsRowDxfId="107"/>
    <tableColumn id="55" xr3:uid="{4E1FC000-8FAD-47B1-AC4A-33E6AEC68C3A}" name="Divider 3" dataDxfId="104" totalsRowDxfId="105"/>
    <tableColumn id="56" xr3:uid="{B7880FE7-1C9D-44A9-8063-845CE919918B}" name="CH Legal Entity Type" dataDxfId="102" totalsRowDxfId="103"/>
    <tableColumn id="57" xr3:uid="{FB11E0C3-4CDF-4622-909A-8499D5690099}" name="CH License Holder" dataDxfId="100" totalsRowDxfId="101"/>
    <tableColumn id="58" xr3:uid="{773EB59A-39BA-4033-BE81-D3B05BE5CA12}" name="CH License Number" dataDxfId="98" totalsRowDxfId="99"/>
    <tableColumn id="59" xr3:uid="{74002646-A7E0-426F-B7AE-5E6EC6CF490E}" name="CH EIN" dataDxfId="96" totalsRowDxfId="97"/>
    <tableColumn id="60" xr3:uid="{DAD67916-B48D-4B5F-854A-04565EAB738E}" name="CH Business Start Year" dataDxfId="94" totalsRowDxfId="95"/>
    <tableColumn id="61" xr3:uid="{FDC2A24D-D659-4142-86C6-485FABA28CE9}" name="CH Website" dataDxfId="92" totalsRowDxfId="93"/>
    <tableColumn id="62" xr3:uid="{C2307517-8941-4C35-8EE3-44A851434A9A}" name="CH Business Address" dataDxfId="90" totalsRowDxfId="91"/>
    <tableColumn id="63" xr3:uid="{52018345-525F-4A63-AB51-972BCF73C49E}" name="CH Contact First Name" dataDxfId="88" totalsRowDxfId="89"/>
    <tableColumn id="64" xr3:uid="{A80559C2-8EA0-4D6E-9380-26EC4C598002}" name="CH Contact Last Name" dataDxfId="86" totalsRowDxfId="87"/>
    <tableColumn id="65" xr3:uid="{3BBE6DC4-8AE9-4BE0-99C0-B9E1A4A0252F}" name="CH Contact Phone" dataDxfId="84" totalsRowDxfId="85"/>
    <tableColumn id="66" xr3:uid="{431D65E6-9226-46E0-A5E1-8D7F0A964C12}" name="CH Contact Email" dataDxfId="82" totalsRowDxfId="83"/>
    <tableColumn id="67" xr3:uid="{C2E71E5F-E180-4B99-ACDE-5850F98639CD}" name="CH Owner First Name" dataDxfId="80" totalsRowDxfId="81"/>
    <tableColumn id="68" xr3:uid="{D4200528-1E69-4D48-AF65-3B564EF02AF7}" name="CH Owner Last Name" dataDxfId="78" totalsRowDxfId="79"/>
    <tableColumn id="69" xr3:uid="{5282723D-C832-4DCF-B7C3-58C771651093}" name="CH Owner Phone" dataDxfId="76" totalsRowDxfId="77"/>
    <tableColumn id="70" xr3:uid="{15E5B8FA-74CD-4DB3-9365-153C17C153B5}" name="CH Owner Email" dataDxfId="74" totalsRowDxfId="75"/>
    <tableColumn id="71" xr3:uid="{FD4D2565-9CA6-43F7-9770-3D1EB612F15C}" name="CH Bank Name" dataDxfId="72" totalsRowDxfId="73"/>
    <tableColumn id="72" xr3:uid="{92F0BF32-A9A9-4990-AD0B-CFDE177D14CA}" name="CH Routing Number" dataDxfId="70" totalsRowDxfId="71"/>
    <tableColumn id="73" xr3:uid="{0EE048EC-5D17-4BA2-8444-3EA09C8460EB}" name="CH Account Number" dataDxfId="68" totalsRowDxfId="69"/>
    <tableColumn id="74" xr3:uid="{A52F2F46-8E1E-4B49-9842-537C4BAD142C}" name="CH Doc Business Registration" totalsRowLabel="No" dataDxfId="66" totalsRowDxfId="67"/>
    <tableColumn id="75" xr3:uid="{048D8985-DE29-4EA4-B95E-B8BD92836597}" name="CH Doc HVAC License" totalsRowLabel="No" dataDxfId="64" totalsRowDxfId="65"/>
    <tableColumn id="76" xr3:uid="{45EB7B34-CEC1-479B-A6E8-C6EEB56DF418}" name="CH Doc Voided Check" totalsRowLabel="No" dataDxfId="62" totalsRowDxfId="63"/>
    <tableColumn id="77" xr3:uid="{7633D1DB-0957-4C3F-9826-E3BAF7E7B570}" name="CH Info Saved" dataDxfId="60" totalsRowDxfId="61"/>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ealerDetails" displayName="DealerDetails" ref="A1:L31" totalsRowShown="0" headerRowDxfId="41" dataDxfId="40" headerRowBorderDxfId="38" tableBorderDxfId="39" totalsRowBorderDxfId="37">
  <autoFilter ref="A1:L31" xr:uid="{00000000-0009-0000-0100-000001000000}"/>
  <tableColumns count="12">
    <tableColumn id="1" xr3:uid="{00000000-0010-0000-0100-000001000000}" name="Legal Business Name" dataDxfId="36"/>
    <tableColumn id="2" xr3:uid="{00000000-0010-0000-0100-000002000000}" name="Back" dataDxfId="35"/>
    <tableColumn id="3" xr3:uid="{00000000-0010-0000-0100-000003000000}" name="Original Status/Notes (verbatim)" dataDxfId="34"/>
    <tableColumn id="4" xr3:uid="{00000000-0010-0000-0100-000004000000}" name="Service Finance — full text" dataDxfId="33"/>
    <tableColumn id="5" xr3:uid="{00000000-0010-0000-0100-000005000000}" name="Sunlight — full text" dataDxfId="32"/>
    <tableColumn id="6" xr3:uid="{00000000-0010-0000-0100-000006000000}" name="Foundation — full text" dataDxfId="31"/>
    <tableColumn id="7" xr3:uid="{00000000-0010-0000-0100-000007000000}" name="Chowder — full text" dataDxfId="30"/>
    <tableColumn id="8" xr3:uid="{00000000-0010-0000-0100-000008000000}" name="US Bank — full text" dataDxfId="29"/>
    <tableColumn id="9" xr3:uid="{00000000-0010-0000-0100-000009000000}" name="Original 'Notes' column" dataDxfId="28"/>
    <tableColumn id="10" xr3:uid="{00000000-0010-0000-0100-00000A000000}" name="POP Sent (original)" dataDxfId="27"/>
    <tableColumn id="11" xr3:uid="{00000000-0010-0000-0100-00000B000000}" name="Data flag" dataDxfId="26"/>
    <tableColumn id="12" xr3:uid="{00000000-0010-0000-0100-00000C000000}" name="Source row in original" dataDxfId="2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creenshotText" displayName="ScreenshotText" ref="A4:D36" totalsRowShown="0" headerRowDxfId="24">
  <autoFilter ref="A4:D36" xr:uid="{00000000-0009-0000-0100-000003000000}"/>
  <tableColumns count="4">
    <tableColumn id="1" xr3:uid="{00000000-0010-0000-0200-000001000000}" name="Lender tab" dataDxfId="23"/>
    <tableColumn id="2" xr3:uid="{00000000-0010-0000-0200-000002000000}" name="Location" dataDxfId="22"/>
    <tableColumn id="3" xr3:uid="{00000000-0010-0000-0200-000003000000}" name="What it shows" dataDxfId="21"/>
    <tableColumn id="4" xr3:uid="{00000000-0010-0000-0200-000004000000}" name="Text content" dataDxfId="2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7" dT="2026-09-01T02:21:25.61" personId="{11A9F298-81F8-4451-A093-85B280590E4D}" id="{A615335A-4964-44E6-ADAF-CE2C2DCE6F19}">
    <text>@Evan Young this was just for me to know which lenders a dealer was applying for</text>
    <mentions>
      <mention mentionpersonId="{EB7897BE-A47E-46AE-9F0F-B57FA5A484FC}" mentionId="{7699E51F-F217-44A0-93AC-A147374ADAD7}" startIndex="0" length="11"/>
    </mentions>
  </threadedComment>
  <threadedComment ref="B27" dT="2026-09-01T02:26:11.47" personId="{2E3A7CAC-0BB9-4627-BAEB-BA4FAC2A66B0}" id="{CC87A5DD-5461-425E-A110-657DA811685B}" parentId="{A615335A-4964-44E6-ADAF-CE2C2DCE6F19}">
    <text>@Brittany Shaw. Good to know!</text>
    <mentions>
      <mention mentionpersonId="{CE9C44EE-10C6-4BF7-B822-61F51EB8F4BE}" mentionId="{04CBFD18-88B4-497F-B1E1-C18A4CFFCF1F}" startIndex="0" length="15"/>
    </mentions>
  </threadedComment>
  <threadedComment ref="B28" dT="2026-09-01T02:26:23.07" personId="{11A9F298-81F8-4451-A093-85B280590E4D}" id="{3BDADA6C-9742-4D53-A199-62AD443FD23F}">
    <text>I think this one was denied due to not meeting $1MM in revenue, but Foundation Finance doesn't have a minimum requirement, so I think we can move forward with applying.</text>
  </threadedComment>
</ThreadedComments>
</file>

<file path=xl/threadedComments/threadedComment2.xml><?xml version="1.0" encoding="utf-8"?>
<ThreadedComments xmlns="http://schemas.microsoft.com/office/spreadsheetml/2018/threadedcomments" xmlns:x="http://schemas.openxmlformats.org/spreadsheetml/2006/main">
  <threadedComment ref="Y5" dT="2026-09-21T15:40:49.24" personId="{2E3A7CAC-0BB9-4627-BAEB-BA4FAC2A66B0}" id="{C072F377-BE20-42F2-8D0C-975A2610574D}">
    <text>Source: Finti Weekly Report (3).xlsx, uploaded 2026-09-21 — Dealer List, Registration Submitted Date</text>
  </threadedComment>
  <threadedComment ref="Y6" dT="2026-09-21T14:40:12.89" personId="{2E3A7CAC-0BB9-4627-BAEB-BA4FAC2A66B0}" id="{E216BADE-8863-4DEE-905C-EB6E060B1022}">
    <text>Source: Finti Weekly Report (3).xlsx, uploaded 2026-09-21 — Dealer List, Registration Submitted Date</text>
  </threadedComment>
  <threadedComment ref="Y7" dT="2026-09-21T14:40:12.89" personId="{2E3A7CAC-0BB9-4627-BAEB-BA4FAC2A66B0}" id="{DC998024-B31C-44F8-9D6C-099A6890E999}">
    <text>Source: Finti Weekly Report (3).xlsx, uploaded 2026-09-21 — Dealer List, Registration Submitted Date</text>
  </threadedComment>
  <threadedComment ref="Y8" dT="2026-09-21T14:40:12.91" personId="{2E3A7CAC-0BB9-4627-BAEB-BA4FAC2A66B0}" id="{2DBDDCF7-2843-47DE-8CF3-92AC49A12408}">
    <text>Source: Finti Weekly Report (3).xlsx, uploaded 2026-09-21 — Dealer List, Registration Submitted Date</text>
  </threadedComment>
  <threadedComment ref="Y9" dT="2026-09-21T14:40:12.91" personId="{2E3A7CAC-0BB9-4627-BAEB-BA4FAC2A66B0}" id="{BCB364F3-CA51-43D1-A91E-05F061BB1FAA}">
    <text>Source: Finti Weekly Report (3).xlsx, uploaded 2026-09-21 — Dealer List, Registration Submitted Date</text>
  </threadedComment>
  <threadedComment ref="Y10" dT="2026-09-21T14:40:12.91" personId="{2E3A7CAC-0BB9-4627-BAEB-BA4FAC2A66B0}" id="{6B1BFF33-C957-4677-90DC-2AC69A897DCE}">
    <text>Source: Finti Weekly Report (3).xlsx, uploaded 2026-09-21 — Dealer List, Registration Submitted Date</text>
  </threadedComment>
  <threadedComment ref="Y11" dT="2026-09-21T14:40:12.91" personId="{2E3A7CAC-0BB9-4627-BAEB-BA4FAC2A66B0}" id="{57C4401E-6DB3-476C-9DD0-E3074F5C6359}">
    <text>Source: Finti Weekly Report (3).xlsx, uploaded 2026-09-21 — Dealer List, Registration Submitted Date</text>
  </threadedComment>
  <threadedComment ref="AT11" dT="2026-09-21T15:40:49.24" personId="{2E3A7CAC-0BB9-4627-BAEB-BA4FAC2A66B0}" id="{E016FEDA-7CE4-4ACC-B4CD-B675227E4CED}">
    <text>Source: Finti Weekly Report (3).xlsx, uploaded 2026-09-21 — Dealer List, Dealer Number</text>
  </threadedComment>
  <threadedComment ref="Y12" dT="2026-09-21T15:40:49.26" personId="{2E3A7CAC-0BB9-4627-BAEB-BA4FAC2A66B0}" id="{C9AEF364-B02C-4F1D-AD90-290403FE9C6E}">
    <text>Source: FFC Dealer List pasted into chat by user, 2026-09-21 — Banyan Construction, Registration Submitted Date 9/2/2026</text>
  </threadedComment>
  <threadedComment ref="AJ12" dT="2026-09-21T15:40:49.26" personId="{2E3A7CAC-0BB9-4627-BAEB-BA4FAC2A66B0}" id="{62C884FF-7C9C-43EA-AF39-3EC0262B6F98}">
    <text>Source: FFC Dealer List pasted into chat by user, 2026-09-21 — Banyan Construction, Registration Approved Date 9/21/2026</text>
  </threadedComment>
  <threadedComment ref="AT12" dT="2026-09-21T15:40:49.26" personId="{2E3A7CAC-0BB9-4627-BAEB-BA4FAC2A66B0}" id="{F172CE79-6CCB-4FE8-9D09-D9E8B7FC9ADA}">
    <text>Source: FFC Dealer List pasted into chat by user, 2026-09-21 — Banyan Construction, Dealer Number</text>
  </threadedComment>
  <threadedComment ref="Y15" dT="2026-09-21T14:40:12.91" personId="{2E3A7CAC-0BB9-4627-BAEB-BA4FAC2A66B0}" id="{A9584B73-0264-46A1-9090-F784260BC6DA}">
    <text>Source: Finti Weekly Report (3).xlsx, uploaded 2026-09-21 — Dealer List, Registration Submitted Date</text>
  </threadedComment>
  <threadedComment ref="X17" dT="2026-09-21T15:40:49.26" personId="{2E3A7CAC-0BB9-4627-BAEB-BA4FAC2A66B0}" id="{D559E354-D5E6-4410-A346-9BBF438B56AD}">
    <text>Source: FFC Dealer List pasted into chat by user, 2026-09-21 — Registration Approved 9/2/2026, Training Completed? False. Approved = registered with FFC, training not yet done.</text>
  </threadedComment>
  <threadedComment ref="Y17" dT="2026-09-21T14:40:12.92" personId="{2E3A7CAC-0BB9-4627-BAEB-BA4FAC2A66B0}" id="{01A40835-1943-4D49-BF60-AC954D29277D}">
    <text>Source: Finti Weekly Report (3).xlsx, uploaded 2026-09-21 — Dealer List, Registration Submitted Date</text>
  </threadedComment>
  <threadedComment ref="AJ17" dT="2026-09-21T15:40:49.26" personId="{2E3A7CAC-0BB9-4627-BAEB-BA4FAC2A66B0}" id="{BC12C537-D683-4065-9313-50C843B39BCD}">
    <text>Source: Finti Weekly Report (3).xlsx, uploaded 2026-09-21 — Dealer List: Registration Approved Date 9/2/26</text>
  </threadedComment>
  <threadedComment ref="AJ19" dT="2026-09-21T15:40:49.26" personId="{2E3A7CAC-0BB9-4627-BAEB-BA4FAC2A66B0}" id="{0E7E3A72-C353-4CE9-A58A-46D932A05A72}">
    <text>Source: Finti Weekly Report (4).xlsx, uploaded 2026-09-21 — Lead List: Owner Call Completed, Awaiting Dealer Items, Items Needed = Ownership</text>
  </threadedComment>
  <threadedComment ref="Y21" dT="2026-09-21T14:40:12.92" personId="{2E3A7CAC-0BB9-4627-BAEB-BA4FAC2A66B0}" id="{3486FFE9-B95F-4DFF-88E3-027866E5E4E8}">
    <text>Source: Finti Weekly Report (3).xlsx, uploaded 2026-09-21 — Dealer List, Registration Submitted Date</text>
  </threadedComment>
  <threadedComment ref="X22" dT="2026-09-21T15:40:49.27" personId="{2E3A7CAC-0BB9-4627-BAEB-BA4FAC2A66B0}" id="{FAA928E2-BBCD-4D7F-89CC-173DD6D0F4CE}">
    <text>Source: Finti Weekly Report (4).xlsx, uploaded 2026-09-21 — Dirty Boys Contracting does not appear on the Lead List or Dealer List, so FFC never received the submission.</text>
  </threadedComment>
  <threadedComment ref="Y22" dT="2026-09-21T15:40:49.27" personId="{2E3A7CAC-0BB9-4627-BAEB-BA4FAC2A66B0}" id="{1EC3697C-0561-4039-A5ED-E580CB2205E1}">
    <text>Cleared: FFC has no record of this dealer in the 9/21/26 report, so the prior submitted date was not real.</text>
  </threadedComment>
  <threadedComment ref="X28" dT="2026-09-21T15:40:49.27" personId="{2E3A7CAC-0BB9-4627-BAEB-BA4FAC2A66B0}" id="{FD30983D-41D2-43D8-88AB-080D6A7F0E79}">
    <text>Source: Finti Weekly Report (4).xlsx, uploaded 2026-09-21 — BRM Roofing &amp; Construction does not appear on the Lead List or Dealer List, so FFC never received the submission.</text>
  </threadedComment>
  <threadedComment ref="Y28" dT="2026-09-21T15:40:49.27" personId="{2E3A7CAC-0BB9-4627-BAEB-BA4FAC2A66B0}" id="{8CF5BCFF-271D-4A22-B2A6-50E7DFFDA6D5}">
    <text>Cleared: FFC has no record of this dealer in the 9/21/26 report, so the prior submitted date was not real.</text>
  </threadedComment>
  <threadedComment ref="Y29" dT="2026-09-21T15:40:49.27" personId="{2E3A7CAC-0BB9-4627-BAEB-BA4FAC2A66B0}" id="{D2E5B9DD-4552-474D-BCF5-4BD62A657A41}">
    <text>Source: FFC Dealer List pasted into chat by user, 2026-09-21 — Taves Fencing, Registration Submitted Date 9/4/2026</text>
  </threadedComment>
  <threadedComment ref="AJ29" dT="2026-09-21T15:40:49.27" personId="{2E3A7CAC-0BB9-4627-BAEB-BA4FAC2A66B0}" id="{5CB6175D-01D5-477C-910B-C553C4C9BA2D}">
    <text>Source: FFC Dealer List pasted into chat by user, 2026-09-21 — Taves Fencing, Registration Approved Date 9/17/2026</text>
  </threadedComment>
  <threadedComment ref="AT29" dT="2026-09-21T15:40:49.29" personId="{2E3A7CAC-0BB9-4627-BAEB-BA4FAC2A66B0}" id="{37346C2E-AC8D-46A2-94E5-D31B2F2A2246}">
    <text>Source: FFC Dealer List pasted into chat by user, 2026-09-21 — Taves Fencing, Dealer Number</text>
  </threadedComment>
  <threadedComment ref="Y30" dT="2026-09-21T14:40:12.92" personId="{2E3A7CAC-0BB9-4627-BAEB-BA4FAC2A66B0}" id="{E9135140-F481-4DEC-9F2E-6A6D0956E505}">
    <text>Source: Finti Weekly Report (3).xlsx, uploaded 2026-09-21 — Dealer List, Registration Submitted Date</text>
  </threadedComment>
  <threadedComment ref="Y32" dT="2026-09-21T14:40:12.92" personId="{2E3A7CAC-0BB9-4627-BAEB-BA4FAC2A66B0}" id="{C2265DFE-9C7A-42A7-842A-0F35447A9BFA}">
    <text>Source: Finti Weekly Report (3).xlsx, uploaded 2026-09-21 — Dealer List, Registration Submitted Date</text>
  </threadedComment>
  <threadedComment ref="AJ33" dT="2026-09-21T15:40:49.29" personId="{2E3A7CAC-0BB9-4627-BAEB-BA4FAC2A66B0}" id="{95C4EF4A-4B20-42BE-8796-F976D5A42CB1}">
    <text>Source: Finti Weekly Report (4).xlsx, uploaded 2026-09-21 — Lead List: Need OC, Owner Call Status = 1st Owner Call Attempted</text>
  </threadedComment>
  <threadedComment ref="AJ34" dT="2026-09-21T15:40:49.29" personId="{2E3A7CAC-0BB9-4627-BAEB-BA4FAC2A66B0}" id="{BC4E6121-C97D-4055-93DD-02F1B0353252}">
    <text>Source: Finti Weekly Report (4).xlsx, uploaded 2026-09-21 — Lead List: Owner Call Completed, Awaiting Dealer Items, Items Needed = Clarifying Question</text>
  </threadedComment>
  <threadedComment ref="X36" dT="2026-09-21T15:40:49.29" personId="{2E3A7CAC-0BB9-4627-BAEB-BA4FAC2A66B0}" id="{65A33778-5883-45DD-8704-3364046F3105}">
    <text>Source: FFC Dealer List pasted into chat by user, 2026-09-21 — Current Registration Status Approved, approved 9/17/2026</text>
  </threadedComment>
  <threadedComment ref="Y36" dT="2026-09-21T15:40:49.29" personId="{2E3A7CAC-0BB9-4627-BAEB-BA4FAC2A66B0}" id="{9CE08954-B9D3-497A-81F8-1354C9DF40A4}">
    <text>Source: FFC Dealer List pasted into chat by user, 2026-09-21 — R3VIVE, Registration Submitted Date 9/8/2026</text>
  </threadedComment>
  <threadedComment ref="AT36" dT="2026-09-21T15:40:49.29" personId="{2E3A7CAC-0BB9-4627-BAEB-BA4FAC2A66B0}" id="{491CCB17-B0F1-47B6-9D44-EF3EF5263158}">
    <text>Source: FFC Dealer List pasted into chat by user, 2026-09-21 — R3VIVE, Dealer Number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5398F07-6A51-4F40-A49B-2A9548700DAE}">
  <we:reference id="WA200009404" version="1.0.0.8" store="en-us" storeType="omex"/>
  <we:alternateReferences>
    <we:reference id="WA200009404" version="1.0.0.8" store="en-us" storeType="omex"/>
  </we:alternateReferences>
  <we:properties>
    <we:property name="claude.fileId" value="&quot;cdf5c11c-fb07-4840-8f75-5948d707e846&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6" Type="http://schemas.openxmlformats.org/officeDocument/2006/relationships/hyperlink" Target="mailto:tyler@bluebirdturfco.com" TargetMode="External"/><Relationship Id="rId21" Type="http://schemas.openxmlformats.org/officeDocument/2006/relationships/hyperlink" Target="mailto:stonebraker@getfinti.com" TargetMode="External"/><Relationship Id="rId42" Type="http://schemas.openxmlformats.org/officeDocument/2006/relationships/hyperlink" Target="mailto:tgrconsultantllc@gmail.com" TargetMode="External"/><Relationship Id="rId47" Type="http://schemas.openxmlformats.org/officeDocument/2006/relationships/hyperlink" Target="mailto:stonebraker@getfinti.com" TargetMode="External"/><Relationship Id="rId63" Type="http://schemas.openxmlformats.org/officeDocument/2006/relationships/hyperlink" Target="mailto:frontline-finti@sunlightfinancial.com;%20418327" TargetMode="External"/><Relationship Id="rId68" Type="http://schemas.openxmlformats.org/officeDocument/2006/relationships/vmlDrawing" Target="../drawings/vmlDrawing2.vml"/><Relationship Id="rId7" Type="http://schemas.openxmlformats.org/officeDocument/2006/relationships/hyperlink" Target="mailto:jono@drinkaltawater.com" TargetMode="External"/><Relationship Id="rId71" Type="http://schemas.microsoft.com/office/2017/10/relationships/threadedComment" Target="../threadedComments/threadedComment2.xml"/><Relationship Id="rId2" Type="http://schemas.openxmlformats.org/officeDocument/2006/relationships/hyperlink" Target="mailto:jake@vproofing.com" TargetMode="External"/><Relationship Id="rId16" Type="http://schemas.openxmlformats.org/officeDocument/2006/relationships/hyperlink" Target="mailto:brenda@banyanbuild.com" TargetMode="External"/><Relationship Id="rId29" Type="http://schemas.openxmlformats.org/officeDocument/2006/relationships/hyperlink" Target="mailto:dmyates@gmail.com" TargetMode="External"/><Relationship Id="rId11" Type="http://schemas.openxmlformats.org/officeDocument/2006/relationships/hyperlink" Target="mailto:stonebraker@getfinti.com" TargetMode="External"/><Relationship Id="rId24" Type="http://schemas.openxmlformats.org/officeDocument/2006/relationships/hyperlink" Target="mailto:info@agaveroofing.com" TargetMode="External"/><Relationship Id="rId32" Type="http://schemas.openxmlformats.org/officeDocument/2006/relationships/hyperlink" Target="mailto:tyler@mysupremehome.com" TargetMode="External"/><Relationship Id="rId37" Type="http://schemas.openxmlformats.org/officeDocument/2006/relationships/hyperlink" Target="mailto:dmyates@gmail.com" TargetMode="External"/><Relationship Id="rId40" Type="http://schemas.openxmlformats.org/officeDocument/2006/relationships/hyperlink" Target="mailto:jd@roofio.com" TargetMode="External"/><Relationship Id="rId45" Type="http://schemas.openxmlformats.org/officeDocument/2006/relationships/hyperlink" Target="mailto:evanisayoung@gmail.com" TargetMode="External"/><Relationship Id="rId53" Type="http://schemas.openxmlformats.org/officeDocument/2006/relationships/hyperlink" Target="mailto:lesollen.87@gmail.com" TargetMode="External"/><Relationship Id="rId58" Type="http://schemas.openxmlformats.org/officeDocument/2006/relationships/hyperlink" Target="mailto:Shawn@getfinti.com" TargetMode="External"/><Relationship Id="rId66" Type="http://schemas.openxmlformats.org/officeDocument/2006/relationships/hyperlink" Target="qntumllc-finti@sunlightfinancial.com;%20Dealer%20code:%20601067" TargetMode="External"/><Relationship Id="rId5" Type="http://schemas.openxmlformats.org/officeDocument/2006/relationships/hyperlink" Target="mailto:biss.larsen@vividwindows.com" TargetMode="External"/><Relationship Id="rId61" Type="http://schemas.openxmlformats.org/officeDocument/2006/relationships/hyperlink" Target="mailto:landscapingexpertsllc.boss@gmail.com" TargetMode="External"/><Relationship Id="rId19" Type="http://schemas.openxmlformats.org/officeDocument/2006/relationships/hyperlink" Target="mailto:sales@gowefund.com" TargetMode="External"/><Relationship Id="rId14" Type="http://schemas.openxmlformats.org/officeDocument/2006/relationships/hyperlink" Target="mailto:trevor@tavesco.com" TargetMode="External"/><Relationship Id="rId22" Type="http://schemas.openxmlformats.org/officeDocument/2006/relationships/hyperlink" Target="mailto:brennen@roof-boyz.com" TargetMode="External"/><Relationship Id="rId27" Type="http://schemas.openxmlformats.org/officeDocument/2006/relationships/hyperlink" Target="mailto:app.sj@icloud.com" TargetMode="External"/><Relationship Id="rId30" Type="http://schemas.openxmlformats.org/officeDocument/2006/relationships/hyperlink" Target="mailto:luis@labaroof.com" TargetMode="External"/><Relationship Id="rId35" Type="http://schemas.openxmlformats.org/officeDocument/2006/relationships/hyperlink" Target="mailto:tyler@getfinti.com" TargetMode="External"/><Relationship Id="rId43" Type="http://schemas.openxmlformats.org/officeDocument/2006/relationships/hyperlink" Target="mailto:robsudden24@icloud.com" TargetMode="External"/><Relationship Id="rId48" Type="http://schemas.openxmlformats.org/officeDocument/2006/relationships/hyperlink" Target="mailto:trevor@tavesco.com" TargetMode="External"/><Relationship Id="rId56" Type="http://schemas.openxmlformats.org/officeDocument/2006/relationships/hyperlink" Target="mailto:ryantall11@gmail.com" TargetMode="External"/><Relationship Id="rId64" Type="http://schemas.openxmlformats.org/officeDocument/2006/relationships/hyperlink" Target="mailto:vproofing-finti@sunlightfinancial.com;%20407469" TargetMode="External"/><Relationship Id="rId69" Type="http://schemas.openxmlformats.org/officeDocument/2006/relationships/table" Target="../tables/table1.xml"/><Relationship Id="rId8" Type="http://schemas.openxmlformats.org/officeDocument/2006/relationships/hyperlink" Target="mailto:kyle@getfinti.com" TargetMode="External"/><Relationship Id="rId51" Type="http://schemas.openxmlformats.org/officeDocument/2006/relationships/hyperlink" Target="mailto:tylerstory32@gmail.com" TargetMode="External"/><Relationship Id="rId3" Type="http://schemas.openxmlformats.org/officeDocument/2006/relationships/hyperlink" Target="mailto:jesse@mahanhcs.com" TargetMode="External"/><Relationship Id="rId12" Type="http://schemas.openxmlformats.org/officeDocument/2006/relationships/hyperlink" Target="mailto:stonebraker@getfinti.com" TargetMode="External"/><Relationship Id="rId17" Type="http://schemas.openxmlformats.org/officeDocument/2006/relationships/hyperlink" Target="mailto:sales@gowefund.com" TargetMode="External"/><Relationship Id="rId25" Type="http://schemas.openxmlformats.org/officeDocument/2006/relationships/hyperlink" Target="mailto:stonebraker@getfinti.com" TargetMode="External"/><Relationship Id="rId33" Type="http://schemas.openxmlformats.org/officeDocument/2006/relationships/hyperlink" Target="mailto:evanyoung@getfinti.com" TargetMode="External"/><Relationship Id="rId38" Type="http://schemas.openxmlformats.org/officeDocument/2006/relationships/hyperlink" Target="mailto:ceo@fbrhome.com" TargetMode="External"/><Relationship Id="rId46" Type="http://schemas.openxmlformats.org/officeDocument/2006/relationships/hyperlink" Target="mailto:troy.mock@brmconstruction.com" TargetMode="External"/><Relationship Id="rId59" Type="http://schemas.openxmlformats.org/officeDocument/2006/relationships/hyperlink" Target="tetra-finti@sunlightfinancial.com.%20%20syG9CRFpYO%7AO!IUr%20Dealer%20code:%20939375" TargetMode="External"/><Relationship Id="rId67" Type="http://schemas.openxmlformats.org/officeDocument/2006/relationships/drawing" Target="../drawings/drawing2.xml"/><Relationship Id="rId20" Type="http://schemas.openxmlformats.org/officeDocument/2006/relationships/hyperlink" Target="mailto:dallen@qntum.com" TargetMode="External"/><Relationship Id="rId41" Type="http://schemas.openxmlformats.org/officeDocument/2006/relationships/hyperlink" Target="mailto:scottbcoombs@gmail.com" TargetMode="External"/><Relationship Id="rId54" Type="http://schemas.openxmlformats.org/officeDocument/2006/relationships/hyperlink" Target="mailto:stonebraker@getfinti.com" TargetMode="External"/><Relationship Id="rId62" Type="http://schemas.openxmlformats.org/officeDocument/2006/relationships/hyperlink" Target="mailto:vividwindows-finti@sunlightfinancial.com;%20800339" TargetMode="External"/><Relationship Id="rId70" Type="http://schemas.openxmlformats.org/officeDocument/2006/relationships/comments" Target="../comments2.xml"/><Relationship Id="rId1" Type="http://schemas.openxmlformats.org/officeDocument/2006/relationships/hyperlink" Target="mailto:travis@frontlineair.com" TargetMode="External"/><Relationship Id="rId6" Type="http://schemas.openxmlformats.org/officeDocument/2006/relationships/hyperlink" Target="mailto:kyle@getfinti.com" TargetMode="External"/><Relationship Id="rId15" Type="http://schemas.openxmlformats.org/officeDocument/2006/relationships/hyperlink" Target="mailto:stonebraker@getfinti.com" TargetMode="External"/><Relationship Id="rId23" Type="http://schemas.openxmlformats.org/officeDocument/2006/relationships/hyperlink" Target="mailto:evanyoung@getfinti.com" TargetMode="External"/><Relationship Id="rId28" Type="http://schemas.openxmlformats.org/officeDocument/2006/relationships/hyperlink" Target="mailto:kyle@wiresandwifi.com" TargetMode="External"/><Relationship Id="rId36" Type="http://schemas.openxmlformats.org/officeDocument/2006/relationships/hyperlink" Target="mailto:kelvin@dboyscontracting.com" TargetMode="External"/><Relationship Id="rId49" Type="http://schemas.openxmlformats.org/officeDocument/2006/relationships/hyperlink" Target="mailto:scott.williams.aftr@gmail.com" TargetMode="External"/><Relationship Id="rId57" Type="http://schemas.openxmlformats.org/officeDocument/2006/relationships/hyperlink" Target="mailto:dhaynal@usnaturalenergy.com" TargetMode="External"/><Relationship Id="rId10" Type="http://schemas.openxmlformats.org/officeDocument/2006/relationships/hyperlink" Target="mailto:gentryknight2010@icloud.com" TargetMode="External"/><Relationship Id="rId31" Type="http://schemas.openxmlformats.org/officeDocument/2006/relationships/hyperlink" Target="mailto:stonebraker@getfinti.com" TargetMode="External"/><Relationship Id="rId44" Type="http://schemas.openxmlformats.org/officeDocument/2006/relationships/hyperlink" Target="mailto:patriotpaintingtexas@gmail.com" TargetMode="External"/><Relationship Id="rId52" Type="http://schemas.openxmlformats.org/officeDocument/2006/relationships/hyperlink" Target="mailto:ccowley@gowefund.com" TargetMode="External"/><Relationship Id="rId60" Type="http://schemas.openxmlformats.org/officeDocument/2006/relationships/hyperlink" Target="mailto:goldennailroofingllc@gmail.com" TargetMode="External"/><Relationship Id="rId65" Type="http://schemas.openxmlformats.org/officeDocument/2006/relationships/hyperlink" Target="azinsulation-finti@sunlightfinancial.com%20Dealer%20code:%20796319" TargetMode="External"/><Relationship Id="rId4" Type="http://schemas.openxmlformats.org/officeDocument/2006/relationships/hyperlink" Target="mailto:Trevor.young@getfinti.com" TargetMode="External"/><Relationship Id="rId9" Type="http://schemas.openxmlformats.org/officeDocument/2006/relationships/hyperlink" Target="mailto:gentryknight2010@icloud.com" TargetMode="External"/><Relationship Id="rId13" Type="http://schemas.openxmlformats.org/officeDocument/2006/relationships/hyperlink" Target="mailto:stonebraker@getfinti.com" TargetMode="External"/><Relationship Id="rId18" Type="http://schemas.openxmlformats.org/officeDocument/2006/relationships/hyperlink" Target="mailto:niradani@yahoo.com" TargetMode="External"/><Relationship Id="rId39" Type="http://schemas.openxmlformats.org/officeDocument/2006/relationships/hyperlink" Target="mailto:yennikayadiel@gmail.com" TargetMode="External"/><Relationship Id="rId34" Type="http://schemas.openxmlformats.org/officeDocument/2006/relationships/hyperlink" Target="mailto:rob@az-insulation.com" TargetMode="External"/><Relationship Id="rId50" Type="http://schemas.openxmlformats.org/officeDocument/2006/relationships/hyperlink" Target="mailto:tyler@titehome.com" TargetMode="External"/><Relationship Id="rId55" Type="http://schemas.openxmlformats.org/officeDocument/2006/relationships/hyperlink" Target="mailto:ndixon850@yahoo.com" TargetMode="External"/></Relationships>
</file>

<file path=xl/worksheets/_rels/sheet6.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mailto:frontline-finti@sunlightfinancial.com" TargetMode="External"/><Relationship Id="rId7" Type="http://schemas.openxmlformats.org/officeDocument/2006/relationships/hyperlink" Target="mailto:azinsulation-finti@sunlightfinancial.com" TargetMode="External"/><Relationship Id="rId2" Type="http://schemas.openxmlformats.org/officeDocument/2006/relationships/hyperlink" Target="mailto:vividwindows-finti@sunlightfinancial.com" TargetMode="External"/><Relationship Id="rId1" Type="http://schemas.openxmlformats.org/officeDocument/2006/relationships/hyperlink" Target="Dealer%20Boarding%20Tracker%20-%20EVANS%20DRAFT.xlsx" TargetMode="External"/><Relationship Id="rId6" Type="http://schemas.openxmlformats.org/officeDocument/2006/relationships/hyperlink" Target="mailto:qntumllc-finti@sunlightfinancial.com" TargetMode="External"/><Relationship Id="rId5" Type="http://schemas.openxmlformats.org/officeDocument/2006/relationships/hyperlink" Target="mailto:tetra-finti@sunlightfinancial.com" TargetMode="External"/><Relationship Id="rId4" Type="http://schemas.openxmlformats.org/officeDocument/2006/relationships/hyperlink" Target="mailto:vproofing-finti@sunlightfinancial.com.slf"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kelly.matheny@sunlightfinancial.com" TargetMode="External"/><Relationship Id="rId2" Type="http://schemas.openxmlformats.org/officeDocument/2006/relationships/hyperlink" Target="mailto:merchantonboarding@getfinti.com" TargetMode="External"/><Relationship Id="rId1" Type="http://schemas.openxmlformats.org/officeDocument/2006/relationships/hyperlink" Target="https://sunlightfinancial.tfaforms.net/f/finti" TargetMode="External"/><Relationship Id="rId6" Type="http://schemas.openxmlformats.org/officeDocument/2006/relationships/hyperlink" Target="mailto:merchantonboarding@getfinti.com" TargetMode="External"/><Relationship Id="rId5" Type="http://schemas.openxmlformats.org/officeDocument/2006/relationships/hyperlink" Target="mailto:Greyson.Wilson@sunlightfinancial.com" TargetMode="External"/><Relationship Id="rId4" Type="http://schemas.openxmlformats.org/officeDocument/2006/relationships/hyperlink" Target="mailto:quentin.kessell@sunlightfinancial.com"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mailto:Karl.McNish@svcfin.com" TargetMode="External"/><Relationship Id="rId18" Type="http://schemas.openxmlformats.org/officeDocument/2006/relationships/hyperlink" Target="mailto:Brittany.A.Thompson@truist.com" TargetMode="External"/><Relationship Id="rId26" Type="http://schemas.openxmlformats.org/officeDocument/2006/relationships/hyperlink" Target="mailto:Brittany.A.Thompson@truist.com" TargetMode="External"/><Relationship Id="rId39" Type="http://schemas.openxmlformats.org/officeDocument/2006/relationships/hyperlink" Target="mailto:o.sutter@chowderfinancial.com" TargetMode="External"/><Relationship Id="rId21" Type="http://schemas.openxmlformats.org/officeDocument/2006/relationships/hyperlink" Target="mailto:James.Cadena@svcfin.com" TargetMode="External"/><Relationship Id="rId34" Type="http://schemas.openxmlformats.org/officeDocument/2006/relationships/hyperlink" Target="mailto:mhendricks@foundationfinance.com" TargetMode="External"/><Relationship Id="rId42" Type="http://schemas.openxmlformats.org/officeDocument/2006/relationships/hyperlink" Target="https://avvance.com" TargetMode="External"/><Relationship Id="rId47" Type="http://schemas.openxmlformats.org/officeDocument/2006/relationships/hyperlink" Target="https://svcfin.com/finti" TargetMode="External"/><Relationship Id="rId50" Type="http://schemas.openxmlformats.org/officeDocument/2006/relationships/hyperlink" Target="mailto:rob@az-insulation.com" TargetMode="External"/><Relationship Id="rId7" Type="http://schemas.openxmlformats.org/officeDocument/2006/relationships/hyperlink" Target="mailto:kelly.matheny@sunlightfinancial.com" TargetMode="External"/><Relationship Id="rId2" Type="http://schemas.openxmlformats.org/officeDocument/2006/relationships/hyperlink" Target="mailto:merchantonboarding@getfinti.com" TargetMode="External"/><Relationship Id="rId16" Type="http://schemas.openxmlformats.org/officeDocument/2006/relationships/hyperlink" Target="mailto:Dean.Schroedle@svcfin.com" TargetMode="External"/><Relationship Id="rId29" Type="http://schemas.openxmlformats.org/officeDocument/2006/relationships/hyperlink" Target="mailto:jgille@foundationfinance.com" TargetMode="External"/><Relationship Id="rId11" Type="http://schemas.openxmlformats.org/officeDocument/2006/relationships/hyperlink" Target="mailto:janet.lasauskas@svcfin.com" TargetMode="External"/><Relationship Id="rId24" Type="http://schemas.openxmlformats.org/officeDocument/2006/relationships/hyperlink" Target="mailto:Brian.Edmundson@svcfin.com" TargetMode="External"/><Relationship Id="rId32" Type="http://schemas.openxmlformats.org/officeDocument/2006/relationships/hyperlink" Target="mailto:funding@foundationfinance.com" TargetMode="External"/><Relationship Id="rId37" Type="http://schemas.openxmlformats.org/officeDocument/2006/relationships/hyperlink" Target="mailto:customer@chowderfinancial.com" TargetMode="External"/><Relationship Id="rId40" Type="http://schemas.openxmlformats.org/officeDocument/2006/relationships/hyperlink" Target="mailto:w.beane@chowderfinancial.com" TargetMode="External"/><Relationship Id="rId45" Type="http://schemas.openxmlformats.org/officeDocument/2006/relationships/hyperlink" Target="mailto:support@getfinti.com" TargetMode="External"/><Relationship Id="rId5" Type="http://schemas.openxmlformats.org/officeDocument/2006/relationships/hyperlink" Target="mailto:quentin.kessell@sunlightfinancial.com" TargetMode="External"/><Relationship Id="rId15" Type="http://schemas.openxmlformats.org/officeDocument/2006/relationships/hyperlink" Target="mailto:Janet.Lasauskas@svcfin.com" TargetMode="External"/><Relationship Id="rId23" Type="http://schemas.openxmlformats.org/officeDocument/2006/relationships/hyperlink" Target="mailto:Jennifer.Harmon@truist.com" TargetMode="External"/><Relationship Id="rId28" Type="http://schemas.openxmlformats.org/officeDocument/2006/relationships/hyperlink" Target="https://foundationfinance.com/finti" TargetMode="External"/><Relationship Id="rId36" Type="http://schemas.openxmlformats.org/officeDocument/2006/relationships/hyperlink" Target="https://foundationfinance.com/additional-owners" TargetMode="External"/><Relationship Id="rId49" Type="http://schemas.openxmlformats.org/officeDocument/2006/relationships/hyperlink" Target="https://az-insulation.com" TargetMode="External"/><Relationship Id="rId10" Type="http://schemas.openxmlformats.org/officeDocument/2006/relationships/hyperlink" Target="mailto:enroll@svcfin.com" TargetMode="External"/><Relationship Id="rId19" Type="http://schemas.openxmlformats.org/officeDocument/2006/relationships/hyperlink" Target="mailto:Chuck.Upshur@svcfin.com" TargetMode="External"/><Relationship Id="rId31" Type="http://schemas.openxmlformats.org/officeDocument/2006/relationships/hyperlink" Target="mailto:credit@foundationfinance.com" TargetMode="External"/><Relationship Id="rId44" Type="http://schemas.openxmlformats.org/officeDocument/2006/relationships/hyperlink" Target="mailto:merchantonboarding@getfinti.com" TargetMode="External"/><Relationship Id="rId52" Type="http://schemas.openxmlformats.org/officeDocument/2006/relationships/hyperlink" Target="https://homegeniusexteriors.com" TargetMode="External"/><Relationship Id="rId4" Type="http://schemas.openxmlformats.org/officeDocument/2006/relationships/hyperlink" Target="mailto:kelly.matheny@sunlightfinancial.com" TargetMode="External"/><Relationship Id="rId9" Type="http://schemas.openxmlformats.org/officeDocument/2006/relationships/hyperlink" Target="https://svcfin.com/finti" TargetMode="External"/><Relationship Id="rId14" Type="http://schemas.openxmlformats.org/officeDocument/2006/relationships/hyperlink" Target="mailto:Jaclynn.Johnston@svcfin.com" TargetMode="External"/><Relationship Id="rId22" Type="http://schemas.openxmlformats.org/officeDocument/2006/relationships/hyperlink" Target="mailto:Dave.Anderson@svcfin.com" TargetMode="External"/><Relationship Id="rId27" Type="http://schemas.openxmlformats.org/officeDocument/2006/relationships/hyperlink" Target="https://foundationfinance.com/finti" TargetMode="External"/><Relationship Id="rId30" Type="http://schemas.openxmlformats.org/officeDocument/2006/relationships/hyperlink" Target="mailto:jgille@foundationfinance.com" TargetMode="External"/><Relationship Id="rId35" Type="http://schemas.openxmlformats.org/officeDocument/2006/relationships/hyperlink" Target="https://foundationfinance.com/finti" TargetMode="External"/><Relationship Id="rId43" Type="http://schemas.openxmlformats.org/officeDocument/2006/relationships/hyperlink" Target="https://elavon.net/sales/#/home/dashboard" TargetMode="External"/><Relationship Id="rId48" Type="http://schemas.openxmlformats.org/officeDocument/2006/relationships/hyperlink" Target="https://www.familytreenow.com/search#google_vignette" TargetMode="External"/><Relationship Id="rId8" Type="http://schemas.openxmlformats.org/officeDocument/2006/relationships/hyperlink" Target="mailto:merchantonboarding@getfinti.com" TargetMode="External"/><Relationship Id="rId51" Type="http://schemas.openxmlformats.org/officeDocument/2006/relationships/hyperlink" Target="mailto:ashley@az-insulation.com" TargetMode="External"/><Relationship Id="rId3" Type="http://schemas.openxmlformats.org/officeDocument/2006/relationships/hyperlink" Target="https://tfaforms.net/wf/eyJ0eXAiOiJKV1QiLCJhbGciOiJIUzI1NiIsImtpZCI6InYyIn0.eyJ3b3JrZmxvd1Nlc3Npb25JZCI6Ijc5ODEwNDJiLWEwNjktNDQ5Yi1hY2E2LTA4MDBlYTY5NTgzNyIsIm5vbmNlIjoiUU1EU1NRY1AxbTBnajg4RzdFSTI5dmJleHRVdUczMHolM0E3ZGEzYTFlOWYwYmI4ZGNkYzlkYzAwMTk0ZTRjNWY4MCIsImV2ZW50Ijoic2F2ZV9hbmRfcmVzdW1lLnJlc3VtZSJ9.ftGrGddQZcTj79jn1K4LqkrvmVE_rs-11DlSbFRP2co" TargetMode="External"/><Relationship Id="rId12" Type="http://schemas.openxmlformats.org/officeDocument/2006/relationships/hyperlink" Target="mailto:Gary.Lobban@svcfin.com" TargetMode="External"/><Relationship Id="rId17" Type="http://schemas.openxmlformats.org/officeDocument/2006/relationships/hyperlink" Target="mailto:michael.shortino@svcfin.com" TargetMode="External"/><Relationship Id="rId25" Type="http://schemas.openxmlformats.org/officeDocument/2006/relationships/hyperlink" Target="mailto:michael.shortino@svcfin.com" TargetMode="External"/><Relationship Id="rId33" Type="http://schemas.openxmlformats.org/officeDocument/2006/relationships/hyperlink" Target="mailto:nkautza@foundationfinance.com" TargetMode="External"/><Relationship Id="rId38" Type="http://schemas.openxmlformats.org/officeDocument/2006/relationships/hyperlink" Target="mailto:w.beane@chowderfinancial.com" TargetMode="External"/><Relationship Id="rId46" Type="http://schemas.openxmlformats.org/officeDocument/2006/relationships/hyperlink" Target="https://tfaforms.net/4943233" TargetMode="External"/><Relationship Id="rId20" Type="http://schemas.openxmlformats.org/officeDocument/2006/relationships/hyperlink" Target="mailto:Mike.Cheatham@svcfin.com" TargetMode="External"/><Relationship Id="rId41" Type="http://schemas.openxmlformats.org/officeDocument/2006/relationships/hyperlink" Target="mailto:epochsupport@chowderfinancial.com" TargetMode="External"/><Relationship Id="rId1" Type="http://schemas.openxmlformats.org/officeDocument/2006/relationships/hyperlink" Target="https://tfaforms.net/f/finti" TargetMode="External"/><Relationship Id="rId6" Type="http://schemas.openxmlformats.org/officeDocument/2006/relationships/hyperlink" Target="mailto:Greyson.Wilson@sunlightfinancial.co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matthew.johnson3@abcsupply.com" TargetMode="External"/><Relationship Id="rId2" Type="http://schemas.openxmlformats.org/officeDocument/2006/relationships/hyperlink" Target="mailto:jake@vproofing.com" TargetMode="External"/><Relationship Id="rId1" Type="http://schemas.openxmlformats.org/officeDocument/2006/relationships/hyperlink" Target="mailto:jake@vproofing.com" TargetMode="External"/><Relationship Id="rId6" Type="http://schemas.openxmlformats.org/officeDocument/2006/relationships/table" Target="../tables/table3.xml"/><Relationship Id="rId5" Type="http://schemas.openxmlformats.org/officeDocument/2006/relationships/hyperlink" Target="https://foundationfinance.com" TargetMode="External"/><Relationship Id="rId4" Type="http://schemas.openxmlformats.org/officeDocument/2006/relationships/hyperlink" Target="mailto:noreply@foundationfinance.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michael.shortino@svcfin.com" TargetMode="External"/><Relationship Id="rId13" Type="http://schemas.openxmlformats.org/officeDocument/2006/relationships/hyperlink" Target="mailto:Dave.Anderson@svcfin.com" TargetMode="External"/><Relationship Id="rId3" Type="http://schemas.openxmlformats.org/officeDocument/2006/relationships/hyperlink" Target="mailto:Gary.Lobban@svcfin.com" TargetMode="External"/><Relationship Id="rId7" Type="http://schemas.openxmlformats.org/officeDocument/2006/relationships/hyperlink" Target="mailto:Dean.Schroedle@svcfin.com" TargetMode="External"/><Relationship Id="rId12" Type="http://schemas.openxmlformats.org/officeDocument/2006/relationships/hyperlink" Target="mailto:James.Cadena@svcfin.com" TargetMode="External"/><Relationship Id="rId2" Type="http://schemas.openxmlformats.org/officeDocument/2006/relationships/hyperlink" Target="mailto:enroll@svcfin.com" TargetMode="External"/><Relationship Id="rId16" Type="http://schemas.openxmlformats.org/officeDocument/2006/relationships/hyperlink" Target="https://enroll.svcfin.com/dealer/enroll?id=48050" TargetMode="External"/><Relationship Id="rId1" Type="http://schemas.openxmlformats.org/officeDocument/2006/relationships/hyperlink" Target="https://enroll.svcfin.com/finti" TargetMode="External"/><Relationship Id="rId6" Type="http://schemas.openxmlformats.org/officeDocument/2006/relationships/hyperlink" Target="mailto:Janet.Lasauskas@svcfin.com" TargetMode="External"/><Relationship Id="rId11" Type="http://schemas.openxmlformats.org/officeDocument/2006/relationships/hyperlink" Target="mailto:Mike.Cheatham@svcfin.com" TargetMode="External"/><Relationship Id="rId5" Type="http://schemas.openxmlformats.org/officeDocument/2006/relationships/hyperlink" Target="mailto:Jaclynn.Johnston@svcfin.com" TargetMode="External"/><Relationship Id="rId15" Type="http://schemas.openxmlformats.org/officeDocument/2006/relationships/hyperlink" Target="mailto:Brian.Edmundson@svcfin.com" TargetMode="External"/><Relationship Id="rId10" Type="http://schemas.openxmlformats.org/officeDocument/2006/relationships/hyperlink" Target="mailto:Chuck.Upshur@svcfin.com" TargetMode="External"/><Relationship Id="rId4" Type="http://schemas.openxmlformats.org/officeDocument/2006/relationships/hyperlink" Target="mailto:Karl.McNish@svcfin.com" TargetMode="External"/><Relationship Id="rId9" Type="http://schemas.openxmlformats.org/officeDocument/2006/relationships/hyperlink" Target="mailto:Brittany.A.Thompson@truist.com" TargetMode="External"/><Relationship Id="rId14" Type="http://schemas.openxmlformats.org/officeDocument/2006/relationships/hyperlink" Target="mailto:Jennifer.Harmon@truist.com"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mailto:jgille@foundationfinance.com" TargetMode="External"/><Relationship Id="rId7" Type="http://schemas.openxmlformats.org/officeDocument/2006/relationships/hyperlink" Target="mailto:funding@foundationfinance.com" TargetMode="External"/><Relationship Id="rId2" Type="http://schemas.openxmlformats.org/officeDocument/2006/relationships/hyperlink" Target="https://foundationfinance.com/additional-owners" TargetMode="External"/><Relationship Id="rId1" Type="http://schemas.openxmlformats.org/officeDocument/2006/relationships/hyperlink" Target="https://foundationfinance.com/finti" TargetMode="External"/><Relationship Id="rId6" Type="http://schemas.openxmlformats.org/officeDocument/2006/relationships/hyperlink" Target="mailto:credit@foundationfinance.com" TargetMode="External"/><Relationship Id="rId5" Type="http://schemas.openxmlformats.org/officeDocument/2006/relationships/hyperlink" Target="mailto:mhendricks@foundationfinance.com" TargetMode="External"/><Relationship Id="rId4" Type="http://schemas.openxmlformats.org/officeDocument/2006/relationships/hyperlink" Target="mailto:nkautza@foundationfinance.com"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mailto:tyler@bluebirdturfco.com" TargetMode="External"/><Relationship Id="rId21" Type="http://schemas.openxmlformats.org/officeDocument/2006/relationships/hyperlink" Target="mailto:stonebraker@getfinti.com" TargetMode="External"/><Relationship Id="rId42" Type="http://schemas.openxmlformats.org/officeDocument/2006/relationships/hyperlink" Target="mailto:tgrconsultantllc@gmail.com" TargetMode="External"/><Relationship Id="rId47" Type="http://schemas.openxmlformats.org/officeDocument/2006/relationships/hyperlink" Target="mailto:stonebraker@getfinti.com" TargetMode="External"/><Relationship Id="rId63" Type="http://schemas.openxmlformats.org/officeDocument/2006/relationships/hyperlink" Target="mailto:frontline-finti@sunlightfinancial.com;%20418327" TargetMode="External"/><Relationship Id="rId68" Type="http://schemas.openxmlformats.org/officeDocument/2006/relationships/vmlDrawing" Target="../drawings/vmlDrawing3.vml"/><Relationship Id="rId7" Type="http://schemas.openxmlformats.org/officeDocument/2006/relationships/hyperlink" Target="mailto:jono@drinkaltawater.com" TargetMode="External"/><Relationship Id="rId2" Type="http://schemas.openxmlformats.org/officeDocument/2006/relationships/hyperlink" Target="mailto:jake@vproofing.com" TargetMode="External"/><Relationship Id="rId16" Type="http://schemas.openxmlformats.org/officeDocument/2006/relationships/hyperlink" Target="mailto:brenda@banyanbuild.com" TargetMode="External"/><Relationship Id="rId29" Type="http://schemas.openxmlformats.org/officeDocument/2006/relationships/hyperlink" Target="mailto:dmyates@gmail.com" TargetMode="External"/><Relationship Id="rId11" Type="http://schemas.openxmlformats.org/officeDocument/2006/relationships/hyperlink" Target="mailto:stonebraker@getfinti.com" TargetMode="External"/><Relationship Id="rId24" Type="http://schemas.openxmlformats.org/officeDocument/2006/relationships/hyperlink" Target="mailto:info@agaveroofing.com" TargetMode="External"/><Relationship Id="rId32" Type="http://schemas.openxmlformats.org/officeDocument/2006/relationships/hyperlink" Target="mailto:tyler@mysupremehome.com" TargetMode="External"/><Relationship Id="rId37" Type="http://schemas.openxmlformats.org/officeDocument/2006/relationships/hyperlink" Target="mailto:dmyates@gmail.com" TargetMode="External"/><Relationship Id="rId40" Type="http://schemas.openxmlformats.org/officeDocument/2006/relationships/hyperlink" Target="mailto:jd@roofio.com" TargetMode="External"/><Relationship Id="rId45" Type="http://schemas.openxmlformats.org/officeDocument/2006/relationships/hyperlink" Target="mailto:evanisayoung@gmail.com" TargetMode="External"/><Relationship Id="rId53" Type="http://schemas.openxmlformats.org/officeDocument/2006/relationships/hyperlink" Target="mailto:lesollen.87@gmail.com" TargetMode="External"/><Relationship Id="rId58" Type="http://schemas.openxmlformats.org/officeDocument/2006/relationships/hyperlink" Target="mailto:Shawn@getfinti.com" TargetMode="External"/><Relationship Id="rId66" Type="http://schemas.openxmlformats.org/officeDocument/2006/relationships/hyperlink" Target="qntumllc-finti@sunlightfinancial.com;%20Dealer%20code:%20601067" TargetMode="External"/><Relationship Id="rId5" Type="http://schemas.openxmlformats.org/officeDocument/2006/relationships/hyperlink" Target="mailto:biss.larsen@vividwindows.com" TargetMode="External"/><Relationship Id="rId61" Type="http://schemas.openxmlformats.org/officeDocument/2006/relationships/hyperlink" Target="mailto:landscapingexpertsllc.boss@gmail.com" TargetMode="External"/><Relationship Id="rId19" Type="http://schemas.openxmlformats.org/officeDocument/2006/relationships/hyperlink" Target="mailto:sales@gowefund.com" TargetMode="External"/><Relationship Id="rId14" Type="http://schemas.openxmlformats.org/officeDocument/2006/relationships/hyperlink" Target="mailto:trevor@tavesco.com" TargetMode="External"/><Relationship Id="rId22" Type="http://schemas.openxmlformats.org/officeDocument/2006/relationships/hyperlink" Target="mailto:brennen@roof-boyz.com" TargetMode="External"/><Relationship Id="rId27" Type="http://schemas.openxmlformats.org/officeDocument/2006/relationships/hyperlink" Target="mailto:app.sj@icloud.com" TargetMode="External"/><Relationship Id="rId30" Type="http://schemas.openxmlformats.org/officeDocument/2006/relationships/hyperlink" Target="mailto:luis@labaroof.com" TargetMode="External"/><Relationship Id="rId35" Type="http://schemas.openxmlformats.org/officeDocument/2006/relationships/hyperlink" Target="mailto:tyler@getfinti.com" TargetMode="External"/><Relationship Id="rId43" Type="http://schemas.openxmlformats.org/officeDocument/2006/relationships/hyperlink" Target="mailto:robsudden24@icloud.com" TargetMode="External"/><Relationship Id="rId48" Type="http://schemas.openxmlformats.org/officeDocument/2006/relationships/hyperlink" Target="mailto:trevor@tavesco.com" TargetMode="External"/><Relationship Id="rId56" Type="http://schemas.openxmlformats.org/officeDocument/2006/relationships/hyperlink" Target="mailto:ryantall11@gmail.com" TargetMode="External"/><Relationship Id="rId64" Type="http://schemas.openxmlformats.org/officeDocument/2006/relationships/hyperlink" Target="mailto:vproofing-finti@sunlightfinancial.com;%20407469" TargetMode="External"/><Relationship Id="rId69" Type="http://schemas.openxmlformats.org/officeDocument/2006/relationships/comments" Target="../comments3.xml"/><Relationship Id="rId8" Type="http://schemas.openxmlformats.org/officeDocument/2006/relationships/hyperlink" Target="mailto:kyle@getfinti.com" TargetMode="External"/><Relationship Id="rId51" Type="http://schemas.openxmlformats.org/officeDocument/2006/relationships/hyperlink" Target="mailto:tylerstory32@gmail.com" TargetMode="External"/><Relationship Id="rId3" Type="http://schemas.openxmlformats.org/officeDocument/2006/relationships/hyperlink" Target="mailto:jesse@mahanhcs.com" TargetMode="External"/><Relationship Id="rId12" Type="http://schemas.openxmlformats.org/officeDocument/2006/relationships/hyperlink" Target="mailto:stonebraker@getfinti.com" TargetMode="External"/><Relationship Id="rId17" Type="http://schemas.openxmlformats.org/officeDocument/2006/relationships/hyperlink" Target="mailto:sales@gowefund.com" TargetMode="External"/><Relationship Id="rId25" Type="http://schemas.openxmlformats.org/officeDocument/2006/relationships/hyperlink" Target="mailto:stonebraker@getfinti.com" TargetMode="External"/><Relationship Id="rId33" Type="http://schemas.openxmlformats.org/officeDocument/2006/relationships/hyperlink" Target="mailto:evanyoung@getfinti.com" TargetMode="External"/><Relationship Id="rId38" Type="http://schemas.openxmlformats.org/officeDocument/2006/relationships/hyperlink" Target="mailto:ceo@fbrhome.com" TargetMode="External"/><Relationship Id="rId46" Type="http://schemas.openxmlformats.org/officeDocument/2006/relationships/hyperlink" Target="mailto:troy.mock@brmconstruction.com" TargetMode="External"/><Relationship Id="rId59" Type="http://schemas.openxmlformats.org/officeDocument/2006/relationships/hyperlink" Target="tetra-finti@sunlightfinancial.com.%20%20syG9CRFpYO%7AO!IUr%20Dealer%20code:%20939375" TargetMode="External"/><Relationship Id="rId67" Type="http://schemas.openxmlformats.org/officeDocument/2006/relationships/drawing" Target="../drawings/drawing3.xml"/><Relationship Id="rId20" Type="http://schemas.openxmlformats.org/officeDocument/2006/relationships/hyperlink" Target="mailto:dallen@qntum.com" TargetMode="External"/><Relationship Id="rId41" Type="http://schemas.openxmlformats.org/officeDocument/2006/relationships/hyperlink" Target="mailto:scottbcoombs@gmail.com" TargetMode="External"/><Relationship Id="rId54" Type="http://schemas.openxmlformats.org/officeDocument/2006/relationships/hyperlink" Target="mailto:stonebraker@getfinti.com" TargetMode="External"/><Relationship Id="rId62" Type="http://schemas.openxmlformats.org/officeDocument/2006/relationships/hyperlink" Target="mailto:vividwindows-finti@sunlightfinancial.com;%20800339" TargetMode="External"/><Relationship Id="rId1" Type="http://schemas.openxmlformats.org/officeDocument/2006/relationships/hyperlink" Target="mailto:travis@frontlineair.com" TargetMode="External"/><Relationship Id="rId6" Type="http://schemas.openxmlformats.org/officeDocument/2006/relationships/hyperlink" Target="mailto:kyle@getfinti.com" TargetMode="External"/><Relationship Id="rId15" Type="http://schemas.openxmlformats.org/officeDocument/2006/relationships/hyperlink" Target="mailto:stonebraker@getfinti.com" TargetMode="External"/><Relationship Id="rId23" Type="http://schemas.openxmlformats.org/officeDocument/2006/relationships/hyperlink" Target="mailto:evanyoung@getfinti.com" TargetMode="External"/><Relationship Id="rId28" Type="http://schemas.openxmlformats.org/officeDocument/2006/relationships/hyperlink" Target="mailto:kyle@wiresandwifi.com" TargetMode="External"/><Relationship Id="rId36" Type="http://schemas.openxmlformats.org/officeDocument/2006/relationships/hyperlink" Target="mailto:kelvin@dboyscontracting.com" TargetMode="External"/><Relationship Id="rId49" Type="http://schemas.openxmlformats.org/officeDocument/2006/relationships/hyperlink" Target="mailto:scott.williams.aftr@gmail.com" TargetMode="External"/><Relationship Id="rId57" Type="http://schemas.openxmlformats.org/officeDocument/2006/relationships/hyperlink" Target="mailto:dhaynal@usnaturalenergy.com" TargetMode="External"/><Relationship Id="rId10" Type="http://schemas.openxmlformats.org/officeDocument/2006/relationships/hyperlink" Target="mailto:gentryknight2010@icloud.com" TargetMode="External"/><Relationship Id="rId31" Type="http://schemas.openxmlformats.org/officeDocument/2006/relationships/hyperlink" Target="mailto:stonebraker@getfinti.com" TargetMode="External"/><Relationship Id="rId44" Type="http://schemas.openxmlformats.org/officeDocument/2006/relationships/hyperlink" Target="mailto:patriotpaintingtexas@gmail.com" TargetMode="External"/><Relationship Id="rId52" Type="http://schemas.openxmlformats.org/officeDocument/2006/relationships/hyperlink" Target="mailto:ccowley@gowefund.com" TargetMode="External"/><Relationship Id="rId60" Type="http://schemas.openxmlformats.org/officeDocument/2006/relationships/hyperlink" Target="mailto:goldennailroofingllc@gmail.com" TargetMode="External"/><Relationship Id="rId65" Type="http://schemas.openxmlformats.org/officeDocument/2006/relationships/hyperlink" Target="azinsulation-finti@sunlightfinancial.com%20Dealer%20code:%20796319" TargetMode="External"/><Relationship Id="rId4" Type="http://schemas.openxmlformats.org/officeDocument/2006/relationships/hyperlink" Target="mailto:Trevor.young@getfinti.com" TargetMode="External"/><Relationship Id="rId9" Type="http://schemas.openxmlformats.org/officeDocument/2006/relationships/hyperlink" Target="mailto:gentryknight2010@icloud.com" TargetMode="External"/><Relationship Id="rId13" Type="http://schemas.openxmlformats.org/officeDocument/2006/relationships/hyperlink" Target="mailto:stonebraker@getfinti.com" TargetMode="External"/><Relationship Id="rId18" Type="http://schemas.openxmlformats.org/officeDocument/2006/relationships/hyperlink" Target="mailto:niradani@yahoo.com" TargetMode="External"/><Relationship Id="rId39" Type="http://schemas.openxmlformats.org/officeDocument/2006/relationships/hyperlink" Target="mailto:yennikayadiel@gmail.com" TargetMode="External"/><Relationship Id="rId34" Type="http://schemas.openxmlformats.org/officeDocument/2006/relationships/hyperlink" Target="mailto:rob@az-insulation.com" TargetMode="External"/><Relationship Id="rId50" Type="http://schemas.openxmlformats.org/officeDocument/2006/relationships/hyperlink" Target="mailto:tyler@titehome.com" TargetMode="External"/><Relationship Id="rId55" Type="http://schemas.openxmlformats.org/officeDocument/2006/relationships/hyperlink" Target="mailto:ndixon850@yaho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BA0E9-62FB-43C2-BC14-5C2025817D65}">
  <sheetPr>
    <tabColor rgb="FFFF0000"/>
  </sheetPr>
  <dimension ref="A1:F80"/>
  <sheetViews>
    <sheetView topLeftCell="A26" workbookViewId="0">
      <selection activeCell="C30" sqref="C30:D30"/>
    </sheetView>
  </sheetViews>
  <sheetFormatPr defaultColWidth="61.85546875" defaultRowHeight="15"/>
  <cols>
    <col min="1" max="1" width="18.140625" style="10" customWidth="1"/>
    <col min="2" max="2" width="28.5703125" style="10" customWidth="1"/>
    <col min="3" max="3" width="62.85546875" style="10" customWidth="1"/>
    <col min="4" max="4" width="40" style="10" customWidth="1"/>
    <col min="5" max="16384" width="61.85546875" style="10"/>
  </cols>
  <sheetData>
    <row r="1" spans="1:4" ht="27.75" customHeight="1">
      <c r="A1" s="251" t="s">
        <v>0</v>
      </c>
      <c r="B1" s="251"/>
      <c r="C1" s="251"/>
      <c r="D1" s="251"/>
    </row>
    <row r="2" spans="1:4" ht="30" customHeight="1">
      <c r="A2" s="252" t="s">
        <v>1</v>
      </c>
      <c r="B2" s="252"/>
      <c r="C2" s="252"/>
      <c r="D2" s="252"/>
    </row>
    <row r="3" spans="1:4" ht="8.25" customHeight="1">
      <c r="A3" s="111"/>
      <c r="B3" s="111"/>
      <c r="C3" s="111"/>
      <c r="D3" s="111"/>
    </row>
    <row r="4" spans="1:4" ht="20.25" customHeight="1">
      <c r="A4" s="248" t="s">
        <v>2</v>
      </c>
      <c r="B4" s="248"/>
      <c r="C4" s="248"/>
      <c r="D4" s="248"/>
    </row>
    <row r="5" spans="1:4" ht="46.5" customHeight="1">
      <c r="A5" s="249" t="s">
        <v>3</v>
      </c>
      <c r="B5" s="250"/>
      <c r="C5" s="250" t="s">
        <v>4</v>
      </c>
      <c r="D5" s="250"/>
    </row>
    <row r="6" spans="1:4" ht="46.5" customHeight="1">
      <c r="A6" s="249" t="s">
        <v>5</v>
      </c>
      <c r="B6" s="250"/>
      <c r="C6" s="250" t="s">
        <v>6</v>
      </c>
      <c r="D6" s="250"/>
    </row>
    <row r="7" spans="1:4" ht="46.5" customHeight="1">
      <c r="A7" s="249" t="s">
        <v>7</v>
      </c>
      <c r="B7" s="250"/>
      <c r="C7" s="250" t="s">
        <v>8</v>
      </c>
      <c r="D7" s="250"/>
    </row>
    <row r="8" spans="1:4" ht="46.5" customHeight="1">
      <c r="A8" s="249" t="s">
        <v>9</v>
      </c>
      <c r="B8" s="250"/>
      <c r="C8" s="250" t="s">
        <v>10</v>
      </c>
      <c r="D8" s="250"/>
    </row>
    <row r="9" spans="1:4" ht="46.5" customHeight="1">
      <c r="A9" s="249" t="s">
        <v>11</v>
      </c>
      <c r="B9" s="250"/>
      <c r="C9" s="250" t="s">
        <v>12</v>
      </c>
      <c r="D9" s="250"/>
    </row>
    <row r="10" spans="1:4" ht="46.5" customHeight="1">
      <c r="A10" s="246" t="s">
        <v>13</v>
      </c>
      <c r="B10" s="247"/>
      <c r="C10" s="247" t="s">
        <v>14</v>
      </c>
      <c r="D10" s="247"/>
    </row>
    <row r="11" spans="1:4" ht="8.25" customHeight="1">
      <c r="A11" s="111"/>
      <c r="B11" s="111"/>
      <c r="C11" s="111"/>
      <c r="D11" s="111"/>
    </row>
    <row r="12" spans="1:4" ht="20.25" customHeight="1">
      <c r="A12" s="248" t="s">
        <v>15</v>
      </c>
      <c r="B12" s="248"/>
      <c r="C12" s="248"/>
      <c r="D12" s="248"/>
    </row>
    <row r="13" spans="1:4" ht="33" customHeight="1">
      <c r="A13" s="249" t="s">
        <v>16</v>
      </c>
      <c r="B13" s="250"/>
      <c r="C13" s="250" t="s">
        <v>17</v>
      </c>
      <c r="D13" s="250"/>
    </row>
    <row r="14" spans="1:4" ht="33" customHeight="1">
      <c r="A14" s="249" t="s">
        <v>18</v>
      </c>
      <c r="B14" s="250"/>
      <c r="C14" s="250" t="s">
        <v>19</v>
      </c>
      <c r="D14" s="250"/>
    </row>
    <row r="15" spans="1:4" ht="33" customHeight="1">
      <c r="A15" s="249" t="s">
        <v>20</v>
      </c>
      <c r="B15" s="250"/>
      <c r="C15" s="250" t="s">
        <v>21</v>
      </c>
      <c r="D15" s="250"/>
    </row>
    <row r="16" spans="1:4" ht="33" customHeight="1">
      <c r="A16" s="246" t="s">
        <v>22</v>
      </c>
      <c r="B16" s="247"/>
      <c r="C16" s="247" t="s">
        <v>23</v>
      </c>
      <c r="D16" s="247"/>
    </row>
    <row r="18" spans="1:4" ht="20.25" customHeight="1">
      <c r="A18" s="248" t="s">
        <v>24</v>
      </c>
      <c r="B18" s="248"/>
      <c r="C18" s="248"/>
      <c r="D18" s="248"/>
    </row>
    <row r="19" spans="1:4" ht="18" customHeight="1">
      <c r="A19" s="114" t="s">
        <v>25</v>
      </c>
      <c r="B19" s="114" t="s">
        <v>26</v>
      </c>
      <c r="C19" s="114" t="s">
        <v>27</v>
      </c>
      <c r="D19" s="114" t="s">
        <v>28</v>
      </c>
    </row>
    <row r="20" spans="1:4" ht="181.5" customHeight="1">
      <c r="A20" s="118" t="s">
        <v>29</v>
      </c>
      <c r="B20" s="119" t="s">
        <v>30</v>
      </c>
      <c r="C20" s="113" t="s">
        <v>31</v>
      </c>
      <c r="D20" s="116" t="s">
        <v>32</v>
      </c>
    </row>
    <row r="21" spans="1:4" ht="127.5" customHeight="1">
      <c r="A21" s="120" t="s">
        <v>33</v>
      </c>
      <c r="B21" s="119" t="s">
        <v>34</v>
      </c>
      <c r="C21" s="113" t="s">
        <v>35</v>
      </c>
      <c r="D21" s="116" t="s">
        <v>36</v>
      </c>
    </row>
    <row r="22" spans="1:4" ht="181.5" customHeight="1">
      <c r="A22" s="121" t="s">
        <v>37</v>
      </c>
      <c r="B22" s="119" t="s">
        <v>38</v>
      </c>
      <c r="C22" s="113" t="s">
        <v>39</v>
      </c>
      <c r="D22" s="116" t="s">
        <v>40</v>
      </c>
    </row>
    <row r="23" spans="1:4" ht="114" customHeight="1">
      <c r="A23" s="122" t="s">
        <v>41</v>
      </c>
      <c r="B23" s="119" t="s">
        <v>42</v>
      </c>
      <c r="C23" s="113" t="s">
        <v>43</v>
      </c>
      <c r="D23" s="116" t="s">
        <v>44</v>
      </c>
    </row>
    <row r="24" spans="1:4" ht="87" customHeight="1">
      <c r="A24" s="123" t="s">
        <v>45</v>
      </c>
      <c r="B24" s="119" t="s">
        <v>46</v>
      </c>
      <c r="C24" s="113" t="s">
        <v>47</v>
      </c>
      <c r="D24" s="116" t="s">
        <v>48</v>
      </c>
    </row>
    <row r="25" spans="1:4" ht="73.5" customHeight="1">
      <c r="A25" s="124" t="s">
        <v>49</v>
      </c>
      <c r="B25" s="119" t="s">
        <v>50</v>
      </c>
      <c r="C25" s="113" t="s">
        <v>51</v>
      </c>
      <c r="D25" s="116" t="s">
        <v>52</v>
      </c>
    </row>
    <row r="26" spans="1:4" ht="60" customHeight="1">
      <c r="A26" s="125" t="s">
        <v>53</v>
      </c>
      <c r="B26" s="117" t="s">
        <v>54</v>
      </c>
      <c r="C26" s="112" t="s">
        <v>55</v>
      </c>
      <c r="D26" s="115" t="s">
        <v>56</v>
      </c>
    </row>
    <row r="27" spans="1:4" ht="8.25" customHeight="1">
      <c r="A27" s="111"/>
      <c r="B27" s="111"/>
      <c r="C27" s="111"/>
      <c r="D27" s="111"/>
    </row>
    <row r="28" spans="1:4" ht="20.25" customHeight="1">
      <c r="A28" s="248" t="s">
        <v>57</v>
      </c>
      <c r="B28" s="248"/>
      <c r="C28" s="248"/>
      <c r="D28" s="248"/>
    </row>
    <row r="29" spans="1:4" ht="33" customHeight="1">
      <c r="A29" s="249" t="s">
        <v>58</v>
      </c>
      <c r="B29" s="250"/>
      <c r="C29" s="250" t="s">
        <v>59</v>
      </c>
      <c r="D29" s="250"/>
    </row>
    <row r="30" spans="1:4" ht="19.5" customHeight="1">
      <c r="A30" s="249" t="s">
        <v>60</v>
      </c>
      <c r="B30" s="250"/>
      <c r="C30" s="250" t="s">
        <v>61</v>
      </c>
      <c r="D30" s="250"/>
    </row>
    <row r="31" spans="1:4" ht="33" customHeight="1">
      <c r="A31" s="246" t="s">
        <v>62</v>
      </c>
      <c r="B31" s="247"/>
      <c r="C31" s="247" t="s">
        <v>63</v>
      </c>
      <c r="D31" s="247"/>
    </row>
    <row r="33" spans="1:4" ht="20.25" customHeight="1">
      <c r="A33" s="248" t="s">
        <v>64</v>
      </c>
      <c r="B33" s="248"/>
      <c r="C33" s="248"/>
      <c r="D33" s="248"/>
    </row>
    <row r="34" spans="1:4" ht="33" customHeight="1">
      <c r="A34" s="249" t="s">
        <v>65</v>
      </c>
      <c r="B34" s="250"/>
      <c r="C34" s="250" t="s">
        <v>66</v>
      </c>
      <c r="D34" s="250"/>
    </row>
    <row r="35" spans="1:4" ht="46.5" customHeight="1">
      <c r="A35" s="246" t="s">
        <v>67</v>
      </c>
      <c r="B35" s="247"/>
      <c r="C35" s="247" t="s">
        <v>68</v>
      </c>
      <c r="D35" s="247"/>
    </row>
    <row r="36" spans="1:4" ht="8.25" customHeight="1">
      <c r="A36" s="111"/>
      <c r="B36" s="111"/>
      <c r="C36" s="111"/>
      <c r="D36" s="111"/>
    </row>
    <row r="37" spans="1:4" ht="20.25" customHeight="1">
      <c r="A37" s="248" t="s">
        <v>69</v>
      </c>
      <c r="B37" s="248"/>
      <c r="C37" s="248"/>
      <c r="D37" s="248"/>
    </row>
    <row r="38" spans="1:4" ht="33" customHeight="1">
      <c r="A38" s="249" t="s">
        <v>70</v>
      </c>
      <c r="B38" s="250"/>
      <c r="C38" s="250" t="s">
        <v>71</v>
      </c>
      <c r="D38" s="250"/>
    </row>
    <row r="39" spans="1:4" ht="33" customHeight="1">
      <c r="A39" s="249" t="s">
        <v>72</v>
      </c>
      <c r="B39" s="250"/>
      <c r="C39" s="250" t="s">
        <v>73</v>
      </c>
      <c r="D39" s="250"/>
    </row>
    <row r="40" spans="1:4" ht="19.5" customHeight="1">
      <c r="A40" s="249" t="s">
        <v>74</v>
      </c>
      <c r="B40" s="250"/>
      <c r="C40" s="250" t="s">
        <v>75</v>
      </c>
      <c r="D40" s="250"/>
    </row>
    <row r="41" spans="1:4" ht="33" customHeight="1">
      <c r="A41" s="249" t="s">
        <v>76</v>
      </c>
      <c r="B41" s="250"/>
      <c r="C41" s="250" t="s">
        <v>77</v>
      </c>
      <c r="D41" s="250"/>
    </row>
    <row r="42" spans="1:4" ht="33" customHeight="1">
      <c r="A42" s="249" t="s">
        <v>78</v>
      </c>
      <c r="B42" s="250"/>
      <c r="C42" s="250" t="s">
        <v>79</v>
      </c>
      <c r="D42" s="250"/>
    </row>
    <row r="43" spans="1:4" ht="19.5" customHeight="1">
      <c r="A43" s="246" t="s">
        <v>80</v>
      </c>
      <c r="B43" s="247"/>
      <c r="C43" s="247" t="s">
        <v>81</v>
      </c>
      <c r="D43" s="247"/>
    </row>
    <row r="44" spans="1:4" ht="8.25" customHeight="1">
      <c r="A44" s="111"/>
      <c r="B44" s="111"/>
      <c r="C44" s="111"/>
      <c r="D44" s="111"/>
    </row>
    <row r="45" spans="1:4" ht="20.25" customHeight="1">
      <c r="A45" s="248" t="s">
        <v>82</v>
      </c>
      <c r="B45" s="248"/>
      <c r="C45" s="248"/>
      <c r="D45" s="248"/>
    </row>
    <row r="46" spans="1:4" ht="127.5" customHeight="1">
      <c r="A46" s="249" t="s">
        <v>83</v>
      </c>
      <c r="B46" s="250"/>
      <c r="C46" s="250" t="s">
        <v>84</v>
      </c>
      <c r="D46" s="250"/>
    </row>
    <row r="47" spans="1:4" ht="46.5" customHeight="1">
      <c r="A47" s="249" t="s">
        <v>85</v>
      </c>
      <c r="B47" s="250"/>
      <c r="C47" s="250" t="s">
        <v>86</v>
      </c>
      <c r="D47" s="250"/>
    </row>
    <row r="48" spans="1:4" ht="33" customHeight="1">
      <c r="A48" s="249" t="s">
        <v>87</v>
      </c>
      <c r="B48" s="250"/>
      <c r="C48" s="250" t="s">
        <v>88</v>
      </c>
      <c r="D48" s="250"/>
    </row>
    <row r="49" spans="1:6" ht="46.5" customHeight="1">
      <c r="A49" s="249" t="s">
        <v>89</v>
      </c>
      <c r="B49" s="250"/>
      <c r="C49" s="250" t="s">
        <v>90</v>
      </c>
      <c r="D49" s="250"/>
    </row>
    <row r="50" spans="1:6" ht="33" customHeight="1">
      <c r="A50" s="246" t="s">
        <v>91</v>
      </c>
      <c r="B50" s="247"/>
      <c r="C50" s="247" t="s">
        <v>92</v>
      </c>
      <c r="D50" s="247"/>
    </row>
    <row r="51" spans="1:6" ht="8.25" customHeight="1">
      <c r="A51" s="111"/>
      <c r="B51" s="111"/>
      <c r="C51" s="111"/>
      <c r="D51" s="111"/>
    </row>
    <row r="52" spans="1:6" ht="21.75" customHeight="1">
      <c r="A52" s="256" t="s">
        <v>93</v>
      </c>
      <c r="B52" s="256"/>
      <c r="C52" s="256"/>
      <c r="D52" s="256"/>
      <c r="E52" s="65"/>
    </row>
    <row r="53" spans="1:6">
      <c r="A53" s="257" t="s">
        <v>94</v>
      </c>
      <c r="B53" s="257"/>
      <c r="C53" s="257"/>
      <c r="D53" s="257"/>
      <c r="E53" s="65"/>
    </row>
    <row r="54" spans="1:6">
      <c r="A54" s="66" t="s">
        <v>95</v>
      </c>
      <c r="B54" s="66" t="s">
        <v>96</v>
      </c>
      <c r="E54" s="65"/>
    </row>
    <row r="55" spans="1:6">
      <c r="A55" s="67" t="s">
        <v>97</v>
      </c>
      <c r="B55" s="68" t="s">
        <v>98</v>
      </c>
      <c r="E55" s="65"/>
    </row>
    <row r="56" spans="1:6" ht="27.75">
      <c r="A56" s="69" t="s">
        <v>99</v>
      </c>
      <c r="B56" s="70" t="s">
        <v>98</v>
      </c>
      <c r="E56" s="65"/>
    </row>
    <row r="57" spans="1:6" ht="41.25">
      <c r="A57" s="69" t="s">
        <v>100</v>
      </c>
      <c r="B57" s="70" t="s">
        <v>101</v>
      </c>
      <c r="E57" s="65"/>
    </row>
    <row r="58" spans="1:6">
      <c r="A58" s="69" t="s">
        <v>102</v>
      </c>
      <c r="B58" s="70" t="s">
        <v>98</v>
      </c>
      <c r="E58" s="65"/>
    </row>
    <row r="59" spans="1:6" ht="27.75">
      <c r="A59" s="69" t="s">
        <v>103</v>
      </c>
      <c r="B59" s="70" t="s">
        <v>98</v>
      </c>
      <c r="E59" s="65"/>
    </row>
    <row r="60" spans="1:6" ht="27.75">
      <c r="A60" s="69" t="s">
        <v>104</v>
      </c>
      <c r="B60" s="70" t="s">
        <v>98</v>
      </c>
      <c r="E60" s="65"/>
    </row>
    <row r="61" spans="1:6">
      <c r="A61" s="71" t="s">
        <v>105</v>
      </c>
      <c r="B61" s="72" t="s">
        <v>98</v>
      </c>
      <c r="E61" s="65"/>
    </row>
    <row r="62" spans="1:6">
      <c r="E62" s="65"/>
    </row>
    <row r="63" spans="1:6" ht="16.5">
      <c r="A63" s="258" t="s">
        <v>106</v>
      </c>
      <c r="B63" s="258"/>
      <c r="C63" s="258"/>
      <c r="D63" s="258"/>
      <c r="E63" s="258"/>
      <c r="F63" s="258"/>
    </row>
    <row r="64" spans="1:6">
      <c r="A64" s="73"/>
      <c r="B64" s="253" t="s">
        <v>107</v>
      </c>
      <c r="C64" s="253"/>
      <c r="D64" s="253" t="s">
        <v>108</v>
      </c>
      <c r="E64" s="253"/>
      <c r="F64" s="253"/>
    </row>
    <row r="65" spans="1:6">
      <c r="A65" s="75"/>
      <c r="B65" s="253" t="s">
        <v>109</v>
      </c>
      <c r="C65" s="253"/>
      <c r="D65" s="253" t="s">
        <v>110</v>
      </c>
      <c r="E65" s="253"/>
      <c r="F65" s="253"/>
    </row>
    <row r="66" spans="1:6">
      <c r="A66" s="76"/>
      <c r="B66" s="253" t="s">
        <v>111</v>
      </c>
      <c r="C66" s="253"/>
      <c r="D66" s="253" t="s">
        <v>112</v>
      </c>
      <c r="E66" s="253"/>
      <c r="F66" s="253"/>
    </row>
    <row r="67" spans="1:6">
      <c r="A67" s="77"/>
      <c r="B67" s="253" t="s">
        <v>113</v>
      </c>
      <c r="C67" s="253"/>
      <c r="D67" s="253" t="s">
        <v>114</v>
      </c>
      <c r="E67" s="253"/>
      <c r="F67" s="253"/>
    </row>
    <row r="68" spans="1:6">
      <c r="A68" s="78"/>
      <c r="B68" s="253" t="s">
        <v>115</v>
      </c>
      <c r="C68" s="253"/>
      <c r="D68" s="253" t="s">
        <v>116</v>
      </c>
      <c r="E68" s="253"/>
      <c r="F68" s="253"/>
    </row>
    <row r="69" spans="1:6">
      <c r="A69" s="79"/>
      <c r="B69" s="253" t="s">
        <v>117</v>
      </c>
      <c r="C69" s="253"/>
      <c r="D69" s="253" t="s">
        <v>118</v>
      </c>
      <c r="E69" s="253"/>
      <c r="F69" s="253"/>
    </row>
    <row r="70" spans="1:6">
      <c r="A70" s="74"/>
      <c r="B70" s="255" t="s">
        <v>119</v>
      </c>
      <c r="C70" s="255"/>
      <c r="D70" s="253" t="s">
        <v>120</v>
      </c>
      <c r="E70" s="253"/>
      <c r="F70" s="253"/>
    </row>
    <row r="71" spans="1:6">
      <c r="A71" s="254" t="s">
        <v>121</v>
      </c>
      <c r="B71" s="254"/>
      <c r="C71" s="254"/>
      <c r="D71" s="254"/>
      <c r="E71" s="254"/>
      <c r="F71" s="254"/>
    </row>
    <row r="72" spans="1:6">
      <c r="A72" s="253" t="s">
        <v>122</v>
      </c>
      <c r="B72" s="253"/>
      <c r="C72" s="253"/>
      <c r="D72" s="253"/>
      <c r="E72" s="253"/>
      <c r="F72" s="253"/>
    </row>
    <row r="73" spans="1:6">
      <c r="A73" s="253" t="s">
        <v>123</v>
      </c>
      <c r="B73" s="253"/>
      <c r="C73" s="253"/>
      <c r="D73" s="253"/>
      <c r="E73" s="253"/>
      <c r="F73" s="253"/>
    </row>
    <row r="74" spans="1:6">
      <c r="A74" s="254" t="s">
        <v>124</v>
      </c>
      <c r="B74" s="254"/>
      <c r="C74" s="254"/>
      <c r="D74" s="254" t="s">
        <v>125</v>
      </c>
      <c r="E74" s="254"/>
      <c r="F74" s="254"/>
    </row>
    <row r="75" spans="1:6">
      <c r="A75" s="253" t="s">
        <v>126</v>
      </c>
      <c r="B75" s="253"/>
      <c r="C75" s="253"/>
      <c r="D75" s="253" t="s">
        <v>127</v>
      </c>
      <c r="E75" s="253"/>
      <c r="F75" s="253"/>
    </row>
    <row r="76" spans="1:6">
      <c r="A76" s="253" t="s">
        <v>128</v>
      </c>
      <c r="B76" s="253"/>
      <c r="C76" s="253"/>
      <c r="D76" s="253" t="s">
        <v>129</v>
      </c>
      <c r="E76" s="253"/>
      <c r="F76" s="253"/>
    </row>
    <row r="77" spans="1:6">
      <c r="A77" s="253" t="s">
        <v>130</v>
      </c>
      <c r="B77" s="253"/>
      <c r="C77" s="253"/>
      <c r="D77" s="253" t="s">
        <v>131</v>
      </c>
      <c r="E77" s="253"/>
      <c r="F77" s="253"/>
    </row>
    <row r="78" spans="1:6">
      <c r="A78" s="253" t="s">
        <v>132</v>
      </c>
      <c r="B78" s="253"/>
      <c r="C78" s="253"/>
      <c r="D78" s="253" t="s">
        <v>133</v>
      </c>
      <c r="E78" s="253"/>
      <c r="F78" s="253"/>
    </row>
    <row r="79" spans="1:6">
      <c r="A79" s="254" t="s">
        <v>134</v>
      </c>
      <c r="B79" s="254"/>
      <c r="C79" s="254"/>
      <c r="D79" s="254"/>
      <c r="E79" s="254"/>
      <c r="F79" s="254"/>
    </row>
    <row r="80" spans="1:6">
      <c r="A80" s="253" t="s">
        <v>135</v>
      </c>
      <c r="B80" s="253"/>
      <c r="C80" s="253"/>
      <c r="D80" s="253"/>
      <c r="E80" s="253"/>
      <c r="F80" s="253"/>
    </row>
  </sheetData>
  <mergeCells count="93">
    <mergeCell ref="B65:C65"/>
    <mergeCell ref="D65:F65"/>
    <mergeCell ref="A52:D52"/>
    <mergeCell ref="A53:D53"/>
    <mergeCell ref="A63:F63"/>
    <mergeCell ref="B64:C64"/>
    <mergeCell ref="D64:F64"/>
    <mergeCell ref="A9:B9"/>
    <mergeCell ref="C9:D9"/>
    <mergeCell ref="A10:B10"/>
    <mergeCell ref="C10:D10"/>
    <mergeCell ref="A12:D12"/>
    <mergeCell ref="A13:B13"/>
    <mergeCell ref="C13:D13"/>
    <mergeCell ref="A14:B14"/>
    <mergeCell ref="C14:D14"/>
    <mergeCell ref="A15:B15"/>
    <mergeCell ref="C15:D15"/>
    <mergeCell ref="A16:B16"/>
    <mergeCell ref="C16:D16"/>
    <mergeCell ref="A18:D18"/>
    <mergeCell ref="A28:D28"/>
    <mergeCell ref="A29:B29"/>
    <mergeCell ref="C29:D29"/>
    <mergeCell ref="A72:F72"/>
    <mergeCell ref="B66:C66"/>
    <mergeCell ref="D66:F66"/>
    <mergeCell ref="B67:C67"/>
    <mergeCell ref="D67:F67"/>
    <mergeCell ref="B68:C68"/>
    <mergeCell ref="D68:F68"/>
    <mergeCell ref="B69:C69"/>
    <mergeCell ref="D69:F69"/>
    <mergeCell ref="B70:C70"/>
    <mergeCell ref="D70:F70"/>
    <mergeCell ref="A71:F71"/>
    <mergeCell ref="A80:F80"/>
    <mergeCell ref="A73:F73"/>
    <mergeCell ref="A74:C74"/>
    <mergeCell ref="D74:F74"/>
    <mergeCell ref="A75:C75"/>
    <mergeCell ref="D75:F75"/>
    <mergeCell ref="A76:C76"/>
    <mergeCell ref="D76:F76"/>
    <mergeCell ref="A77:C77"/>
    <mergeCell ref="D77:F77"/>
    <mergeCell ref="A78:C78"/>
    <mergeCell ref="D78:F78"/>
    <mergeCell ref="A79:F79"/>
    <mergeCell ref="A6:B6"/>
    <mergeCell ref="C6:D6"/>
    <mergeCell ref="A7:B7"/>
    <mergeCell ref="C7:D7"/>
    <mergeCell ref="A8:B8"/>
    <mergeCell ref="C8:D8"/>
    <mergeCell ref="A1:D1"/>
    <mergeCell ref="A2:D2"/>
    <mergeCell ref="A4:D4"/>
    <mergeCell ref="A5:B5"/>
    <mergeCell ref="C5:D5"/>
    <mergeCell ref="A34:B34"/>
    <mergeCell ref="C34:D34"/>
    <mergeCell ref="A30:B30"/>
    <mergeCell ref="C30:D30"/>
    <mergeCell ref="A31:B31"/>
    <mergeCell ref="C31:D31"/>
    <mergeCell ref="A33:D33"/>
    <mergeCell ref="A35:B35"/>
    <mergeCell ref="C35:D35"/>
    <mergeCell ref="A40:B40"/>
    <mergeCell ref="C40:D40"/>
    <mergeCell ref="A41:B41"/>
    <mergeCell ref="C41:D41"/>
    <mergeCell ref="A37:D37"/>
    <mergeCell ref="A42:B42"/>
    <mergeCell ref="C42:D42"/>
    <mergeCell ref="A38:B38"/>
    <mergeCell ref="C38:D38"/>
    <mergeCell ref="A39:B39"/>
    <mergeCell ref="C39:D39"/>
    <mergeCell ref="A50:B50"/>
    <mergeCell ref="C50:D50"/>
    <mergeCell ref="A43:B43"/>
    <mergeCell ref="C43:D43"/>
    <mergeCell ref="A45:D45"/>
    <mergeCell ref="A46:B46"/>
    <mergeCell ref="C46:D46"/>
    <mergeCell ref="A47:B47"/>
    <mergeCell ref="C47:D47"/>
    <mergeCell ref="A48:B48"/>
    <mergeCell ref="C48:D48"/>
    <mergeCell ref="A49:B49"/>
    <mergeCell ref="C49:D4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5F"/>
  </sheetPr>
  <dimension ref="B1:B51"/>
  <sheetViews>
    <sheetView showGridLines="0" zoomScaleNormal="100" workbookViewId="0">
      <selection activeCell="B38" sqref="B38"/>
    </sheetView>
  </sheetViews>
  <sheetFormatPr defaultColWidth="8.7109375" defaultRowHeight="15"/>
  <cols>
    <col min="1" max="1" width="3" style="10" customWidth="1"/>
    <col min="2" max="2" width="112" style="10" customWidth="1"/>
    <col min="3" max="16384" width="8.7109375" style="10"/>
  </cols>
  <sheetData>
    <row r="1" spans="2:2" ht="21.75" customHeight="1">
      <c r="B1" s="49" t="s">
        <v>136</v>
      </c>
    </row>
    <row r="2" spans="2:2" ht="15.75" customHeight="1">
      <c r="B2" s="50" t="s">
        <v>137</v>
      </c>
    </row>
    <row r="4" spans="2:2" ht="15.75" customHeight="1">
      <c r="B4" s="51" t="s">
        <v>138</v>
      </c>
    </row>
    <row r="6" spans="2:2" ht="15.75" customHeight="1">
      <c r="B6" s="52" t="s">
        <v>139</v>
      </c>
    </row>
    <row r="7" spans="2:2" ht="63.75" customHeight="1">
      <c r="B7" s="53" t="s">
        <v>140</v>
      </c>
    </row>
    <row r="9" spans="2:2" ht="15.75" customHeight="1">
      <c r="B9" s="52" t="s">
        <v>141</v>
      </c>
    </row>
    <row r="10" spans="2:2" ht="15.75" customHeight="1">
      <c r="B10" s="53" t="s">
        <v>142</v>
      </c>
    </row>
    <row r="11" spans="2:2" ht="15.75" customHeight="1">
      <c r="B11" s="53" t="s">
        <v>143</v>
      </c>
    </row>
    <row r="12" spans="2:2" ht="15.75" customHeight="1">
      <c r="B12" s="53" t="s">
        <v>144</v>
      </c>
    </row>
    <row r="13" spans="2:2" ht="30" customHeight="1">
      <c r="B13" s="53" t="s">
        <v>145</v>
      </c>
    </row>
    <row r="14" spans="2:2" ht="15.75" customHeight="1">
      <c r="B14" s="53" t="s">
        <v>146</v>
      </c>
    </row>
    <row r="15" spans="2:2" ht="15.75" customHeight="1">
      <c r="B15" s="53" t="s">
        <v>147</v>
      </c>
    </row>
    <row r="16" spans="2:2" ht="30" customHeight="1">
      <c r="B16" s="53" t="s">
        <v>148</v>
      </c>
    </row>
    <row r="18" spans="2:2" ht="15.75" customHeight="1">
      <c r="B18" s="52" t="s">
        <v>149</v>
      </c>
    </row>
    <row r="19" spans="2:2" ht="30" customHeight="1">
      <c r="B19" s="53" t="s">
        <v>150</v>
      </c>
    </row>
    <row r="20" spans="2:2" ht="15.75" customHeight="1">
      <c r="B20" s="53" t="s">
        <v>151</v>
      </c>
    </row>
    <row r="21" spans="2:2" ht="15.75" customHeight="1">
      <c r="B21" s="53" t="s">
        <v>152</v>
      </c>
    </row>
    <row r="22" spans="2:2" ht="15.75" customHeight="1">
      <c r="B22" s="53" t="s">
        <v>153</v>
      </c>
    </row>
    <row r="24" spans="2:2" ht="45" customHeight="1">
      <c r="B24" s="54" t="s">
        <v>154</v>
      </c>
    </row>
    <row r="26" spans="2:2" ht="15.75" customHeight="1">
      <c r="B26" s="52" t="s">
        <v>155</v>
      </c>
    </row>
    <row r="27" spans="2:2" ht="45" customHeight="1">
      <c r="B27" s="53" t="s">
        <v>156</v>
      </c>
    </row>
    <row r="28" spans="2:2" ht="30" customHeight="1">
      <c r="B28" s="53" t="s">
        <v>157</v>
      </c>
    </row>
    <row r="29" spans="2:2" ht="45" customHeight="1">
      <c r="B29" s="53" t="s">
        <v>158</v>
      </c>
    </row>
    <row r="31" spans="2:2" ht="15.75" customHeight="1">
      <c r="B31" s="52" t="s">
        <v>159</v>
      </c>
    </row>
    <row r="32" spans="2:2" ht="15.75" customHeight="1">
      <c r="B32" s="55" t="s">
        <v>160</v>
      </c>
    </row>
    <row r="33" spans="2:2" ht="15.75" customHeight="1">
      <c r="B33" s="56" t="s">
        <v>161</v>
      </c>
    </row>
    <row r="34" spans="2:2" ht="15.75" customHeight="1">
      <c r="B34" s="57" t="s">
        <v>162</v>
      </c>
    </row>
    <row r="35" spans="2:2" ht="15.75" customHeight="1">
      <c r="B35" s="58" t="s">
        <v>163</v>
      </c>
    </row>
    <row r="36" spans="2:2" ht="15.75" customHeight="1">
      <c r="B36" s="58" t="s">
        <v>164</v>
      </c>
    </row>
    <row r="37" spans="2:2" ht="15.75" customHeight="1">
      <c r="B37" s="59" t="s">
        <v>165</v>
      </c>
    </row>
    <row r="38" spans="2:2" ht="15.75" customHeight="1">
      <c r="B38" s="60" t="s">
        <v>166</v>
      </c>
    </row>
    <row r="39" spans="2:2" ht="15.75" customHeight="1">
      <c r="B39" s="61" t="s">
        <v>167</v>
      </c>
    </row>
    <row r="40" spans="2:2" ht="15.75" customHeight="1">
      <c r="B40" s="62" t="s">
        <v>168</v>
      </c>
    </row>
    <row r="41" spans="2:2" ht="15.75" customHeight="1">
      <c r="B41" s="63" t="s">
        <v>169</v>
      </c>
    </row>
    <row r="42" spans="2:2" ht="15.75" customHeight="1">
      <c r="B42" s="57" t="s">
        <v>170</v>
      </c>
    </row>
    <row r="43" spans="2:2" ht="15.75" customHeight="1">
      <c r="B43" s="64" t="s">
        <v>171</v>
      </c>
    </row>
    <row r="45" spans="2:2" ht="15.75" customHeight="1">
      <c r="B45" s="52" t="s">
        <v>172</v>
      </c>
    </row>
    <row r="46" spans="2:2" ht="45" customHeight="1">
      <c r="B46" s="53" t="s">
        <v>173</v>
      </c>
    </row>
    <row r="48" spans="2:2" ht="15.75" customHeight="1">
      <c r="B48" s="52" t="s">
        <v>174</v>
      </c>
    </row>
    <row r="49" spans="2:2" ht="30" customHeight="1">
      <c r="B49" s="53" t="s">
        <v>175</v>
      </c>
    </row>
    <row r="50" spans="2:2" ht="15.75" customHeight="1">
      <c r="B50" s="53" t="s">
        <v>176</v>
      </c>
    </row>
    <row r="51" spans="2:2" ht="15.75" customHeight="1">
      <c r="B51" s="53" t="s">
        <v>177</v>
      </c>
    </row>
  </sheetData>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58166-A835-45CF-8F4F-6EEFC514C5C2}">
  <sheetPr>
    <tabColor rgb="FF93C47D"/>
  </sheetPr>
  <dimension ref="A1:T120"/>
  <sheetViews>
    <sheetView topLeftCell="A18" workbookViewId="0">
      <selection activeCell="A17" sqref="A17"/>
    </sheetView>
  </sheetViews>
  <sheetFormatPr defaultRowHeight="15"/>
  <cols>
    <col min="1" max="1" width="36.140625" style="276" customWidth="1"/>
    <col min="2" max="2" width="62.85546875" style="276" customWidth="1"/>
    <col min="3" max="3" width="5.7109375" style="276" customWidth="1"/>
    <col min="4" max="5" width="38.140625" style="276" customWidth="1"/>
    <col min="6" max="8" width="9.140625" style="276"/>
    <col min="9" max="9" width="4.5703125" style="276" customWidth="1"/>
    <col min="10" max="10" width="5.7109375" style="276" customWidth="1"/>
    <col min="11" max="11" width="19" style="276" customWidth="1"/>
    <col min="12" max="12" width="4.5703125" style="276" customWidth="1"/>
    <col min="13" max="13" width="5.7109375" style="276" customWidth="1"/>
    <col min="14" max="14" width="19" style="276" customWidth="1"/>
    <col min="15" max="15" width="4.5703125" style="276" customWidth="1"/>
    <col min="16" max="16" width="5.7109375" style="276" customWidth="1"/>
    <col min="17" max="17" width="19" style="276" customWidth="1"/>
    <col min="18" max="18" width="5.7109375" style="276" customWidth="1"/>
    <col min="19" max="19" width="28.5703125" style="276" customWidth="1"/>
    <col min="20" max="20" width="36.140625" style="276" customWidth="1"/>
    <col min="21" max="16384" width="9.140625" style="276"/>
  </cols>
  <sheetData>
    <row r="1" spans="1:20" ht="21">
      <c r="A1" s="275" t="s">
        <v>124</v>
      </c>
    </row>
    <row r="2" spans="1:20">
      <c r="A2" s="277" t="s">
        <v>178</v>
      </c>
      <c r="B2" s="277"/>
      <c r="C2" s="277"/>
      <c r="D2" s="278" t="s">
        <v>179</v>
      </c>
      <c r="E2" s="277"/>
      <c r="I2" s="279" t="s">
        <v>180</v>
      </c>
      <c r="J2" s="280"/>
      <c r="K2" s="280"/>
      <c r="L2" s="280"/>
      <c r="M2" s="280"/>
      <c r="N2" s="280"/>
      <c r="O2" s="280"/>
      <c r="P2" s="280"/>
      <c r="Q2" s="281"/>
    </row>
    <row r="3" spans="1:20">
      <c r="I3" s="145" t="b">
        <v>0</v>
      </c>
      <c r="J3" s="282" t="s">
        <v>181</v>
      </c>
      <c r="K3" s="283"/>
      <c r="L3" s="283"/>
      <c r="M3" s="283"/>
      <c r="N3" s="283"/>
      <c r="O3" s="283"/>
      <c r="P3" s="283"/>
      <c r="Q3" s="284"/>
      <c r="S3" s="285" t="s">
        <v>182</v>
      </c>
      <c r="T3" s="286"/>
    </row>
    <row r="4" spans="1:20">
      <c r="A4" s="287" t="s">
        <v>183</v>
      </c>
      <c r="B4" s="80"/>
      <c r="D4" s="287" t="s">
        <v>184</v>
      </c>
      <c r="E4" s="287" t="s">
        <v>185</v>
      </c>
      <c r="G4" s="287" t="s">
        <v>186</v>
      </c>
      <c r="I4" s="288"/>
      <c r="J4" s="283"/>
      <c r="K4" s="283"/>
      <c r="L4" s="283"/>
      <c r="M4" s="283"/>
      <c r="N4" s="283"/>
      <c r="O4" s="283"/>
      <c r="P4" s="283"/>
      <c r="Q4" s="284"/>
      <c r="S4" s="286" t="s">
        <v>187</v>
      </c>
      <c r="T4" s="286" t="s">
        <v>185</v>
      </c>
    </row>
    <row r="5" spans="1:20">
      <c r="A5" s="287" t="s">
        <v>188</v>
      </c>
      <c r="B5" s="80"/>
      <c r="D5" s="276" t="str" cm="1">
        <f t="array" ref="D5:D28">IFERROR(_xlfn._xlws.SORT(_xlfn.UNIQUE(_xlfn._xlws.FILTER(_xlfn.VSTACK('Dealer Master'!G5:G1028,S5:S104),_xlfn.VSTACK('Dealer Master'!G5:G1028,S5:S104)&lt;&gt;""))),"")</f>
        <v>Brayden Page</v>
      </c>
      <c r="E5" s="276" t="str" cm="1">
        <f t="array" ref="E5:E28">IFERROR(_xlfn.XLOOKUP(_xlfn.ANCHORARRAY(D5),_xlfn.VSTACK('Dealer Master'!G5:G1028,S5:S104),_xlfn.VSTACK('Dealer Master'!H5:H1028,T5:T104),""),"")</f>
        <v>Brayden.page@getfinti.com</v>
      </c>
      <c r="G5" s="276" t="str" cm="1">
        <f t="array" ref="G5">IFERROR(_xlfn._xlws.SORT(_xlfn.UNIQUE(_xlfn._xlws.FILTER('Dealer Master'!C5:C1028,'Dealer Master'!C5:C1028&lt;&gt;""))),"")</f>
        <v>Sales Rabbit</v>
      </c>
      <c r="I5" s="145" t="b">
        <v>0</v>
      </c>
      <c r="J5" s="289" t="s">
        <v>189</v>
      </c>
      <c r="K5" s="290" t="s">
        <v>190</v>
      </c>
      <c r="L5" s="301" t="b">
        <v>0</v>
      </c>
      <c r="M5" s="289" t="s">
        <v>191</v>
      </c>
      <c r="N5" s="290" t="s">
        <v>192</v>
      </c>
      <c r="O5" s="301" t="b">
        <v>0</v>
      </c>
      <c r="P5" s="289" t="s">
        <v>193</v>
      </c>
      <c r="Q5" s="291" t="s">
        <v>194</v>
      </c>
      <c r="S5" s="150" t="s">
        <v>195</v>
      </c>
      <c r="T5" s="150" t="s">
        <v>196</v>
      </c>
    </row>
    <row r="6" spans="1:20">
      <c r="A6" s="287" t="s">
        <v>197</v>
      </c>
      <c r="B6" s="80"/>
      <c r="D6" s="276" t="str">
        <v>chris Shipley</v>
      </c>
      <c r="E6" s="276" t="str">
        <v>chris@getfinti.com</v>
      </c>
      <c r="I6" s="145" t="b">
        <v>0</v>
      </c>
      <c r="J6" s="289" t="s">
        <v>198</v>
      </c>
      <c r="K6" s="290" t="s">
        <v>199</v>
      </c>
      <c r="L6" s="301" t="b">
        <v>0</v>
      </c>
      <c r="M6" s="289" t="s">
        <v>200</v>
      </c>
      <c r="N6" s="290" t="s">
        <v>201</v>
      </c>
      <c r="O6" s="301" t="b">
        <v>0</v>
      </c>
      <c r="P6" s="289" t="s">
        <v>202</v>
      </c>
      <c r="Q6" s="291" t="s">
        <v>203</v>
      </c>
      <c r="S6" s="150" t="s">
        <v>204</v>
      </c>
      <c r="T6" s="150" t="s">
        <v>205</v>
      </c>
    </row>
    <row r="7" spans="1:20">
      <c r="A7" s="287" t="s">
        <v>206</v>
      </c>
      <c r="B7" s="81"/>
      <c r="D7" s="276" t="str">
        <v>Clint Cowley</v>
      </c>
      <c r="E7" s="276" t="str">
        <v>sales@gowefund.com, clint@gowefund.com</v>
      </c>
      <c r="I7" s="145" t="b">
        <v>0</v>
      </c>
      <c r="J7" s="289" t="s">
        <v>207</v>
      </c>
      <c r="K7" s="290" t="s">
        <v>208</v>
      </c>
      <c r="L7" s="301" t="b">
        <v>0</v>
      </c>
      <c r="M7" s="289" t="s">
        <v>209</v>
      </c>
      <c r="N7" s="290" t="s">
        <v>210</v>
      </c>
      <c r="O7" s="301" t="b">
        <v>0</v>
      </c>
      <c r="P7" s="289" t="s">
        <v>211</v>
      </c>
      <c r="Q7" s="291" t="s">
        <v>212</v>
      </c>
      <c r="S7" s="150" t="s">
        <v>213</v>
      </c>
      <c r="T7" s="150" t="s">
        <v>214</v>
      </c>
    </row>
    <row r="8" spans="1:20">
      <c r="A8" s="287" t="s">
        <v>215</v>
      </c>
      <c r="B8" s="80"/>
      <c r="D8" s="276" t="str">
        <v>David Yates</v>
      </c>
      <c r="E8" s="276" t="str">
        <v>David.yates@getfinti.com</v>
      </c>
      <c r="I8" s="145" t="b">
        <v>0</v>
      </c>
      <c r="J8" s="289" t="s">
        <v>216</v>
      </c>
      <c r="K8" s="290" t="s">
        <v>217</v>
      </c>
      <c r="L8" s="301" t="b">
        <v>0</v>
      </c>
      <c r="M8" s="289" t="s">
        <v>218</v>
      </c>
      <c r="N8" s="290" t="s">
        <v>219</v>
      </c>
      <c r="O8" s="301" t="b">
        <v>0</v>
      </c>
      <c r="P8" s="289" t="s">
        <v>220</v>
      </c>
      <c r="Q8" s="291" t="s">
        <v>221</v>
      </c>
      <c r="S8" s="150" t="s">
        <v>222</v>
      </c>
      <c r="T8" s="150" t="s">
        <v>223</v>
      </c>
    </row>
    <row r="9" spans="1:20">
      <c r="A9" s="287" t="s">
        <v>187</v>
      </c>
      <c r="B9" s="80"/>
      <c r="D9" s="276" t="str">
        <v>Doug Yates</v>
      </c>
      <c r="E9" s="276" t="str">
        <v>doug.yates@getfinti.com</v>
      </c>
      <c r="I9" s="145" t="b">
        <v>0</v>
      </c>
      <c r="J9" s="289" t="s">
        <v>224</v>
      </c>
      <c r="K9" s="290" t="s">
        <v>225</v>
      </c>
      <c r="L9" s="301" t="b">
        <v>0</v>
      </c>
      <c r="M9" s="289" t="s">
        <v>226</v>
      </c>
      <c r="N9" s="290" t="s">
        <v>227</v>
      </c>
      <c r="O9" s="301" t="b">
        <v>0</v>
      </c>
      <c r="P9" s="289" t="s">
        <v>228</v>
      </c>
      <c r="Q9" s="291" t="s">
        <v>229</v>
      </c>
      <c r="S9" s="150" t="s">
        <v>230</v>
      </c>
      <c r="T9" s="150" t="s">
        <v>231</v>
      </c>
    </row>
    <row r="10" spans="1:20">
      <c r="A10" s="287" t="s">
        <v>232</v>
      </c>
      <c r="B10" s="80" t="str">
        <f>IFERROR(VLOOKUP($B$9,$D$5:$E$500,2,FALSE),"")</f>
        <v/>
      </c>
      <c r="D10" s="276" t="str">
        <v>Ethan Meturi</v>
      </c>
      <c r="E10" s="276" t="str">
        <v>Ethan.meturi@getfinti.com</v>
      </c>
      <c r="I10" s="145" t="b">
        <v>0</v>
      </c>
      <c r="J10" s="289" t="s">
        <v>233</v>
      </c>
      <c r="K10" s="290" t="s">
        <v>234</v>
      </c>
      <c r="L10" s="301" t="b">
        <v>0</v>
      </c>
      <c r="M10" s="289" t="s">
        <v>235</v>
      </c>
      <c r="N10" s="290" t="s">
        <v>236</v>
      </c>
      <c r="O10" s="301" t="b">
        <v>0</v>
      </c>
      <c r="P10" s="289" t="s">
        <v>237</v>
      </c>
      <c r="Q10" s="291" t="s">
        <v>238</v>
      </c>
      <c r="S10" s="150" t="s">
        <v>239</v>
      </c>
      <c r="T10" s="150" t="s">
        <v>240</v>
      </c>
    </row>
    <row r="11" spans="1:20">
      <c r="A11" s="287" t="s">
        <v>241</v>
      </c>
      <c r="B11" s="80"/>
      <c r="D11" s="276" t="str">
        <v>Evan Young</v>
      </c>
      <c r="E11" s="276" t="str">
        <v>evanyoung@getfinti.com</v>
      </c>
      <c r="I11" s="145" t="b">
        <v>0</v>
      </c>
      <c r="J11" s="289" t="s">
        <v>242</v>
      </c>
      <c r="K11" s="290" t="s">
        <v>243</v>
      </c>
      <c r="L11" s="301" t="b">
        <v>0</v>
      </c>
      <c r="M11" s="289" t="s">
        <v>244</v>
      </c>
      <c r="N11" s="290" t="s">
        <v>245</v>
      </c>
      <c r="O11" s="301" t="b">
        <v>0</v>
      </c>
      <c r="P11" s="289" t="s">
        <v>246</v>
      </c>
      <c r="Q11" s="291" t="s">
        <v>247</v>
      </c>
      <c r="S11" s="150" t="s">
        <v>248</v>
      </c>
      <c r="T11" s="150" t="s">
        <v>249</v>
      </c>
    </row>
    <row r="12" spans="1:20">
      <c r="A12" s="287" t="s">
        <v>250</v>
      </c>
      <c r="B12" s="80"/>
      <c r="D12" s="276" t="str">
        <v>Gentry Knight</v>
      </c>
      <c r="E12" s="276" t="str">
        <v>gentryknight2010@icloud.com</v>
      </c>
      <c r="I12" s="145" t="b">
        <v>0</v>
      </c>
      <c r="J12" s="289" t="s">
        <v>251</v>
      </c>
      <c r="K12" s="290" t="s">
        <v>252</v>
      </c>
      <c r="L12" s="301" t="b">
        <v>0</v>
      </c>
      <c r="M12" s="289" t="s">
        <v>253</v>
      </c>
      <c r="N12" s="290" t="s">
        <v>254</v>
      </c>
      <c r="O12" s="301" t="b">
        <v>0</v>
      </c>
      <c r="P12" s="289" t="s">
        <v>255</v>
      </c>
      <c r="Q12" s="291" t="s">
        <v>256</v>
      </c>
      <c r="S12" s="150"/>
      <c r="T12" s="150"/>
    </row>
    <row r="13" spans="1:20">
      <c r="A13" s="287" t="s">
        <v>257</v>
      </c>
      <c r="B13" s="292">
        <f ca="1">TODAY()</f>
        <v>46288</v>
      </c>
      <c r="D13" s="276" t="str">
        <v>Heriberto Rivera</v>
      </c>
      <c r="E13" s="276" t="str">
        <v>yennikayadiel@gmail.com</v>
      </c>
      <c r="I13" s="145" t="b">
        <v>0</v>
      </c>
      <c r="J13" s="289" t="s">
        <v>258</v>
      </c>
      <c r="K13" s="290" t="s">
        <v>259</v>
      </c>
      <c r="L13" s="301" t="b">
        <v>0</v>
      </c>
      <c r="M13" s="289" t="s">
        <v>260</v>
      </c>
      <c r="N13" s="290" t="s">
        <v>261</v>
      </c>
      <c r="O13" s="301" t="b">
        <v>0</v>
      </c>
      <c r="P13" s="289" t="s">
        <v>262</v>
      </c>
      <c r="Q13" s="291" t="s">
        <v>263</v>
      </c>
      <c r="S13" s="150"/>
      <c r="T13" s="150"/>
    </row>
    <row r="14" spans="1:20">
      <c r="A14" s="293" t="s">
        <v>264</v>
      </c>
      <c r="B14" s="294"/>
      <c r="D14" s="276" t="str">
        <v>Kyle Fransen</v>
      </c>
      <c r="E14" s="276" t="str">
        <v>kyle@getfinti.com</v>
      </c>
      <c r="I14" s="145" t="b">
        <v>0</v>
      </c>
      <c r="J14" s="289" t="s">
        <v>265</v>
      </c>
      <c r="K14" s="290" t="s">
        <v>266</v>
      </c>
      <c r="L14" s="301" t="b">
        <v>0</v>
      </c>
      <c r="M14" s="289" t="s">
        <v>267</v>
      </c>
      <c r="N14" s="290" t="s">
        <v>268</v>
      </c>
      <c r="O14" s="301" t="b">
        <v>0</v>
      </c>
      <c r="P14" s="289" t="s">
        <v>269</v>
      </c>
      <c r="Q14" s="291" t="s">
        <v>270</v>
      </c>
      <c r="S14" s="150"/>
      <c r="T14" s="150"/>
    </row>
    <row r="15" spans="1:20">
      <c r="A15" s="287" t="s">
        <v>271</v>
      </c>
      <c r="B15" s="80" t="s">
        <v>272</v>
      </c>
      <c r="D15" s="276" t="str">
        <v>Mark Robichaud</v>
      </c>
      <c r="E15" s="276" t="str">
        <v>markchmand@gmail.com</v>
      </c>
      <c r="I15" s="145" t="b">
        <v>0</v>
      </c>
      <c r="J15" s="289" t="s">
        <v>273</v>
      </c>
      <c r="K15" s="290" t="s">
        <v>274</v>
      </c>
      <c r="L15" s="301" t="b">
        <v>0</v>
      </c>
      <c r="M15" s="289" t="s">
        <v>275</v>
      </c>
      <c r="N15" s="290" t="s">
        <v>276</v>
      </c>
      <c r="O15" s="301" t="b">
        <v>0</v>
      </c>
      <c r="P15" s="289" t="s">
        <v>277</v>
      </c>
      <c r="Q15" s="291" t="s">
        <v>278</v>
      </c>
      <c r="S15" s="150"/>
      <c r="T15" s="150"/>
    </row>
    <row r="16" spans="1:20">
      <c r="A16" s="287" t="s">
        <v>279</v>
      </c>
      <c r="B16" s="80" t="s">
        <v>272</v>
      </c>
      <c r="D16" s="276" t="str">
        <v>Payden Yates</v>
      </c>
      <c r="E16" s="276" t="str">
        <v>payden.yates@getfinti.com</v>
      </c>
      <c r="I16" s="145" t="b">
        <v>0</v>
      </c>
      <c r="J16" s="289" t="s">
        <v>280</v>
      </c>
      <c r="K16" s="290" t="s">
        <v>281</v>
      </c>
      <c r="L16" s="301" t="b">
        <v>0</v>
      </c>
      <c r="M16" s="289" t="s">
        <v>282</v>
      </c>
      <c r="N16" s="290" t="s">
        <v>283</v>
      </c>
      <c r="O16" s="301" t="b">
        <v>0</v>
      </c>
      <c r="P16" s="289" t="s">
        <v>284</v>
      </c>
      <c r="Q16" s="291" t="s">
        <v>285</v>
      </c>
      <c r="S16" s="150"/>
      <c r="T16" s="150"/>
    </row>
    <row r="17" spans="1:20">
      <c r="A17" s="287" t="s">
        <v>286</v>
      </c>
      <c r="B17" s="80" t="s">
        <v>272</v>
      </c>
      <c r="D17" s="276" t="str">
        <v>Rob Garcia</v>
      </c>
      <c r="E17" s="276" t="str">
        <v>robsudden24@icloud.com</v>
      </c>
      <c r="I17" s="145" t="b">
        <v>0</v>
      </c>
      <c r="J17" s="289" t="s">
        <v>287</v>
      </c>
      <c r="K17" s="290" t="s">
        <v>288</v>
      </c>
      <c r="L17" s="301" t="b">
        <v>0</v>
      </c>
      <c r="M17" s="289" t="s">
        <v>289</v>
      </c>
      <c r="N17" s="290" t="s">
        <v>290</v>
      </c>
      <c r="O17" s="301" t="b">
        <v>0</v>
      </c>
      <c r="P17" s="289" t="s">
        <v>291</v>
      </c>
      <c r="Q17" s="291" t="s">
        <v>292</v>
      </c>
      <c r="S17" s="150"/>
      <c r="T17" s="150"/>
    </row>
    <row r="18" spans="1:20">
      <c r="A18" s="287" t="s">
        <v>293</v>
      </c>
      <c r="B18" s="295" t="str">
        <f>IF(ISNUMBER(SEARCH("HVAC",B11)),"Yes","No")</f>
        <v>No</v>
      </c>
      <c r="D18" s="276" t="str">
        <v>Ryan Tall</v>
      </c>
      <c r="E18" s="276" t="str">
        <v>ryantall11@gmail.com</v>
      </c>
      <c r="I18" s="145" t="b">
        <v>0</v>
      </c>
      <c r="J18" s="289" t="s">
        <v>294</v>
      </c>
      <c r="K18" s="290" t="s">
        <v>295</v>
      </c>
      <c r="L18" s="301" t="b">
        <v>0</v>
      </c>
      <c r="M18" s="289" t="s">
        <v>296</v>
      </c>
      <c r="N18" s="290" t="s">
        <v>297</v>
      </c>
      <c r="O18" s="301" t="b">
        <v>0</v>
      </c>
      <c r="P18" s="289" t="s">
        <v>298</v>
      </c>
      <c r="Q18" s="291" t="s">
        <v>299</v>
      </c>
      <c r="S18" s="150"/>
      <c r="T18" s="150"/>
    </row>
    <row r="19" spans="1:20">
      <c r="A19" s="287" t="s">
        <v>300</v>
      </c>
      <c r="B19" s="82" t="s">
        <v>272</v>
      </c>
      <c r="D19" s="276" t="str">
        <v>sales Rabbit</v>
      </c>
      <c r="E19" s="276" t="str">
        <v>sales rabbit</v>
      </c>
      <c r="I19" s="145" t="b">
        <v>0</v>
      </c>
      <c r="J19" s="289" t="s">
        <v>301</v>
      </c>
      <c r="K19" s="290" t="s">
        <v>302</v>
      </c>
      <c r="L19" s="301" t="b">
        <v>0</v>
      </c>
      <c r="M19" s="289" t="s">
        <v>303</v>
      </c>
      <c r="N19" s="290" t="s">
        <v>304</v>
      </c>
      <c r="O19" s="301" t="b">
        <v>0</v>
      </c>
      <c r="P19" s="289" t="s">
        <v>305</v>
      </c>
      <c r="Q19" s="291" t="s">
        <v>306</v>
      </c>
      <c r="S19" s="150"/>
      <c r="T19" s="150"/>
    </row>
    <row r="20" spans="1:20" ht="60" customHeight="1">
      <c r="A20" s="287" t="s">
        <v>307</v>
      </c>
      <c r="B20" s="140"/>
      <c r="D20" s="276" t="str">
        <v>Scott Coombs</v>
      </c>
      <c r="E20" s="276" t="str">
        <v>scottbcoombs@gmail.com</v>
      </c>
      <c r="I20" s="145" t="b">
        <v>0</v>
      </c>
      <c r="J20" s="289" t="s">
        <v>308</v>
      </c>
      <c r="K20" s="290" t="s">
        <v>309</v>
      </c>
      <c r="L20" s="301" t="b">
        <v>0</v>
      </c>
      <c r="M20" s="289" t="s">
        <v>310</v>
      </c>
      <c r="N20" s="290" t="s">
        <v>311</v>
      </c>
      <c r="O20" s="301" t="b">
        <v>0</v>
      </c>
      <c r="P20" s="289" t="s">
        <v>312</v>
      </c>
      <c r="Q20" s="291" t="s">
        <v>313</v>
      </c>
      <c r="S20" s="150"/>
      <c r="T20" s="150"/>
    </row>
    <row r="21" spans="1:20">
      <c r="A21" s="287" t="s">
        <v>314</v>
      </c>
      <c r="B21" s="80"/>
      <c r="D21" s="276" t="str">
        <v>Scott Williams</v>
      </c>
      <c r="E21" s="276" t="str">
        <v>scott.williams.aftr@gmail.com</v>
      </c>
      <c r="I21" s="146" t="b">
        <v>0</v>
      </c>
      <c r="J21" s="296" t="s">
        <v>315</v>
      </c>
      <c r="K21" s="297" t="s">
        <v>316</v>
      </c>
      <c r="L21" s="147" t="b">
        <v>0</v>
      </c>
      <c r="M21" s="296" t="s">
        <v>317</v>
      </c>
      <c r="N21" s="297" t="s">
        <v>318</v>
      </c>
      <c r="O21" s="147" t="b">
        <v>0</v>
      </c>
      <c r="P21" s="296" t="s">
        <v>319</v>
      </c>
      <c r="Q21" s="298" t="s">
        <v>320</v>
      </c>
      <c r="S21" s="150"/>
      <c r="T21" s="150"/>
    </row>
    <row r="22" spans="1:20">
      <c r="A22" s="287" t="s">
        <v>321</v>
      </c>
      <c r="B22" s="299" t="str" cm="1">
        <f t="array" ref="B22">IF((I3&lt;&gt;"")*(UPPER(I3&amp;"")&lt;&gt;"FALSE"),"Nationwide",_xlfn.TEXTJOIN(", ",TRUE,_xlfn.TEXTJOIN(", ",TRUE,IF((I5:I21&lt;&gt;"")*(UPPER(I5:I21&amp;"")&lt;&gt;"FALSE"),J5:J21,"")),_xlfn.TEXTJOIN(", ",TRUE,IF((L5:L21&lt;&gt;"")*(UPPER(L5:L21&amp;"")&lt;&gt;"FALSE"),M5:M21,"")),_xlfn.TEXTJOIN(", ",TRUE,IF((O5:O21&lt;&gt;"")*(UPPER(O5:O21&amp;"")&lt;&gt;"FALSE"),P5:P21,""))))</f>
        <v/>
      </c>
      <c r="D22" s="276" t="str">
        <v>Shawn Hanks</v>
      </c>
      <c r="E22" s="276" t="str">
        <v>Shawn@getfinti.com</v>
      </c>
      <c r="S22" s="150"/>
      <c r="T22" s="150"/>
    </row>
    <row r="23" spans="1:20">
      <c r="A23" s="300" t="s">
        <v>322</v>
      </c>
      <c r="D23" s="276" t="str">
        <v>Spencer Gradley</v>
      </c>
      <c r="E23" s="276" t="str">
        <v>spencer.gradley@getfinti.com</v>
      </c>
      <c r="S23" s="150"/>
      <c r="T23" s="150"/>
    </row>
    <row r="24" spans="1:20">
      <c r="D24" s="276" t="str">
        <v>Spencer Jackson</v>
      </c>
      <c r="E24" s="276" t="str">
        <v>app.sj@icloud.com</v>
      </c>
      <c r="S24" s="150"/>
      <c r="T24" s="150"/>
    </row>
    <row r="25" spans="1:20">
      <c r="D25" s="276" t="str">
        <v>Steve Stonebraker</v>
      </c>
      <c r="E25" s="84" t="str">
        <v>stonebraker@getfinti.com</v>
      </c>
      <c r="S25" s="150"/>
      <c r="T25" s="150"/>
    </row>
    <row r="26" spans="1:20">
      <c r="D26" s="276" t="str">
        <v>Trevor Young</v>
      </c>
      <c r="E26" s="84" t="str">
        <v>Trevor.young@getfinti.com</v>
      </c>
      <c r="S26" s="150"/>
      <c r="T26" s="150"/>
    </row>
    <row r="27" spans="1:20">
      <c r="D27" s="276" t="str">
        <v>Tyler Mickelsen</v>
      </c>
      <c r="E27" s="276" t="str">
        <v>tyler@getfinti.com</v>
      </c>
      <c r="S27" s="150"/>
      <c r="T27" s="150"/>
    </row>
    <row r="28" spans="1:20">
      <c r="D28" s="276" t="str">
        <v>Tyler Story</v>
      </c>
      <c r="E28" s="276" t="str">
        <v>tylerstory32@gmail.com</v>
      </c>
      <c r="S28" s="150"/>
      <c r="T28" s="150"/>
    </row>
    <row r="29" spans="1:20">
      <c r="A29" s="287" t="inlineStr">
        <is>
          <t>Finti Owner</t>
        </is>
      </c>
      <c r="B29" s="80" t="inlineStr">
        <is>
          <t>Unassigned</t>
        </is>
      </c>
      <c r="S29" s="150"/>
      <c r="T29" s="150"/>
    </row>
    <row r="30" spans="1:20">
      <c r="S30" s="150"/>
      <c r="T30" s="150"/>
    </row>
    <row r="31" spans="1:20" ht="32" customHeight="1">
      <c r="A31" s="300" t="inlineStr">
        <is>
          <t>Same dropdown as Dealer Master. Run Add Merchant is an existing Office Script button, not VBA, and it does not copy this cell. Set Finti Owner on the new Dealer Master row. Blank counts as Unassigned.</t>
        </is>
      </c>
      <c r="S31" s="150"/>
      <c r="T31" s="150"/>
    </row>
    <row r="32" spans="1:20">
      <c r="A32" s="179" t="str">
        <f>IF($B$18="Yes","CHOWDER APPLICATION INFORMATION","Chowder section appears when Vertical includes HVAC")</f>
        <v>Chowder section appears when Vertical includes HVAC</v>
      </c>
      <c r="B32" s="179"/>
      <c r="S32" s="150"/>
      <c r="T32" s="150"/>
    </row>
    <row r="33" spans="1:20" ht="44.25" customHeight="1">
      <c r="A33" s="178" t="s">
        <v>323</v>
      </c>
      <c r="B33" s="181" t="str">
        <f>IF($B$18&lt;&gt;"Yes","",_xlfn.LET(_xlpm.m,_xlfn.TEXTJOIN(", ",TRUE,IF(TRIM(B36&amp;"")="","License Holder",""),IF(TRIM(B37&amp;"")="","License #",""),IF(TRIM(B38&amp;"")="","EIN",""),IF(TRIM(B40&amp;"")="","Website",""),IF(TRIM(B41&amp;"")="","Address",""),IF(TRIM(B43&amp;"")="","Contact First Name",""),IF(TRIM(B44&amp;"")="","Contact Last Name",""),IF(TRIM(B46&amp;"")="","Contact Email",""),IF(TRIM(B48&amp;"")="","Owner First Name",""),IF(TRIM(B49&amp;"")="","Owner Last Name",""),IF(TRIM(B51&amp;"")="","Owner Email",""),IF(TRIM(B53&amp;"")="","Bank Name",""),IF(TRIM(B54&amp;"")="","Routing #",""),IF(TRIM(B55&amp;"")="","Account #",""),IF(B57&lt;&gt;TRUE,"Business Registration doc",""),IF(B58&lt;&gt;TRUE,"HVAC License doc",""),IF(B59&lt;&gt;TRUE,"Voided Check doc",""),IF(AND(TRIM(B38&amp;"")&lt;&gt;"",LEN(SUBSTITUTE(SUBSTITUTE(B38&amp;"","-","")," ",""))&lt;&gt;9),"EIN must be 9 digits",""),IF(AND(TRIM(B54&amp;"")&lt;&gt;"",NOT(AND(LEN(TRIM(B54&amp;""))=9,ISNUMBER(--TRIM(B54&amp;""))))),"Routing # must be 9 digits",""),IF(AND(TRIM(B46&amp;"")&lt;&gt;"",ISERROR(SEARCH("@",B46))),"Contact Email invalid",""),IF(AND(TRIM(B51&amp;"")&lt;&gt;"",ISERROR(SEARCH("@",B51))),"Owner Email invalid","")),IF(_xlpm.m="","READY FOR CHOWDER SUBMISSION","MISSING REQUIRED INFORMATION: "&amp;_xlpm.m)))</f>
        <v/>
      </c>
      <c r="S33" s="150"/>
      <c r="T33" s="150"/>
    </row>
    <row r="34" spans="1:20">
      <c r="A34" s="180" t="s">
        <v>324</v>
      </c>
      <c r="B34" s="180"/>
      <c r="S34" s="150"/>
      <c r="T34" s="150"/>
    </row>
    <row r="35" spans="1:20">
      <c r="A35" s="177" t="s">
        <v>325</v>
      </c>
      <c r="B35" s="182"/>
      <c r="S35" s="150"/>
      <c r="T35" s="150"/>
    </row>
    <row r="36" spans="1:20">
      <c r="A36" s="177" t="s">
        <v>326</v>
      </c>
      <c r="B36" s="183"/>
      <c r="S36" s="150"/>
      <c r="T36" s="150"/>
    </row>
    <row r="37" spans="1:20">
      <c r="A37" s="177" t="s">
        <v>327</v>
      </c>
      <c r="B37" s="183"/>
      <c r="S37" s="150"/>
      <c r="T37" s="150"/>
    </row>
    <row r="38" spans="1:20">
      <c r="A38" s="177" t="s">
        <v>328</v>
      </c>
      <c r="B38" s="183"/>
      <c r="S38" s="150"/>
      <c r="T38" s="150"/>
    </row>
    <row r="39" spans="1:20">
      <c r="A39" s="177" t="s">
        <v>329</v>
      </c>
      <c r="B39" s="182"/>
      <c r="S39" s="150"/>
      <c r="T39" s="150"/>
    </row>
    <row r="40" spans="1:20">
      <c r="A40" s="177" t="s">
        <v>330</v>
      </c>
      <c r="B40" s="183"/>
      <c r="S40" s="150"/>
      <c r="T40" s="150"/>
    </row>
    <row r="41" spans="1:20">
      <c r="A41" s="177" t="s">
        <v>331</v>
      </c>
      <c r="B41" s="183"/>
      <c r="S41" s="150"/>
      <c r="T41" s="150"/>
    </row>
    <row r="42" spans="1:20">
      <c r="A42" s="180" t="s">
        <v>332</v>
      </c>
      <c r="B42" s="180"/>
      <c r="S42" s="150"/>
      <c r="T42" s="150"/>
    </row>
    <row r="43" spans="1:20">
      <c r="A43" s="177" t="s">
        <v>333</v>
      </c>
      <c r="B43" s="183"/>
      <c r="S43" s="150"/>
      <c r="T43" s="150"/>
    </row>
    <row r="44" spans="1:20">
      <c r="A44" s="177" t="s">
        <v>334</v>
      </c>
      <c r="B44" s="183"/>
      <c r="S44" s="150"/>
      <c r="T44" s="150"/>
    </row>
    <row r="45" spans="1:20">
      <c r="A45" s="177" t="s">
        <v>335</v>
      </c>
      <c r="B45" s="183"/>
      <c r="S45" s="150"/>
      <c r="T45" s="150"/>
    </row>
    <row r="46" spans="1:20">
      <c r="A46" s="177" t="s">
        <v>336</v>
      </c>
      <c r="B46" s="183"/>
      <c r="S46" s="150"/>
      <c r="T46" s="150"/>
    </row>
    <row r="47" spans="1:20">
      <c r="A47" s="180" t="s">
        <v>337</v>
      </c>
      <c r="B47" s="180"/>
      <c r="S47" s="150"/>
      <c r="T47" s="150"/>
    </row>
    <row r="48" spans="1:20">
      <c r="A48" s="177" t="s">
        <v>338</v>
      </c>
      <c r="B48" s="183"/>
      <c r="S48" s="150"/>
      <c r="T48" s="150"/>
    </row>
    <row r="49" spans="1:20">
      <c r="A49" s="177" t="s">
        <v>339</v>
      </c>
      <c r="B49" s="183"/>
      <c r="S49" s="150"/>
      <c r="T49" s="150"/>
    </row>
    <row r="50" spans="1:20">
      <c r="A50" s="177" t="s">
        <v>340</v>
      </c>
      <c r="B50" s="183"/>
      <c r="S50" s="150"/>
      <c r="T50" s="150"/>
    </row>
    <row r="51" spans="1:20">
      <c r="A51" s="177" t="s">
        <v>341</v>
      </c>
      <c r="B51" s="183"/>
      <c r="S51" s="150"/>
      <c r="T51" s="150"/>
    </row>
    <row r="52" spans="1:20">
      <c r="A52" s="180" t="s">
        <v>342</v>
      </c>
      <c r="B52" s="180"/>
      <c r="S52" s="150"/>
      <c r="T52" s="150"/>
    </row>
    <row r="53" spans="1:20">
      <c r="A53" s="177" t="s">
        <v>343</v>
      </c>
      <c r="B53" s="183"/>
      <c r="S53" s="150"/>
      <c r="T53" s="150"/>
    </row>
    <row r="54" spans="1:20">
      <c r="A54" s="177" t="s">
        <v>344</v>
      </c>
      <c r="B54" s="183"/>
      <c r="S54" s="150"/>
      <c r="T54" s="150"/>
    </row>
    <row r="55" spans="1:20">
      <c r="A55" s="177" t="s">
        <v>345</v>
      </c>
      <c r="B55" s="183"/>
      <c r="S55" s="150"/>
      <c r="T55" s="150"/>
    </row>
    <row r="56" spans="1:20">
      <c r="A56" s="180" t="s">
        <v>346</v>
      </c>
      <c r="B56" s="180"/>
      <c r="S56" s="150"/>
      <c r="T56" s="150"/>
    </row>
    <row r="57" spans="1:20">
      <c r="A57" s="177" t="s">
        <v>347</v>
      </c>
      <c r="B57" s="184" t="b">
        <v>0</v>
      </c>
      <c r="S57" s="150"/>
      <c r="T57" s="150"/>
    </row>
    <row r="58" spans="1:20">
      <c r="A58" s="177" t="s">
        <v>348</v>
      </c>
      <c r="B58" s="184" t="b">
        <v>0</v>
      </c>
      <c r="S58" s="150"/>
      <c r="T58" s="150"/>
    </row>
    <row r="59" spans="1:20">
      <c r="A59" s="177" t="s">
        <v>349</v>
      </c>
      <c r="B59" s="184" t="b">
        <v>0</v>
      </c>
      <c r="S59" s="150"/>
      <c r="T59" s="150"/>
    </row>
    <row r="60" spans="1:20">
      <c r="A60" s="177"/>
      <c r="B60" s="177"/>
      <c r="S60" s="150"/>
      <c r="T60" s="150"/>
    </row>
    <row r="61" spans="1:20">
      <c r="A61" s="179" t="s">
        <v>350</v>
      </c>
      <c r="B61" s="185" t="s">
        <v>351</v>
      </c>
      <c r="S61" s="150"/>
      <c r="T61" s="150"/>
    </row>
    <row r="62" spans="1:20">
      <c r="A62" s="186" t="s">
        <v>352</v>
      </c>
      <c r="B62" s="186" t="str">
        <f>IF($B$18&lt;&gt;"Yes","","New Chowder Merchant Onboarding - "&amp;TRIM($B$4&amp;""))</f>
        <v/>
      </c>
      <c r="S62" s="150"/>
      <c r="T62" s="150"/>
    </row>
    <row r="63" spans="1:20">
      <c r="A63" s="177" t="str" cm="1">
        <f t="array" ref="A63">IF($B$18&lt;&gt;"Yes","",_xlfn.VSTACK("Hello William,","","Please see the new Chowder merchant onboarding request below.","","Legal Name:",TRIM($B$4&amp;""),"DBA:",TRIM($B$5&amp;""),"Legal Entity:",TRIM($B$35&amp;""),"HVAC License Holder:",TRIM($B$36&amp;""),"HVAC License Number:",TRIM($B$37&amp;""),"Tax ID:",TRIM($B$38&amp;""),"Products Offered:",TRIM($B$11&amp;""),"Address:",TRIM($B$41&amp;""),"Business Start Year:",TRIM($B$39&amp;""),"Website:",TRIM($B$40&amp;""),"Primary Contact:",TRIM($B$43&amp;" "&amp;$B$44),"Primary Contact Phone:",TRIM($B$45&amp;""),"Primary Contact Email:",TRIM($B$46&amp;""),"Business Owner:",TRIM($B$48&amp;" "&amp;$B$49),"Owner Phone:",TRIM($B$50&amp;""),"Owner Email:",TRIM($B$51&amp;""),"Bank Name:",TRIM($B$53&amp;""),"Routing Number:",TRIM($B$54&amp;""),"Account Number:",TRIM($B$55&amp;""),"","Attached Documents:","- Business Registration","- HVAC License","- Voided Check","","Please let us know if anything additional is required.","","Thank you,","Merchant Onboarding","Finti"))</f>
        <v/>
      </c>
      <c r="B63" s="177"/>
      <c r="S63" s="150"/>
      <c r="T63" s="150"/>
    </row>
    <row r="64" spans="1:20">
      <c r="A64" s="177"/>
      <c r="B64" s="177"/>
      <c r="S64" s="150"/>
      <c r="T64" s="150"/>
    </row>
    <row r="65" spans="1:20">
      <c r="A65" s="177"/>
      <c r="B65" s="177"/>
      <c r="S65" s="150"/>
      <c r="T65" s="150"/>
    </row>
    <row r="66" spans="1:20">
      <c r="A66" s="177"/>
      <c r="B66" s="177"/>
      <c r="S66" s="150"/>
      <c r="T66" s="150"/>
    </row>
    <row r="67" spans="1:20">
      <c r="A67" s="177"/>
      <c r="B67" s="177"/>
      <c r="S67" s="150"/>
      <c r="T67" s="150"/>
    </row>
    <row r="68" spans="1:20">
      <c r="A68" s="177"/>
      <c r="B68" s="177"/>
      <c r="S68" s="150"/>
      <c r="T68" s="150"/>
    </row>
    <row r="69" spans="1:20">
      <c r="A69" s="177"/>
      <c r="B69" s="177"/>
      <c r="S69" s="150"/>
      <c r="T69" s="150"/>
    </row>
    <row r="70" spans="1:20">
      <c r="A70" s="177"/>
      <c r="B70" s="177"/>
      <c r="S70" s="150"/>
      <c r="T70" s="150"/>
    </row>
    <row r="71" spans="1:20">
      <c r="A71" s="177"/>
      <c r="B71" s="177"/>
      <c r="S71" s="150"/>
      <c r="T71" s="150"/>
    </row>
    <row r="72" spans="1:20">
      <c r="A72" s="177"/>
      <c r="B72" s="177"/>
      <c r="S72" s="150"/>
      <c r="T72" s="150"/>
    </row>
    <row r="73" spans="1:20">
      <c r="A73" s="177"/>
      <c r="B73" s="177"/>
      <c r="S73" s="150"/>
      <c r="T73" s="150"/>
    </row>
    <row r="74" spans="1:20">
      <c r="A74" s="177"/>
      <c r="B74" s="177"/>
      <c r="S74" s="150"/>
      <c r="T74" s="150"/>
    </row>
    <row r="75" spans="1:20">
      <c r="A75" s="177"/>
      <c r="B75" s="177"/>
      <c r="S75" s="150"/>
      <c r="T75" s="150"/>
    </row>
    <row r="76" spans="1:20">
      <c r="A76" s="177"/>
      <c r="B76" s="177"/>
      <c r="S76" s="150"/>
      <c r="T76" s="150"/>
    </row>
    <row r="77" spans="1:20">
      <c r="A77" s="177"/>
      <c r="B77" s="177"/>
      <c r="S77" s="150"/>
      <c r="T77" s="150"/>
    </row>
    <row r="78" spans="1:20">
      <c r="A78" s="177"/>
      <c r="B78" s="177"/>
      <c r="S78" s="150"/>
      <c r="T78" s="150"/>
    </row>
    <row r="79" spans="1:20">
      <c r="A79" s="177"/>
      <c r="B79" s="177"/>
      <c r="S79" s="150"/>
      <c r="T79" s="150"/>
    </row>
    <row r="80" spans="1:20">
      <c r="A80" s="177"/>
      <c r="B80" s="177"/>
      <c r="S80" s="150"/>
      <c r="T80" s="150"/>
    </row>
    <row r="81" spans="1:20">
      <c r="A81" s="177"/>
      <c r="B81" s="177"/>
      <c r="S81" s="150"/>
      <c r="T81" s="150"/>
    </row>
    <row r="82" spans="1:20">
      <c r="A82" s="177"/>
      <c r="B82" s="177"/>
      <c r="S82" s="150"/>
      <c r="T82" s="150"/>
    </row>
    <row r="83" spans="1:20">
      <c r="A83" s="177"/>
      <c r="B83" s="177"/>
      <c r="S83" s="150"/>
      <c r="T83" s="150"/>
    </row>
    <row r="84" spans="1:20">
      <c r="A84" s="177"/>
      <c r="B84" s="177"/>
      <c r="S84" s="150"/>
      <c r="T84" s="150"/>
    </row>
    <row r="85" spans="1:20">
      <c r="A85" s="177"/>
      <c r="B85" s="177"/>
      <c r="S85" s="150"/>
      <c r="T85" s="150"/>
    </row>
    <row r="86" spans="1:20">
      <c r="A86" s="177"/>
      <c r="B86" s="177"/>
      <c r="S86" s="150"/>
      <c r="T86" s="150"/>
    </row>
    <row r="87" spans="1:20">
      <c r="A87" s="177"/>
      <c r="B87" s="177"/>
      <c r="S87" s="150"/>
      <c r="T87" s="150"/>
    </row>
    <row r="88" spans="1:20">
      <c r="A88" s="177"/>
      <c r="B88" s="177"/>
      <c r="S88" s="150"/>
      <c r="T88" s="150"/>
    </row>
    <row r="89" spans="1:20">
      <c r="A89" s="177"/>
      <c r="B89" s="177"/>
      <c r="S89" s="150"/>
      <c r="T89" s="150"/>
    </row>
    <row r="90" spans="1:20">
      <c r="A90" s="177"/>
      <c r="B90" s="177"/>
      <c r="S90" s="150"/>
      <c r="T90" s="150"/>
    </row>
    <row r="91" spans="1:20">
      <c r="A91" s="177"/>
      <c r="B91" s="177"/>
      <c r="S91" s="150"/>
      <c r="T91" s="150"/>
    </row>
    <row r="92" spans="1:20">
      <c r="A92" s="177"/>
      <c r="B92" s="177"/>
      <c r="S92" s="150"/>
      <c r="T92" s="150"/>
    </row>
    <row r="93" spans="1:20">
      <c r="A93" s="177"/>
      <c r="B93" s="177"/>
      <c r="S93" s="150"/>
      <c r="T93" s="150"/>
    </row>
    <row r="94" spans="1:20">
      <c r="A94" s="177"/>
      <c r="B94" s="177"/>
      <c r="S94" s="150"/>
      <c r="T94" s="150"/>
    </row>
    <row r="95" spans="1:20">
      <c r="A95" s="177"/>
      <c r="B95" s="177"/>
      <c r="S95" s="150"/>
      <c r="T95" s="150"/>
    </row>
    <row r="96" spans="1:20">
      <c r="A96" s="177"/>
      <c r="B96" s="177"/>
      <c r="S96" s="150"/>
      <c r="T96" s="150"/>
    </row>
    <row r="97" spans="1:20">
      <c r="A97" s="177"/>
      <c r="B97" s="177"/>
      <c r="S97" s="150"/>
      <c r="T97" s="150"/>
    </row>
    <row r="98" spans="1:20">
      <c r="A98" s="177"/>
      <c r="B98" s="177"/>
      <c r="S98" s="150"/>
      <c r="T98" s="150"/>
    </row>
    <row r="99" spans="1:20">
      <c r="A99" s="177"/>
      <c r="B99" s="177"/>
      <c r="S99" s="150"/>
      <c r="T99" s="150"/>
    </row>
    <row r="100" spans="1:20">
      <c r="A100" s="177"/>
      <c r="B100" s="177"/>
      <c r="S100" s="150"/>
      <c r="T100" s="150"/>
    </row>
    <row r="101" spans="1:20">
      <c r="A101" s="177"/>
      <c r="B101" s="177"/>
      <c r="S101" s="150"/>
      <c r="T101" s="150"/>
    </row>
    <row r="102" spans="1:20">
      <c r="A102" s="177"/>
      <c r="B102" s="177"/>
      <c r="S102" s="150"/>
      <c r="T102" s="150"/>
    </row>
    <row r="103" spans="1:20">
      <c r="A103" s="177"/>
      <c r="B103" s="177"/>
      <c r="S103" s="150"/>
      <c r="T103" s="150"/>
    </row>
    <row r="104" spans="1:20">
      <c r="A104" s="177"/>
      <c r="B104" s="177"/>
      <c r="S104" s="150"/>
      <c r="T104" s="150"/>
    </row>
    <row r="105" spans="1:20">
      <c r="A105" s="177"/>
      <c r="B105" s="177"/>
    </row>
    <row r="106" spans="1:20">
      <c r="A106" s="177"/>
      <c r="B106" s="177"/>
    </row>
    <row r="107" spans="1:20">
      <c r="A107" s="177"/>
      <c r="B107" s="177"/>
    </row>
    <row r="108" spans="1:20">
      <c r="A108" s="177"/>
      <c r="B108" s="177"/>
    </row>
    <row r="109" spans="1:20">
      <c r="A109" s="177"/>
      <c r="B109" s="177"/>
    </row>
    <row r="110" spans="1:20">
      <c r="A110" s="177"/>
      <c r="B110" s="177"/>
    </row>
    <row r="111" spans="1:20">
      <c r="A111" s="177"/>
      <c r="B111" s="177"/>
    </row>
    <row r="112" spans="1:20">
      <c r="A112" s="177"/>
      <c r="B112" s="177"/>
    </row>
    <row r="113" spans="1:2">
      <c r="A113" s="177"/>
      <c r="B113" s="177"/>
    </row>
    <row r="114" spans="1:2">
      <c r="A114" s="177"/>
      <c r="B114" s="177"/>
    </row>
    <row r="115" spans="1:2">
      <c r="A115" s="177"/>
      <c r="B115" s="177"/>
    </row>
    <row r="116" spans="1:2">
      <c r="A116" s="177"/>
      <c r="B116" s="177"/>
    </row>
    <row r="117" spans="1:2">
      <c r="A117" s="177"/>
      <c r="B117" s="177"/>
    </row>
    <row r="118" spans="1:2">
      <c r="A118" s="177"/>
      <c r="B118" s="177"/>
    </row>
    <row r="119" spans="1:2">
      <c r="A119" s="177"/>
      <c r="B119" s="177"/>
    </row>
    <row r="120" spans="1:2">
      <c r="A120" s="177"/>
      <c r="B120" s="177"/>
    </row>
  </sheetData>
  <sheetProtection sheet="1" scenarios="1" formatCells="0" insertHyperlinks="0"/>
  <conditionalFormatting sqref="B36">
    <cfRule type="expression" dxfId="262" priority="2">
      <formula>AND($B$18="Yes",TRIM(B36&amp;"")="")</formula>
    </cfRule>
  </conditionalFormatting>
  <conditionalFormatting sqref="B37">
    <cfRule type="expression" dxfId="261" priority="3">
      <formula>AND($B$18="Yes",TRIM(B37&amp;"")="")</formula>
    </cfRule>
  </conditionalFormatting>
  <conditionalFormatting sqref="B38">
    <cfRule type="expression" dxfId="260" priority="4">
      <formula>AND($B$18="Yes",TRIM(B38&amp;"")="")</formula>
    </cfRule>
  </conditionalFormatting>
  <conditionalFormatting sqref="B40">
    <cfRule type="expression" dxfId="259" priority="5">
      <formula>AND($B$18="Yes",TRIM(B40&amp;"")="")</formula>
    </cfRule>
  </conditionalFormatting>
  <conditionalFormatting sqref="B41">
    <cfRule type="expression" dxfId="258" priority="6">
      <formula>AND($B$18="Yes",TRIM(B41&amp;"")="")</formula>
    </cfRule>
  </conditionalFormatting>
  <conditionalFormatting sqref="B43">
    <cfRule type="expression" dxfId="257" priority="7">
      <formula>AND($B$18="Yes",TRIM(B43&amp;"")="")</formula>
    </cfRule>
  </conditionalFormatting>
  <conditionalFormatting sqref="B44">
    <cfRule type="expression" dxfId="256" priority="8">
      <formula>AND($B$18="Yes",TRIM(B44&amp;"")="")</formula>
    </cfRule>
  </conditionalFormatting>
  <conditionalFormatting sqref="B46">
    <cfRule type="expression" dxfId="255" priority="9">
      <formula>AND($B$18="Yes",TRIM(B46&amp;"")="")</formula>
    </cfRule>
  </conditionalFormatting>
  <conditionalFormatting sqref="B48">
    <cfRule type="expression" dxfId="254" priority="10">
      <formula>AND($B$18="Yes",TRIM(B48&amp;"")="")</formula>
    </cfRule>
  </conditionalFormatting>
  <conditionalFormatting sqref="B49">
    <cfRule type="expression" dxfId="253" priority="11">
      <formula>AND($B$18="Yes",TRIM(B49&amp;"")="")</formula>
    </cfRule>
  </conditionalFormatting>
  <conditionalFormatting sqref="B51">
    <cfRule type="expression" dxfId="252" priority="12">
      <formula>AND($B$18="Yes",TRIM(B51&amp;"")="")</formula>
    </cfRule>
  </conditionalFormatting>
  <conditionalFormatting sqref="B53">
    <cfRule type="expression" dxfId="251" priority="13">
      <formula>AND($B$18="Yes",TRIM(B53&amp;"")="")</formula>
    </cfRule>
  </conditionalFormatting>
  <conditionalFormatting sqref="B54">
    <cfRule type="expression" dxfId="250" priority="14">
      <formula>AND($B$18="Yes",TRIM(B54&amp;"")="")</formula>
    </cfRule>
  </conditionalFormatting>
  <conditionalFormatting sqref="B55">
    <cfRule type="expression" dxfId="249" priority="15">
      <formula>AND($B$18="Yes",TRIM(B55&amp;"")="")</formula>
    </cfRule>
  </conditionalFormatting>
  <conditionalFormatting sqref="B57">
    <cfRule type="expression" dxfId="248" priority="16">
      <formula>AND($B$18="Yes",B57&lt;&gt;TRUE)</formula>
    </cfRule>
  </conditionalFormatting>
  <conditionalFormatting sqref="B58">
    <cfRule type="expression" dxfId="247" priority="17">
      <formula>AND($B$18="Yes",B58&lt;&gt;TRUE)</formula>
    </cfRule>
  </conditionalFormatting>
  <conditionalFormatting sqref="B59">
    <cfRule type="expression" dxfId="246" priority="18">
      <formula>AND($B$18="Yes",B59&lt;&gt;TRUE)</formula>
    </cfRule>
  </conditionalFormatting>
  <conditionalFormatting sqref="B38">
    <cfRule type="expression" dxfId="245" priority="19">
      <formula>AND($B$18="Yes",AND(TRIM(B38&amp;"")&lt;&gt;"",LEN(SUBSTITUTE(SUBSTITUTE(B38&amp;"","-","")," ",""))&lt;&gt;9))</formula>
    </cfRule>
  </conditionalFormatting>
  <conditionalFormatting sqref="B54">
    <cfRule type="expression" dxfId="244" priority="20">
      <formula>AND($B$18="Yes",AND(TRIM(B54&amp;"")&lt;&gt;"",NOT(AND(LEN(TRIM(B54&amp;""))=9,ISNUMBER(--TRIM(B54&amp;""))))))</formula>
    </cfRule>
  </conditionalFormatting>
  <conditionalFormatting sqref="B33">
    <cfRule type="expression" dxfId="243" priority="21">
      <formula>LEFT($B$33,5)="READY"</formula>
    </cfRule>
  </conditionalFormatting>
  <conditionalFormatting sqref="B33">
    <cfRule type="expression" dxfId="242" priority="22">
      <formula>LEFT($B$33,7)="MISSING"</formula>
    </cfRule>
  </conditionalFormatting>
  <conditionalFormatting sqref="A32:B32">
    <cfRule type="expression" dxfId="241" priority="23">
      <formula>$B$18&lt;&gt;"Yes"</formula>
    </cfRule>
  </conditionalFormatting>
  <conditionalFormatting sqref="A33:B120">
    <cfRule type="expression" dxfId="240" priority="1" stopIfTrue="1">
      <formula>$B$18&lt;&gt;"Yes"</formula>
    </cfRule>
  </conditionalFormatting>
  <dataValidations count="7">
    <dataValidation type="list" allowBlank="1" showInputMessage="1" showErrorMessage="1" sqref="B18 B15:B17 B19" xr:uid="{11777E3A-C855-44A4-B4F2-0331BE78C8EE}">
      <formula1>"Yes,No"</formula1>
    </dataValidation>
    <dataValidation type="list" allowBlank="1" showInputMessage="1" showErrorMessage="1" sqref="B35" xr:uid="{A2291862-9368-42A1-A2B5-8542DD20C495}">
      <formula1>"LLC,Corporation,S-Corp,Sole Proprietorship,Partnership,LLP,Non-Profit,Other"</formula1>
    </dataValidation>
    <dataValidation type="list" errorStyle="information" allowBlank="1" showInputMessage="1" errorTitle="Rep" error="Pick a rep from the list or type a name." sqref="B9" xr:uid="{48328F6F-D8B3-4E47-88D8-02E6DC39246C}">
      <formula1>$D$5:$D$500</formula1>
    </dataValidation>
    <dataValidation type="list" errorStyle="information" allowBlank="1" showInputMessage="1" errorTitle="Channel Partner" error="Pick a partner from the list or type one. Leave blank if none." sqref="B21" xr:uid="{DB2AD2E2-78A6-4F94-94F2-FAED459E9AA6}">
      <formula1>$G$5:$G$200</formula1>
    </dataValidation>
    <dataValidation type="whole" allowBlank="1" showInputMessage="1" showErrorMessage="1" errorTitle="Priority" error="Priority must be 1, 2 or 3." sqref="B12" xr:uid="{8775F0B0-6B9A-40D5-A945-E1ECDFBDD3B4}">
      <formula1>1</formula1>
      <formula2>3</formula2>
    </dataValidation>
    <dataValidation type="whole" allowBlank="1" showInputMessage="1" showErrorMessage="1" errorTitle="Business Start Year" error="Enter a 4-digit year, e.g. 2015." sqref="B39" xr:uid="{AA1BA979-8974-4953-8019-0653D7CD033D}">
      <formula1>1900</formula1>
      <formula2>2100</formula2>
    </dataValidation>
    <dataValidation type="list" allowBlank="1" showInputMessage="1" showErrorMessage="1" promptTitle="Finti Owner" prompt="Evan Young, Brittany Shaw, Brittany Coutu, or Unassigned" sqref="B29">
      <formula1>FintiOwnerList</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CC1021"/>
  <sheetViews>
    <sheetView showGridLines="0" tabSelected="1" zoomScaleNormal="100" workbookViewId="0">
      <pane xSplit="1" ySplit="4" topLeftCell="B49" activePane="bottomRight" state="frozen"/>
      <selection pane="bottomRight" activeCell="E54" sqref="E54"/>
      <selection pane="bottomLeft" activeCell="A7" sqref="A7"/>
      <selection pane="topRight"/>
    </sheetView>
  </sheetViews>
  <sheetFormatPr defaultColWidth="8.7109375" defaultRowHeight="21" customHeight="1" outlineLevelCol="1"/>
  <cols>
    <col min="1" max="1" width="26" style="18" customWidth="1"/>
    <col min="2" max="3" width="22" style="10" customWidth="1"/>
    <col min="4" max="4" width="25.28515625" style="10" customWidth="1"/>
    <col min="5" max="5" width="22" style="11" customWidth="1"/>
    <col min="6" max="6" width="33.28515625" style="10" customWidth="1"/>
    <col min="7" max="7" width="22.140625" style="10" customWidth="1"/>
    <col min="8" max="8" width="33.28515625" style="10" customWidth="1"/>
    <col min="9" max="9" width="23.85546875" style="10" customWidth="1"/>
    <col min="10" max="10" width="22.85546875" style="10" customWidth="1"/>
    <col min="11" max="11" width="11.7109375" style="10" customWidth="1"/>
    <col min="12" max="12" width="28.28515625" style="10" customWidth="1"/>
    <col min="13" max="13" width="19.28515625" style="10" customWidth="1"/>
    <col min="14" max="14" width="18.140625" style="10" customWidth="1"/>
    <col min="15" max="15" width="35.28515625" style="10" customWidth="1"/>
    <col min="16" max="16" width="23.28515625" style="10" customWidth="1"/>
    <col min="17" max="17" width="14.140625" style="10" customWidth="1"/>
    <col min="18" max="19" width="11.7109375" style="10" customWidth="1"/>
    <col min="20" max="20" width="23.28515625" style="10" customWidth="1"/>
    <col min="21" max="21" width="14.140625" style="10" customWidth="1"/>
    <col min="22" max="23" width="11.7109375" style="10" customWidth="1"/>
    <col min="24" max="24" width="23.28515625" style="10" customWidth="1"/>
    <col min="25" max="25" width="14.140625" style="10" customWidth="1"/>
    <col min="26" max="27" width="11.7109375" style="10" customWidth="1"/>
    <col min="28" max="28" width="23.28515625" style="10" customWidth="1"/>
    <col min="29" max="29" width="14.140625" style="10" customWidth="1"/>
    <col min="30" max="30" width="14.5703125" style="10" customWidth="1"/>
    <col min="31" max="31" width="11.7109375" style="10" customWidth="1"/>
    <col min="32" max="32" width="23.28515625" style="10" customWidth="1"/>
    <col min="33" max="33" width="14.140625" style="10" customWidth="1"/>
    <col min="34" max="35" width="11.7109375" style="10" customWidth="1"/>
    <col min="36" max="36" width="55.7109375" style="10" customWidth="1"/>
    <col min="37" max="37" width="38" style="10" customWidth="1"/>
    <col min="38" max="38" width="19" style="10" customWidth="1"/>
    <col min="39" max="39" width="21.140625" style="10" customWidth="1"/>
    <col min="40" max="40" width="17.7109375" style="10" customWidth="1"/>
    <col min="41" max="41" width="8.7109375" style="10" customWidth="1"/>
    <col min="42" max="42" width="28.5703125" style="10" customWidth="1" outlineLevel="1"/>
    <col min="43" max="43" width="38.140625" style="10" customWidth="1" outlineLevel="1"/>
    <col min="44" max="44" width="52.42578125" style="10" customWidth="1" outlineLevel="1"/>
    <col min="45" max="45" width="38.140625" style="10" customWidth="1" outlineLevel="1"/>
    <col min="46" max="46" width="28.5703125" style="10" customWidth="1" outlineLevel="1"/>
    <col min="47" max="47" width="38.140625" style="10" customWidth="1" outlineLevel="1"/>
    <col min="48" max="48" width="36.140625" style="10" customWidth="1" outlineLevel="1"/>
    <col min="49" max="49" width="38.140625" style="10" customWidth="1" outlineLevel="1"/>
    <col min="50" max="50" width="28.5703125" style="10" customWidth="1" outlineLevel="1"/>
    <col min="51" max="51" width="38.140625" style="10" customWidth="1" outlineLevel="1"/>
    <col min="52" max="52" width="8.7109375" style="10"/>
    <col min="53" max="54" width="0" style="10" hidden="1" customWidth="1"/>
    <col min="55" max="55" width="8.7109375" style="10"/>
    <col min="56" max="77" width="0" style="10" hidden="1" customWidth="1"/>
    <col min="78" max="78" width="24" style="10" customWidth="1"/>
    <col min="79" max="79" width="24" style="10" customWidth="1"/>
    <col min="80" max="80" width="62" style="10" customWidth="1"/>
    <col min="81" max="81" width="36" style="10" customWidth="1"/>
    <col min="82" max="16384" width="8.7109375" style="10"/>
  </cols>
  <sheetData>
    <row r="1" spans="1:81" ht="16.5" customHeight="1">
      <c r="A1" s="86" t="s">
        <v>353</v>
      </c>
      <c r="B1" s="87"/>
      <c r="C1" s="87"/>
      <c r="D1" s="87"/>
      <c r="E1" s="88"/>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c r="AH1" s="87"/>
      <c r="AI1" s="87"/>
      <c r="AJ1" s="89"/>
      <c r="AK1" s="87"/>
      <c r="AL1" s="87"/>
      <c r="AM1" s="87"/>
      <c r="AN1" s="87"/>
      <c r="AO1" s="87"/>
      <c r="AP1" s="87"/>
      <c r="AQ1" s="87"/>
      <c r="AR1" s="87"/>
      <c r="AS1" s="87"/>
      <c r="AT1" s="87"/>
      <c r="AU1" s="87"/>
      <c r="AV1" s="87"/>
      <c r="AW1" s="87"/>
      <c r="AX1" s="87"/>
      <c r="AY1" s="87"/>
      <c r="BA1" s="10" t="s">
        <v>354</v>
      </c>
    </row>
    <row r="2" spans="1:81" ht="76.5">
      <c r="A2" s="90" t="s">
        <v>355</v>
      </c>
      <c r="B2" s="90"/>
      <c r="C2" s="90"/>
      <c r="D2" s="90"/>
      <c r="E2" s="91"/>
      <c r="F2" s="90"/>
      <c r="G2" s="90"/>
      <c r="H2" s="90"/>
      <c r="I2" s="92" t="str">
        <f>"Waiting on Dealer: "&amp;COUNTIF(DealerMaster[Overall Status],"Waiting on Dealer")</f>
        <v>Waiting on Dealer: 16</v>
      </c>
      <c r="J2" s="92"/>
      <c r="K2" s="93" t="str">
        <f>"Waiting on Lender: "&amp;COUNTIF(DealerMaster[Overall Status],"Waiting on Lender")</f>
        <v>Waiting on Lender: 13</v>
      </c>
      <c r="L2" s="93" t="str">
        <f>"App Submitted: "&amp;COUNTIF(DealerMaster[Overall Status],"Application Submitted")</f>
        <v>App Submitted: 2</v>
      </c>
      <c r="M2" s="94" t="str">
        <f>"Rate Sheet: "&amp;COUNTIF(DealerMaster[Overall Status],"Rate Sheet")</f>
        <v>Rate Sheet: 3</v>
      </c>
      <c r="N2" s="87"/>
      <c r="O2" s="95" t="str">
        <f>"LIVE DLR: "&amp;COUNTIF(DealerMaster[Overall Status],"LIVE DLR")</f>
        <v>LIVE DLR: 4</v>
      </c>
      <c r="P2" s="192" t="s">
        <v>356</v>
      </c>
      <c r="Q2" s="192"/>
      <c r="R2" s="192"/>
      <c r="S2" s="192"/>
      <c r="T2" s="192" t="s">
        <v>356</v>
      </c>
      <c r="U2" s="192"/>
      <c r="V2" s="192"/>
      <c r="W2" s="192"/>
      <c r="X2" s="192" t="s">
        <v>356</v>
      </c>
      <c r="Y2" s="192"/>
      <c r="Z2" s="192"/>
      <c r="AA2" s="192"/>
      <c r="AB2" s="192" t="s">
        <v>356</v>
      </c>
      <c r="AC2" s="192"/>
      <c r="AD2" s="192"/>
      <c r="AE2" s="192"/>
      <c r="AF2" s="192" t="s">
        <v>356</v>
      </c>
      <c r="AG2" s="192"/>
      <c r="AH2" s="192"/>
      <c r="AI2" s="192"/>
      <c r="AJ2" s="192"/>
      <c r="AK2" s="192"/>
      <c r="AL2" s="192"/>
      <c r="AM2" s="192"/>
      <c r="AN2" s="192"/>
      <c r="AO2" s="192"/>
      <c r="AP2" s="192"/>
      <c r="AQ2" s="192"/>
      <c r="AR2" s="192"/>
      <c r="AS2" s="192"/>
      <c r="AT2" s="192"/>
      <c r="AU2" s="192"/>
      <c r="AV2" s="192"/>
      <c r="AW2" s="192"/>
      <c r="AX2" s="192"/>
      <c r="AY2" s="192"/>
      <c r="BZ2" t="inlineStr">
        <is>
          <t>Existing dealers are Unassigned. Do not guess an owner. Rep is not Finti Owner.</t>
        </is>
      </c>
    </row>
    <row r="3" spans="1:81" ht="38.25">
      <c r="A3" s="90"/>
      <c r="B3" s="90"/>
      <c r="C3" s="90"/>
      <c r="D3" s="90"/>
      <c r="E3" s="91"/>
      <c r="F3" s="90"/>
      <c r="G3" s="90"/>
      <c r="H3" s="90"/>
      <c r="I3" s="94" t="str">
        <f>"Active: "&amp;COUNTIF(DealerMaster[Overall Status],"Active")</f>
        <v>Active: 3</v>
      </c>
      <c r="J3" s="94"/>
      <c r="K3" s="96" t="str">
        <f>"Dead: "&amp;COUNTIF(DealerMaster[Overall Status],"Dead")</f>
        <v>Dead: 4</v>
      </c>
      <c r="L3" s="92" t="str">
        <f>"P1 open To-Do: "&amp;COUNTIFS(DealerMaster[Priority],1,DealerMaster[Merchant To-Do],"&lt;&gt;",DealerMaster[To-Do Done],FALSE)</f>
        <v>P1 open To-Do: 5</v>
      </c>
      <c r="M3" s="96" t="str">
        <f ca="1">"No update &gt;3d: "&amp;COUNTIFS(DealerMaster[Days Since Update],"&gt;3",DealerMaster[Overall Status],"&lt;&gt;Active",DealerMaster[Overall Status],"&lt;&gt;Dead",DealerMaster[Overall Status],"&lt;&gt;LIVE DLR")</f>
        <v>No update &gt;3d: 11</v>
      </c>
      <c r="N3" s="87"/>
      <c r="O3" s="97" t="str">
        <f>"Training: "&amp;COUNTIF(DealerMaster[Overall Status],"Training")</f>
        <v>Training: 1</v>
      </c>
      <c r="P3" s="192" t="s">
        <v>357</v>
      </c>
      <c r="Q3" s="192"/>
      <c r="R3" s="192" t="s">
        <v>358</v>
      </c>
      <c r="S3" s="192" t="s">
        <v>359</v>
      </c>
      <c r="T3" s="192" t="s">
        <v>360</v>
      </c>
      <c r="U3" s="192"/>
      <c r="V3" s="192" t="s">
        <v>361</v>
      </c>
      <c r="W3" s="192" t="s">
        <v>359</v>
      </c>
      <c r="X3" s="192" t="s">
        <v>362</v>
      </c>
      <c r="Y3" s="192"/>
      <c r="Z3" s="192" t="s">
        <v>358</v>
      </c>
      <c r="AA3" s="192" t="s">
        <v>359</v>
      </c>
      <c r="AB3" s="192" t="s">
        <v>362</v>
      </c>
      <c r="AC3" s="192"/>
      <c r="AD3" s="192" t="s">
        <v>361</v>
      </c>
      <c r="AE3" s="192" t="s">
        <v>359</v>
      </c>
      <c r="AF3" s="192" t="s">
        <v>357</v>
      </c>
      <c r="AG3" s="192"/>
      <c r="AH3" s="192"/>
      <c r="AI3" s="192" t="s">
        <v>359</v>
      </c>
      <c r="AJ3" s="192"/>
      <c r="AK3" s="192"/>
      <c r="AL3" s="192"/>
      <c r="AM3" s="192"/>
      <c r="AN3" s="192"/>
      <c r="AO3" s="192"/>
      <c r="AP3" s="192"/>
      <c r="AQ3" s="192"/>
      <c r="AR3" s="192"/>
      <c r="AS3" s="192"/>
      <c r="AT3" s="192"/>
      <c r="AU3" s="192"/>
      <c r="AV3" s="192"/>
      <c r="AW3" s="192"/>
      <c r="AX3" s="192"/>
      <c r="AY3" s="192"/>
    </row>
    <row r="4" spans="1:81" ht="29.25">
      <c r="A4" s="223" t="s">
        <v>363</v>
      </c>
      <c r="B4" s="189" t="s">
        <v>188</v>
      </c>
      <c r="C4" s="189" t="s">
        <v>314</v>
      </c>
      <c r="D4" s="189" t="s">
        <v>364</v>
      </c>
      <c r="E4" s="190" t="s">
        <v>206</v>
      </c>
      <c r="F4" s="189" t="s">
        <v>365</v>
      </c>
      <c r="G4" s="189" t="s">
        <v>187</v>
      </c>
      <c r="H4" s="189" t="s">
        <v>232</v>
      </c>
      <c r="I4" s="189" t="s">
        <v>241</v>
      </c>
      <c r="J4" s="189" t="s">
        <v>321</v>
      </c>
      <c r="K4" s="189" t="s">
        <v>366</v>
      </c>
      <c r="L4" s="189" t="s">
        <v>25</v>
      </c>
      <c r="M4" s="189" t="s">
        <v>257</v>
      </c>
      <c r="N4" s="189" t="s">
        <v>367</v>
      </c>
      <c r="O4" s="189" t="s">
        <v>368</v>
      </c>
      <c r="P4" s="189" t="s">
        <v>271</v>
      </c>
      <c r="Q4" s="189" t="s">
        <v>369</v>
      </c>
      <c r="R4" s="189" t="s">
        <v>370</v>
      </c>
      <c r="S4" s="189" t="s">
        <v>371</v>
      </c>
      <c r="T4" s="189" t="s">
        <v>279</v>
      </c>
      <c r="U4" s="189" t="s">
        <v>372</v>
      </c>
      <c r="V4" s="189" t="s">
        <v>373</v>
      </c>
      <c r="W4" s="189" t="s">
        <v>374</v>
      </c>
      <c r="X4" s="189" t="s">
        <v>286</v>
      </c>
      <c r="Y4" s="189" t="s">
        <v>375</v>
      </c>
      <c r="Z4" s="189" t="s">
        <v>376</v>
      </c>
      <c r="AA4" s="189" t="s">
        <v>377</v>
      </c>
      <c r="AB4" s="189" t="s">
        <v>378</v>
      </c>
      <c r="AC4" s="189" t="s">
        <v>379</v>
      </c>
      <c r="AD4" s="189" t="s">
        <v>380</v>
      </c>
      <c r="AE4" s="189" t="s">
        <v>381</v>
      </c>
      <c r="AF4" s="189" t="s">
        <v>300</v>
      </c>
      <c r="AG4" s="189" t="s">
        <v>382</v>
      </c>
      <c r="AH4" s="189" t="s">
        <v>383</v>
      </c>
      <c r="AI4" s="189" t="s">
        <v>384</v>
      </c>
      <c r="AJ4" s="189" t="s">
        <v>307</v>
      </c>
      <c r="AK4" s="189" t="s">
        <v>385</v>
      </c>
      <c r="AL4" s="189" t="s">
        <v>386</v>
      </c>
      <c r="AM4" s="189" t="s">
        <v>387</v>
      </c>
      <c r="AN4" s="189" t="s">
        <v>388</v>
      </c>
      <c r="AO4" s="98" t="s">
        <v>389</v>
      </c>
      <c r="AP4" s="191" t="s">
        <v>390</v>
      </c>
      <c r="AQ4" s="191" t="s">
        <v>391</v>
      </c>
      <c r="AR4" s="191" t="s">
        <v>392</v>
      </c>
      <c r="AS4" s="191" t="s">
        <v>393</v>
      </c>
      <c r="AT4" s="191" t="s">
        <v>394</v>
      </c>
      <c r="AU4" s="191" t="s">
        <v>395</v>
      </c>
      <c r="AV4" s="191" t="s">
        <v>396</v>
      </c>
      <c r="AW4" s="191" t="s">
        <v>397</v>
      </c>
      <c r="AX4" s="191" t="s">
        <v>398</v>
      </c>
      <c r="AY4" s="191" t="s">
        <v>399</v>
      </c>
      <c r="AZ4" s="10" t="s">
        <v>400</v>
      </c>
      <c r="BA4" s="10" t="s">
        <v>401</v>
      </c>
      <c r="BB4" s="10" t="s">
        <v>402</v>
      </c>
      <c r="BC4" s="10" t="s">
        <v>403</v>
      </c>
      <c r="BD4" s="173" t="s">
        <v>404</v>
      </c>
      <c r="BE4" s="173" t="s">
        <v>405</v>
      </c>
      <c r="BF4" s="173" t="s">
        <v>406</v>
      </c>
      <c r="BG4" s="173" t="s">
        <v>407</v>
      </c>
      <c r="BH4" s="173" t="s">
        <v>408</v>
      </c>
      <c r="BI4" s="173" t="s">
        <v>409</v>
      </c>
      <c r="BJ4" s="173" t="s">
        <v>410</v>
      </c>
      <c r="BK4" s="173" t="s">
        <v>411</v>
      </c>
      <c r="BL4" s="173" t="s">
        <v>412</v>
      </c>
      <c r="BM4" s="173" t="s">
        <v>413</v>
      </c>
      <c r="BN4" s="173" t="s">
        <v>414</v>
      </c>
      <c r="BO4" s="173" t="s">
        <v>415</v>
      </c>
      <c r="BP4" s="173" t="s">
        <v>416</v>
      </c>
      <c r="BQ4" s="173" t="s">
        <v>417</v>
      </c>
      <c r="BR4" s="173" t="s">
        <v>418</v>
      </c>
      <c r="BS4" s="173" t="s">
        <v>419</v>
      </c>
      <c r="BT4" s="173" t="s">
        <v>420</v>
      </c>
      <c r="BU4" s="173" t="s">
        <v>421</v>
      </c>
      <c r="BV4" s="173" t="s">
        <v>422</v>
      </c>
      <c r="BW4" s="173" t="s">
        <v>423</v>
      </c>
      <c r="BX4" s="173" t="s">
        <v>424</v>
      </c>
      <c r="BY4" s="173" t="s">
        <v>425</v>
      </c>
      <c r="BZ4" s="189" t="inlineStr">
        <is>
          <t>Finti Owner</t>
        </is>
      </c>
      <c r="CA4" s="189" t="inlineStr">
        <is>
          <t>Ready for rate sheets</t>
        </is>
      </c>
      <c r="CB4" s="189" t="inlineStr">
        <is>
          <t>Shaw Hold</t>
        </is>
      </c>
      <c r="CC4" s="189" t="inlineStr">
        <is>
          <t>Handoff note</t>
        </is>
      </c>
    </row>
    <row r="5" spans="1:81" s="20" customFormat="1" ht="57">
      <c r="A5" s="224" t="s">
        <v>426</v>
      </c>
      <c r="B5" s="127" t="s">
        <v>427</v>
      </c>
      <c r="C5" s="127"/>
      <c r="D5" s="201" t="s">
        <v>428</v>
      </c>
      <c r="E5" s="129" t="s">
        <v>429</v>
      </c>
      <c r="F5" s="193" t="s">
        <v>430</v>
      </c>
      <c r="G5" s="130" t="s">
        <v>431</v>
      </c>
      <c r="H5" s="193" t="s">
        <v>432</v>
      </c>
      <c r="I5" s="127" t="s">
        <v>433</v>
      </c>
      <c r="J5" s="139"/>
      <c r="K5" s="131"/>
      <c r="L5" s="131" t="str">
        <f>IF($A5="","",_xlfn.LET(_xlpm.ns,(--($P5="Ready 2 Submit"))+(--($T5="Ready 2 Submit"))+(--($X5="Ready 2 Submit"))+(--($AB5="Ready 2 Submit"))+(--($AF5="Ready 2 Submit")),_xlpm.wd,(--($P5="Waiting on Dealer"))+(--($T5="Waiting on Dealer"))+(--($X5="Waiting on Dealer"))+(--($AB5="Waiting on Dealer"))+(--($AF5="Waiting on Dealer")),_xlpm.sb,(--($P5="Submitted"))+(--($T5="Submitted"))+(--($X5="Submitted"))+(--($AB5="Submitted"))+(--($AF5="Submitted")),_xlpm.ap,(--($P5="Approved"))+(--($T5="Approved"))+(--($X5="Approved"))+(--($AB5="Approved"))+(--($AF5="Approved")),_xlpm.ac,(--($P5="Active"))+(--($T5="Active"))+(--($X5="Active"))+(--($AB5="Active"))+(--($AF5="Active")),_xlpm.dc,(--($P5="Declined"))+(--($T5="Declined"))+(--($X5="Declined"))+(--($AB5="Declined"))+(--($AF5="Declined")),_xlpm.aRS,(--($P5="Active"))*(--($R5="Yes"))+(--($T5="Active"))*(--($V5="Yes"))+(--($X5="Active"))*(--($Z5="Yes"))+(--($AB5="Active"))*(--($AD5="Yes"))+(--($AF5="Active"))*(--($AH5="Yes")),_xlpm.aDn,(--($P5="Active"))*(--($R5="Yes"))*(--((($S5="Yes")+($S5=TRUE))&gt;0))+(--($T5="Active"))*(--($V5="Yes"))*(--((($W5="Yes")+($W5=TRUE))&gt;0))+(--($X5="Active"))*(--($Z5="Yes"))*(--((($AA5="Yes")+($AA5=TRUE))&gt;0))+(--($AB5="Active"))*(--($AD5="Yes"))*(--((($AE5="Yes")+($AE5=TRUE))&gt;0))+(--($AF5="Active"))*(--($AH5="Yes"))*(--((($AI5="Yes")+($AI5=TRUE))&gt;0)),_xlpm.inPlay,_xlpm.ns+_xlpm.wd+_xlpm.sb+_xlpm.ap,IF(AND(_xlpm.ac&gt;0,_xlpm.inPlay=0,_xlpm.aDn=_xlpm.ac),"LIVE DLR",IF(AND(_xlpm.aRS&gt;0,_xlpm.aDn&lt;_xlpm.aRS),"Training",IF(_xlpm.aRS&gt;0,"Active",IF(AND(_xlpm.dc&gt;0,_xlpm.inPlay+_xlpm.ac=0),"Dead",IF(OR($CA5="Yes",$CA5=TRUE),"Rate Sheet",IF(AND($AJ5&lt;&gt;"",$AK5=FALSE),"Waiting on Dealer",IF(_xlpm.sb&gt;0,"Waiting on Lender",IF(AND(_xlpm.ap+_xlpm.ac&gt;0,_xlpm.ns+_xlpm.wd=0),"Rate Sheet","Application Submitted"))))))))))</f>
        <v>LIVE DLR</v>
      </c>
      <c r="M5" s="132">
        <v>46107</v>
      </c>
      <c r="N5" s="132">
        <v>46280</v>
      </c>
      <c r="O5" s="195" t="s">
        <v>434</v>
      </c>
      <c r="P5" s="131" t="s">
        <v>435</v>
      </c>
      <c r="Q5" s="132">
        <v>46274</v>
      </c>
      <c r="R5" s="131" t="s">
        <v>436</v>
      </c>
      <c r="S5" s="131" t="s">
        <v>436</v>
      </c>
      <c r="T5" s="131" t="s">
        <v>435</v>
      </c>
      <c r="U5" s="132">
        <v>46274</v>
      </c>
      <c r="V5" s="131" t="s">
        <v>436</v>
      </c>
      <c r="W5" s="131" t="s">
        <v>436</v>
      </c>
      <c r="X5" s="131" t="s">
        <v>435</v>
      </c>
      <c r="Y5" s="132">
        <v>46108</v>
      </c>
      <c r="Z5" s="131" t="s">
        <v>436</v>
      </c>
      <c r="AA5" s="131" t="s">
        <v>436</v>
      </c>
      <c r="AB5" s="131" t="s">
        <v>437</v>
      </c>
      <c r="AC5" s="132" t="str">
        <f ca="1">IF(OR(AC5="",AC5=0),IF($AB5="Submitted",TODAY(),""),AC5)</f>
        <v/>
      </c>
      <c r="AD5" s="131" t="s">
        <v>272</v>
      </c>
      <c r="AE5" s="131" t="s">
        <v>272</v>
      </c>
      <c r="AF5" s="131" t="s">
        <v>437</v>
      </c>
      <c r="AG5" s="132" t="str">
        <f ca="1">IF(OR(AG5="",AG5=0),IF($AF5="Submitted",TODAY(),""),AG5)</f>
        <v/>
      </c>
      <c r="AH5" s="131" t="s">
        <v>272</v>
      </c>
      <c r="AI5" s="131" t="s">
        <v>272</v>
      </c>
      <c r="AJ5" s="195" t="s">
        <v>435</v>
      </c>
      <c r="AK5" s="133" t="b">
        <v>1</v>
      </c>
      <c r="AL5" s="131" cm="1">
        <f t="array" ref="AL5">IF($A5="","",SUMPRODUCT((CHOOSE({1,2,3,4,5},$R5,$V5,$Z5,$AD5,$AH5)="Yes")*(((CHOOSE({1,2,3,4,5},$S5,$W5,$AA5,$AE5,$AI5)="Yes")+(CHOOSE({1,2,3,4,5},$S5,$W5,$AA5,$AE5,$AI5)=TRUE))&gt;0)))</f>
        <v>3</v>
      </c>
      <c r="AM5" s="132"/>
      <c r="AN5" s="131" t="str">
        <f ca="1">IF(OR($A5="",$AM5=""),"",TODAY()-$AM5)</f>
        <v/>
      </c>
      <c r="AO5" s="134"/>
      <c r="AP5" s="135" t="s">
        <v>438</v>
      </c>
      <c r="AQ5" s="136"/>
      <c r="AR5" s="187" t="s">
        <v>439</v>
      </c>
      <c r="AS5" s="136" t="s">
        <v>440</v>
      </c>
      <c r="AT5" s="135" t="s">
        <v>441</v>
      </c>
      <c r="AU5" s="136"/>
      <c r="AV5" s="136"/>
      <c r="AW5" s="136"/>
      <c r="AX5" s="136"/>
      <c r="AY5" s="136"/>
      <c r="AZ5" s="137"/>
      <c r="BA5" s="20">
        <v>1</v>
      </c>
      <c r="BD5" s="174"/>
      <c r="BE5" s="174"/>
      <c r="BF5" s="174"/>
      <c r="BG5" s="174"/>
      <c r="BH5" s="174"/>
      <c r="BI5" s="174"/>
      <c r="BJ5" s="174"/>
      <c r="BK5" s="174"/>
      <c r="BL5" s="174"/>
      <c r="BM5" s="174"/>
      <c r="BN5" s="174"/>
      <c r="BO5" s="174"/>
      <c r="BP5" s="174"/>
      <c r="BQ5" s="174"/>
      <c r="BR5" s="174"/>
      <c r="BS5" s="174"/>
      <c r="BT5" s="174"/>
      <c r="BU5" s="174"/>
      <c r="BV5" s="174"/>
      <c r="BW5" s="174"/>
      <c r="BX5" s="174"/>
      <c r="BY5" s="174"/>
      <c r="BZ5" s="127" t="inlineStr">
        <is>
          <t>Unassigned</t>
        </is>
      </c>
      <c r="CA5" s="127" t="inlineStr">
        <is>
          <t>No</t>
        </is>
      </c>
      <c r="CB5" s="131">
        <f>IF($A5="","",_xlfn.LET(_xlpm.sfp,AND($P5&lt;&gt;"",$P5&lt;&gt;"N/A",$P5&lt;&gt;"No Min RQ"),_xlpm.slp,AND($T5&lt;&gt;"",$T5&lt;&gt;"N/A",$T5&lt;&gt;"No Min RQ"),_xlpm.ffp,AND($X5&lt;&gt;"",$X5&lt;&gt;"N/A",$X5&lt;&gt;"No Min RQ"),_xlpm.chp,AND($AB5&lt;&gt;"",$AB5&lt;&gt;"N/A",$AB5&lt;&gt;"No Min RQ"),_xlpm.usp,AND($AF5&lt;&gt;"",$AF5&lt;&gt;"N/A",$AF5&lt;&gt;"No Min RQ"),_xlpm.n,_xlpm.sfp+_xlpm.slp+_xlpm.ffp+_xlpm.chp+_xlpm.usp,_xlpm.sub,(_xlpm.sfp*($P5="Submitted"))+(_xlpm.slp*($T5="Submitted"))+(_xlpm.ffp*($X5="Submitted"))+(_xlpm.chp*($AB5="Submitted"))+(_xlpm.usp*($AF5="Submitted")),_xlpm.term,(_xlpm.sfp*OR($P5="Approved",$P5="Declined"))+(_xlpm.slp*OR($T5="Approved",$T5="Declined"))+(_xlpm.ffp*OR($X5="Approved",$X5="Declined"))+(_xlpm.chp*OR($AB5="Approved",$AB5="Declined"))+(_xlpm.usp*OR($AF5="Approved",$AF5="Declined")),IF(_xlpm.n=0,"No applicable lenders",IF(_xlpm.sub&gt;0,"Stays with Shaw - lender still Submitted",IF(_xlpm.term=_xlpm.n,"Clear - all applicable lenders Approved or Declined","Stays with Shaw - not all lenders Approved or Declined")))))</f>
      </c>
    </row>
    <row r="6" spans="1:81" s="20" customFormat="1" ht="76.5">
      <c r="A6" s="224" t="s">
        <v>442</v>
      </c>
      <c r="B6" s="127" t="s">
        <v>443</v>
      </c>
      <c r="C6" s="127"/>
      <c r="D6" s="201" t="s">
        <v>444</v>
      </c>
      <c r="E6" s="129" t="s">
        <v>445</v>
      </c>
      <c r="F6" s="193" t="s">
        <v>446</v>
      </c>
      <c r="G6" s="130" t="s">
        <v>431</v>
      </c>
      <c r="H6" s="193" t="s">
        <v>432</v>
      </c>
      <c r="I6" s="127" t="s">
        <v>447</v>
      </c>
      <c r="J6" s="139"/>
      <c r="K6" s="131"/>
      <c r="L6" s="131" t="str">
        <f>IF($A6="","",_xlfn.LET(_xlpm.ns,(--($P6="Ready 2 Submit"))+(--($T6="Ready 2 Submit"))+(--($X6="Ready 2 Submit"))+(--($AB6="Ready 2 Submit"))+(--($AF6="Ready 2 Submit")),_xlpm.wd,(--($P6="Waiting on Dealer"))+(--($T6="Waiting on Dealer"))+(--($X6="Waiting on Dealer"))+(--($AB6="Waiting on Dealer"))+(--($AF6="Waiting on Dealer")),_xlpm.sb,(--($P6="Submitted"))+(--($T6="Submitted"))+(--($X6="Submitted"))+(--($AB6="Submitted"))+(--($AF6="Submitted")),_xlpm.ap,(--($P6="Approved"))+(--($T6="Approved"))+(--($X6="Approved"))+(--($AB6="Approved"))+(--($AF6="Approved")),_xlpm.ac,(--($P6="Active"))+(--($T6="Active"))+(--($X6="Active"))+(--($AB6="Active"))+(--($AF6="Active")),_xlpm.dc,(--($P6="Declined"))+(--($T6="Declined"))+(--($X6="Declined"))+(--($AB6="Declined"))+(--($AF6="Declined")),_xlpm.aRS,(--($P6="Active"))*(--($R6="Yes"))+(--($T6="Active"))*(--($V6="Yes"))+(--($X6="Active"))*(--($Z6="Yes"))+(--($AB6="Active"))*(--($AD6="Yes"))+(--($AF6="Active"))*(--($AH6="Yes")),_xlpm.aDn,(--($P6="Active"))*(--($R6="Yes"))*(--((($S6="Yes")+($S6=TRUE))&gt;0))+(--($T6="Active"))*(--($V6="Yes"))*(--((($W6="Yes")+($W6=TRUE))&gt;0))+(--($X6="Active"))*(--($Z6="Yes"))*(--((($AA6="Yes")+($AA6=TRUE))&gt;0))+(--($AB6="Active"))*(--($AD6="Yes"))*(--((($AE6="Yes")+($AE6=TRUE))&gt;0))+(--($AF6="Active"))*(--($AH6="Yes"))*(--((($AI6="Yes")+($AI6=TRUE))&gt;0)),_xlpm.inPlay,_xlpm.ns+_xlpm.wd+_xlpm.sb+_xlpm.ap,IF(AND(_xlpm.ac&gt;0,_xlpm.inPlay=0,_xlpm.aDn=_xlpm.ac),"LIVE DLR",IF(AND(_xlpm.aRS&gt;0,_xlpm.aDn&lt;_xlpm.aRS),"Training",IF(_xlpm.aRS&gt;0,"Active",IF(AND(_xlpm.dc&gt;0,_xlpm.inPlay+_xlpm.ac=0),"Dead",IF(OR($CA6="Yes",$CA6=TRUE),"Rate Sheet",IF(AND($AJ6&lt;&gt;"",$AK6=FALSE),"Waiting on Dealer",IF(_xlpm.sb&gt;0,"Waiting on Lender",IF(AND(_xlpm.ap+_xlpm.ac&gt;0,_xlpm.ns+_xlpm.wd=0),"Rate Sheet","Application Submitted"))))))))))</f>
        <v>LIVE DLR</v>
      </c>
      <c r="M6" s="132">
        <v>46195</v>
      </c>
      <c r="N6" s="132">
        <v>46280</v>
      </c>
      <c r="O6" s="195"/>
      <c r="P6" s="131" t="s">
        <v>448</v>
      </c>
      <c r="Q6" s="132" t="str">
        <f ca="1">IF(OR(Q6="",Q6=0),IF($P6="Submitted",TODAY(),""),Q6)</f>
        <v/>
      </c>
      <c r="R6" s="131"/>
      <c r="S6" s="131" t="s">
        <v>272</v>
      </c>
      <c r="T6" s="131" t="s">
        <v>448</v>
      </c>
      <c r="U6" s="132" t="str">
        <f ca="1">IF(OR(U6="",U6=0),IF($T6="Submitted",TODAY(),""),U6)</f>
        <v/>
      </c>
      <c r="V6" s="131" t="s">
        <v>272</v>
      </c>
      <c r="W6" s="131" t="s">
        <v>272</v>
      </c>
      <c r="X6" s="131" t="s">
        <v>435</v>
      </c>
      <c r="Y6" s="132">
        <v>46219</v>
      </c>
      <c r="Z6" s="131" t="s">
        <v>436</v>
      </c>
      <c r="AA6" s="131" t="s">
        <v>436</v>
      </c>
      <c r="AB6" s="131" t="s">
        <v>437</v>
      </c>
      <c r="AC6" s="132" t="str">
        <f ca="1">IF(OR(AC6="",AC6=0),IF($AB6="Submitted",TODAY(),""),AC6)</f>
        <v/>
      </c>
      <c r="AD6" s="131" t="s">
        <v>272</v>
      </c>
      <c r="AE6" s="131" t="s">
        <v>272</v>
      </c>
      <c r="AF6" s="131" t="s">
        <v>435</v>
      </c>
      <c r="AG6" s="132">
        <v>46274</v>
      </c>
      <c r="AH6" s="131" t="s">
        <v>436</v>
      </c>
      <c r="AI6" s="131" t="s">
        <v>436</v>
      </c>
      <c r="AJ6" s="195" t="s">
        <v>449</v>
      </c>
      <c r="AK6" s="133" t="b">
        <v>1</v>
      </c>
      <c r="AL6" s="131" cm="1">
        <f t="array" ref="AL6">IF($A6="","",SUMPRODUCT((CHOOSE({1,2,3,4,5},$R6,$V6,$Z6,$AD6,$AH6)="Yes")*(((CHOOSE({1,2,3,4,5},$S6,$W6,$AA6,$AE6,$AI6)="Yes")+(CHOOSE({1,2,3,4,5},$S6,$W6,$AA6,$AE6,$AI6)=TRUE))&gt;0)))</f>
        <v>2</v>
      </c>
      <c r="AM6" s="132"/>
      <c r="AN6" s="131" t="str">
        <f ca="1">IF(OR($A6="",$AM6=""),"",TODAY()-$AM6)</f>
        <v/>
      </c>
      <c r="AO6" s="128"/>
      <c r="AP6" s="138"/>
      <c r="AQ6" s="138"/>
      <c r="AR6" s="138"/>
      <c r="AS6" s="138"/>
      <c r="AT6" s="139" t="s">
        <v>450</v>
      </c>
      <c r="AU6" s="138"/>
      <c r="AV6" s="138"/>
      <c r="AW6" s="138"/>
      <c r="AX6" s="139" t="s">
        <v>451</v>
      </c>
      <c r="AY6" s="138"/>
      <c r="AZ6" s="137"/>
      <c r="BA6" s="20">
        <v>2</v>
      </c>
      <c r="BD6" s="174"/>
      <c r="BE6" s="174"/>
      <c r="BF6" s="174"/>
      <c r="BG6" s="174"/>
      <c r="BH6" s="174"/>
      <c r="BI6" s="174"/>
      <c r="BJ6" s="174"/>
      <c r="BK6" s="174"/>
      <c r="BL6" s="174"/>
      <c r="BM6" s="174"/>
      <c r="BN6" s="174"/>
      <c r="BO6" s="174"/>
      <c r="BP6" s="174"/>
      <c r="BQ6" s="174"/>
      <c r="BR6" s="174"/>
      <c r="BS6" s="174"/>
      <c r="BT6" s="174"/>
      <c r="BU6" s="174"/>
      <c r="BV6" s="174"/>
      <c r="BW6" s="174"/>
      <c r="BX6" s="174"/>
      <c r="BY6" s="174"/>
      <c r="BZ6" s="127" t="inlineStr">
        <is>
          <t>Unassigned</t>
        </is>
      </c>
      <c r="CA6" s="127" t="inlineStr">
        <is>
          <t>No</t>
        </is>
      </c>
      <c r="CB6" s="131">
        <f>IF($A6="","",_xlfn.LET(_xlpm.sfp,AND($P6&lt;&gt;"",$P6&lt;&gt;"N/A",$P6&lt;&gt;"No Min RQ"),_xlpm.slp,AND($T6&lt;&gt;"",$T6&lt;&gt;"N/A",$T6&lt;&gt;"No Min RQ"),_xlpm.ffp,AND($X6&lt;&gt;"",$X6&lt;&gt;"N/A",$X6&lt;&gt;"No Min RQ"),_xlpm.chp,AND($AB6&lt;&gt;"",$AB6&lt;&gt;"N/A",$AB6&lt;&gt;"No Min RQ"),_xlpm.usp,AND($AF6&lt;&gt;"",$AF6&lt;&gt;"N/A",$AF6&lt;&gt;"No Min RQ"),_xlpm.n,_xlpm.sfp+_xlpm.slp+_xlpm.ffp+_xlpm.chp+_xlpm.usp,_xlpm.sub,(_xlpm.sfp*($P6="Submitted"))+(_xlpm.slp*($T6="Submitted"))+(_xlpm.ffp*($X6="Submitted"))+(_xlpm.chp*($AB6="Submitted"))+(_xlpm.usp*($AF6="Submitted")),_xlpm.term,(_xlpm.sfp*OR($P6="Approved",$P6="Declined"))+(_xlpm.slp*OR($T6="Approved",$T6="Declined"))+(_xlpm.ffp*OR($X6="Approved",$X6="Declined"))+(_xlpm.chp*OR($AB6="Approved",$AB6="Declined"))+(_xlpm.usp*OR($AF6="Approved",$AF6="Declined")),IF(_xlpm.n=0,"No applicable lenders",IF(_xlpm.sub&gt;0,"Stays with Shaw - lender still Submitted",IF(_xlpm.term=_xlpm.n,"Clear - all applicable lenders Approved or Declined","Stays with Shaw - not all lenders Approved or Declined")))))</f>
      </c>
    </row>
    <row r="7" spans="1:81" s="20" customFormat="1" ht="38.25">
      <c r="A7" s="225" t="s">
        <v>452</v>
      </c>
      <c r="B7" s="99" t="s">
        <v>452</v>
      </c>
      <c r="C7" s="99"/>
      <c r="D7" s="197" t="s">
        <v>453</v>
      </c>
      <c r="E7" s="88" t="s">
        <v>454</v>
      </c>
      <c r="F7" s="194" t="s">
        <v>455</v>
      </c>
      <c r="G7" s="100" t="s">
        <v>453</v>
      </c>
      <c r="H7" s="194" t="s">
        <v>455</v>
      </c>
      <c r="I7" s="99" t="s">
        <v>456</v>
      </c>
      <c r="J7" s="107"/>
      <c r="K7" s="85">
        <v>3</v>
      </c>
      <c r="L7" s="85" t="str">
        <f>IF($A7="","",_xlfn.LET(_xlpm.ns,(--($P7="Ready 2 Submit"))+(--($T7="Ready 2 Submit"))+(--($X7="Ready 2 Submit"))+(--($AB7="Ready 2 Submit"))+(--($AF7="Ready 2 Submit")),_xlpm.wd,(--($P7="Waiting on Dealer"))+(--($T7="Waiting on Dealer"))+(--($X7="Waiting on Dealer"))+(--($AB7="Waiting on Dealer"))+(--($AF7="Waiting on Dealer")),_xlpm.sb,(--($P7="Submitted"))+(--($T7="Submitted"))+(--($X7="Submitted"))+(--($AB7="Submitted"))+(--($AF7="Submitted")),_xlpm.ap,(--($P7="Approved"))+(--($T7="Approved"))+(--($X7="Approved"))+(--($AB7="Approved"))+(--($AF7="Approved")),_xlpm.ac,(--($P7="Active"))+(--($T7="Active"))+(--($X7="Active"))+(--($AB7="Active"))+(--($AF7="Active")),_xlpm.dc,(--($P7="Declined"))+(--($T7="Declined"))+(--($X7="Declined"))+(--($AB7="Declined"))+(--($AF7="Declined")),_xlpm.aRS,(--($P7="Active"))*(--($R7="Yes"))+(--($T7="Active"))*(--($V7="Yes"))+(--($X7="Active"))*(--($Z7="Yes"))+(--($AB7="Active"))*(--($AD7="Yes"))+(--($AF7="Active"))*(--($AH7="Yes")),_xlpm.aDn,(--($P7="Active"))*(--($R7="Yes"))*(--((($S7="Yes")+($S7=TRUE))&gt;0))+(--($T7="Active"))*(--($V7="Yes"))*(--((($W7="Yes")+($W7=TRUE))&gt;0))+(--($X7="Active"))*(--($Z7="Yes"))*(--((($AA7="Yes")+($AA7=TRUE))&gt;0))+(--($AB7="Active"))*(--($AD7="Yes"))*(--((($AE7="Yes")+($AE7=TRUE))&gt;0))+(--($AF7="Active"))*(--($AH7="Yes"))*(--((($AI7="Yes")+($AI7=TRUE))&gt;0)),_xlpm.inPlay,_xlpm.ns+_xlpm.wd+_xlpm.sb+_xlpm.ap,IF(AND(_xlpm.ac&gt;0,_xlpm.inPlay=0,_xlpm.aDn=_xlpm.ac),"LIVE DLR",IF(AND(_xlpm.aRS&gt;0,_xlpm.aDn&lt;_xlpm.aRS),"Training",IF(_xlpm.aRS&gt;0,"Active",IF(AND(_xlpm.dc&gt;0,_xlpm.inPlay+_xlpm.ac=0),"Dead",IF(OR($CA7="Yes",$CA7=TRUE),"Rate Sheet",IF(AND($AJ7&lt;&gt;"",$AK7=FALSE),"Waiting on Dealer",IF(_xlpm.sb&gt;0,"Waiting on Lender",IF(AND(_xlpm.ap+_xlpm.ac&gt;0,_xlpm.ns+_xlpm.wd=0),"Rate Sheet","Application Submitted"))))))))))</f>
        <v>Active</v>
      </c>
      <c r="M7" s="101">
        <v>46202</v>
      </c>
      <c r="N7" s="101">
        <v>46280</v>
      </c>
      <c r="O7" s="196"/>
      <c r="P7" s="85" t="s">
        <v>448</v>
      </c>
      <c r="Q7" s="101" t="str">
        <f ca="1">IF(OR(Q7="",Q7=0),IF($P7="Submitted",TODAY(),""),Q7)</f>
        <v/>
      </c>
      <c r="R7" s="85" t="s">
        <v>272</v>
      </c>
      <c r="S7" s="85" t="s">
        <v>272</v>
      </c>
      <c r="T7" s="85" t="s">
        <v>448</v>
      </c>
      <c r="U7" s="101" t="str">
        <f ca="1">IF(OR(U7="",U7=0),IF($T7="Submitted",TODAY(),""),U7)</f>
        <v/>
      </c>
      <c r="V7" s="85" t="s">
        <v>272</v>
      </c>
      <c r="W7" s="85" t="s">
        <v>272</v>
      </c>
      <c r="X7" s="85" t="s">
        <v>435</v>
      </c>
      <c r="Y7" s="101">
        <v>46217</v>
      </c>
      <c r="Z7" s="85" t="s">
        <v>436</v>
      </c>
      <c r="AA7" s="85" t="s">
        <v>436</v>
      </c>
      <c r="AB7" s="85" t="s">
        <v>437</v>
      </c>
      <c r="AC7" s="101" t="str">
        <f ca="1">IF(OR(AC7="",AC7=0),IF($AB7="Submitted",TODAY(),""),AC7)</f>
        <v/>
      </c>
      <c r="AD7" s="85" t="s">
        <v>272</v>
      </c>
      <c r="AE7" s="85" t="s">
        <v>272</v>
      </c>
      <c r="AF7" s="85" t="s">
        <v>457</v>
      </c>
      <c r="AG7" s="101">
        <v>46275</v>
      </c>
      <c r="AH7" s="85" t="s">
        <v>272</v>
      </c>
      <c r="AI7" s="85" t="s">
        <v>272</v>
      </c>
      <c r="AJ7" s="196" t="s">
        <v>458</v>
      </c>
      <c r="AK7" s="102" t="b">
        <v>0</v>
      </c>
      <c r="AL7" s="85" cm="1">
        <f t="array" ref="AL7">IF($A7="","",SUMPRODUCT((CHOOSE({1,2,3,4,5},$R7,$V7,$Z7,$AD7,$AH7)="Yes")*(((CHOOSE({1,2,3,4,5},$S7,$W7,$AA7,$AE7,$AI7)="Yes")+(CHOOSE({1,2,3,4,5},$S7,$W7,$AA7,$AE7,$AI7)=TRUE))&gt;0)))</f>
        <v>1</v>
      </c>
      <c r="AM7" s="101">
        <v>46287</v>
      </c>
      <c r="AN7" s="85">
        <f ca="1">IF(OR($A7="",$AM7=""),"",TODAY()-$AM7)</f>
        <v>1</v>
      </c>
      <c r="AO7" s="87"/>
      <c r="AP7" s="106"/>
      <c r="AQ7" s="106"/>
      <c r="AR7" s="106"/>
      <c r="AS7" s="106"/>
      <c r="AT7" s="107" t="s">
        <v>459</v>
      </c>
      <c r="AU7" s="106"/>
      <c r="AV7" s="106"/>
      <c r="AW7" s="106"/>
      <c r="AX7" s="106"/>
      <c r="AY7" s="106"/>
      <c r="BA7" s="20">
        <v>3</v>
      </c>
      <c r="BD7" s="174"/>
      <c r="BE7" s="174"/>
      <c r="BF7" s="174"/>
      <c r="BG7" s="174"/>
      <c r="BH7" s="174"/>
      <c r="BI7" s="174"/>
      <c r="BJ7" s="174"/>
      <c r="BK7" s="174"/>
      <c r="BL7" s="174"/>
      <c r="BM7" s="174"/>
      <c r="BN7" s="174"/>
      <c r="BO7" s="174"/>
      <c r="BP7" s="174"/>
      <c r="BQ7" s="174"/>
      <c r="BR7" s="174"/>
      <c r="BS7" s="174"/>
      <c r="BT7" s="174"/>
      <c r="BU7" s="174"/>
      <c r="BV7" s="174"/>
      <c r="BW7" s="174"/>
      <c r="BX7" s="174"/>
      <c r="BY7" s="174"/>
      <c r="BZ7" s="127" t="inlineStr">
        <is>
          <t>Unassigned</t>
        </is>
      </c>
      <c r="CA7" s="127" t="inlineStr">
        <is>
          <t>No</t>
        </is>
      </c>
      <c r="CB7" s="131">
        <f>IF($A7="","",_xlfn.LET(_xlpm.sfp,AND($P7&lt;&gt;"",$P7&lt;&gt;"N/A",$P7&lt;&gt;"No Min RQ"),_xlpm.slp,AND($T7&lt;&gt;"",$T7&lt;&gt;"N/A",$T7&lt;&gt;"No Min RQ"),_xlpm.ffp,AND($X7&lt;&gt;"",$X7&lt;&gt;"N/A",$X7&lt;&gt;"No Min RQ"),_xlpm.chp,AND($AB7&lt;&gt;"",$AB7&lt;&gt;"N/A",$AB7&lt;&gt;"No Min RQ"),_xlpm.usp,AND($AF7&lt;&gt;"",$AF7&lt;&gt;"N/A",$AF7&lt;&gt;"No Min RQ"),_xlpm.n,_xlpm.sfp+_xlpm.slp+_xlpm.ffp+_xlpm.chp+_xlpm.usp,_xlpm.sub,(_xlpm.sfp*($P7="Submitted"))+(_xlpm.slp*($T7="Submitted"))+(_xlpm.ffp*($X7="Submitted"))+(_xlpm.chp*($AB7="Submitted"))+(_xlpm.usp*($AF7="Submitted")),_xlpm.term,(_xlpm.sfp*OR($P7="Approved",$P7="Declined"))+(_xlpm.slp*OR($T7="Approved",$T7="Declined"))+(_xlpm.ffp*OR($X7="Approved",$X7="Declined"))+(_xlpm.chp*OR($AB7="Approved",$AB7="Declined"))+(_xlpm.usp*OR($AF7="Approved",$AF7="Declined")),IF(_xlpm.n=0,"No applicable lenders",IF(_xlpm.sub&gt;0,"Stays with Shaw - lender still Submitted",IF(_xlpm.term=_xlpm.n,"Clear - all applicable lenders Approved or Declined","Stays with Shaw - not all lenders Approved or Declined")))))</f>
      </c>
    </row>
    <row r="8" spans="1:81" s="20" customFormat="1" ht="57">
      <c r="A8" s="225" t="s">
        <v>460</v>
      </c>
      <c r="B8" s="99" t="s">
        <v>461</v>
      </c>
      <c r="C8" s="99"/>
      <c r="D8" s="197" t="s">
        <v>462</v>
      </c>
      <c r="E8" s="88" t="s">
        <v>463</v>
      </c>
      <c r="F8" s="194" t="s">
        <v>464</v>
      </c>
      <c r="G8" s="100" t="s">
        <v>465</v>
      </c>
      <c r="H8" s="194" t="s">
        <v>466</v>
      </c>
      <c r="I8" s="99" t="s">
        <v>467</v>
      </c>
      <c r="J8" s="107"/>
      <c r="K8" s="85"/>
      <c r="L8" s="85" t="str">
        <f>IF($A8="","",_xlfn.LET(_xlpm.ns,(--($P8="Ready 2 Submit"))+(--($T8="Ready 2 Submit"))+(--($X8="Ready 2 Submit"))+(--($AB8="Ready 2 Submit"))+(--($AF8="Ready 2 Submit")),_xlpm.wd,(--($P8="Waiting on Dealer"))+(--($T8="Waiting on Dealer"))+(--($X8="Waiting on Dealer"))+(--($AB8="Waiting on Dealer"))+(--($AF8="Waiting on Dealer")),_xlpm.sb,(--($P8="Submitted"))+(--($T8="Submitted"))+(--($X8="Submitted"))+(--($AB8="Submitted"))+(--($AF8="Submitted")),_xlpm.ap,(--($P8="Approved"))+(--($T8="Approved"))+(--($X8="Approved"))+(--($AB8="Approved"))+(--($AF8="Approved")),_xlpm.ac,(--($P8="Active"))+(--($T8="Active"))+(--($X8="Active"))+(--($AB8="Active"))+(--($AF8="Active")),_xlpm.dc,(--($P8="Declined"))+(--($T8="Declined"))+(--($X8="Declined"))+(--($AB8="Declined"))+(--($AF8="Declined")),_xlpm.aRS,(--($P8="Active"))*(--($R8="Yes"))+(--($T8="Active"))*(--($V8="Yes"))+(--($X8="Active"))*(--($Z8="Yes"))+(--($AB8="Active"))*(--($AD8="Yes"))+(--($AF8="Active"))*(--($AH8="Yes")),_xlpm.aDn,(--($P8="Active"))*(--($R8="Yes"))*(--((($S8="Yes")+($S8=TRUE))&gt;0))+(--($T8="Active"))*(--($V8="Yes"))*(--((($W8="Yes")+($W8=TRUE))&gt;0))+(--($X8="Active"))*(--($Z8="Yes"))*(--((($AA8="Yes")+($AA8=TRUE))&gt;0))+(--($AB8="Active"))*(--($AD8="Yes"))*(--((($AE8="Yes")+($AE8=TRUE))&gt;0))+(--($AF8="Active"))*(--($AH8="Yes"))*(--((($AI8="Yes")+($AI8=TRUE))&gt;0)),_xlpm.inPlay,_xlpm.ns+_xlpm.wd+_xlpm.sb+_xlpm.ap,IF(AND(_xlpm.ac&gt;0,_xlpm.inPlay=0,_xlpm.aDn=_xlpm.ac),"LIVE DLR",IF(AND(_xlpm.aRS&gt;0,_xlpm.aDn&lt;_xlpm.aRS),"Training",IF(_xlpm.aRS&gt;0,"Active",IF(AND(_xlpm.dc&gt;0,_xlpm.inPlay+_xlpm.ac=0),"Dead",IF(OR($CA8="Yes",$CA8=TRUE),"Rate Sheet",IF(AND($AJ8&lt;&gt;"",$AK8=FALSE),"Waiting on Dealer",IF(_xlpm.sb&gt;0,"Waiting on Lender",IF(AND(_xlpm.ap+_xlpm.ac&gt;0,_xlpm.ns+_xlpm.wd=0),"Rate Sheet","Application Submitted"))))))))))</f>
        <v>LIVE DLR</v>
      </c>
      <c r="M8" s="101">
        <v>46202</v>
      </c>
      <c r="N8" s="101">
        <v>46280</v>
      </c>
      <c r="O8" s="196" t="s">
        <v>468</v>
      </c>
      <c r="P8" s="85" t="s">
        <v>435</v>
      </c>
      <c r="Q8" s="101">
        <v>46274</v>
      </c>
      <c r="R8" s="85" t="s">
        <v>436</v>
      </c>
      <c r="S8" s="85" t="s">
        <v>436</v>
      </c>
      <c r="T8" s="85" t="s">
        <v>435</v>
      </c>
      <c r="U8" s="101">
        <v>46274</v>
      </c>
      <c r="V8" s="85" t="s">
        <v>436</v>
      </c>
      <c r="W8" s="85" t="s">
        <v>436</v>
      </c>
      <c r="X8" s="85" t="s">
        <v>435</v>
      </c>
      <c r="Y8" s="101">
        <v>46143</v>
      </c>
      <c r="Z8" s="85" t="s">
        <v>436</v>
      </c>
      <c r="AA8" s="85" t="s">
        <v>436</v>
      </c>
      <c r="AB8" s="85" t="s">
        <v>435</v>
      </c>
      <c r="AC8" s="101">
        <v>46274</v>
      </c>
      <c r="AD8" s="85" t="s">
        <v>436</v>
      </c>
      <c r="AE8" s="85" t="s">
        <v>436</v>
      </c>
      <c r="AF8" s="85" t="s">
        <v>437</v>
      </c>
      <c r="AG8" s="101" t="str">
        <f ca="1">IF(OR(AG8="",AG8=0),IF($AF8="Submitted",TODAY(),""),AG8)</f>
        <v/>
      </c>
      <c r="AH8" s="85" t="s">
        <v>272</v>
      </c>
      <c r="AI8" s="85" t="s">
        <v>272</v>
      </c>
      <c r="AJ8" s="196" t="s">
        <v>469</v>
      </c>
      <c r="AK8" s="102" t="b">
        <v>1</v>
      </c>
      <c r="AL8" s="85" cm="1">
        <f t="array" ref="AL8">IF($A8="","",SUMPRODUCT((CHOOSE({1,2,3,4,5},$R8,$V8,$Z8,$AD8,$AH8)="Yes")*(((CHOOSE({1,2,3,4,5},$S8,$W8,$AA8,$AE8,$AI8)="Yes")+(CHOOSE({1,2,3,4,5},$S8,$W8,$AA8,$AE8,$AI8)=TRUE))&gt;0)))</f>
        <v>4</v>
      </c>
      <c r="AM8" s="101"/>
      <c r="AN8" s="85" t="str">
        <f ca="1">IF(OR($A8="",$AM8=""),"",TODAY()-$AM8)</f>
        <v/>
      </c>
      <c r="AO8" s="87"/>
      <c r="AP8" s="107" t="s">
        <v>470</v>
      </c>
      <c r="AQ8" s="106"/>
      <c r="AR8" s="152" t="s">
        <v>471</v>
      </c>
      <c r="AS8" s="106" t="s">
        <v>269</v>
      </c>
      <c r="AT8" s="107" t="s">
        <v>472</v>
      </c>
      <c r="AU8" s="106" t="s">
        <v>473</v>
      </c>
      <c r="AV8" s="107" t="s">
        <v>474</v>
      </c>
      <c r="AW8" s="106"/>
      <c r="AX8" s="106"/>
      <c r="AY8" s="106"/>
      <c r="BA8" s="20">
        <v>4</v>
      </c>
      <c r="BD8" s="174"/>
      <c r="BE8" s="174"/>
      <c r="BF8" s="174"/>
      <c r="BG8" s="174"/>
      <c r="BH8" s="174"/>
      <c r="BI8" s="174"/>
      <c r="BJ8" s="174"/>
      <c r="BK8" s="174"/>
      <c r="BL8" s="174"/>
      <c r="BM8" s="174"/>
      <c r="BN8" s="174"/>
      <c r="BO8" s="174"/>
      <c r="BP8" s="174"/>
      <c r="BQ8" s="174"/>
      <c r="BR8" s="174"/>
      <c r="BS8" s="174"/>
      <c r="BT8" s="174"/>
      <c r="BU8" s="174"/>
      <c r="BV8" s="174"/>
      <c r="BW8" s="174"/>
      <c r="BX8" s="174"/>
      <c r="BY8" s="174"/>
      <c r="BZ8" s="127" t="inlineStr">
        <is>
          <t>Unassigned</t>
        </is>
      </c>
      <c r="CA8" s="127" t="inlineStr">
        <is>
          <t>No</t>
        </is>
      </c>
      <c r="CB8" s="131">
        <f>IF($A8="","",_xlfn.LET(_xlpm.sfp,AND($P8&lt;&gt;"",$P8&lt;&gt;"N/A",$P8&lt;&gt;"No Min RQ"),_xlpm.slp,AND($T8&lt;&gt;"",$T8&lt;&gt;"N/A",$T8&lt;&gt;"No Min RQ"),_xlpm.ffp,AND($X8&lt;&gt;"",$X8&lt;&gt;"N/A",$X8&lt;&gt;"No Min RQ"),_xlpm.chp,AND($AB8&lt;&gt;"",$AB8&lt;&gt;"N/A",$AB8&lt;&gt;"No Min RQ"),_xlpm.usp,AND($AF8&lt;&gt;"",$AF8&lt;&gt;"N/A",$AF8&lt;&gt;"No Min RQ"),_xlpm.n,_xlpm.sfp+_xlpm.slp+_xlpm.ffp+_xlpm.chp+_xlpm.usp,_xlpm.sub,(_xlpm.sfp*($P8="Submitted"))+(_xlpm.slp*($T8="Submitted"))+(_xlpm.ffp*($X8="Submitted"))+(_xlpm.chp*($AB8="Submitted"))+(_xlpm.usp*($AF8="Submitted")),_xlpm.term,(_xlpm.sfp*OR($P8="Approved",$P8="Declined"))+(_xlpm.slp*OR($T8="Approved",$T8="Declined"))+(_xlpm.ffp*OR($X8="Approved",$X8="Declined"))+(_xlpm.chp*OR($AB8="Approved",$AB8="Declined"))+(_xlpm.usp*OR($AF8="Approved",$AF8="Declined")),IF(_xlpm.n=0,"No applicable lenders",IF(_xlpm.sub&gt;0,"Stays with Shaw - lender still Submitted",IF(_xlpm.term=_xlpm.n,"Clear - all applicable lenders Approved or Declined","Stays with Shaw - not all lenders Approved or Declined")))))</f>
      </c>
    </row>
    <row r="9" spans="1:81" s="20" customFormat="1" ht="57">
      <c r="A9" s="224" t="s">
        <v>475</v>
      </c>
      <c r="B9" s="127" t="s">
        <v>476</v>
      </c>
      <c r="C9" s="127"/>
      <c r="D9" s="201" t="s">
        <v>477</v>
      </c>
      <c r="E9" s="129" t="s">
        <v>478</v>
      </c>
      <c r="F9" s="193" t="s">
        <v>479</v>
      </c>
      <c r="G9" s="130" t="s">
        <v>465</v>
      </c>
      <c r="H9" s="193" t="s">
        <v>466</v>
      </c>
      <c r="I9" s="127"/>
      <c r="J9" s="139"/>
      <c r="K9" s="131"/>
      <c r="L9" s="131" t="str">
        <f>IF($A9="","",_xlfn.LET(_xlpm.ns,(--($P9="Ready 2 Submit"))+(--($T9="Ready 2 Submit"))+(--($X9="Ready 2 Submit"))+(--($AB9="Ready 2 Submit"))+(--($AF9="Ready 2 Submit")),_xlpm.wd,(--($P9="Waiting on Dealer"))+(--($T9="Waiting on Dealer"))+(--($X9="Waiting on Dealer"))+(--($AB9="Waiting on Dealer"))+(--($AF9="Waiting on Dealer")),_xlpm.sb,(--($P9="Submitted"))+(--($T9="Submitted"))+(--($X9="Submitted"))+(--($AB9="Submitted"))+(--($AF9="Submitted")),_xlpm.ap,(--($P9="Approved"))+(--($T9="Approved"))+(--($X9="Approved"))+(--($AB9="Approved"))+(--($AF9="Approved")),_xlpm.ac,(--($P9="Active"))+(--($T9="Active"))+(--($X9="Active"))+(--($AB9="Active"))+(--($AF9="Active")),_xlpm.dc,(--($P9="Declined"))+(--($T9="Declined"))+(--($X9="Declined"))+(--($AB9="Declined"))+(--($AF9="Declined")),_xlpm.aRS,(--($P9="Active"))*(--($R9="Yes"))+(--($T9="Active"))*(--($V9="Yes"))+(--($X9="Active"))*(--($Z9="Yes"))+(--($AB9="Active"))*(--($AD9="Yes"))+(--($AF9="Active"))*(--($AH9="Yes")),_xlpm.aDn,(--($P9="Active"))*(--($R9="Yes"))*(--((($S9="Yes")+($S9=TRUE))&gt;0))+(--($T9="Active"))*(--($V9="Yes"))*(--((($W9="Yes")+($W9=TRUE))&gt;0))+(--($X9="Active"))*(--($Z9="Yes"))*(--((($AA9="Yes")+($AA9=TRUE))&gt;0))+(--($AB9="Active"))*(--($AD9="Yes"))*(--((($AE9="Yes")+($AE9=TRUE))&gt;0))+(--($AF9="Active"))*(--($AH9="Yes"))*(--((($AI9="Yes")+($AI9=TRUE))&gt;0)),_xlpm.inPlay,_xlpm.ns+_xlpm.wd+_xlpm.sb+_xlpm.ap,IF(AND(_xlpm.ac&gt;0,_xlpm.inPlay=0,_xlpm.aDn=_xlpm.ac),"LIVE DLR",IF(AND(_xlpm.aRS&gt;0,_xlpm.aDn&lt;_xlpm.aRS),"Training",IF(_xlpm.aRS&gt;0,"Active",IF(AND(_xlpm.dc&gt;0,_xlpm.inPlay+_xlpm.ac=0),"Dead",IF(OR($CA9="Yes",$CA9=TRUE),"Rate Sheet",IF(AND($AJ9&lt;&gt;"",$AK9=FALSE),"Waiting on Dealer",IF(_xlpm.sb&gt;0,"Waiting on Lender",IF(AND(_xlpm.ap+_xlpm.ac&gt;0,_xlpm.ns+_xlpm.wd=0),"Rate Sheet","Application Submitted"))))))))))</f>
        <v>LIVE DLR</v>
      </c>
      <c r="M9" s="132">
        <v>46209</v>
      </c>
      <c r="N9" s="132">
        <v>46209</v>
      </c>
      <c r="O9" s="195" t="s">
        <v>468</v>
      </c>
      <c r="P9" s="131" t="s">
        <v>435</v>
      </c>
      <c r="Q9" s="132">
        <v>46274</v>
      </c>
      <c r="R9" s="131" t="s">
        <v>436</v>
      </c>
      <c r="S9" s="131" t="s">
        <v>436</v>
      </c>
      <c r="T9" s="131" t="s">
        <v>435</v>
      </c>
      <c r="U9" s="132">
        <v>46274</v>
      </c>
      <c r="V9" s="131" t="s">
        <v>436</v>
      </c>
      <c r="W9" s="131" t="s">
        <v>436</v>
      </c>
      <c r="X9" s="131" t="s">
        <v>435</v>
      </c>
      <c r="Y9" s="132">
        <v>45908</v>
      </c>
      <c r="Z9" s="131" t="s">
        <v>436</v>
      </c>
      <c r="AA9" s="131" t="s">
        <v>436</v>
      </c>
      <c r="AB9" s="131" t="s">
        <v>437</v>
      </c>
      <c r="AC9" s="132" t="str">
        <f ca="1">IF(OR(AC9="",AC9=0),IF($AB9="Submitted",TODAY(),""),AC9)</f>
        <v/>
      </c>
      <c r="AD9" s="131" t="s">
        <v>272</v>
      </c>
      <c r="AE9" s="131" t="s">
        <v>272</v>
      </c>
      <c r="AF9" s="131" t="s">
        <v>437</v>
      </c>
      <c r="AG9" s="132" t="str">
        <f ca="1">IF(OR(AG9="",AG9=0),IF($AF9="Submitted",TODAY(),""),AG9)</f>
        <v/>
      </c>
      <c r="AH9" s="131" t="s">
        <v>272</v>
      </c>
      <c r="AI9" s="131" t="s">
        <v>272</v>
      </c>
      <c r="AJ9" s="195" t="s">
        <v>435</v>
      </c>
      <c r="AK9" s="133" t="b">
        <v>1</v>
      </c>
      <c r="AL9" s="131" cm="1">
        <f t="array" ref="AL9">IF($A9="","",SUMPRODUCT((CHOOSE({1,2,3,4,5},$R9,$V9,$Z9,$AD9,$AH9)="Yes")*(((CHOOSE({1,2,3,4,5},$S9,$W9,$AA9,$AE9,$AI9)="Yes")+(CHOOSE({1,2,3,4,5},$S9,$W9,$AA9,$AE9,$AI9)=TRUE))&gt;0)))</f>
        <v>3</v>
      </c>
      <c r="AM9" s="132"/>
      <c r="AN9" s="131" t="str">
        <f ca="1">IF(OR($A9="",$AM9=""),"",TODAY()-$AM9)</f>
        <v/>
      </c>
      <c r="AO9" s="128"/>
      <c r="AP9" s="139" t="s">
        <v>480</v>
      </c>
      <c r="AQ9" s="138"/>
      <c r="AR9" s="188" t="s">
        <v>481</v>
      </c>
      <c r="AS9" s="138"/>
      <c r="AT9" s="139" t="s">
        <v>482</v>
      </c>
      <c r="AU9" s="138"/>
      <c r="AV9" s="138"/>
      <c r="AW9" s="138"/>
      <c r="AX9" s="138"/>
      <c r="AY9" s="138"/>
      <c r="AZ9" s="137"/>
      <c r="BA9" s="20">
        <v>5</v>
      </c>
      <c r="BD9" s="174"/>
      <c r="BE9" s="174"/>
      <c r="BF9" s="174"/>
      <c r="BG9" s="174"/>
      <c r="BH9" s="174"/>
      <c r="BI9" s="174"/>
      <c r="BJ9" s="174"/>
      <c r="BK9" s="174"/>
      <c r="BL9" s="174"/>
      <c r="BM9" s="174"/>
      <c r="BN9" s="174"/>
      <c r="BO9" s="174"/>
      <c r="BP9" s="174"/>
      <c r="BQ9" s="174"/>
      <c r="BR9" s="174"/>
      <c r="BS9" s="174"/>
      <c r="BT9" s="174"/>
      <c r="BU9" s="174"/>
      <c r="BV9" s="174"/>
      <c r="BW9" s="174"/>
      <c r="BX9" s="174"/>
      <c r="BY9" s="174"/>
      <c r="BZ9" s="127" t="inlineStr">
        <is>
          <t>Unassigned</t>
        </is>
      </c>
      <c r="CA9" s="127" t="inlineStr">
        <is>
          <t>No</t>
        </is>
      </c>
      <c r="CB9" s="131">
        <f>IF($A9="","",_xlfn.LET(_xlpm.sfp,AND($P9&lt;&gt;"",$P9&lt;&gt;"N/A",$P9&lt;&gt;"No Min RQ"),_xlpm.slp,AND($T9&lt;&gt;"",$T9&lt;&gt;"N/A",$T9&lt;&gt;"No Min RQ"),_xlpm.ffp,AND($X9&lt;&gt;"",$X9&lt;&gt;"N/A",$X9&lt;&gt;"No Min RQ"),_xlpm.chp,AND($AB9&lt;&gt;"",$AB9&lt;&gt;"N/A",$AB9&lt;&gt;"No Min RQ"),_xlpm.usp,AND($AF9&lt;&gt;"",$AF9&lt;&gt;"N/A",$AF9&lt;&gt;"No Min RQ"),_xlpm.n,_xlpm.sfp+_xlpm.slp+_xlpm.ffp+_xlpm.chp+_xlpm.usp,_xlpm.sub,(_xlpm.sfp*($P9="Submitted"))+(_xlpm.slp*($T9="Submitted"))+(_xlpm.ffp*($X9="Submitted"))+(_xlpm.chp*($AB9="Submitted"))+(_xlpm.usp*($AF9="Submitted")),_xlpm.term,(_xlpm.sfp*OR($P9="Approved",$P9="Declined"))+(_xlpm.slp*OR($T9="Approved",$T9="Declined"))+(_xlpm.ffp*OR($X9="Approved",$X9="Declined"))+(_xlpm.chp*OR($AB9="Approved",$AB9="Declined"))+(_xlpm.usp*OR($AF9="Approved",$AF9="Declined")),IF(_xlpm.n=0,"No applicable lenders",IF(_xlpm.sub&gt;0,"Stays with Shaw - lender still Submitted",IF(_xlpm.term=_xlpm.n,"Clear - all applicable lenders Approved or Declined","Stays with Shaw - not all lenders Approved or Declined")))))</f>
      </c>
    </row>
    <row r="10" spans="1:81" s="20" customFormat="1" ht="57">
      <c r="A10" s="225" t="s">
        <v>483</v>
      </c>
      <c r="B10" s="99" t="s">
        <v>484</v>
      </c>
      <c r="C10" s="99" t="s">
        <v>485</v>
      </c>
      <c r="D10" s="197" t="s">
        <v>486</v>
      </c>
      <c r="E10" s="108" t="s">
        <v>487</v>
      </c>
      <c r="F10" s="203" t="s">
        <v>488</v>
      </c>
      <c r="G10" s="100" t="s">
        <v>465</v>
      </c>
      <c r="H10" s="194" t="s">
        <v>466</v>
      </c>
      <c r="I10" s="99" t="s">
        <v>489</v>
      </c>
      <c r="J10" s="107"/>
      <c r="K10" s="85">
        <v>1</v>
      </c>
      <c r="L10" s="85" t="str">
        <f>IF($A10="","",_xlfn.LET(_xlpm.ns,(--($P10="Ready 2 Submit"))+(--($T10="Ready 2 Submit"))+(--($X10="Ready 2 Submit"))+(--($AB10="Ready 2 Submit"))+(--($AF10="Ready 2 Submit")),_xlpm.wd,(--($P10="Waiting on Dealer"))+(--($T10="Waiting on Dealer"))+(--($X10="Waiting on Dealer"))+(--($AB10="Waiting on Dealer"))+(--($AF10="Waiting on Dealer")),_xlpm.sb,(--($P10="Submitted"))+(--($T10="Submitted"))+(--($X10="Submitted"))+(--($AB10="Submitted"))+(--($AF10="Submitted")),_xlpm.ap,(--($P10="Approved"))+(--($T10="Approved"))+(--($X10="Approved"))+(--($AB10="Approved"))+(--($AF10="Approved")),_xlpm.ac,(--($P10="Active"))+(--($T10="Active"))+(--($X10="Active"))+(--($AB10="Active"))+(--($AF10="Active")),_xlpm.dc,(--($P10="Declined"))+(--($T10="Declined"))+(--($X10="Declined"))+(--($AB10="Declined"))+(--($AF10="Declined")),_xlpm.aRS,(--($P10="Active"))*(--($R10="Yes"))+(--($T10="Active"))*(--($V10="Yes"))+(--($X10="Active"))*(--($Z10="Yes"))+(--($AB10="Active"))*(--($AD10="Yes"))+(--($AF10="Active"))*(--($AH10="Yes")),_xlpm.aDn,(--($P10="Active"))*(--($R10="Yes"))*(--((($S10="Yes")+($S10=TRUE))&gt;0))+(--($T10="Active"))*(--($V10="Yes"))*(--((($W10="Yes")+($W10=TRUE))&gt;0))+(--($X10="Active"))*(--($Z10="Yes"))*(--((($AA10="Yes")+($AA10=TRUE))&gt;0))+(--($AB10="Active"))*(--($AD10="Yes"))*(--((($AE10="Yes")+($AE10=TRUE))&gt;0))+(--($AF10="Active"))*(--($AH10="Yes"))*(--((($AI10="Yes")+($AI10=TRUE))&gt;0)),_xlpm.inPlay,_xlpm.ns+_xlpm.wd+_xlpm.sb+_xlpm.ap,IF(AND(_xlpm.ac&gt;0,_xlpm.inPlay=0,_xlpm.aDn=_xlpm.ac),"LIVE DLR",IF(AND(_xlpm.aRS&gt;0,_xlpm.aDn&lt;_xlpm.aRS),"Training",IF(_xlpm.aRS&gt;0,"Active",IF(AND(_xlpm.dc&gt;0,_xlpm.inPlay+_xlpm.ac=0),"Dead",IF(OR($CA10="Yes",$CA10=TRUE),"Rate Sheet",IF(AND($AJ10&lt;&gt;"",$AK10=FALSE),"Waiting on Dealer",IF(_xlpm.sb&gt;0,"Waiting on Lender",IF(AND(_xlpm.ap+_xlpm.ac&gt;0,_xlpm.ns+_xlpm.wd=0),"Rate Sheet","Application Submitted"))))))))))</f>
        <v>Waiting on Lender</v>
      </c>
      <c r="M10" s="101">
        <v>46219</v>
      </c>
      <c r="N10" s="101">
        <v>46219</v>
      </c>
      <c r="O10" s="196"/>
      <c r="P10" s="85" t="s">
        <v>457</v>
      </c>
      <c r="Q10" s="101">
        <v>46279</v>
      </c>
      <c r="R10" s="85" t="s">
        <v>272</v>
      </c>
      <c r="S10" s="85" t="s">
        <v>272</v>
      </c>
      <c r="T10" s="85" t="s">
        <v>448</v>
      </c>
      <c r="U10" s="101" t="str">
        <f ca="1">IF(OR(U10="",U10=0),IF($T10="Submitted",TODAY(),""),U10)</f>
        <v/>
      </c>
      <c r="V10" s="85" t="s">
        <v>272</v>
      </c>
      <c r="W10" s="85" t="s">
        <v>272</v>
      </c>
      <c r="X10" s="85" t="s">
        <v>435</v>
      </c>
      <c r="Y10" s="101">
        <v>46219</v>
      </c>
      <c r="Z10" s="85" t="s">
        <v>272</v>
      </c>
      <c r="AA10" s="85" t="s">
        <v>272</v>
      </c>
      <c r="AB10" s="85" t="s">
        <v>437</v>
      </c>
      <c r="AC10" s="101" t="str">
        <f ca="1">IF(OR(AC10="",AC10=0),IF($AB10="Submitted",TODAY(),""),AC10)</f>
        <v/>
      </c>
      <c r="AD10" s="85" t="s">
        <v>272</v>
      </c>
      <c r="AE10" s="85" t="s">
        <v>272</v>
      </c>
      <c r="AF10" s="85" t="s">
        <v>437</v>
      </c>
      <c r="AG10" s="101" t="str">
        <f ca="1">IF(OR(AG10="",AG10=0),IF($AF10="Submitted",TODAY(),""),AG10)</f>
        <v/>
      </c>
      <c r="AH10" s="85" t="s">
        <v>272</v>
      </c>
      <c r="AI10" s="85" t="s">
        <v>272</v>
      </c>
      <c r="AJ10" s="196" t="s">
        <v>490</v>
      </c>
      <c r="AK10" s="102" t="b">
        <v>1</v>
      </c>
      <c r="AL10" s="85" cm="1">
        <f t="array" ref="AL10">IF($A10="","",SUMPRODUCT((CHOOSE({1,2,3,4,5},$R10,$V10,$Z10,$AD10,$AH10)="Yes")*(((CHOOSE({1,2,3,4,5},$S10,$W10,$AA10,$AE10,$AI10)="Yes")+(CHOOSE({1,2,3,4,5},$S10,$W10,$AA10,$AE10,$AI10)=TRUE))&gt;0)))</f>
        <v>0</v>
      </c>
      <c r="AM10" s="101">
        <v>46279</v>
      </c>
      <c r="AN10" s="85">
        <f ca="1">IF(OR($A10="",$AM10=""),"",TODAY()-$AM10)</f>
        <v>9</v>
      </c>
      <c r="AO10" s="87"/>
      <c r="AP10" s="106"/>
      <c r="AQ10" s="106"/>
      <c r="AR10" s="106"/>
      <c r="AS10" s="106"/>
      <c r="AT10" s="107" t="s">
        <v>491</v>
      </c>
      <c r="AU10" s="106"/>
      <c r="AV10" s="106"/>
      <c r="AW10" s="106"/>
      <c r="AX10" s="106"/>
      <c r="AY10" s="106"/>
      <c r="BA10" s="20">
        <v>6</v>
      </c>
      <c r="BD10" s="174"/>
      <c r="BE10" s="174"/>
      <c r="BF10" s="174"/>
      <c r="BG10" s="174"/>
      <c r="BH10" s="174"/>
      <c r="BI10" s="174"/>
      <c r="BJ10" s="174"/>
      <c r="BK10" s="174"/>
      <c r="BL10" s="174"/>
      <c r="BM10" s="174"/>
      <c r="BN10" s="174"/>
      <c r="BO10" s="174"/>
      <c r="BP10" s="174"/>
      <c r="BQ10" s="174"/>
      <c r="BR10" s="174"/>
      <c r="BS10" s="174"/>
      <c r="BT10" s="174"/>
      <c r="BU10" s="174"/>
      <c r="BV10" s="174"/>
      <c r="BW10" s="174"/>
      <c r="BX10" s="174"/>
      <c r="BY10" s="174"/>
      <c r="BZ10" s="127" t="inlineStr">
        <is>
          <t>Unassigned</t>
        </is>
      </c>
      <c r="CA10" s="127" t="inlineStr">
        <is>
          <t>No</t>
        </is>
      </c>
      <c r="CB10" s="131">
        <f>IF($A10="","",_xlfn.LET(_xlpm.sfp,AND($P10&lt;&gt;"",$P10&lt;&gt;"N/A",$P10&lt;&gt;"No Min RQ"),_xlpm.slp,AND($T10&lt;&gt;"",$T10&lt;&gt;"N/A",$T10&lt;&gt;"No Min RQ"),_xlpm.ffp,AND($X10&lt;&gt;"",$X10&lt;&gt;"N/A",$X10&lt;&gt;"No Min RQ"),_xlpm.chp,AND($AB10&lt;&gt;"",$AB10&lt;&gt;"N/A",$AB10&lt;&gt;"No Min RQ"),_xlpm.usp,AND($AF10&lt;&gt;"",$AF10&lt;&gt;"N/A",$AF10&lt;&gt;"No Min RQ"),_xlpm.n,_xlpm.sfp+_xlpm.slp+_xlpm.ffp+_xlpm.chp+_xlpm.usp,_xlpm.sub,(_xlpm.sfp*($P10="Submitted"))+(_xlpm.slp*($T10="Submitted"))+(_xlpm.ffp*($X10="Submitted"))+(_xlpm.chp*($AB10="Submitted"))+(_xlpm.usp*($AF10="Submitted")),_xlpm.term,(_xlpm.sfp*OR($P10="Approved",$P10="Declined"))+(_xlpm.slp*OR($T10="Approved",$T10="Declined"))+(_xlpm.ffp*OR($X10="Approved",$X10="Declined"))+(_xlpm.chp*OR($AB10="Approved",$AB10="Declined"))+(_xlpm.usp*OR($AF10="Approved",$AF10="Declined")),IF(_xlpm.n=0,"No applicable lenders",IF(_xlpm.sub&gt;0,"Stays with Shaw - lender still Submitted",IF(_xlpm.term=_xlpm.n,"Clear - all applicable lenders Approved or Declined","Stays with Shaw - not all lenders Approved or Declined")))))</f>
      </c>
    </row>
    <row r="11" spans="1:81" s="20" customFormat="1" ht="57">
      <c r="A11" s="225" t="s">
        <v>492</v>
      </c>
      <c r="B11" s="99" t="s">
        <v>493</v>
      </c>
      <c r="C11" s="99"/>
      <c r="D11" s="197" t="s">
        <v>494</v>
      </c>
      <c r="E11" s="88" t="s">
        <v>495</v>
      </c>
      <c r="F11" s="194" t="s">
        <v>496</v>
      </c>
      <c r="G11" s="100" t="s">
        <v>465</v>
      </c>
      <c r="H11" s="194" t="s">
        <v>466</v>
      </c>
      <c r="I11" s="99" t="s">
        <v>497</v>
      </c>
      <c r="J11" s="107"/>
      <c r="K11" s="85">
        <v>1</v>
      </c>
      <c r="L11" s="85" t="str">
        <f>IF($A11="","",_xlfn.LET(_xlpm.ns,(--($P11="Ready 2 Submit"))+(--($T11="Ready 2 Submit"))+(--($X11="Ready 2 Submit"))+(--($AB11="Ready 2 Submit"))+(--($AF11="Ready 2 Submit")),_xlpm.wd,(--($P11="Waiting on Dealer"))+(--($T11="Waiting on Dealer"))+(--($X11="Waiting on Dealer"))+(--($AB11="Waiting on Dealer"))+(--($AF11="Waiting on Dealer")),_xlpm.sb,(--($P11="Submitted"))+(--($T11="Submitted"))+(--($X11="Submitted"))+(--($AB11="Submitted"))+(--($AF11="Submitted")),_xlpm.ap,(--($P11="Approved"))+(--($T11="Approved"))+(--($X11="Approved"))+(--($AB11="Approved"))+(--($AF11="Approved")),_xlpm.ac,(--($P11="Active"))+(--($T11="Active"))+(--($X11="Active"))+(--($AB11="Active"))+(--($AF11="Active")),_xlpm.dc,(--($P11="Declined"))+(--($T11="Declined"))+(--($X11="Declined"))+(--($AB11="Declined"))+(--($AF11="Declined")),_xlpm.aRS,(--($P11="Active"))*(--($R11="Yes"))+(--($T11="Active"))*(--($V11="Yes"))+(--($X11="Active"))*(--($Z11="Yes"))+(--($AB11="Active"))*(--($AD11="Yes"))+(--($AF11="Active"))*(--($AH11="Yes")),_xlpm.aDn,(--($P11="Active"))*(--($R11="Yes"))*(--((($S11="Yes")+($S11=TRUE))&gt;0))+(--($T11="Active"))*(--($V11="Yes"))*(--((($W11="Yes")+($W11=TRUE))&gt;0))+(--($X11="Active"))*(--($Z11="Yes"))*(--((($AA11="Yes")+($AA11=TRUE))&gt;0))+(--($AB11="Active"))*(--($AD11="Yes"))*(--((($AE11="Yes")+($AE11=TRUE))&gt;0))+(--($AF11="Active"))*(--($AH11="Yes"))*(--((($AI11="Yes")+($AI11=TRUE))&gt;0)),_xlpm.inPlay,_xlpm.ns+_xlpm.wd+_xlpm.sb+_xlpm.ap,IF(AND(_xlpm.ac&gt;0,_xlpm.inPlay=0,_xlpm.aDn=_xlpm.ac),"LIVE DLR",IF(AND(_xlpm.aRS&gt;0,_xlpm.aDn&lt;_xlpm.aRS),"Training",IF(_xlpm.aRS&gt;0,"Active",IF(AND(_xlpm.dc&gt;0,_xlpm.inPlay+_xlpm.ac=0),"Dead",IF(OR($CA11="Yes",$CA11=TRUE),"Rate Sheet",IF(AND($AJ11&lt;&gt;"",$AK11=FALSE),"Waiting on Dealer",IF(_xlpm.sb&gt;0,"Waiting on Lender",IF(AND(_xlpm.ap+_xlpm.ac&gt;0,_xlpm.ns+_xlpm.wd=0),"Rate Sheet","Application Submitted"))))))))))</f>
        <v>Active</v>
      </c>
      <c r="M11" s="101">
        <v>46224</v>
      </c>
      <c r="N11" s="101">
        <v>46280</v>
      </c>
      <c r="O11" s="196" t="s">
        <v>498</v>
      </c>
      <c r="P11" s="85" t="s">
        <v>499</v>
      </c>
      <c r="Q11" s="101">
        <v>46274</v>
      </c>
      <c r="R11" s="85" t="s">
        <v>272</v>
      </c>
      <c r="S11" s="85" t="s">
        <v>272</v>
      </c>
      <c r="T11" s="85" t="s">
        <v>435</v>
      </c>
      <c r="U11" s="101">
        <v>46274</v>
      </c>
      <c r="V11" s="85" t="s">
        <v>436</v>
      </c>
      <c r="W11" s="85" t="s">
        <v>436</v>
      </c>
      <c r="X11" s="85" t="s">
        <v>435</v>
      </c>
      <c r="Y11" s="101">
        <v>46231</v>
      </c>
      <c r="Z11" s="85" t="s">
        <v>272</v>
      </c>
      <c r="AA11" s="85" t="s">
        <v>272</v>
      </c>
      <c r="AB11" s="85" t="s">
        <v>435</v>
      </c>
      <c r="AC11" s="101">
        <v>46274</v>
      </c>
      <c r="AD11" s="85" t="s">
        <v>436</v>
      </c>
      <c r="AE11" s="85" t="s">
        <v>436</v>
      </c>
      <c r="AF11" s="85" t="s">
        <v>437</v>
      </c>
      <c r="AG11" s="101" t="str">
        <f ca="1">IF(OR(AG11="",AG11=0),IF($AF11="Submitted",TODAY(),""),AG11)</f>
        <v/>
      </c>
      <c r="AH11" s="85" t="s">
        <v>272</v>
      </c>
      <c r="AI11" s="85" t="s">
        <v>272</v>
      </c>
      <c r="AJ11" s="196" t="s">
        <v>500</v>
      </c>
      <c r="AK11" s="102" t="b">
        <v>1</v>
      </c>
      <c r="AL11" s="85" cm="1">
        <f t="array" ref="AL11">IF($A11="","",SUMPRODUCT((CHOOSE({1,2,3,4,5},$R11,$V11,$Z11,$AD11,$AH11)="Yes")*(((CHOOSE({1,2,3,4,5},$S11,$W11,$AA11,$AE11,$AI11)="Yes")+(CHOOSE({1,2,3,4,5},$S11,$W11,$AA11,$AE11,$AI11)=TRUE))&gt;0)))</f>
        <v>2</v>
      </c>
      <c r="AM11" s="101"/>
      <c r="AN11" s="85" t="str">
        <f ca="1">IF(OR($A11="",$AM11=""),"",TODAY()-$AM11)</f>
        <v/>
      </c>
      <c r="AO11" s="87"/>
      <c r="AP11" s="172">
        <v>227125334</v>
      </c>
      <c r="AQ11" s="106" t="s">
        <v>501</v>
      </c>
      <c r="AR11" s="152" t="s">
        <v>502</v>
      </c>
      <c r="AS11" s="106" t="s">
        <v>265</v>
      </c>
      <c r="AT11" s="107">
        <v>36396000</v>
      </c>
      <c r="AU11" s="106" t="s">
        <v>265</v>
      </c>
      <c r="AV11" s="107" t="s">
        <v>503</v>
      </c>
      <c r="AW11" s="106"/>
      <c r="AX11" s="106"/>
      <c r="AY11" s="106"/>
      <c r="BA11" s="20">
        <v>7</v>
      </c>
      <c r="BD11" s="174"/>
      <c r="BE11" s="174"/>
      <c r="BF11" s="174"/>
      <c r="BG11" s="174"/>
      <c r="BH11" s="174"/>
      <c r="BI11" s="174"/>
      <c r="BJ11" s="174"/>
      <c r="BK11" s="174"/>
      <c r="BL11" s="174"/>
      <c r="BM11" s="174"/>
      <c r="BN11" s="174"/>
      <c r="BO11" s="174"/>
      <c r="BP11" s="174"/>
      <c r="BQ11" s="174"/>
      <c r="BR11" s="174"/>
      <c r="BS11" s="174"/>
      <c r="BT11" s="174"/>
      <c r="BU11" s="174"/>
      <c r="BV11" s="174"/>
      <c r="BW11" s="174"/>
      <c r="BX11" s="174"/>
      <c r="BY11" s="174"/>
      <c r="BZ11" s="127" t="inlineStr">
        <is>
          <t>Unassigned</t>
        </is>
      </c>
      <c r="CA11" s="127" t="inlineStr">
        <is>
          <t>No</t>
        </is>
      </c>
      <c r="CB11" s="131">
        <f>IF($A11="","",_xlfn.LET(_xlpm.sfp,AND($P11&lt;&gt;"",$P11&lt;&gt;"N/A",$P11&lt;&gt;"No Min RQ"),_xlpm.slp,AND($T11&lt;&gt;"",$T11&lt;&gt;"N/A",$T11&lt;&gt;"No Min RQ"),_xlpm.ffp,AND($X11&lt;&gt;"",$X11&lt;&gt;"N/A",$X11&lt;&gt;"No Min RQ"),_xlpm.chp,AND($AB11&lt;&gt;"",$AB11&lt;&gt;"N/A",$AB11&lt;&gt;"No Min RQ"),_xlpm.usp,AND($AF11&lt;&gt;"",$AF11&lt;&gt;"N/A",$AF11&lt;&gt;"No Min RQ"),_xlpm.n,_xlpm.sfp+_xlpm.slp+_xlpm.ffp+_xlpm.chp+_xlpm.usp,_xlpm.sub,(_xlpm.sfp*($P11="Submitted"))+(_xlpm.slp*($T11="Submitted"))+(_xlpm.ffp*($X11="Submitted"))+(_xlpm.chp*($AB11="Submitted"))+(_xlpm.usp*($AF11="Submitted")),_xlpm.term,(_xlpm.sfp*OR($P11="Approved",$P11="Declined"))+(_xlpm.slp*OR($T11="Approved",$T11="Declined"))+(_xlpm.ffp*OR($X11="Approved",$X11="Declined"))+(_xlpm.chp*OR($AB11="Approved",$AB11="Declined"))+(_xlpm.usp*OR($AF11="Approved",$AF11="Declined")),IF(_xlpm.n=0,"No applicable lenders",IF(_xlpm.sub&gt;0,"Stays with Shaw - lender still Submitted",IF(_xlpm.term=_xlpm.n,"Clear - all applicable lenders Approved or Declined","Stays with Shaw - not all lenders Approved or Declined")))))</f>
      </c>
    </row>
    <row r="12" spans="1:81" s="20" customFormat="1" ht="38.25">
      <c r="A12" s="225" t="s">
        <v>504</v>
      </c>
      <c r="B12" s="99" t="s">
        <v>505</v>
      </c>
      <c r="C12" s="99"/>
      <c r="D12" s="197" t="s">
        <v>506</v>
      </c>
      <c r="E12" s="88" t="s">
        <v>507</v>
      </c>
      <c r="F12" s="194" t="s">
        <v>508</v>
      </c>
      <c r="G12" s="100" t="s">
        <v>509</v>
      </c>
      <c r="H12" s="194" t="s">
        <v>510</v>
      </c>
      <c r="I12" s="99" t="s">
        <v>511</v>
      </c>
      <c r="J12" s="107"/>
      <c r="K12" s="85">
        <v>2</v>
      </c>
      <c r="L12" s="85" t="str">
        <f>IF($A12="","",_xlfn.LET(_xlpm.ns,(--($P12="Ready 2 Submit"))+(--($T12="Ready 2 Submit"))+(--($X12="Ready 2 Submit"))+(--($AB12="Ready 2 Submit"))+(--($AF12="Ready 2 Submit")),_xlpm.wd,(--($P12="Waiting on Dealer"))+(--($T12="Waiting on Dealer"))+(--($X12="Waiting on Dealer"))+(--($AB12="Waiting on Dealer"))+(--($AF12="Waiting on Dealer")),_xlpm.sb,(--($P12="Submitted"))+(--($T12="Submitted"))+(--($X12="Submitted"))+(--($AB12="Submitted"))+(--($AF12="Submitted")),_xlpm.ap,(--($P12="Approved"))+(--($T12="Approved"))+(--($X12="Approved"))+(--($AB12="Approved"))+(--($AF12="Approved")),_xlpm.ac,(--($P12="Active"))+(--($T12="Active"))+(--($X12="Active"))+(--($AB12="Active"))+(--($AF12="Active")),_xlpm.dc,(--($P12="Declined"))+(--($T12="Declined"))+(--($X12="Declined"))+(--($AB12="Declined"))+(--($AF12="Declined")),_xlpm.aRS,(--($P12="Active"))*(--($R12="Yes"))+(--($T12="Active"))*(--($V12="Yes"))+(--($X12="Active"))*(--($Z12="Yes"))+(--($AB12="Active"))*(--($AD12="Yes"))+(--($AF12="Active"))*(--($AH12="Yes")),_xlpm.aDn,(--($P12="Active"))*(--($R12="Yes"))*(--((($S12="Yes")+($S12=TRUE))&gt;0))+(--($T12="Active"))*(--($V12="Yes"))*(--((($W12="Yes")+($W12=TRUE))&gt;0))+(--($X12="Active"))*(--($Z12="Yes"))*(--((($AA12="Yes")+($AA12=TRUE))&gt;0))+(--($AB12="Active"))*(--($AD12="Yes"))*(--((($AE12="Yes")+($AE12=TRUE))&gt;0))+(--($AF12="Active"))*(--($AH12="Yes"))*(--((($AI12="Yes")+($AI12=TRUE))&gt;0)),_xlpm.inPlay,_xlpm.ns+_xlpm.wd+_xlpm.sb+_xlpm.ap,IF(AND(_xlpm.ac&gt;0,_xlpm.inPlay=0,_xlpm.aDn=_xlpm.ac),"LIVE DLR",IF(AND(_xlpm.aRS&gt;0,_xlpm.aDn&lt;_xlpm.aRS),"Training",IF(_xlpm.aRS&gt;0,"Active",IF(AND(_xlpm.dc&gt;0,_xlpm.inPlay+_xlpm.ac=0),"Dead",IF(OR($CA12="Yes",$CA12=TRUE),"Rate Sheet",IF(AND($AJ12&lt;&gt;"",$AK12=FALSE),"Waiting on Dealer",IF(_xlpm.sb&gt;0,"Waiting on Lender",IF(AND(_xlpm.ap+_xlpm.ac&gt;0,_xlpm.ns+_xlpm.wd=0),"Rate Sheet","Application Submitted"))))))))))</f>
        <v>Waiting on Lender</v>
      </c>
      <c r="M12" s="101">
        <v>46225</v>
      </c>
      <c r="N12" s="101">
        <v>46280</v>
      </c>
      <c r="O12" s="196" t="s">
        <v>512</v>
      </c>
      <c r="P12" s="85" t="s">
        <v>457</v>
      </c>
      <c r="Q12" s="101">
        <v>46286</v>
      </c>
      <c r="R12" s="85" t="s">
        <v>272</v>
      </c>
      <c r="S12" s="85" t="s">
        <v>272</v>
      </c>
      <c r="T12" s="85" t="s">
        <v>513</v>
      </c>
      <c r="U12" s="101" t="str">
        <f ca="1">IF(OR(U12="",U12=0),IF($T12="Submitted",TODAY(),""),U12)</f>
        <v/>
      </c>
      <c r="V12" s="85" t="s">
        <v>272</v>
      </c>
      <c r="W12" s="85" t="s">
        <v>272</v>
      </c>
      <c r="X12" s="85" t="s">
        <v>499</v>
      </c>
      <c r="Y12" s="101">
        <v>46267</v>
      </c>
      <c r="Z12" s="85" t="s">
        <v>272</v>
      </c>
      <c r="AA12" s="85" t="s">
        <v>272</v>
      </c>
      <c r="AB12" s="85" t="s">
        <v>437</v>
      </c>
      <c r="AC12" s="101" t="str">
        <f ca="1">IF(OR(AC12="",AC12=0),IF($AB12="Submitted",TODAY(),""),AC12)</f>
        <v/>
      </c>
      <c r="AD12" s="85" t="s">
        <v>272</v>
      </c>
      <c r="AE12" s="85" t="s">
        <v>272</v>
      </c>
      <c r="AF12" s="85" t="s">
        <v>437</v>
      </c>
      <c r="AG12" s="101" t="str">
        <f ca="1">IF(OR(AG12="",AG12=0),IF($AF12="Submitted",TODAY(),""),AG12)</f>
        <v/>
      </c>
      <c r="AH12" s="85" t="s">
        <v>272</v>
      </c>
      <c r="AI12" s="85" t="s">
        <v>272</v>
      </c>
      <c r="AJ12" s="196" t="s">
        <v>514</v>
      </c>
      <c r="AK12" s="102" t="b">
        <v>1</v>
      </c>
      <c r="AL12" s="85" cm="1">
        <f t="array" ref="AL12">IF($A12="","",SUMPRODUCT((CHOOSE({1,2,3,4,5},$R12,$V12,$Z12,$AD12,$AH12)="Yes")*(((CHOOSE({1,2,3,4,5},$S12,$W12,$AA12,$AE12,$AI12)="Yes")+(CHOOSE({1,2,3,4,5},$S12,$W12,$AA12,$AE12,$AI12)=TRUE))&gt;0)))</f>
        <v>0</v>
      </c>
      <c r="AM12" s="101">
        <v>46281</v>
      </c>
      <c r="AN12" s="85">
        <f ca="1">IF(OR($A12="",$AM12=""),"",TODAY()-$AM12)</f>
        <v>7</v>
      </c>
      <c r="AO12" s="87"/>
      <c r="AP12" s="106"/>
      <c r="AQ12" s="106"/>
      <c r="AR12" s="106"/>
      <c r="AS12" s="106"/>
      <c r="AT12" s="107">
        <v>36579000</v>
      </c>
      <c r="AU12" s="106"/>
      <c r="AV12" s="106"/>
      <c r="AW12" s="106"/>
      <c r="AX12" s="106"/>
      <c r="AY12" s="106"/>
      <c r="BA12" s="20">
        <v>8</v>
      </c>
      <c r="BD12" s="174"/>
      <c r="BE12" s="174"/>
      <c r="BF12" s="174"/>
      <c r="BG12" s="174"/>
      <c r="BH12" s="174"/>
      <c r="BI12" s="174"/>
      <c r="BJ12" s="174"/>
      <c r="BK12" s="174"/>
      <c r="BL12" s="174"/>
      <c r="BM12" s="174"/>
      <c r="BN12" s="174"/>
      <c r="BO12" s="174"/>
      <c r="BP12" s="174"/>
      <c r="BQ12" s="174"/>
      <c r="BR12" s="174"/>
      <c r="BS12" s="174"/>
      <c r="BT12" s="174"/>
      <c r="BU12" s="174"/>
      <c r="BV12" s="174"/>
      <c r="BW12" s="174"/>
      <c r="BX12" s="174"/>
      <c r="BY12" s="174"/>
      <c r="BZ12" s="127" t="inlineStr">
        <is>
          <t>Unassigned</t>
        </is>
      </c>
      <c r="CA12" s="127" t="inlineStr">
        <is>
          <t>No</t>
        </is>
      </c>
      <c r="CB12" s="131">
        <f>IF($A12="","",_xlfn.LET(_xlpm.sfp,AND($P12&lt;&gt;"",$P12&lt;&gt;"N/A",$P12&lt;&gt;"No Min RQ"),_xlpm.slp,AND($T12&lt;&gt;"",$T12&lt;&gt;"N/A",$T12&lt;&gt;"No Min RQ"),_xlpm.ffp,AND($X12&lt;&gt;"",$X12&lt;&gt;"N/A",$X12&lt;&gt;"No Min RQ"),_xlpm.chp,AND($AB12&lt;&gt;"",$AB12&lt;&gt;"N/A",$AB12&lt;&gt;"No Min RQ"),_xlpm.usp,AND($AF12&lt;&gt;"",$AF12&lt;&gt;"N/A",$AF12&lt;&gt;"No Min RQ"),_xlpm.n,_xlpm.sfp+_xlpm.slp+_xlpm.ffp+_xlpm.chp+_xlpm.usp,_xlpm.sub,(_xlpm.sfp*($P12="Submitted"))+(_xlpm.slp*($T12="Submitted"))+(_xlpm.ffp*($X12="Submitted"))+(_xlpm.chp*($AB12="Submitted"))+(_xlpm.usp*($AF12="Submitted")),_xlpm.term,(_xlpm.sfp*OR($P12="Approved",$P12="Declined"))+(_xlpm.slp*OR($T12="Approved",$T12="Declined"))+(_xlpm.ffp*OR($X12="Approved",$X12="Declined"))+(_xlpm.chp*OR($AB12="Approved",$AB12="Declined"))+(_xlpm.usp*OR($AF12="Approved",$AF12="Declined")),IF(_xlpm.n=0,"No applicable lenders",IF(_xlpm.sub&gt;0,"Stays with Shaw - lender still Submitted",IF(_xlpm.term=_xlpm.n,"Clear - all applicable lenders Approved or Declined","Stays with Shaw - not all lenders Approved or Declined")))))</f>
      </c>
    </row>
    <row r="13" spans="1:81" s="21" customFormat="1" ht="12.75" customHeight="1">
      <c r="A13" s="226" t="s">
        <v>515</v>
      </c>
      <c r="B13" s="206" t="s">
        <v>515</v>
      </c>
      <c r="C13" s="206"/>
      <c r="D13" s="209" t="s">
        <v>516</v>
      </c>
      <c r="E13" s="211" t="s">
        <v>517</v>
      </c>
      <c r="F13" s="210" t="s">
        <v>518</v>
      </c>
      <c r="G13" s="206" t="s">
        <v>509</v>
      </c>
      <c r="H13" s="210" t="s">
        <v>510</v>
      </c>
      <c r="I13" s="206" t="s">
        <v>519</v>
      </c>
      <c r="J13" s="212"/>
      <c r="K13" s="207">
        <v>2</v>
      </c>
      <c r="L13" s="207" t="str">
        <f>IF($A13="","",_xlfn.LET(_xlpm.ns,(--($P13="Ready 2 Submit"))+(--($T13="Ready 2 Submit"))+(--($X13="Ready 2 Submit"))+(--($AB13="Ready 2 Submit"))+(--($AF13="Ready 2 Submit")),_xlpm.wd,(--($P13="Waiting on Dealer"))+(--($T13="Waiting on Dealer"))+(--($X13="Waiting on Dealer"))+(--($AB13="Waiting on Dealer"))+(--($AF13="Waiting on Dealer")),_xlpm.sb,(--($P13="Submitted"))+(--($T13="Submitted"))+(--($X13="Submitted"))+(--($AB13="Submitted"))+(--($AF13="Submitted")),_xlpm.ap,(--($P13="Approved"))+(--($T13="Approved"))+(--($X13="Approved"))+(--($AB13="Approved"))+(--($AF13="Approved")),_xlpm.ac,(--($P13="Active"))+(--($T13="Active"))+(--($X13="Active"))+(--($AB13="Active"))+(--($AF13="Active")),_xlpm.dc,(--($P13="Declined"))+(--($T13="Declined"))+(--($X13="Declined"))+(--($AB13="Declined"))+(--($AF13="Declined")),_xlpm.aRS,(--($P13="Active"))*(--($R13="Yes"))+(--($T13="Active"))*(--($V13="Yes"))+(--($X13="Active"))*(--($Z13="Yes"))+(--($AB13="Active"))*(--($AD13="Yes"))+(--($AF13="Active"))*(--($AH13="Yes")),_xlpm.aDn,(--($P13="Active"))*(--($R13="Yes"))*(--((($S13="Yes")+($S13=TRUE))&gt;0))+(--($T13="Active"))*(--($V13="Yes"))*(--((($W13="Yes")+($W13=TRUE))&gt;0))+(--($X13="Active"))*(--($Z13="Yes"))*(--((($AA13="Yes")+($AA13=TRUE))&gt;0))+(--($AB13="Active"))*(--($AD13="Yes"))*(--((($AE13="Yes")+($AE13=TRUE))&gt;0))+(--($AF13="Active"))*(--($AH13="Yes"))*(--((($AI13="Yes")+($AI13=TRUE))&gt;0)),_xlpm.inPlay,_xlpm.ns+_xlpm.wd+_xlpm.sb+_xlpm.ap,IF(AND(_xlpm.ac&gt;0,_xlpm.inPlay=0,_xlpm.aDn=_xlpm.ac),"LIVE DLR",IF(AND(_xlpm.aRS&gt;0,_xlpm.aDn&lt;_xlpm.aRS),"Training",IF(_xlpm.aRS&gt;0,"Active",IF(AND(_xlpm.dc&gt;0,_xlpm.inPlay+_xlpm.ac=0),"Dead",IF(OR($CA13="Yes",$CA13=TRUE),"Rate Sheet",IF(AND($AJ13&lt;&gt;"",$AK13=FALSE),"Waiting on Dealer",IF(_xlpm.sb&gt;0,"Waiting on Lender",IF(AND(_xlpm.ap+_xlpm.ac&gt;0,_xlpm.ns+_xlpm.wd=0),"Rate Sheet","Application Submitted"))))))))))</f>
        <v>Dead</v>
      </c>
      <c r="M13" s="208">
        <v>46230</v>
      </c>
      <c r="N13" s="208"/>
      <c r="O13" s="206" t="s">
        <v>512</v>
      </c>
      <c r="P13" s="207" t="s">
        <v>448</v>
      </c>
      <c r="Q13" s="208" t="str">
        <f ca="1">IF(OR(Q13="",Q13=0),IF($P13="Submitted",TODAY(),""),Q13)</f>
        <v/>
      </c>
      <c r="R13" s="207" t="s">
        <v>272</v>
      </c>
      <c r="S13" s="207" t="s">
        <v>272</v>
      </c>
      <c r="T13" s="207" t="s">
        <v>448</v>
      </c>
      <c r="U13" s="208" t="str">
        <f ca="1">IF(OR(U13="",U13=0),IF($T13="Submitted",TODAY(),""),U13)</f>
        <v/>
      </c>
      <c r="V13" s="207" t="s">
        <v>272</v>
      </c>
      <c r="W13" s="207" t="s">
        <v>272</v>
      </c>
      <c r="X13" s="207" t="s">
        <v>448</v>
      </c>
      <c r="Y13" s="208" t="str">
        <f ca="1">IF(OR(Y13="",Y13=0),IF($X13="Submitted",TODAY(),""),Y13)</f>
        <v/>
      </c>
      <c r="Z13" s="207" t="s">
        <v>272</v>
      </c>
      <c r="AA13" s="207" t="s">
        <v>272</v>
      </c>
      <c r="AB13" s="207" t="s">
        <v>437</v>
      </c>
      <c r="AC13" s="208" t="str">
        <f ca="1">IF(OR(AC13="",AC13=0),IF($AB13="Submitted",TODAY(),""),AC13)</f>
        <v/>
      </c>
      <c r="AD13" s="207" t="s">
        <v>272</v>
      </c>
      <c r="AE13" s="207" t="s">
        <v>272</v>
      </c>
      <c r="AF13" s="207" t="s">
        <v>437</v>
      </c>
      <c r="AG13" s="208" t="str">
        <f ca="1">IF(OR(AG13="",AG13=0),IF($AF13="Submitted",TODAY(),""),AG13)</f>
        <v/>
      </c>
      <c r="AH13" s="207" t="s">
        <v>272</v>
      </c>
      <c r="AI13" s="207" t="s">
        <v>272</v>
      </c>
      <c r="AJ13" s="206" t="s">
        <v>520</v>
      </c>
      <c r="AK13" s="213" t="b">
        <v>1</v>
      </c>
      <c r="AL13" s="207" cm="1">
        <f t="array" ref="AL13">IF($A13="","",SUMPRODUCT((CHOOSE({1,2,3,4,5},$R13,$V13,$Z13,$AD13,$AH13)="Yes")*(((CHOOSE({1,2,3,4,5},$S13,$W13,$AA13,$AE13,$AI13)="Yes")+(CHOOSE({1,2,3,4,5},$S13,$W13,$AA13,$AE13,$AI13)=TRUE))&gt;0)))</f>
        <v>0</v>
      </c>
      <c r="AM13" s="208">
        <v>46265</v>
      </c>
      <c r="AN13" s="207">
        <f ca="1">IF(OR($A13="",$AM13=""),"",TODAY()-$AM13)</f>
        <v>23</v>
      </c>
      <c r="AO13" s="209"/>
      <c r="AP13" s="214"/>
      <c r="AQ13" s="214"/>
      <c r="AR13" s="214"/>
      <c r="AS13" s="214"/>
      <c r="AT13" s="214"/>
      <c r="AU13" s="214"/>
      <c r="AV13" s="214"/>
      <c r="AW13" s="214"/>
      <c r="AX13" s="214"/>
      <c r="AY13" s="214"/>
      <c r="BA13" s="21">
        <v>9</v>
      </c>
      <c r="BD13" s="175"/>
      <c r="BE13" s="175"/>
      <c r="BF13" s="175"/>
      <c r="BG13" s="175"/>
      <c r="BH13" s="175"/>
      <c r="BI13" s="175"/>
      <c r="BJ13" s="175"/>
      <c r="BK13" s="175"/>
      <c r="BL13" s="175"/>
      <c r="BM13" s="175"/>
      <c r="BN13" s="175"/>
      <c r="BO13" s="175"/>
      <c r="BP13" s="175"/>
      <c r="BQ13" s="175"/>
      <c r="BR13" s="175"/>
      <c r="BS13" s="175"/>
      <c r="BT13" s="175"/>
      <c r="BU13" s="175"/>
      <c r="BV13" s="175"/>
      <c r="BW13" s="175"/>
      <c r="BX13" s="175"/>
      <c r="BY13" s="175"/>
      <c r="BZ13" s="127" t="inlineStr">
        <is>
          <t>Unassigned</t>
        </is>
      </c>
      <c r="CA13" s="127" t="inlineStr">
        <is>
          <t>No</t>
        </is>
      </c>
      <c r="CB13" s="131">
        <f>IF($A13="","",_xlfn.LET(_xlpm.sfp,AND($P13&lt;&gt;"",$P13&lt;&gt;"N/A",$P13&lt;&gt;"No Min RQ"),_xlpm.slp,AND($T13&lt;&gt;"",$T13&lt;&gt;"N/A",$T13&lt;&gt;"No Min RQ"),_xlpm.ffp,AND($X13&lt;&gt;"",$X13&lt;&gt;"N/A",$X13&lt;&gt;"No Min RQ"),_xlpm.chp,AND($AB13&lt;&gt;"",$AB13&lt;&gt;"N/A",$AB13&lt;&gt;"No Min RQ"),_xlpm.usp,AND($AF13&lt;&gt;"",$AF13&lt;&gt;"N/A",$AF13&lt;&gt;"No Min RQ"),_xlpm.n,_xlpm.sfp+_xlpm.slp+_xlpm.ffp+_xlpm.chp+_xlpm.usp,_xlpm.sub,(_xlpm.sfp*($P13="Submitted"))+(_xlpm.slp*($T13="Submitted"))+(_xlpm.ffp*($X13="Submitted"))+(_xlpm.chp*($AB13="Submitted"))+(_xlpm.usp*($AF13="Submitted")),_xlpm.term,(_xlpm.sfp*OR($P13="Approved",$P13="Declined"))+(_xlpm.slp*OR($T13="Approved",$T13="Declined"))+(_xlpm.ffp*OR($X13="Approved",$X13="Declined"))+(_xlpm.chp*OR($AB13="Approved",$AB13="Declined"))+(_xlpm.usp*OR($AF13="Approved",$AF13="Declined")),IF(_xlpm.n=0,"No applicable lenders",IF(_xlpm.sub&gt;0,"Stays with Shaw - lender still Submitted",IF(_xlpm.term=_xlpm.n,"Clear - all applicable lenders Approved or Declined","Stays with Shaw - not all lenders Approved or Declined")))))</f>
      </c>
    </row>
    <row r="14" spans="1:81" s="20" customFormat="1" ht="38.25">
      <c r="A14" s="225" t="s">
        <v>521</v>
      </c>
      <c r="B14" s="99" t="s">
        <v>522</v>
      </c>
      <c r="C14" s="99"/>
      <c r="D14" s="197" t="s">
        <v>523</v>
      </c>
      <c r="E14" s="88" t="s">
        <v>524</v>
      </c>
      <c r="F14" s="203" t="s">
        <v>525</v>
      </c>
      <c r="G14" s="100" t="s">
        <v>465</v>
      </c>
      <c r="H14" s="194" t="s">
        <v>466</v>
      </c>
      <c r="I14" s="99" t="s">
        <v>526</v>
      </c>
      <c r="J14" s="107"/>
      <c r="K14" s="85">
        <v>1</v>
      </c>
      <c r="L14" s="85" t="str">
        <f>IF($A14="","",_xlfn.LET(_xlpm.ns,(--($P14="Ready 2 Submit"))+(--($T14="Ready 2 Submit"))+(--($X14="Ready 2 Submit"))+(--($AB14="Ready 2 Submit"))+(--($AF14="Ready 2 Submit")),_xlpm.wd,(--($P14="Waiting on Dealer"))+(--($T14="Waiting on Dealer"))+(--($X14="Waiting on Dealer"))+(--($AB14="Waiting on Dealer"))+(--($AF14="Waiting on Dealer")),_xlpm.sb,(--($P14="Submitted"))+(--($T14="Submitted"))+(--($X14="Submitted"))+(--($AB14="Submitted"))+(--($AF14="Submitted")),_xlpm.ap,(--($P14="Approved"))+(--($T14="Approved"))+(--($X14="Approved"))+(--($AB14="Approved"))+(--($AF14="Approved")),_xlpm.ac,(--($P14="Active"))+(--($T14="Active"))+(--($X14="Active"))+(--($AB14="Active"))+(--($AF14="Active")),_xlpm.dc,(--($P14="Declined"))+(--($T14="Declined"))+(--($X14="Declined"))+(--($AB14="Declined"))+(--($AF14="Declined")),_xlpm.aRS,(--($P14="Active"))*(--($R14="Yes"))+(--($T14="Active"))*(--($V14="Yes"))+(--($X14="Active"))*(--($Z14="Yes"))+(--($AB14="Active"))*(--($AD14="Yes"))+(--($AF14="Active"))*(--($AH14="Yes")),_xlpm.aDn,(--($P14="Active"))*(--($R14="Yes"))*(--((($S14="Yes")+($S14=TRUE))&gt;0))+(--($T14="Active"))*(--($V14="Yes"))*(--((($W14="Yes")+($W14=TRUE))&gt;0))+(--($X14="Active"))*(--($Z14="Yes"))*(--((($AA14="Yes")+($AA14=TRUE))&gt;0))+(--($AB14="Active"))*(--($AD14="Yes"))*(--((($AE14="Yes")+($AE14=TRUE))&gt;0))+(--($AF14="Active"))*(--($AH14="Yes"))*(--((($AI14="Yes")+($AI14=TRUE))&gt;0)),_xlpm.inPlay,_xlpm.ns+_xlpm.wd+_xlpm.sb+_xlpm.ap,IF(AND(_xlpm.ac&gt;0,_xlpm.inPlay=0,_xlpm.aDn=_xlpm.ac),"LIVE DLR",IF(AND(_xlpm.aRS&gt;0,_xlpm.aDn&lt;_xlpm.aRS),"Training",IF(_xlpm.aRS&gt;0,"Active",IF(AND(_xlpm.dc&gt;0,_xlpm.inPlay+_xlpm.ac=0),"Dead",IF(OR($CA14="Yes",$CA14=TRUE),"Rate Sheet",IF(AND($AJ14&lt;&gt;"",$AK14=FALSE),"Waiting on Dealer",IF(_xlpm.sb&gt;0,"Waiting on Lender",IF(AND(_xlpm.ap+_xlpm.ac&gt;0,_xlpm.ns+_xlpm.wd=0),"Rate Sheet","Application Submitted"))))))))))</f>
        <v>Rate Sheet</v>
      </c>
      <c r="M14" s="101">
        <v>46231</v>
      </c>
      <c r="N14" s="101">
        <v>46280</v>
      </c>
      <c r="O14" s="196" t="s">
        <v>527</v>
      </c>
      <c r="P14" s="85" t="s">
        <v>435</v>
      </c>
      <c r="Q14" s="101">
        <v>46274</v>
      </c>
      <c r="R14" s="85" t="s">
        <v>272</v>
      </c>
      <c r="S14" s="85" t="s">
        <v>272</v>
      </c>
      <c r="T14" s="85" t="s">
        <v>435</v>
      </c>
      <c r="U14" s="101">
        <v>46274</v>
      </c>
      <c r="V14" s="85" t="s">
        <v>272</v>
      </c>
      <c r="W14" s="85" t="s">
        <v>272</v>
      </c>
      <c r="X14" s="85" t="s">
        <v>448</v>
      </c>
      <c r="Y14" s="101" t="str">
        <f ca="1">IF(OR(Y14="",Y14=0),IF($X14="Submitted",TODAY(),""),Y14)</f>
        <v/>
      </c>
      <c r="Z14" s="85" t="s">
        <v>272</v>
      </c>
      <c r="AA14" s="85" t="s">
        <v>272</v>
      </c>
      <c r="AB14" s="85" t="s">
        <v>437</v>
      </c>
      <c r="AC14" s="101" t="str">
        <f ca="1">IF(OR(AC14="",AC14=0),IF($AB14="Submitted",TODAY(),""),AC14)</f>
        <v/>
      </c>
      <c r="AD14" s="85" t="s">
        <v>272</v>
      </c>
      <c r="AE14" s="85" t="s">
        <v>272</v>
      </c>
      <c r="AF14" s="85" t="s">
        <v>437</v>
      </c>
      <c r="AG14" s="101" t="str">
        <f ca="1">IF(OR(AG14="",AG14=0),IF($AF14="Submitted",TODAY(),""),AG14)</f>
        <v/>
      </c>
      <c r="AH14" s="85" t="s">
        <v>272</v>
      </c>
      <c r="AI14" s="85" t="s">
        <v>272</v>
      </c>
      <c r="AJ14" s="196" t="s">
        <v>528</v>
      </c>
      <c r="AK14" s="102" t="b">
        <v>1</v>
      </c>
      <c r="AL14" s="85" cm="1">
        <f t="array" ref="AL14">IF($A14="","",SUMPRODUCT((CHOOSE({1,2,3,4,5},$R14,$V14,$Z14,$AD14,$AH14)="Yes")*(((CHOOSE({1,2,3,4,5},$S14,$W14,$AA14,$AE14,$AI14)="Yes")+(CHOOSE({1,2,3,4,5},$S14,$W14,$AA14,$AE14,$AI14)=TRUE))&gt;0)))</f>
        <v>0</v>
      </c>
      <c r="AM14" s="101">
        <v>46273</v>
      </c>
      <c r="AN14" s="85">
        <f ca="1">IF(OR($A14="",$AM14=""),"",TODAY()-$AM14)</f>
        <v>15</v>
      </c>
      <c r="AO14" s="87"/>
      <c r="AP14" s="167">
        <v>227125338</v>
      </c>
      <c r="AQ14" s="167">
        <v>227125338</v>
      </c>
      <c r="AR14" s="152" t="s">
        <v>529</v>
      </c>
      <c r="AS14" s="106"/>
      <c r="AT14" s="106"/>
      <c r="AU14" s="106"/>
      <c r="AV14" s="106"/>
      <c r="AW14" s="106"/>
      <c r="AX14" s="106"/>
      <c r="AY14" s="106"/>
      <c r="BA14" s="20">
        <v>10</v>
      </c>
      <c r="BD14" s="174"/>
      <c r="BE14" s="174"/>
      <c r="BF14" s="174"/>
      <c r="BG14" s="174"/>
      <c r="BH14" s="174"/>
      <c r="BI14" s="174"/>
      <c r="BJ14" s="174"/>
      <c r="BK14" s="174"/>
      <c r="BL14" s="174"/>
      <c r="BM14" s="174"/>
      <c r="BN14" s="174"/>
      <c r="BO14" s="174"/>
      <c r="BP14" s="174"/>
      <c r="BQ14" s="174"/>
      <c r="BR14" s="174"/>
      <c r="BS14" s="174"/>
      <c r="BT14" s="174"/>
      <c r="BU14" s="174"/>
      <c r="BV14" s="174"/>
      <c r="BW14" s="174"/>
      <c r="BX14" s="174"/>
      <c r="BY14" s="174"/>
      <c r="BZ14" s="127" t="inlineStr">
        <is>
          <t>Unassigned</t>
        </is>
      </c>
      <c r="CA14" s="127" t="inlineStr">
        <is>
          <t>No</t>
        </is>
      </c>
      <c r="CB14" s="131">
        <f>IF($A14="","",_xlfn.LET(_xlpm.sfp,AND($P14&lt;&gt;"",$P14&lt;&gt;"N/A",$P14&lt;&gt;"No Min RQ"),_xlpm.slp,AND($T14&lt;&gt;"",$T14&lt;&gt;"N/A",$T14&lt;&gt;"No Min RQ"),_xlpm.ffp,AND($X14&lt;&gt;"",$X14&lt;&gt;"N/A",$X14&lt;&gt;"No Min RQ"),_xlpm.chp,AND($AB14&lt;&gt;"",$AB14&lt;&gt;"N/A",$AB14&lt;&gt;"No Min RQ"),_xlpm.usp,AND($AF14&lt;&gt;"",$AF14&lt;&gt;"N/A",$AF14&lt;&gt;"No Min RQ"),_xlpm.n,_xlpm.sfp+_xlpm.slp+_xlpm.ffp+_xlpm.chp+_xlpm.usp,_xlpm.sub,(_xlpm.sfp*($P14="Submitted"))+(_xlpm.slp*($T14="Submitted"))+(_xlpm.ffp*($X14="Submitted"))+(_xlpm.chp*($AB14="Submitted"))+(_xlpm.usp*($AF14="Submitted")),_xlpm.term,(_xlpm.sfp*OR($P14="Approved",$P14="Declined"))+(_xlpm.slp*OR($T14="Approved",$T14="Declined"))+(_xlpm.ffp*OR($X14="Approved",$X14="Declined"))+(_xlpm.chp*OR($AB14="Approved",$AB14="Declined"))+(_xlpm.usp*OR($AF14="Approved",$AF14="Declined")),IF(_xlpm.n=0,"No applicable lenders",IF(_xlpm.sub&gt;0,"Stays with Shaw - lender still Submitted",IF(_xlpm.term=_xlpm.n,"Clear - all applicable lenders Approved or Declined","Stays with Shaw - not all lenders Approved or Declined")))))</f>
      </c>
    </row>
    <row r="15" spans="1:81" s="20" customFormat="1" ht="19.5">
      <c r="A15" s="225" t="s">
        <v>530</v>
      </c>
      <c r="B15" s="99" t="s">
        <v>531</v>
      </c>
      <c r="C15" s="99"/>
      <c r="D15" s="197" t="s">
        <v>532</v>
      </c>
      <c r="E15" s="88" t="s">
        <v>533</v>
      </c>
      <c r="F15" s="194" t="s">
        <v>534</v>
      </c>
      <c r="G15" s="100" t="s">
        <v>535</v>
      </c>
      <c r="H15" s="194" t="s">
        <v>536</v>
      </c>
      <c r="I15" s="99" t="s">
        <v>537</v>
      </c>
      <c r="J15" s="107"/>
      <c r="K15" s="85">
        <v>1</v>
      </c>
      <c r="L15" s="85" t="str">
        <f>IF($A15="","",_xlfn.LET(_xlpm.ns,(--($P15="Ready 2 Submit"))+(--($T15="Ready 2 Submit"))+(--($X15="Ready 2 Submit"))+(--($AB15="Ready 2 Submit"))+(--($AF15="Ready 2 Submit")),_xlpm.wd,(--($P15="Waiting on Dealer"))+(--($T15="Waiting on Dealer"))+(--($X15="Waiting on Dealer"))+(--($AB15="Waiting on Dealer"))+(--($AF15="Waiting on Dealer")),_xlpm.sb,(--($P15="Submitted"))+(--($T15="Submitted"))+(--($X15="Submitted"))+(--($AB15="Submitted"))+(--($AF15="Submitted")),_xlpm.ap,(--($P15="Approved"))+(--($T15="Approved"))+(--($X15="Approved"))+(--($AB15="Approved"))+(--($AF15="Approved")),_xlpm.ac,(--($P15="Active"))+(--($T15="Active"))+(--($X15="Active"))+(--($AB15="Active"))+(--($AF15="Active")),_xlpm.dc,(--($P15="Declined"))+(--($T15="Declined"))+(--($X15="Declined"))+(--($AB15="Declined"))+(--($AF15="Declined")),_xlpm.aRS,(--($P15="Active"))*(--($R15="Yes"))+(--($T15="Active"))*(--($V15="Yes"))+(--($X15="Active"))*(--($Z15="Yes"))+(--($AB15="Active"))*(--($AD15="Yes"))+(--($AF15="Active"))*(--($AH15="Yes")),_xlpm.aDn,(--($P15="Active"))*(--($R15="Yes"))*(--((($S15="Yes")+($S15=TRUE))&gt;0))+(--($T15="Active"))*(--($V15="Yes"))*(--((($W15="Yes")+($W15=TRUE))&gt;0))+(--($X15="Active"))*(--($Z15="Yes"))*(--((($AA15="Yes")+($AA15=TRUE))&gt;0))+(--($AB15="Active"))*(--($AD15="Yes"))*(--((($AE15="Yes")+($AE15=TRUE))&gt;0))+(--($AF15="Active"))*(--($AH15="Yes"))*(--((($AI15="Yes")+($AI15=TRUE))&gt;0)),_xlpm.inPlay,_xlpm.ns+_xlpm.wd+_xlpm.sb+_xlpm.ap,IF(AND(_xlpm.ac&gt;0,_xlpm.inPlay=0,_xlpm.aDn=_xlpm.ac),"LIVE DLR",IF(AND(_xlpm.aRS&gt;0,_xlpm.aDn&lt;_xlpm.aRS),"Training",IF(_xlpm.aRS&gt;0,"Active",IF(AND(_xlpm.dc&gt;0,_xlpm.inPlay+_xlpm.ac=0),"Dead",IF(OR($CA15="Yes",$CA15=TRUE),"Rate Sheet",IF(AND($AJ15&lt;&gt;"",$AK15=FALSE),"Waiting on Dealer",IF(_xlpm.sb&gt;0,"Waiting on Lender",IF(AND(_xlpm.ap+_xlpm.ac&gt;0,_xlpm.ns+_xlpm.wd=0),"Rate Sheet","Application Submitted"))))))))))</f>
        <v>Rate Sheet</v>
      </c>
      <c r="M15" s="101">
        <v>46234</v>
      </c>
      <c r="N15" s="101">
        <v>46280</v>
      </c>
      <c r="O15" s="196" t="s">
        <v>538</v>
      </c>
      <c r="P15" s="85" t="s">
        <v>435</v>
      </c>
      <c r="Q15" s="101">
        <v>46274</v>
      </c>
      <c r="R15" s="85" t="s">
        <v>272</v>
      </c>
      <c r="S15" s="85" t="s">
        <v>272</v>
      </c>
      <c r="T15" s="85" t="s">
        <v>499</v>
      </c>
      <c r="U15" s="101">
        <v>46274</v>
      </c>
      <c r="V15" s="85" t="s">
        <v>272</v>
      </c>
      <c r="W15" s="85" t="s">
        <v>272</v>
      </c>
      <c r="X15" s="85" t="s">
        <v>435</v>
      </c>
      <c r="Y15" s="101">
        <v>45960</v>
      </c>
      <c r="Z15" s="85" t="s">
        <v>272</v>
      </c>
      <c r="AA15" s="85" t="s">
        <v>272</v>
      </c>
      <c r="AB15" s="85" t="s">
        <v>437</v>
      </c>
      <c r="AC15" s="101" t="str">
        <f ca="1">IF(OR(AC15="",AC15=0),IF($AB15="Submitted",TODAY(),""),AC15)</f>
        <v/>
      </c>
      <c r="AD15" s="85" t="s">
        <v>272</v>
      </c>
      <c r="AE15" s="85" t="s">
        <v>272</v>
      </c>
      <c r="AF15" s="85" t="s">
        <v>437</v>
      </c>
      <c r="AG15" s="101" t="str">
        <f ca="1">IF(OR(AG15="",AG15=0),IF($AF15="Submitted",TODAY(),""),AG15)</f>
        <v/>
      </c>
      <c r="AH15" s="85" t="s">
        <v>272</v>
      </c>
      <c r="AI15" s="85" t="s">
        <v>272</v>
      </c>
      <c r="AJ15" s="196" t="s">
        <v>539</v>
      </c>
      <c r="AK15" s="102" t="b">
        <v>1</v>
      </c>
      <c r="AL15" s="85" cm="1">
        <f t="array" ref="AL15">IF($A15="","",SUMPRODUCT((CHOOSE({1,2,3,4,5},$R15,$V15,$Z15,$AD15,$AH15)="Yes")*(((CHOOSE({1,2,3,4,5},$S15,$W15,$AA15,$AE15,$AI15)="Yes")+(CHOOSE({1,2,3,4,5},$S15,$W15,$AA15,$AE15,$AI15)=TRUE))&gt;0)))</f>
        <v>0</v>
      </c>
      <c r="AM15" s="101">
        <v>46273</v>
      </c>
      <c r="AN15" s="85">
        <f ca="1">IF(OR($A15="",$AM15=""),"",TODAY()-$AM15)</f>
        <v>15</v>
      </c>
      <c r="AO15" s="87"/>
      <c r="AP15" s="169">
        <v>815133226</v>
      </c>
      <c r="AQ15" s="106" t="s">
        <v>207</v>
      </c>
      <c r="AR15" s="106"/>
      <c r="AS15" s="106"/>
      <c r="AT15" s="231">
        <v>34146000</v>
      </c>
      <c r="AU15" s="106" t="s">
        <v>207</v>
      </c>
      <c r="AV15" s="106"/>
      <c r="AW15" s="106"/>
      <c r="AX15" s="106"/>
      <c r="AY15" s="106"/>
      <c r="BA15" s="20">
        <v>11</v>
      </c>
      <c r="BD15" s="174"/>
      <c r="BE15" s="174"/>
      <c r="BF15" s="174"/>
      <c r="BG15" s="174"/>
      <c r="BH15" s="174"/>
      <c r="BI15" s="174"/>
      <c r="BJ15" s="174"/>
      <c r="BK15" s="174"/>
      <c r="BL15" s="174"/>
      <c r="BM15" s="174"/>
      <c r="BN15" s="174"/>
      <c r="BO15" s="174"/>
      <c r="BP15" s="174"/>
      <c r="BQ15" s="174"/>
      <c r="BR15" s="174"/>
      <c r="BS15" s="174"/>
      <c r="BT15" s="174"/>
      <c r="BU15" s="174"/>
      <c r="BV15" s="174"/>
      <c r="BW15" s="174"/>
      <c r="BX15" s="174"/>
      <c r="BY15" s="174"/>
      <c r="BZ15" s="127" t="inlineStr">
        <is>
          <t>Unassigned</t>
        </is>
      </c>
      <c r="CA15" s="127" t="inlineStr">
        <is>
          <t>No</t>
        </is>
      </c>
      <c r="CB15" s="131">
        <f>IF($A15="","",_xlfn.LET(_xlpm.sfp,AND($P15&lt;&gt;"",$P15&lt;&gt;"N/A",$P15&lt;&gt;"No Min RQ"),_xlpm.slp,AND($T15&lt;&gt;"",$T15&lt;&gt;"N/A",$T15&lt;&gt;"No Min RQ"),_xlpm.ffp,AND($X15&lt;&gt;"",$X15&lt;&gt;"N/A",$X15&lt;&gt;"No Min RQ"),_xlpm.chp,AND($AB15&lt;&gt;"",$AB15&lt;&gt;"N/A",$AB15&lt;&gt;"No Min RQ"),_xlpm.usp,AND($AF15&lt;&gt;"",$AF15&lt;&gt;"N/A",$AF15&lt;&gt;"No Min RQ"),_xlpm.n,_xlpm.sfp+_xlpm.slp+_xlpm.ffp+_xlpm.chp+_xlpm.usp,_xlpm.sub,(_xlpm.sfp*($P15="Submitted"))+(_xlpm.slp*($T15="Submitted"))+(_xlpm.ffp*($X15="Submitted"))+(_xlpm.chp*($AB15="Submitted"))+(_xlpm.usp*($AF15="Submitted")),_xlpm.term,(_xlpm.sfp*OR($P15="Approved",$P15="Declined"))+(_xlpm.slp*OR($T15="Approved",$T15="Declined"))+(_xlpm.ffp*OR($X15="Approved",$X15="Declined"))+(_xlpm.chp*OR($AB15="Approved",$AB15="Declined"))+(_xlpm.usp*OR($AF15="Approved",$AF15="Declined")),IF(_xlpm.n=0,"No applicable lenders",IF(_xlpm.sub&gt;0,"Stays with Shaw - lender still Submitted",IF(_xlpm.term=_xlpm.n,"Clear - all applicable lenders Approved or Declined","Stays with Shaw - not all lenders Approved or Declined")))))</f>
      </c>
    </row>
    <row r="16" spans="1:81" s="20" customFormat="1" ht="19.5">
      <c r="A16" s="225" t="s">
        <v>540</v>
      </c>
      <c r="B16" s="99" t="s">
        <v>540</v>
      </c>
      <c r="C16" s="99" t="s">
        <v>485</v>
      </c>
      <c r="D16" s="197" t="s">
        <v>541</v>
      </c>
      <c r="E16" s="88" t="s">
        <v>542</v>
      </c>
      <c r="F16" s="194" t="s">
        <v>543</v>
      </c>
      <c r="G16" s="100" t="s">
        <v>465</v>
      </c>
      <c r="H16" s="194" t="s">
        <v>466</v>
      </c>
      <c r="I16" s="99" t="s">
        <v>537</v>
      </c>
      <c r="J16" s="107"/>
      <c r="K16" s="85">
        <v>1</v>
      </c>
      <c r="L16" s="85" t="str">
        <f>IF($A16="","",_xlfn.LET(_xlpm.ns,(--($P16="Ready 2 Submit"))+(--($T16="Ready 2 Submit"))+(--($X16="Ready 2 Submit"))+(--($AB16="Ready 2 Submit"))+(--($AF16="Ready 2 Submit")),_xlpm.wd,(--($P16="Waiting on Dealer"))+(--($T16="Waiting on Dealer"))+(--($X16="Waiting on Dealer"))+(--($AB16="Waiting on Dealer"))+(--($AF16="Waiting on Dealer")),_xlpm.sb,(--($P16="Submitted"))+(--($T16="Submitted"))+(--($X16="Submitted"))+(--($AB16="Submitted"))+(--($AF16="Submitted")),_xlpm.ap,(--($P16="Approved"))+(--($T16="Approved"))+(--($X16="Approved"))+(--($AB16="Approved"))+(--($AF16="Approved")),_xlpm.ac,(--($P16="Active"))+(--($T16="Active"))+(--($X16="Active"))+(--($AB16="Active"))+(--($AF16="Active")),_xlpm.dc,(--($P16="Declined"))+(--($T16="Declined"))+(--($X16="Declined"))+(--($AB16="Declined"))+(--($AF16="Declined")),_xlpm.aRS,(--($P16="Active"))*(--($R16="Yes"))+(--($T16="Active"))*(--($V16="Yes"))+(--($X16="Active"))*(--($Z16="Yes"))+(--($AB16="Active"))*(--($AD16="Yes"))+(--($AF16="Active"))*(--($AH16="Yes")),_xlpm.aDn,(--($P16="Active"))*(--($R16="Yes"))*(--((($S16="Yes")+($S16=TRUE))&gt;0))+(--($T16="Active"))*(--($V16="Yes"))*(--((($W16="Yes")+($W16=TRUE))&gt;0))+(--($X16="Active"))*(--($Z16="Yes"))*(--((($AA16="Yes")+($AA16=TRUE))&gt;0))+(--($AB16="Active"))*(--($AD16="Yes"))*(--((($AE16="Yes")+($AE16=TRUE))&gt;0))+(--($AF16="Active"))*(--($AH16="Yes"))*(--((($AI16="Yes")+($AI16=TRUE))&gt;0)),_xlpm.inPlay,_xlpm.ns+_xlpm.wd+_xlpm.sb+_xlpm.ap,IF(AND(_xlpm.ac&gt;0,_xlpm.inPlay=0,_xlpm.aDn=_xlpm.ac),"LIVE DLR",IF(AND(_xlpm.aRS&gt;0,_xlpm.aDn&lt;_xlpm.aRS),"Training",IF(_xlpm.aRS&gt;0,"Active",IF(AND(_xlpm.dc&gt;0,_xlpm.inPlay+_xlpm.ac=0),"Dead",IF(OR($CA16="Yes",$CA16=TRUE),"Rate Sheet",IF(AND($AJ16&lt;&gt;"",$AK16=FALSE),"Waiting on Dealer",IF(_xlpm.sb&gt;0,"Waiting on Lender",IF(AND(_xlpm.ap+_xlpm.ac&gt;0,_xlpm.ns+_xlpm.wd=0),"Rate Sheet","Application Submitted"))))))))))</f>
        <v>Waiting on Dealer</v>
      </c>
      <c r="M16" s="101">
        <v>46237</v>
      </c>
      <c r="N16" s="101">
        <v>46280</v>
      </c>
      <c r="O16" s="196"/>
      <c r="P16" s="85" t="str">
        <f>IF($A16="","",IF($AK16=TRUE,"Ready 2 Submit","Waiting on Dealer"))</f>
        <v>Waiting on Dealer</v>
      </c>
      <c r="Q16" s="101" t="str">
        <f ca="1">IF(OR(Q16="",Q16=0),IF($P16="Submitted",TODAY(),""),Q16)</f>
        <v/>
      </c>
      <c r="R16" s="85" t="s">
        <v>272</v>
      </c>
      <c r="S16" s="85" t="s">
        <v>272</v>
      </c>
      <c r="T16" s="85" t="s">
        <v>448</v>
      </c>
      <c r="U16" s="101" t="str">
        <f ca="1">IF(OR(U16="",U16=0),IF($T16="Submitted",TODAY(),""),U16)</f>
        <v/>
      </c>
      <c r="V16" s="85" t="s">
        <v>272</v>
      </c>
      <c r="W16" s="85" t="s">
        <v>272</v>
      </c>
      <c r="X16" s="85" t="str">
        <f>IF($A16="","",IF($AK16=TRUE,"Ready 2 Submit","Waiting on Dealer"))</f>
        <v>Waiting on Dealer</v>
      </c>
      <c r="Y16" s="101" t="str">
        <f ca="1">IF(OR(Y16="",Y16=0),IF($X16="Submitted",TODAY(),""),Y16)</f>
        <v/>
      </c>
      <c r="Z16" s="85" t="s">
        <v>272</v>
      </c>
      <c r="AA16" s="85" t="s">
        <v>272</v>
      </c>
      <c r="AB16" s="85" t="s">
        <v>437</v>
      </c>
      <c r="AC16" s="101" t="str">
        <f ca="1">IF(OR(AC16="",AC16=0),IF($AB16="Submitted",TODAY(),""),AC16)</f>
        <v/>
      </c>
      <c r="AD16" s="85" t="s">
        <v>272</v>
      </c>
      <c r="AE16" s="85" t="s">
        <v>272</v>
      </c>
      <c r="AF16" s="85" t="s">
        <v>437</v>
      </c>
      <c r="AG16" s="101" t="str">
        <f ca="1">IF(OR(AG16="",AG16=0),IF($AF16="Submitted",TODAY(),""),AG16)</f>
        <v/>
      </c>
      <c r="AH16" s="85" t="s">
        <v>272</v>
      </c>
      <c r="AI16" s="85" t="s">
        <v>272</v>
      </c>
      <c r="AJ16" s="196" t="s">
        <v>544</v>
      </c>
      <c r="AK16" s="102" t="b">
        <v>0</v>
      </c>
      <c r="AL16" s="85" cm="1">
        <f t="array" ref="AL16">IF($A16="","",SUMPRODUCT((CHOOSE({1,2,3,4,5},$R16,$V16,$Z16,$AD16,$AH16)="Yes")*(((CHOOSE({1,2,3,4,5},$S16,$W16,$AA16,$AE16,$AI16)="Yes")+(CHOOSE({1,2,3,4,5},$S16,$W16,$AA16,$AE16,$AI16)=TRUE))&gt;0)))</f>
        <v>0</v>
      </c>
      <c r="AM16" s="101">
        <v>46287</v>
      </c>
      <c r="AN16" s="85">
        <f ca="1">IF(OR($A16="",$AM16=""),"",TODAY()-$AM16)</f>
        <v>1</v>
      </c>
      <c r="AO16" s="87"/>
      <c r="AP16" s="106"/>
      <c r="AQ16" s="106"/>
      <c r="AR16" s="106"/>
      <c r="AS16" s="106"/>
      <c r="AT16" s="106"/>
      <c r="AU16" s="106"/>
      <c r="AV16" s="106"/>
      <c r="AW16" s="106"/>
      <c r="AX16" s="106"/>
      <c r="AY16" s="106"/>
      <c r="BA16" s="20">
        <v>12</v>
      </c>
      <c r="BD16" s="174"/>
      <c r="BE16" s="174"/>
      <c r="BF16" s="174"/>
      <c r="BG16" s="174"/>
      <c r="BH16" s="174"/>
      <c r="BI16" s="174"/>
      <c r="BJ16" s="174"/>
      <c r="BK16" s="174"/>
      <c r="BL16" s="174"/>
      <c r="BM16" s="174"/>
      <c r="BN16" s="174"/>
      <c r="BO16" s="174"/>
      <c r="BP16" s="174"/>
      <c r="BQ16" s="174"/>
      <c r="BR16" s="174"/>
      <c r="BS16" s="174"/>
      <c r="BT16" s="174"/>
      <c r="BU16" s="174"/>
      <c r="BV16" s="174"/>
      <c r="BW16" s="174"/>
      <c r="BX16" s="174"/>
      <c r="BY16" s="174"/>
      <c r="BZ16" s="127" t="inlineStr">
        <is>
          <t>Unassigned</t>
        </is>
      </c>
      <c r="CA16" s="127" t="inlineStr">
        <is>
          <t>No</t>
        </is>
      </c>
      <c r="CB16" s="131">
        <f>IF($A16="","",_xlfn.LET(_xlpm.sfp,AND($P16&lt;&gt;"",$P16&lt;&gt;"N/A",$P16&lt;&gt;"No Min RQ"),_xlpm.slp,AND($T16&lt;&gt;"",$T16&lt;&gt;"N/A",$T16&lt;&gt;"No Min RQ"),_xlpm.ffp,AND($X16&lt;&gt;"",$X16&lt;&gt;"N/A",$X16&lt;&gt;"No Min RQ"),_xlpm.chp,AND($AB16&lt;&gt;"",$AB16&lt;&gt;"N/A",$AB16&lt;&gt;"No Min RQ"),_xlpm.usp,AND($AF16&lt;&gt;"",$AF16&lt;&gt;"N/A",$AF16&lt;&gt;"No Min RQ"),_xlpm.n,_xlpm.sfp+_xlpm.slp+_xlpm.ffp+_xlpm.chp+_xlpm.usp,_xlpm.sub,(_xlpm.sfp*($P16="Submitted"))+(_xlpm.slp*($T16="Submitted"))+(_xlpm.ffp*($X16="Submitted"))+(_xlpm.chp*($AB16="Submitted"))+(_xlpm.usp*($AF16="Submitted")),_xlpm.term,(_xlpm.sfp*OR($P16="Approved",$P16="Declined"))+(_xlpm.slp*OR($T16="Approved",$T16="Declined"))+(_xlpm.ffp*OR($X16="Approved",$X16="Declined"))+(_xlpm.chp*OR($AB16="Approved",$AB16="Declined"))+(_xlpm.usp*OR($AF16="Approved",$AF16="Declined")),IF(_xlpm.n=0,"No applicable lenders",IF(_xlpm.sub&gt;0,"Stays with Shaw - lender still Submitted",IF(_xlpm.term=_xlpm.n,"Clear - all applicable lenders Approved or Declined","Stays with Shaw - not all lenders Approved or Declined")))))</f>
      </c>
    </row>
    <row r="17" spans="1:81" s="20" customFormat="1" ht="38.25">
      <c r="A17" s="225" t="s">
        <v>545</v>
      </c>
      <c r="B17" s="99" t="s">
        <v>546</v>
      </c>
      <c r="C17" s="99"/>
      <c r="D17" s="197" t="s">
        <v>547</v>
      </c>
      <c r="E17" s="88" t="s">
        <v>548</v>
      </c>
      <c r="F17" s="194" t="s">
        <v>549</v>
      </c>
      <c r="G17" s="100" t="s">
        <v>550</v>
      </c>
      <c r="H17" s="194" t="s">
        <v>551</v>
      </c>
      <c r="I17" s="99" t="s">
        <v>552</v>
      </c>
      <c r="J17" s="107"/>
      <c r="K17" s="85">
        <v>3</v>
      </c>
      <c r="L17" s="85" t="str">
        <f>IF($A17="","",_xlfn.LET(_xlpm.ns,(--($P17="Ready 2 Submit"))+(--($T17="Ready 2 Submit"))+(--($X17="Ready 2 Submit"))+(--($AB17="Ready 2 Submit"))+(--($AF17="Ready 2 Submit")),_xlpm.wd,(--($P17="Waiting on Dealer"))+(--($T17="Waiting on Dealer"))+(--($X17="Waiting on Dealer"))+(--($AB17="Waiting on Dealer"))+(--($AF17="Waiting on Dealer")),_xlpm.sb,(--($P17="Submitted"))+(--($T17="Submitted"))+(--($X17="Submitted"))+(--($AB17="Submitted"))+(--($AF17="Submitted")),_xlpm.ap,(--($P17="Approved"))+(--($T17="Approved"))+(--($X17="Approved"))+(--($AB17="Approved"))+(--($AF17="Approved")),_xlpm.ac,(--($P17="Active"))+(--($T17="Active"))+(--($X17="Active"))+(--($AB17="Active"))+(--($AF17="Active")),_xlpm.dc,(--($P17="Declined"))+(--($T17="Declined"))+(--($X17="Declined"))+(--($AB17="Declined"))+(--($AF17="Declined")),_xlpm.aRS,(--($P17="Active"))*(--($R17="Yes"))+(--($T17="Active"))*(--($V17="Yes"))+(--($X17="Active"))*(--($Z17="Yes"))+(--($AB17="Active"))*(--($AD17="Yes"))+(--($AF17="Active"))*(--($AH17="Yes")),_xlpm.aDn,(--($P17="Active"))*(--($R17="Yes"))*(--((($S17="Yes")+($S17=TRUE))&gt;0))+(--($T17="Active"))*(--($V17="Yes"))*(--((($W17="Yes")+($W17=TRUE))&gt;0))+(--($X17="Active"))*(--($Z17="Yes"))*(--((($AA17="Yes")+($AA17=TRUE))&gt;0))+(--($AB17="Active"))*(--($AD17="Yes"))*(--((($AE17="Yes")+($AE17=TRUE))&gt;0))+(--($AF17="Active"))*(--($AH17="Yes"))*(--((($AI17="Yes")+($AI17=TRUE))&gt;0)),_xlpm.inPlay,_xlpm.ns+_xlpm.wd+_xlpm.sb+_xlpm.ap,IF(AND(_xlpm.ac&gt;0,_xlpm.inPlay=0,_xlpm.aDn=_xlpm.ac),"LIVE DLR",IF(AND(_xlpm.aRS&gt;0,_xlpm.aDn&lt;_xlpm.aRS),"Training",IF(_xlpm.aRS&gt;0,"Active",IF(AND(_xlpm.dc&gt;0,_xlpm.inPlay+_xlpm.ac=0),"Dead",IF(OR($CA17="Yes",$CA17=TRUE),"Rate Sheet",IF(AND($AJ17&lt;&gt;"",$AK17=FALSE),"Waiting on Dealer",IF(_xlpm.sb&gt;0,"Waiting on Lender",IF(AND(_xlpm.ap+_xlpm.ac&gt;0,_xlpm.ns+_xlpm.wd=0),"Rate Sheet","Application Submitted"))))))))))</f>
        <v>Rate Sheet</v>
      </c>
      <c r="M17" s="101">
        <v>46239</v>
      </c>
      <c r="N17" s="101">
        <v>46280</v>
      </c>
      <c r="O17" s="196" t="s">
        <v>553</v>
      </c>
      <c r="P17" s="85" t="s">
        <v>437</v>
      </c>
      <c r="Q17" s="101" t="str">
        <f ca="1">IF(OR(Q17="",Q17=0),IF($P17="Submitted",TODAY(),""),Q17)</f>
        <v/>
      </c>
      <c r="R17" s="85" t="s">
        <v>272</v>
      </c>
      <c r="S17" s="85" t="s">
        <v>272</v>
      </c>
      <c r="T17" s="85" t="s">
        <v>437</v>
      </c>
      <c r="U17" s="101" t="str">
        <f ca="1">IF(OR(U17="",U17=0),IF($T17="Submitted",TODAY(),""),U17)</f>
        <v/>
      </c>
      <c r="V17" s="85" t="s">
        <v>272</v>
      </c>
      <c r="W17" s="85" t="s">
        <v>272</v>
      </c>
      <c r="X17" s="85" t="s">
        <v>499</v>
      </c>
      <c r="Y17" s="101">
        <v>46259</v>
      </c>
      <c r="Z17" s="85" t="s">
        <v>272</v>
      </c>
      <c r="AA17" s="85" t="s">
        <v>272</v>
      </c>
      <c r="AB17" s="85" t="s">
        <v>437</v>
      </c>
      <c r="AC17" s="101" t="str">
        <f ca="1">IF(OR(AC17="",AC17=0),IF($AB17="Submitted",TODAY(),""),AC17)</f>
        <v/>
      </c>
      <c r="AD17" s="85" t="s">
        <v>272</v>
      </c>
      <c r="AE17" s="85" t="s">
        <v>272</v>
      </c>
      <c r="AF17" s="85" t="s">
        <v>437</v>
      </c>
      <c r="AG17" s="101" t="str">
        <f ca="1">IF(OR(AG17="",AG17=0),IF($AF17="Submitted",TODAY(),""),AG17)</f>
        <v/>
      </c>
      <c r="AH17" s="85" t="s">
        <v>272</v>
      </c>
      <c r="AI17" s="85" t="s">
        <v>272</v>
      </c>
      <c r="AJ17" s="196" t="s">
        <v>554</v>
      </c>
      <c r="AK17" s="102" t="b">
        <v>1</v>
      </c>
      <c r="AL17" s="85" cm="1">
        <f t="array" ref="AL17">IF($A17="","",SUMPRODUCT((CHOOSE({1,2,3,4,5},$R17,$V17,$Z17,$AD17,$AH17)="Yes")*(((CHOOSE({1,2,3,4,5},$S17,$W17,$AA17,$AE17,$AI17)="Yes")+(CHOOSE({1,2,3,4,5},$S17,$W17,$AA17,$AE17,$AI17)=TRUE))&gt;0)))</f>
        <v>0</v>
      </c>
      <c r="AM17" s="101">
        <v>46274</v>
      </c>
      <c r="AN17" s="85">
        <f ca="1">IF(OR($A17="",$AM17=""),"",TODAY()-$AM17)</f>
        <v>14</v>
      </c>
      <c r="AO17" s="87"/>
      <c r="AP17" s="106"/>
      <c r="AQ17" s="106"/>
      <c r="AR17" s="106"/>
      <c r="AS17" s="106"/>
      <c r="AT17" s="232">
        <v>36443000</v>
      </c>
      <c r="AU17" s="106"/>
      <c r="AV17" s="106"/>
      <c r="AW17" s="106"/>
      <c r="AX17" s="106"/>
      <c r="AY17" s="106"/>
      <c r="BA17" s="20">
        <v>13</v>
      </c>
      <c r="BD17" s="174"/>
      <c r="BE17" s="174"/>
      <c r="BF17" s="174"/>
      <c r="BG17" s="174"/>
      <c r="BH17" s="174"/>
      <c r="BI17" s="174"/>
      <c r="BJ17" s="174"/>
      <c r="BK17" s="174"/>
      <c r="BL17" s="174"/>
      <c r="BM17" s="174"/>
      <c r="BN17" s="174"/>
      <c r="BO17" s="174"/>
      <c r="BP17" s="174"/>
      <c r="BQ17" s="174"/>
      <c r="BR17" s="174"/>
      <c r="BS17" s="174"/>
      <c r="BT17" s="174"/>
      <c r="BU17" s="174"/>
      <c r="BV17" s="174"/>
      <c r="BW17" s="174"/>
      <c r="BX17" s="174"/>
      <c r="BY17" s="174"/>
      <c r="BZ17" s="127" t="inlineStr">
        <is>
          <t>Unassigned</t>
        </is>
      </c>
      <c r="CA17" s="127" t="inlineStr">
        <is>
          <t>No</t>
        </is>
      </c>
      <c r="CB17" s="131">
        <f>IF($A17="","",_xlfn.LET(_xlpm.sfp,AND($P17&lt;&gt;"",$P17&lt;&gt;"N/A",$P17&lt;&gt;"No Min RQ"),_xlpm.slp,AND($T17&lt;&gt;"",$T17&lt;&gt;"N/A",$T17&lt;&gt;"No Min RQ"),_xlpm.ffp,AND($X17&lt;&gt;"",$X17&lt;&gt;"N/A",$X17&lt;&gt;"No Min RQ"),_xlpm.chp,AND($AB17&lt;&gt;"",$AB17&lt;&gt;"N/A",$AB17&lt;&gt;"No Min RQ"),_xlpm.usp,AND($AF17&lt;&gt;"",$AF17&lt;&gt;"N/A",$AF17&lt;&gt;"No Min RQ"),_xlpm.n,_xlpm.sfp+_xlpm.slp+_xlpm.ffp+_xlpm.chp+_xlpm.usp,_xlpm.sub,(_xlpm.sfp*($P17="Submitted"))+(_xlpm.slp*($T17="Submitted"))+(_xlpm.ffp*($X17="Submitted"))+(_xlpm.chp*($AB17="Submitted"))+(_xlpm.usp*($AF17="Submitted")),_xlpm.term,(_xlpm.sfp*OR($P17="Approved",$P17="Declined"))+(_xlpm.slp*OR($T17="Approved",$T17="Declined"))+(_xlpm.ffp*OR($X17="Approved",$X17="Declined"))+(_xlpm.chp*OR($AB17="Approved",$AB17="Declined"))+(_xlpm.usp*OR($AF17="Approved",$AF17="Declined")),IF(_xlpm.n=0,"No applicable lenders",IF(_xlpm.sub&gt;0,"Stays with Shaw - lender still Submitted",IF(_xlpm.term=_xlpm.n,"Clear - all applicable lenders Approved or Declined","Stays with Shaw - not all lenders Approved or Declined")))))</f>
      </c>
    </row>
    <row r="18" spans="1:81" s="20" customFormat="1" ht="12.75" customHeight="1">
      <c r="A18" s="226" t="s">
        <v>555</v>
      </c>
      <c r="B18" s="206" t="s">
        <v>556</v>
      </c>
      <c r="C18" s="206"/>
      <c r="D18" s="209" t="s">
        <v>557</v>
      </c>
      <c r="E18" s="211" t="s">
        <v>558</v>
      </c>
      <c r="F18" s="210" t="s">
        <v>559</v>
      </c>
      <c r="G18" s="206" t="s">
        <v>560</v>
      </c>
      <c r="H18" s="210" t="s">
        <v>561</v>
      </c>
      <c r="I18" s="206" t="s">
        <v>562</v>
      </c>
      <c r="J18" s="212"/>
      <c r="K18" s="207">
        <v>2</v>
      </c>
      <c r="L18" s="207" t="str">
        <f>IF($A18="","",_xlfn.LET(_xlpm.ns,(--($P18="Ready 2 Submit"))+(--($T18="Ready 2 Submit"))+(--($X18="Ready 2 Submit"))+(--($AB18="Ready 2 Submit"))+(--($AF18="Ready 2 Submit")),_xlpm.wd,(--($P18="Waiting on Dealer"))+(--($T18="Waiting on Dealer"))+(--($X18="Waiting on Dealer"))+(--($AB18="Waiting on Dealer"))+(--($AF18="Waiting on Dealer")),_xlpm.sb,(--($P18="Submitted"))+(--($T18="Submitted"))+(--($X18="Submitted"))+(--($AB18="Submitted"))+(--($AF18="Submitted")),_xlpm.ap,(--($P18="Approved"))+(--($T18="Approved"))+(--($X18="Approved"))+(--($AB18="Approved"))+(--($AF18="Approved")),_xlpm.ac,(--($P18="Active"))+(--($T18="Active"))+(--($X18="Active"))+(--($AB18="Active"))+(--($AF18="Active")),_xlpm.dc,(--($P18="Declined"))+(--($T18="Declined"))+(--($X18="Declined"))+(--($AB18="Declined"))+(--($AF18="Declined")),_xlpm.aRS,(--($P18="Active"))*(--($R18="Yes"))+(--($T18="Active"))*(--($V18="Yes"))+(--($X18="Active"))*(--($Z18="Yes"))+(--($AB18="Active"))*(--($AD18="Yes"))+(--($AF18="Active"))*(--($AH18="Yes")),_xlpm.aDn,(--($P18="Active"))*(--($R18="Yes"))*(--((($S18="Yes")+($S18=TRUE))&gt;0))+(--($T18="Active"))*(--($V18="Yes"))*(--((($W18="Yes")+($W18=TRUE))&gt;0))+(--($X18="Active"))*(--($Z18="Yes"))*(--((($AA18="Yes")+($AA18=TRUE))&gt;0))+(--($AB18="Active"))*(--($AD18="Yes"))*(--((($AE18="Yes")+($AE18=TRUE))&gt;0))+(--($AF18="Active"))*(--($AH18="Yes"))*(--((($AI18="Yes")+($AI18=TRUE))&gt;0)),_xlpm.inPlay,_xlpm.ns+_xlpm.wd+_xlpm.sb+_xlpm.ap,IF(AND(_xlpm.ac&gt;0,_xlpm.inPlay=0,_xlpm.aDn=_xlpm.ac),"LIVE DLR",IF(AND(_xlpm.aRS&gt;0,_xlpm.aDn&lt;_xlpm.aRS),"Training",IF(_xlpm.aRS&gt;0,"Active",IF(AND(_xlpm.dc&gt;0,_xlpm.inPlay+_xlpm.ac=0),"Dead",IF(OR($CA18="Yes",$CA18=TRUE),"Rate Sheet",IF(AND($AJ18&lt;&gt;"",$AK18=FALSE),"Waiting on Dealer",IF(_xlpm.sb&gt;0,"Waiting on Lender",IF(AND(_xlpm.ap+_xlpm.ac&gt;0,_xlpm.ns+_xlpm.wd=0),"Rate Sheet","Application Submitted"))))))))))</f>
        <v>Dead</v>
      </c>
      <c r="M18" s="208">
        <v>46239</v>
      </c>
      <c r="N18" s="208"/>
      <c r="O18" s="206" t="s">
        <v>563</v>
      </c>
      <c r="P18" s="207" t="s">
        <v>437</v>
      </c>
      <c r="Q18" s="208" t="str">
        <f ca="1">IF(OR(Q18="",Q18=0),IF($P18="Submitted",TODAY(),""),Q18)</f>
        <v/>
      </c>
      <c r="R18" s="207" t="s">
        <v>437</v>
      </c>
      <c r="S18" s="207" t="s">
        <v>272</v>
      </c>
      <c r="T18" s="207" t="s">
        <v>437</v>
      </c>
      <c r="U18" s="208" t="str">
        <f ca="1">IF(OR(U18="",U18=0),IF($T18="Submitted",TODAY(),""),U18)</f>
        <v/>
      </c>
      <c r="V18" s="207" t="s">
        <v>437</v>
      </c>
      <c r="W18" s="207" t="s">
        <v>272</v>
      </c>
      <c r="X18" s="207" t="s">
        <v>448</v>
      </c>
      <c r="Y18" s="208" t="str">
        <f ca="1">IF(OR(Y18="",Y18=0),IF($X18="Submitted",TODAY(),""),Y18)</f>
        <v/>
      </c>
      <c r="Z18" s="207" t="s">
        <v>272</v>
      </c>
      <c r="AA18" s="207" t="s">
        <v>272</v>
      </c>
      <c r="AB18" s="207" t="s">
        <v>437</v>
      </c>
      <c r="AC18" s="208" t="str">
        <f ca="1">IF(OR(AC18="",AC18=0),IF($AB18="Submitted",TODAY(),""),AC18)</f>
        <v/>
      </c>
      <c r="AD18" s="207" t="s">
        <v>272</v>
      </c>
      <c r="AE18" s="207" t="s">
        <v>272</v>
      </c>
      <c r="AF18" s="207" t="s">
        <v>437</v>
      </c>
      <c r="AG18" s="208" t="str">
        <f ca="1">IF(OR(AG18="",AG18=0),IF($AF18="Submitted",TODAY(),""),AG18)</f>
        <v/>
      </c>
      <c r="AH18" s="207" t="s">
        <v>272</v>
      </c>
      <c r="AI18" s="207" t="s">
        <v>272</v>
      </c>
      <c r="AJ18" s="206" t="s">
        <v>564</v>
      </c>
      <c r="AK18" s="213" t="b">
        <v>1</v>
      </c>
      <c r="AL18" s="207" cm="1">
        <f t="array" ref="AL18">IF($A18="","",SUMPRODUCT((CHOOSE({1,2,3,4,5},$R18,$V18,$Z18,$AD18,$AH18)="Yes")*(((CHOOSE({1,2,3,4,5},$S18,$W18,$AA18,$AE18,$AI18)="Yes")+(CHOOSE({1,2,3,4,5},$S18,$W18,$AA18,$AE18,$AI18)=TRUE))&gt;0)))</f>
        <v>0</v>
      </c>
      <c r="AM18" s="208">
        <v>46266</v>
      </c>
      <c r="AN18" s="207">
        <f ca="1">IF(OR($A18="",$AM18=""),"",TODAY()-$AM18)</f>
        <v>22</v>
      </c>
      <c r="AO18" s="209"/>
      <c r="AP18" s="214"/>
      <c r="AQ18" s="214"/>
      <c r="AR18" s="214"/>
      <c r="AS18" s="214"/>
      <c r="AT18" s="214"/>
      <c r="AU18" s="214"/>
      <c r="AV18" s="214"/>
      <c r="AW18" s="214"/>
      <c r="AX18" s="214"/>
      <c r="AY18" s="214"/>
      <c r="BA18" s="20">
        <v>14</v>
      </c>
      <c r="BD18" s="174"/>
      <c r="BE18" s="174"/>
      <c r="BF18" s="174"/>
      <c r="BG18" s="174"/>
      <c r="BH18" s="174"/>
      <c r="BI18" s="174"/>
      <c r="BJ18" s="174"/>
      <c r="BK18" s="174"/>
      <c r="BL18" s="174"/>
      <c r="BM18" s="174"/>
      <c r="BN18" s="174"/>
      <c r="BO18" s="174"/>
      <c r="BP18" s="174"/>
      <c r="BQ18" s="174"/>
      <c r="BR18" s="174"/>
      <c r="BS18" s="174"/>
      <c r="BT18" s="174"/>
      <c r="BU18" s="174"/>
      <c r="BV18" s="174"/>
      <c r="BW18" s="174"/>
      <c r="BX18" s="174"/>
      <c r="BY18" s="174"/>
      <c r="BZ18" s="127" t="inlineStr">
        <is>
          <t>Unassigned</t>
        </is>
      </c>
      <c r="CA18" s="127" t="inlineStr">
        <is>
          <t>No</t>
        </is>
      </c>
      <c r="CB18" s="131">
        <f>IF($A18="","",_xlfn.LET(_xlpm.sfp,AND($P18&lt;&gt;"",$P18&lt;&gt;"N/A",$P18&lt;&gt;"No Min RQ"),_xlpm.slp,AND($T18&lt;&gt;"",$T18&lt;&gt;"N/A",$T18&lt;&gt;"No Min RQ"),_xlpm.ffp,AND($X18&lt;&gt;"",$X18&lt;&gt;"N/A",$X18&lt;&gt;"No Min RQ"),_xlpm.chp,AND($AB18&lt;&gt;"",$AB18&lt;&gt;"N/A",$AB18&lt;&gt;"No Min RQ"),_xlpm.usp,AND($AF18&lt;&gt;"",$AF18&lt;&gt;"N/A",$AF18&lt;&gt;"No Min RQ"),_xlpm.n,_xlpm.sfp+_xlpm.slp+_xlpm.ffp+_xlpm.chp+_xlpm.usp,_xlpm.sub,(_xlpm.sfp*($P18="Submitted"))+(_xlpm.slp*($T18="Submitted"))+(_xlpm.ffp*($X18="Submitted"))+(_xlpm.chp*($AB18="Submitted"))+(_xlpm.usp*($AF18="Submitted")),_xlpm.term,(_xlpm.sfp*OR($P18="Approved",$P18="Declined"))+(_xlpm.slp*OR($T18="Approved",$T18="Declined"))+(_xlpm.ffp*OR($X18="Approved",$X18="Declined"))+(_xlpm.chp*OR($AB18="Approved",$AB18="Declined"))+(_xlpm.usp*OR($AF18="Approved",$AF18="Declined")),IF(_xlpm.n=0,"No applicable lenders",IF(_xlpm.sub&gt;0,"Stays with Shaw - lender still Submitted",IF(_xlpm.term=_xlpm.n,"Clear - all applicable lenders Approved or Declined","Stays with Shaw - not all lenders Approved or Declined")))))</f>
      </c>
    </row>
    <row r="19" spans="1:81" s="20" customFormat="1" ht="38.25">
      <c r="A19" s="225" t="s">
        <v>565</v>
      </c>
      <c r="B19" s="99" t="s">
        <v>566</v>
      </c>
      <c r="C19" s="99"/>
      <c r="D19" s="197" t="s">
        <v>567</v>
      </c>
      <c r="E19" s="108" t="s">
        <v>568</v>
      </c>
      <c r="F19" s="194" t="s">
        <v>569</v>
      </c>
      <c r="G19" s="100" t="s">
        <v>465</v>
      </c>
      <c r="H19" s="194" t="s">
        <v>466</v>
      </c>
      <c r="I19" s="99" t="s">
        <v>537</v>
      </c>
      <c r="J19" s="107"/>
      <c r="K19" s="85">
        <v>1</v>
      </c>
      <c r="L19" s="85" t="str">
        <f>IF($A19="","",_xlfn.LET(_xlpm.ns,(--($P19="Ready 2 Submit"))+(--($T19="Ready 2 Submit"))+(--($X19="Ready 2 Submit"))+(--($AB19="Ready 2 Submit"))+(--($AF19="Ready 2 Submit")),_xlpm.wd,(--($P19="Waiting on Dealer"))+(--($T19="Waiting on Dealer"))+(--($X19="Waiting on Dealer"))+(--($AB19="Waiting on Dealer"))+(--($AF19="Waiting on Dealer")),_xlpm.sb,(--($P19="Submitted"))+(--($T19="Submitted"))+(--($X19="Submitted"))+(--($AB19="Submitted"))+(--($AF19="Submitted")),_xlpm.ap,(--($P19="Approved"))+(--($T19="Approved"))+(--($X19="Approved"))+(--($AB19="Approved"))+(--($AF19="Approved")),_xlpm.ac,(--($P19="Active"))+(--($T19="Active"))+(--($X19="Active"))+(--($AB19="Active"))+(--($AF19="Active")),_xlpm.dc,(--($P19="Declined"))+(--($T19="Declined"))+(--($X19="Declined"))+(--($AB19="Declined"))+(--($AF19="Declined")),_xlpm.aRS,(--($P19="Active"))*(--($R19="Yes"))+(--($T19="Active"))*(--($V19="Yes"))+(--($X19="Active"))*(--($Z19="Yes"))+(--($AB19="Active"))*(--($AD19="Yes"))+(--($AF19="Active"))*(--($AH19="Yes")),_xlpm.aDn,(--($P19="Active"))*(--($R19="Yes"))*(--((($S19="Yes")+($S19=TRUE))&gt;0))+(--($T19="Active"))*(--($V19="Yes"))*(--((($W19="Yes")+($W19=TRUE))&gt;0))+(--($X19="Active"))*(--($Z19="Yes"))*(--((($AA19="Yes")+($AA19=TRUE))&gt;0))+(--($AB19="Active"))*(--($AD19="Yes"))*(--((($AE19="Yes")+($AE19=TRUE))&gt;0))+(--($AF19="Active"))*(--($AH19="Yes"))*(--((($AI19="Yes")+($AI19=TRUE))&gt;0)),_xlpm.inPlay,_xlpm.ns+_xlpm.wd+_xlpm.sb+_xlpm.ap,IF(AND(_xlpm.ac&gt;0,_xlpm.inPlay=0,_xlpm.aDn=_xlpm.ac),"LIVE DLR",IF(AND(_xlpm.aRS&gt;0,_xlpm.aDn&lt;_xlpm.aRS),"Training",IF(_xlpm.aRS&gt;0,"Active",IF(AND(_xlpm.dc&gt;0,_xlpm.inPlay+_xlpm.ac=0),"Dead",IF(OR($CA19="Yes",$CA19=TRUE),"Rate Sheet",IF(AND($AJ19&lt;&gt;"",$AK19=FALSE),"Waiting on Dealer",IF(_xlpm.sb&gt;0,"Waiting on Lender",IF(AND(_xlpm.ap+_xlpm.ac&gt;0,_xlpm.ns+_xlpm.wd=0),"Rate Sheet","Application Submitted"))))))))))</f>
        <v>Waiting on Dealer</v>
      </c>
      <c r="M19" s="101">
        <v>46241</v>
      </c>
      <c r="N19" s="101">
        <v>46280</v>
      </c>
      <c r="O19" s="196" t="s">
        <v>563</v>
      </c>
      <c r="P19" s="85" t="s">
        <v>457</v>
      </c>
      <c r="Q19" s="101">
        <v>46279</v>
      </c>
      <c r="R19" s="85" t="s">
        <v>272</v>
      </c>
      <c r="S19" s="85" t="s">
        <v>272</v>
      </c>
      <c r="T19" s="85" t="s">
        <v>448</v>
      </c>
      <c r="U19" s="101">
        <v>46274</v>
      </c>
      <c r="V19" s="85" t="s">
        <v>272</v>
      </c>
      <c r="W19" s="85" t="s">
        <v>272</v>
      </c>
      <c r="X19" s="85" t="s">
        <v>457</v>
      </c>
      <c r="Y19" s="101">
        <v>46274</v>
      </c>
      <c r="Z19" s="85" t="s">
        <v>272</v>
      </c>
      <c r="AA19" s="85" t="s">
        <v>272</v>
      </c>
      <c r="AB19" s="85" t="s">
        <v>437</v>
      </c>
      <c r="AC19" s="101" t="str">
        <f ca="1">IF(OR(AC19="",AC19=0),IF($AB19="Submitted",TODAY(),""),AC19)</f>
        <v/>
      </c>
      <c r="AD19" s="85" t="s">
        <v>272</v>
      </c>
      <c r="AE19" s="85" t="s">
        <v>272</v>
      </c>
      <c r="AF19" s="85" t="s">
        <v>437</v>
      </c>
      <c r="AG19" s="101" t="str">
        <f ca="1">IF(OR(AG19="",AG19=0),IF($AF19="Submitted",TODAY(),""),AG19)</f>
        <v/>
      </c>
      <c r="AH19" s="85" t="s">
        <v>272</v>
      </c>
      <c r="AI19" s="85" t="s">
        <v>272</v>
      </c>
      <c r="AJ19" s="196" t="s">
        <v>570</v>
      </c>
      <c r="AK19" s="102" t="b">
        <v>0</v>
      </c>
      <c r="AL19" s="85" cm="1">
        <f t="array" ref="AL19">IF($A19="","",SUMPRODUCT((CHOOSE({1,2,3,4,5},$R19,$V19,$Z19,$AD19,$AH19)="Yes")*(((CHOOSE({1,2,3,4,5},$S19,$W19,$AA19,$AE19,$AI19)="Yes")+(CHOOSE({1,2,3,4,5},$S19,$W19,$AA19,$AE19,$AI19)=TRUE))&gt;0)))</f>
        <v>0</v>
      </c>
      <c r="AM19" s="101">
        <v>46287</v>
      </c>
      <c r="AN19" s="85">
        <f ca="1">IF(OR($A19="",$AM19=""),"",TODAY()-$AM19)</f>
        <v>1</v>
      </c>
      <c r="AO19" s="87"/>
      <c r="AP19" s="106"/>
      <c r="AQ19" s="106"/>
      <c r="AR19" s="106"/>
      <c r="AS19" s="106"/>
      <c r="AT19" s="106"/>
      <c r="AU19" s="106"/>
      <c r="AV19" s="106"/>
      <c r="AW19" s="106"/>
      <c r="AX19" s="106"/>
      <c r="AY19" s="106"/>
      <c r="BA19" s="20">
        <v>15</v>
      </c>
      <c r="BD19" s="174"/>
      <c r="BE19" s="174"/>
      <c r="BF19" s="174"/>
      <c r="BG19" s="174"/>
      <c r="BH19" s="174"/>
      <c r="BI19" s="174"/>
      <c r="BJ19" s="174"/>
      <c r="BK19" s="174"/>
      <c r="BL19" s="174"/>
      <c r="BM19" s="174"/>
      <c r="BN19" s="174"/>
      <c r="BO19" s="174"/>
      <c r="BP19" s="174"/>
      <c r="BQ19" s="174"/>
      <c r="BR19" s="174"/>
      <c r="BS19" s="174"/>
      <c r="BT19" s="174"/>
      <c r="BU19" s="174"/>
      <c r="BV19" s="174"/>
      <c r="BW19" s="174"/>
      <c r="BX19" s="174"/>
      <c r="BY19" s="174"/>
      <c r="BZ19" s="127" t="inlineStr">
        <is>
          <t>Unassigned</t>
        </is>
      </c>
      <c r="CA19" s="127" t="inlineStr">
        <is>
          <t>No</t>
        </is>
      </c>
      <c r="CB19" s="131">
        <f>IF($A19="","",_xlfn.LET(_xlpm.sfp,AND($P19&lt;&gt;"",$P19&lt;&gt;"N/A",$P19&lt;&gt;"No Min RQ"),_xlpm.slp,AND($T19&lt;&gt;"",$T19&lt;&gt;"N/A",$T19&lt;&gt;"No Min RQ"),_xlpm.ffp,AND($X19&lt;&gt;"",$X19&lt;&gt;"N/A",$X19&lt;&gt;"No Min RQ"),_xlpm.chp,AND($AB19&lt;&gt;"",$AB19&lt;&gt;"N/A",$AB19&lt;&gt;"No Min RQ"),_xlpm.usp,AND($AF19&lt;&gt;"",$AF19&lt;&gt;"N/A",$AF19&lt;&gt;"No Min RQ"),_xlpm.n,_xlpm.sfp+_xlpm.slp+_xlpm.ffp+_xlpm.chp+_xlpm.usp,_xlpm.sub,(_xlpm.sfp*($P19="Submitted"))+(_xlpm.slp*($T19="Submitted"))+(_xlpm.ffp*($X19="Submitted"))+(_xlpm.chp*($AB19="Submitted"))+(_xlpm.usp*($AF19="Submitted")),_xlpm.term,(_xlpm.sfp*OR($P19="Approved",$P19="Declined"))+(_xlpm.slp*OR($T19="Approved",$T19="Declined"))+(_xlpm.ffp*OR($X19="Approved",$X19="Declined"))+(_xlpm.chp*OR($AB19="Approved",$AB19="Declined"))+(_xlpm.usp*OR($AF19="Approved",$AF19="Declined")),IF(_xlpm.n=0,"No applicable lenders",IF(_xlpm.sub&gt;0,"Stays with Shaw - lender still Submitted",IF(_xlpm.term=_xlpm.n,"Clear - all applicable lenders Approved or Declined","Stays with Shaw - not all lenders Approved or Declined")))))</f>
      </c>
    </row>
    <row r="20" spans="1:81" s="20" customFormat="1" ht="12.75" customHeight="1">
      <c r="A20" s="226" t="s">
        <v>571</v>
      </c>
      <c r="B20" s="206" t="s">
        <v>572</v>
      </c>
      <c r="C20" s="206"/>
      <c r="D20" s="209" t="s">
        <v>573</v>
      </c>
      <c r="E20" s="215" t="s">
        <v>574</v>
      </c>
      <c r="F20" s="210" t="s">
        <v>575</v>
      </c>
      <c r="G20" s="206" t="s">
        <v>535</v>
      </c>
      <c r="H20" s="210" t="s">
        <v>536</v>
      </c>
      <c r="I20" s="206" t="s">
        <v>537</v>
      </c>
      <c r="J20" s="212"/>
      <c r="K20" s="207">
        <v>3</v>
      </c>
      <c r="L20" s="207" t="str">
        <f>IF($A20="","",_xlfn.LET(_xlpm.ns,(--($P20="Ready 2 Submit"))+(--($T20="Ready 2 Submit"))+(--($X20="Ready 2 Submit"))+(--($AB20="Ready 2 Submit"))+(--($AF20="Ready 2 Submit")),_xlpm.wd,(--($P20="Waiting on Dealer"))+(--($T20="Waiting on Dealer"))+(--($X20="Waiting on Dealer"))+(--($AB20="Waiting on Dealer"))+(--($AF20="Waiting on Dealer")),_xlpm.sb,(--($P20="Submitted"))+(--($T20="Submitted"))+(--($X20="Submitted"))+(--($AB20="Submitted"))+(--($AF20="Submitted")),_xlpm.ap,(--($P20="Approved"))+(--($T20="Approved"))+(--($X20="Approved"))+(--($AB20="Approved"))+(--($AF20="Approved")),_xlpm.ac,(--($P20="Active"))+(--($T20="Active"))+(--($X20="Active"))+(--($AB20="Active"))+(--($AF20="Active")),_xlpm.dc,(--($P20="Declined"))+(--($T20="Declined"))+(--($X20="Declined"))+(--($AB20="Declined"))+(--($AF20="Declined")),_xlpm.aRS,(--($P20="Active"))*(--($R20="Yes"))+(--($T20="Active"))*(--($V20="Yes"))+(--($X20="Active"))*(--($Z20="Yes"))+(--($AB20="Active"))*(--($AD20="Yes"))+(--($AF20="Active"))*(--($AH20="Yes")),_xlpm.aDn,(--($P20="Active"))*(--($R20="Yes"))*(--((($S20="Yes")+($S20=TRUE))&gt;0))+(--($T20="Active"))*(--($V20="Yes"))*(--((($W20="Yes")+($W20=TRUE))&gt;0))+(--($X20="Active"))*(--($Z20="Yes"))*(--((($AA20="Yes")+($AA20=TRUE))&gt;0))+(--($AB20="Active"))*(--($AD20="Yes"))*(--((($AE20="Yes")+($AE20=TRUE))&gt;0))+(--($AF20="Active"))*(--($AH20="Yes"))*(--((($AI20="Yes")+($AI20=TRUE))&gt;0)),_xlpm.inPlay,_xlpm.ns+_xlpm.wd+_xlpm.sb+_xlpm.ap,IF(AND(_xlpm.ac&gt;0,_xlpm.inPlay=0,_xlpm.aDn=_xlpm.ac),"LIVE DLR",IF(AND(_xlpm.aRS&gt;0,_xlpm.aDn&lt;_xlpm.aRS),"Training",IF(_xlpm.aRS&gt;0,"Active",IF(AND(_xlpm.dc&gt;0,_xlpm.inPlay+_xlpm.ac=0),"Dead",IF(OR($CA20="Yes",$CA20=TRUE),"Rate Sheet",IF(AND($AJ20&lt;&gt;"",$AK20=FALSE),"Waiting on Dealer",IF(_xlpm.sb&gt;0,"Waiting on Lender",IF(AND(_xlpm.ap+_xlpm.ac&gt;0,_xlpm.ns+_xlpm.wd=0),"Rate Sheet","Application Submitted"))))))))))</f>
        <v>Dead</v>
      </c>
      <c r="M20" s="208">
        <v>46242</v>
      </c>
      <c r="N20" s="208">
        <v>46280</v>
      </c>
      <c r="O20" s="206" t="s">
        <v>576</v>
      </c>
      <c r="P20" s="207" t="s">
        <v>448</v>
      </c>
      <c r="Q20" s="208">
        <v>46279</v>
      </c>
      <c r="R20" s="207" t="s">
        <v>272</v>
      </c>
      <c r="S20" s="207" t="s">
        <v>272</v>
      </c>
      <c r="T20" s="207" t="s">
        <v>437</v>
      </c>
      <c r="U20" s="208" t="str">
        <f ca="1">IF(OR(U20="",U20=0),IF($T20="Submitted",TODAY(),""),U20)</f>
        <v/>
      </c>
      <c r="V20" s="207" t="s">
        <v>272</v>
      </c>
      <c r="W20" s="207" t="s">
        <v>272</v>
      </c>
      <c r="X20" s="207" t="s">
        <v>448</v>
      </c>
      <c r="Y20" s="208" t="str">
        <f ca="1">IF(OR(Y20="",Y20=0),IF($X20="Submitted",TODAY(),""),Y20)</f>
        <v/>
      </c>
      <c r="Z20" s="207" t="s">
        <v>272</v>
      </c>
      <c r="AA20" s="207" t="s">
        <v>272</v>
      </c>
      <c r="AB20" s="207" t="s">
        <v>437</v>
      </c>
      <c r="AC20" s="208" t="str">
        <f ca="1">IF(OR(AC20="",AC20=0),IF($AB20="Submitted",TODAY(),""),AC20)</f>
        <v/>
      </c>
      <c r="AD20" s="207" t="s">
        <v>272</v>
      </c>
      <c r="AE20" s="207" t="s">
        <v>272</v>
      </c>
      <c r="AF20" s="207" t="s">
        <v>437</v>
      </c>
      <c r="AG20" s="208" t="str">
        <f ca="1">IF(OR(AG20="",AG20=0),IF($AF20="Submitted",TODAY(),""),AG20)</f>
        <v/>
      </c>
      <c r="AH20" s="207" t="s">
        <v>272</v>
      </c>
      <c r="AI20" s="207" t="s">
        <v>272</v>
      </c>
      <c r="AJ20" s="206" t="s">
        <v>577</v>
      </c>
      <c r="AK20" s="213" t="b">
        <v>1</v>
      </c>
      <c r="AL20" s="207" cm="1">
        <f t="array" ref="AL20">IF($A20="","",SUMPRODUCT((CHOOSE({1,2,3,4,5},$R20,$V20,$Z20,$AD20,$AH20)="Yes")*(((CHOOSE({1,2,3,4,5},$S20,$W20,$AA20,$AE20,$AI20)="Yes")+(CHOOSE({1,2,3,4,5},$S20,$W20,$AA20,$AE20,$AI20)=TRUE))&gt;0)))</f>
        <v>0</v>
      </c>
      <c r="AM20" s="208">
        <v>46279</v>
      </c>
      <c r="AN20" s="207">
        <f ca="1">IF(OR($A20="",$AM20=""),"",TODAY()-$AM20)</f>
        <v>9</v>
      </c>
      <c r="AO20" s="209"/>
      <c r="AP20" s="214"/>
      <c r="AQ20" s="214"/>
      <c r="AR20" s="214"/>
      <c r="AS20" s="214"/>
      <c r="AT20" s="214"/>
      <c r="AU20" s="214"/>
      <c r="AV20" s="214"/>
      <c r="AW20" s="214"/>
      <c r="AX20" s="214"/>
      <c r="AY20" s="214"/>
      <c r="BA20" s="20">
        <v>16</v>
      </c>
      <c r="BD20" s="174"/>
      <c r="BE20" s="174"/>
      <c r="BF20" s="174"/>
      <c r="BG20" s="174"/>
      <c r="BH20" s="174"/>
      <c r="BI20" s="174"/>
      <c r="BJ20" s="174"/>
      <c r="BK20" s="174"/>
      <c r="BL20" s="174"/>
      <c r="BM20" s="174"/>
      <c r="BN20" s="174"/>
      <c r="BO20" s="174"/>
      <c r="BP20" s="174"/>
      <c r="BQ20" s="174"/>
      <c r="BR20" s="174"/>
      <c r="BS20" s="174"/>
      <c r="BT20" s="174"/>
      <c r="BU20" s="174"/>
      <c r="BV20" s="174"/>
      <c r="BW20" s="174"/>
      <c r="BX20" s="174"/>
      <c r="BY20" s="174"/>
      <c r="BZ20" s="127" t="inlineStr">
        <is>
          <t>Unassigned</t>
        </is>
      </c>
      <c r="CA20" s="127" t="inlineStr">
        <is>
          <t>No</t>
        </is>
      </c>
      <c r="CB20" s="131">
        <f>IF($A20="","",_xlfn.LET(_xlpm.sfp,AND($P20&lt;&gt;"",$P20&lt;&gt;"N/A",$P20&lt;&gt;"No Min RQ"),_xlpm.slp,AND($T20&lt;&gt;"",$T20&lt;&gt;"N/A",$T20&lt;&gt;"No Min RQ"),_xlpm.ffp,AND($X20&lt;&gt;"",$X20&lt;&gt;"N/A",$X20&lt;&gt;"No Min RQ"),_xlpm.chp,AND($AB20&lt;&gt;"",$AB20&lt;&gt;"N/A",$AB20&lt;&gt;"No Min RQ"),_xlpm.usp,AND($AF20&lt;&gt;"",$AF20&lt;&gt;"N/A",$AF20&lt;&gt;"No Min RQ"),_xlpm.n,_xlpm.sfp+_xlpm.slp+_xlpm.ffp+_xlpm.chp+_xlpm.usp,_xlpm.sub,(_xlpm.sfp*($P20="Submitted"))+(_xlpm.slp*($T20="Submitted"))+(_xlpm.ffp*($X20="Submitted"))+(_xlpm.chp*($AB20="Submitted"))+(_xlpm.usp*($AF20="Submitted")),_xlpm.term,(_xlpm.sfp*OR($P20="Approved",$P20="Declined"))+(_xlpm.slp*OR($T20="Approved",$T20="Declined"))+(_xlpm.ffp*OR($X20="Approved",$X20="Declined"))+(_xlpm.chp*OR($AB20="Approved",$AB20="Declined"))+(_xlpm.usp*OR($AF20="Approved",$AF20="Declined")),IF(_xlpm.n=0,"No applicable lenders",IF(_xlpm.sub&gt;0,"Stays with Shaw - lender still Submitted",IF(_xlpm.term=_xlpm.n,"Clear - all applicable lenders Approved or Declined","Stays with Shaw - not all lenders Approved or Declined")))))</f>
      </c>
    </row>
    <row r="21" spans="1:81" s="20" customFormat="1" ht="38.25">
      <c r="A21" s="225" t="s">
        <v>578</v>
      </c>
      <c r="B21" s="99" t="s">
        <v>579</v>
      </c>
      <c r="C21" s="99"/>
      <c r="D21" s="197" t="s">
        <v>580</v>
      </c>
      <c r="E21" s="88" t="s">
        <v>581</v>
      </c>
      <c r="F21" s="194" t="s">
        <v>582</v>
      </c>
      <c r="G21" s="100" t="s">
        <v>583</v>
      </c>
      <c r="H21" s="194" t="s">
        <v>584</v>
      </c>
      <c r="I21" s="99" t="s">
        <v>585</v>
      </c>
      <c r="J21" s="107"/>
      <c r="K21" s="85">
        <v>1</v>
      </c>
      <c r="L21" s="85" t="str">
        <f>IF($A21="","",_xlfn.LET(_xlpm.ns,(--($P21="Ready 2 Submit"))+(--($T21="Ready 2 Submit"))+(--($X21="Ready 2 Submit"))+(--($AB21="Ready 2 Submit"))+(--($AF21="Ready 2 Submit")),_xlpm.wd,(--($P21="Waiting on Dealer"))+(--($T21="Waiting on Dealer"))+(--($X21="Waiting on Dealer"))+(--($AB21="Waiting on Dealer"))+(--($AF21="Waiting on Dealer")),_xlpm.sb,(--($P21="Submitted"))+(--($T21="Submitted"))+(--($X21="Submitted"))+(--($AB21="Submitted"))+(--($AF21="Submitted")),_xlpm.ap,(--($P21="Approved"))+(--($T21="Approved"))+(--($X21="Approved"))+(--($AB21="Approved"))+(--($AF21="Approved")),_xlpm.ac,(--($P21="Active"))+(--($T21="Active"))+(--($X21="Active"))+(--($AB21="Active"))+(--($AF21="Active")),_xlpm.dc,(--($P21="Declined"))+(--($T21="Declined"))+(--($X21="Declined"))+(--($AB21="Declined"))+(--($AF21="Declined")),_xlpm.aRS,(--($P21="Active"))*(--($R21="Yes"))+(--($T21="Active"))*(--($V21="Yes"))+(--($X21="Active"))*(--($Z21="Yes"))+(--($AB21="Active"))*(--($AD21="Yes"))+(--($AF21="Active"))*(--($AH21="Yes")),_xlpm.aDn,(--($P21="Active"))*(--($R21="Yes"))*(--((($S21="Yes")+($S21=TRUE))&gt;0))+(--($T21="Active"))*(--($V21="Yes"))*(--((($W21="Yes")+($W21=TRUE))&gt;0))+(--($X21="Active"))*(--($Z21="Yes"))*(--((($AA21="Yes")+($AA21=TRUE))&gt;0))+(--($AB21="Active"))*(--($AD21="Yes"))*(--((($AE21="Yes")+($AE21=TRUE))&gt;0))+(--($AF21="Active"))*(--($AH21="Yes"))*(--((($AI21="Yes")+($AI21=TRUE))&gt;0)),_xlpm.inPlay,_xlpm.ns+_xlpm.wd+_xlpm.sb+_xlpm.ap,IF(AND(_xlpm.ac&gt;0,_xlpm.inPlay=0,_xlpm.aDn=_xlpm.ac),"LIVE DLR",IF(AND(_xlpm.aRS&gt;0,_xlpm.aDn&lt;_xlpm.aRS),"Training",IF(_xlpm.aRS&gt;0,"Active",IF(AND(_xlpm.dc&gt;0,_xlpm.inPlay+_xlpm.ac=0),"Dead",IF(OR($CA21="Yes",$CA21=TRUE),"Rate Sheet",IF(AND($AJ21&lt;&gt;"",$AK21=FALSE),"Waiting on Dealer",IF(_xlpm.sb&gt;0,"Waiting on Lender",IF(AND(_xlpm.ap+_xlpm.ac&gt;0,_xlpm.ns+_xlpm.wd=0),"Rate Sheet","Application Submitted"))))))))))</f>
        <v>Training</v>
      </c>
      <c r="M21" s="101">
        <v>46305</v>
      </c>
      <c r="N21" s="101">
        <v>46280</v>
      </c>
      <c r="O21" s="196" t="s">
        <v>586</v>
      </c>
      <c r="P21" s="85" t="s">
        <v>499</v>
      </c>
      <c r="Q21" s="101">
        <v>46274</v>
      </c>
      <c r="R21" s="85" t="s">
        <v>272</v>
      </c>
      <c r="S21" s="85" t="s">
        <v>272</v>
      </c>
      <c r="T21" s="85" t="s">
        <v>435</v>
      </c>
      <c r="U21" s="101">
        <v>46274</v>
      </c>
      <c r="V21" s="85" t="s">
        <v>436</v>
      </c>
      <c r="W21" s="85" t="s">
        <v>436</v>
      </c>
      <c r="X21" s="85" t="s">
        <v>435</v>
      </c>
      <c r="Y21" s="101">
        <v>46246</v>
      </c>
      <c r="Z21" s="85" t="s">
        <v>436</v>
      </c>
      <c r="AA21" s="85" t="s">
        <v>272</v>
      </c>
      <c r="AB21" s="85" t="s">
        <v>435</v>
      </c>
      <c r="AC21" s="101">
        <v>46274</v>
      </c>
      <c r="AD21" s="85" t="s">
        <v>436</v>
      </c>
      <c r="AE21" s="85" t="s">
        <v>436</v>
      </c>
      <c r="AF21" s="85" t="s">
        <v>437</v>
      </c>
      <c r="AG21" s="101" t="str">
        <f ca="1">IF(OR(AG21="",AG21=0),IF($AF21="Submitted",TODAY(),""),AG21)</f>
        <v/>
      </c>
      <c r="AH21" s="85" t="s">
        <v>272</v>
      </c>
      <c r="AI21" s="85" t="s">
        <v>272</v>
      </c>
      <c r="AJ21" s="196" t="s">
        <v>587</v>
      </c>
      <c r="AK21" s="102" t="b">
        <v>1</v>
      </c>
      <c r="AL21" s="85" cm="1">
        <f t="array" ref="AL21">IF($A21="","",SUMPRODUCT((CHOOSE({1,2,3,4,5},$R21,$V21,$Z21,$AD21,$AH21)="Yes")*(((CHOOSE({1,2,3,4,5},$S21,$W21,$AA21,$AE21,$AI21)="Yes")+(CHOOSE({1,2,3,4,5},$S21,$W21,$AA21,$AE21,$AI21)=TRUE))&gt;0)))</f>
        <v>2</v>
      </c>
      <c r="AM21" s="101"/>
      <c r="AN21" s="85" t="str">
        <f ca="1">IF(OR($A21="",$AM21=""),"",TODAY()-$AM21)</f>
        <v/>
      </c>
      <c r="AO21" s="87"/>
      <c r="AP21" s="166" t="s">
        <v>588</v>
      </c>
      <c r="AQ21" s="106"/>
      <c r="AR21" s="152" t="s">
        <v>589</v>
      </c>
      <c r="AS21" s="106"/>
      <c r="AT21" s="107" t="s">
        <v>590</v>
      </c>
      <c r="AU21" s="106"/>
      <c r="AV21" s="107" t="s">
        <v>591</v>
      </c>
      <c r="AW21" s="106"/>
      <c r="AX21" s="106"/>
      <c r="AY21" s="106"/>
      <c r="BA21" s="20">
        <v>17</v>
      </c>
      <c r="BD21" s="174"/>
      <c r="BE21" s="174"/>
      <c r="BF21" s="174"/>
      <c r="BG21" s="174"/>
      <c r="BH21" s="174"/>
      <c r="BI21" s="174"/>
      <c r="BJ21" s="174"/>
      <c r="BK21" s="174"/>
      <c r="BL21" s="174"/>
      <c r="BM21" s="174"/>
      <c r="BN21" s="174"/>
      <c r="BO21" s="174"/>
      <c r="BP21" s="174"/>
      <c r="BQ21" s="174"/>
      <c r="BR21" s="174"/>
      <c r="BS21" s="174"/>
      <c r="BT21" s="174"/>
      <c r="BU21" s="174"/>
      <c r="BV21" s="174"/>
      <c r="BW21" s="174"/>
      <c r="BX21" s="174"/>
      <c r="BY21" s="174"/>
      <c r="BZ21" s="127" t="inlineStr">
        <is>
          <t>Unassigned</t>
        </is>
      </c>
      <c r="CA21" s="127" t="inlineStr">
        <is>
          <t>No</t>
        </is>
      </c>
      <c r="CB21" s="131">
        <f>IF($A21="","",_xlfn.LET(_xlpm.sfp,AND($P21&lt;&gt;"",$P21&lt;&gt;"N/A",$P21&lt;&gt;"No Min RQ"),_xlpm.slp,AND($T21&lt;&gt;"",$T21&lt;&gt;"N/A",$T21&lt;&gt;"No Min RQ"),_xlpm.ffp,AND($X21&lt;&gt;"",$X21&lt;&gt;"N/A",$X21&lt;&gt;"No Min RQ"),_xlpm.chp,AND($AB21&lt;&gt;"",$AB21&lt;&gt;"N/A",$AB21&lt;&gt;"No Min RQ"),_xlpm.usp,AND($AF21&lt;&gt;"",$AF21&lt;&gt;"N/A",$AF21&lt;&gt;"No Min RQ"),_xlpm.n,_xlpm.sfp+_xlpm.slp+_xlpm.ffp+_xlpm.chp+_xlpm.usp,_xlpm.sub,(_xlpm.sfp*($P21="Submitted"))+(_xlpm.slp*($T21="Submitted"))+(_xlpm.ffp*($X21="Submitted"))+(_xlpm.chp*($AB21="Submitted"))+(_xlpm.usp*($AF21="Submitted")),_xlpm.term,(_xlpm.sfp*OR($P21="Approved",$P21="Declined"))+(_xlpm.slp*OR($T21="Approved",$T21="Declined"))+(_xlpm.ffp*OR($X21="Approved",$X21="Declined"))+(_xlpm.chp*OR($AB21="Approved",$AB21="Declined"))+(_xlpm.usp*OR($AF21="Approved",$AF21="Declined")),IF(_xlpm.n=0,"No applicable lenders",IF(_xlpm.sub&gt;0,"Stays with Shaw - lender still Submitted",IF(_xlpm.term=_xlpm.n,"Clear - all applicable lenders Approved or Declined","Stays with Shaw - not all lenders Approved or Declined")))))</f>
      </c>
    </row>
    <row r="22" spans="1:81" s="20" customFormat="1" ht="76.5">
      <c r="A22" s="225" t="s">
        <v>592</v>
      </c>
      <c r="B22" s="99" t="s">
        <v>592</v>
      </c>
      <c r="C22" s="99"/>
      <c r="D22" s="197" t="s">
        <v>593</v>
      </c>
      <c r="E22" s="88" t="s">
        <v>594</v>
      </c>
      <c r="F22" s="194" t="s">
        <v>595</v>
      </c>
      <c r="G22" s="100" t="s">
        <v>560</v>
      </c>
      <c r="H22" s="194" t="s">
        <v>561</v>
      </c>
      <c r="I22" s="99" t="s">
        <v>596</v>
      </c>
      <c r="J22" s="107"/>
      <c r="K22" s="85">
        <v>3</v>
      </c>
      <c r="L22" s="85" t="str">
        <f>IF($A22="","",_xlfn.LET(_xlpm.ns,(--($P22="Ready 2 Submit"))+(--($T22="Ready 2 Submit"))+(--($X22="Ready 2 Submit"))+(--($AB22="Ready 2 Submit"))+(--($AF22="Ready 2 Submit")),_xlpm.wd,(--($P22="Waiting on Dealer"))+(--($T22="Waiting on Dealer"))+(--($X22="Waiting on Dealer"))+(--($AB22="Waiting on Dealer"))+(--($AF22="Waiting on Dealer")),_xlpm.sb,(--($P22="Submitted"))+(--($T22="Submitted"))+(--($X22="Submitted"))+(--($AB22="Submitted"))+(--($AF22="Submitted")),_xlpm.ap,(--($P22="Approved"))+(--($T22="Approved"))+(--($X22="Approved"))+(--($AB22="Approved"))+(--($AF22="Approved")),_xlpm.ac,(--($P22="Active"))+(--($T22="Active"))+(--($X22="Active"))+(--($AB22="Active"))+(--($AF22="Active")),_xlpm.dc,(--($P22="Declined"))+(--($T22="Declined"))+(--($X22="Declined"))+(--($AB22="Declined"))+(--($AF22="Declined")),_xlpm.aRS,(--($P22="Active"))*(--($R22="Yes"))+(--($T22="Active"))*(--($V22="Yes"))+(--($X22="Active"))*(--($Z22="Yes"))+(--($AB22="Active"))*(--($AD22="Yes"))+(--($AF22="Active"))*(--($AH22="Yes")),_xlpm.aDn,(--($P22="Active"))*(--($R22="Yes"))*(--((($S22="Yes")+($S22=TRUE))&gt;0))+(--($T22="Active"))*(--($V22="Yes"))*(--((($W22="Yes")+($W22=TRUE))&gt;0))+(--($X22="Active"))*(--($Z22="Yes"))*(--((($AA22="Yes")+($AA22=TRUE))&gt;0))+(--($AB22="Active"))*(--($AD22="Yes"))*(--((($AE22="Yes")+($AE22=TRUE))&gt;0))+(--($AF22="Active"))*(--($AH22="Yes"))*(--((($AI22="Yes")+($AI22=TRUE))&gt;0)),_xlpm.inPlay,_xlpm.ns+_xlpm.wd+_xlpm.sb+_xlpm.ap,IF(AND(_xlpm.ac&gt;0,_xlpm.inPlay=0,_xlpm.aDn=_xlpm.ac),"LIVE DLR",IF(AND(_xlpm.aRS&gt;0,_xlpm.aDn&lt;_xlpm.aRS),"Training",IF(_xlpm.aRS&gt;0,"Active",IF(AND(_xlpm.dc&gt;0,_xlpm.inPlay+_xlpm.ac=0),"Dead",IF(OR($CA22="Yes",$CA22=TRUE),"Rate Sheet",IF(AND($AJ22&lt;&gt;"",$AK22=FALSE),"Waiting on Dealer",IF(_xlpm.sb&gt;0,"Waiting on Lender",IF(AND(_xlpm.ap+_xlpm.ac&gt;0,_xlpm.ns+_xlpm.wd=0),"Rate Sheet","Application Submitted"))))))))))</f>
        <v>Waiting on Lender</v>
      </c>
      <c r="M22" s="101">
        <v>46244</v>
      </c>
      <c r="N22" s="101">
        <v>46280</v>
      </c>
      <c r="O22" s="196" t="s">
        <v>563</v>
      </c>
      <c r="P22" s="85" t="s">
        <v>457</v>
      </c>
      <c r="Q22" s="101">
        <v>46274</v>
      </c>
      <c r="R22" s="85" t="s">
        <v>272</v>
      </c>
      <c r="S22" s="85" t="s">
        <v>272</v>
      </c>
      <c r="T22" s="85" t="s">
        <v>513</v>
      </c>
      <c r="U22" s="101">
        <v>46274</v>
      </c>
      <c r="V22" s="85" t="s">
        <v>272</v>
      </c>
      <c r="W22" s="85" t="s">
        <v>272</v>
      </c>
      <c r="X22" s="85" t="s">
        <v>457</v>
      </c>
      <c r="Y22" s="101">
        <f ca="1">IF(OR(Y22="",Y22=0),IF($X22="Submitted",TODAY(),""),Y22)</f>
        <v>46286</v>
      </c>
      <c r="Z22" s="85" t="s">
        <v>272</v>
      </c>
      <c r="AA22" s="85" t="s">
        <v>272</v>
      </c>
      <c r="AB22" s="85" t="s">
        <v>437</v>
      </c>
      <c r="AC22" s="101" t="str">
        <f ca="1">IF(OR(AC22="",AC22=0),IF($AB22="Submitted",TODAY(),""),AC22)</f>
        <v/>
      </c>
      <c r="AD22" s="85" t="s">
        <v>272</v>
      </c>
      <c r="AE22" s="85" t="s">
        <v>272</v>
      </c>
      <c r="AF22" s="85" t="s">
        <v>437</v>
      </c>
      <c r="AG22" s="101" t="str">
        <f ca="1">IF(OR(AG22="",AG22=0),IF($AF22="Submitted",TODAY(),""),AG22)</f>
        <v/>
      </c>
      <c r="AH22" s="85" t="s">
        <v>272</v>
      </c>
      <c r="AI22" s="85" t="s">
        <v>272</v>
      </c>
      <c r="AJ22" s="196" t="s">
        <v>597</v>
      </c>
      <c r="AK22" s="102" t="b">
        <v>1</v>
      </c>
      <c r="AL22" s="85" cm="1">
        <f t="array" ref="AL22">IF($A22="","",SUMPRODUCT((CHOOSE({1,2,3,4,5},$R22,$V22,$Z22,$AD22,$AH22)="Yes")*(((CHOOSE({1,2,3,4,5},$S22,$W22,$AA22,$AE22,$AI22)="Yes")+(CHOOSE({1,2,3,4,5},$S22,$W22,$AA22,$AE22,$AI22)=TRUE))&gt;0)))</f>
        <v>0</v>
      </c>
      <c r="AM22" s="101"/>
      <c r="AN22" s="85" t="str">
        <f ca="1">IF(OR($A22="",$AM22=""),"",TODAY()-$AM22)</f>
        <v/>
      </c>
      <c r="AO22" s="87"/>
      <c r="AP22" s="106"/>
      <c r="AQ22" s="106"/>
      <c r="AR22" s="106"/>
      <c r="AS22" s="106"/>
      <c r="AT22" s="106"/>
      <c r="AU22" s="106"/>
      <c r="AV22" s="106"/>
      <c r="AW22" s="106"/>
      <c r="AX22" s="106"/>
      <c r="AY22" s="106"/>
      <c r="BA22" s="20">
        <v>18</v>
      </c>
      <c r="BD22" s="174"/>
      <c r="BE22" s="174"/>
      <c r="BF22" s="174"/>
      <c r="BG22" s="174"/>
      <c r="BH22" s="174"/>
      <c r="BI22" s="174"/>
      <c r="BJ22" s="174"/>
      <c r="BK22" s="174"/>
      <c r="BL22" s="174"/>
      <c r="BM22" s="174"/>
      <c r="BN22" s="174"/>
      <c r="BO22" s="174"/>
      <c r="BP22" s="174"/>
      <c r="BQ22" s="174"/>
      <c r="BR22" s="174"/>
      <c r="BS22" s="174"/>
      <c r="BT22" s="174"/>
      <c r="BU22" s="174"/>
      <c r="BV22" s="174"/>
      <c r="BW22" s="174"/>
      <c r="BX22" s="174"/>
      <c r="BY22" s="174"/>
      <c r="BZ22" s="127" t="inlineStr">
        <is>
          <t>Unassigned</t>
        </is>
      </c>
      <c r="CA22" s="127" t="inlineStr">
        <is>
          <t>No</t>
        </is>
      </c>
      <c r="CB22" s="131">
        <f>IF($A22="","",_xlfn.LET(_xlpm.sfp,AND($P22&lt;&gt;"",$P22&lt;&gt;"N/A",$P22&lt;&gt;"No Min RQ"),_xlpm.slp,AND($T22&lt;&gt;"",$T22&lt;&gt;"N/A",$T22&lt;&gt;"No Min RQ"),_xlpm.ffp,AND($X22&lt;&gt;"",$X22&lt;&gt;"N/A",$X22&lt;&gt;"No Min RQ"),_xlpm.chp,AND($AB22&lt;&gt;"",$AB22&lt;&gt;"N/A",$AB22&lt;&gt;"No Min RQ"),_xlpm.usp,AND($AF22&lt;&gt;"",$AF22&lt;&gt;"N/A",$AF22&lt;&gt;"No Min RQ"),_xlpm.n,_xlpm.sfp+_xlpm.slp+_xlpm.ffp+_xlpm.chp+_xlpm.usp,_xlpm.sub,(_xlpm.sfp*($P22="Submitted"))+(_xlpm.slp*($T22="Submitted"))+(_xlpm.ffp*($X22="Submitted"))+(_xlpm.chp*($AB22="Submitted"))+(_xlpm.usp*($AF22="Submitted")),_xlpm.term,(_xlpm.sfp*OR($P22="Approved",$P22="Declined"))+(_xlpm.slp*OR($T22="Approved",$T22="Declined"))+(_xlpm.ffp*OR($X22="Approved",$X22="Declined"))+(_xlpm.chp*OR($AB22="Approved",$AB22="Declined"))+(_xlpm.usp*OR($AF22="Approved",$AF22="Declined")),IF(_xlpm.n=0,"No applicable lenders",IF(_xlpm.sub&gt;0,"Stays with Shaw - lender still Submitted",IF(_xlpm.term=_xlpm.n,"Clear - all applicable lenders Approved or Declined","Stays with Shaw - not all lenders Approved or Declined")))))</f>
      </c>
    </row>
    <row r="23" spans="1:81" s="20" customFormat="1" ht="38.25">
      <c r="A23" s="225" t="s">
        <v>598</v>
      </c>
      <c r="B23" s="99" t="s">
        <v>599</v>
      </c>
      <c r="C23" s="99"/>
      <c r="D23" s="197" t="s">
        <v>600</v>
      </c>
      <c r="E23" s="88" t="s">
        <v>601</v>
      </c>
      <c r="F23" s="194" t="s">
        <v>602</v>
      </c>
      <c r="G23" s="100" t="s">
        <v>603</v>
      </c>
      <c r="H23" s="194" t="s">
        <v>604</v>
      </c>
      <c r="I23" s="99" t="s">
        <v>537</v>
      </c>
      <c r="J23" s="107"/>
      <c r="K23" s="85">
        <v>3</v>
      </c>
      <c r="L23" s="85" t="str">
        <f>IF($A23="","",_xlfn.LET(_xlpm.ns,(--($P23="Ready 2 Submit"))+(--($T23="Ready 2 Submit"))+(--($X23="Ready 2 Submit"))+(--($AB23="Ready 2 Submit"))+(--($AF23="Ready 2 Submit")),_xlpm.wd,(--($P23="Waiting on Dealer"))+(--($T23="Waiting on Dealer"))+(--($X23="Waiting on Dealer"))+(--($AB23="Waiting on Dealer"))+(--($AF23="Waiting on Dealer")),_xlpm.sb,(--($P23="Submitted"))+(--($T23="Submitted"))+(--($X23="Submitted"))+(--($AB23="Submitted"))+(--($AF23="Submitted")),_xlpm.ap,(--($P23="Approved"))+(--($T23="Approved"))+(--($X23="Approved"))+(--($AB23="Approved"))+(--($AF23="Approved")),_xlpm.ac,(--($P23="Active"))+(--($T23="Active"))+(--($X23="Active"))+(--($AB23="Active"))+(--($AF23="Active")),_xlpm.dc,(--($P23="Declined"))+(--($T23="Declined"))+(--($X23="Declined"))+(--($AB23="Declined"))+(--($AF23="Declined")),_xlpm.aRS,(--($P23="Active"))*(--($R23="Yes"))+(--($T23="Active"))*(--($V23="Yes"))+(--($X23="Active"))*(--($Z23="Yes"))+(--($AB23="Active"))*(--($AD23="Yes"))+(--($AF23="Active"))*(--($AH23="Yes")),_xlpm.aDn,(--($P23="Active"))*(--($R23="Yes"))*(--((($S23="Yes")+($S23=TRUE))&gt;0))+(--($T23="Active"))*(--($V23="Yes"))*(--((($W23="Yes")+($W23=TRUE))&gt;0))+(--($X23="Active"))*(--($Z23="Yes"))*(--((($AA23="Yes")+($AA23=TRUE))&gt;0))+(--($AB23="Active"))*(--($AD23="Yes"))*(--((($AE23="Yes")+($AE23=TRUE))&gt;0))+(--($AF23="Active"))*(--($AH23="Yes"))*(--((($AI23="Yes")+($AI23=TRUE))&gt;0)),_xlpm.inPlay,_xlpm.ns+_xlpm.wd+_xlpm.sb+_xlpm.ap,IF(AND(_xlpm.ac&gt;0,_xlpm.inPlay=0,_xlpm.aDn=_xlpm.ac),"LIVE DLR",IF(AND(_xlpm.aRS&gt;0,_xlpm.aDn&lt;_xlpm.aRS),"Training",IF(_xlpm.aRS&gt;0,"Active",IF(AND(_xlpm.dc&gt;0,_xlpm.inPlay+_xlpm.ac=0),"Dead",IF(OR($CA23="Yes",$CA23=TRUE),"Rate Sheet",IF(AND($AJ23&lt;&gt;"",$AK23=FALSE),"Waiting on Dealer",IF(_xlpm.sb&gt;0,"Waiting on Lender",IF(AND(_xlpm.ap+_xlpm.ac&gt;0,_xlpm.ns+_xlpm.wd=0),"Rate Sheet","Application Submitted"))))))))))</f>
        <v>Waiting on Dealer</v>
      </c>
      <c r="M23" s="101">
        <v>46245</v>
      </c>
      <c r="N23" s="101">
        <v>46280</v>
      </c>
      <c r="O23" s="196" t="s">
        <v>553</v>
      </c>
      <c r="P23" s="85" t="str">
        <f>IF($A23="","",IF($AK23=TRUE,"Ready 2 Submit","Waiting on Dealer"))</f>
        <v>Waiting on Dealer</v>
      </c>
      <c r="Q23" s="101" t="str">
        <f ca="1">IF(OR(Q23="",Q23=0),IF($P23="Submitted",TODAY(),""),Q23)</f>
        <v/>
      </c>
      <c r="R23" s="85" t="s">
        <v>272</v>
      </c>
      <c r="S23" s="85" t="s">
        <v>272</v>
      </c>
      <c r="T23" s="85" t="str">
        <f>IF($A23="","",IF($AK23=TRUE,"Ready 2 Submit","Waiting on Dealer"))</f>
        <v>Waiting on Dealer</v>
      </c>
      <c r="U23" s="101" t="str">
        <f ca="1">IF(OR(U23="",U23=0),IF($T23="Submitted",TODAY(),""),U23)</f>
        <v/>
      </c>
      <c r="V23" s="85" t="s">
        <v>272</v>
      </c>
      <c r="W23" s="85" t="s">
        <v>272</v>
      </c>
      <c r="X23" s="85" t="str">
        <f>IF($A23="","",IF($AK23=TRUE,"Ready 2 Submit","Waiting on Dealer"))</f>
        <v>Waiting on Dealer</v>
      </c>
      <c r="Y23" s="101" t="str">
        <f ca="1">IF(OR(Y23="",Y23=0),IF($X23="Submitted",TODAY(),""),Y23)</f>
        <v/>
      </c>
      <c r="Z23" s="85" t="s">
        <v>272</v>
      </c>
      <c r="AA23" s="85" t="s">
        <v>272</v>
      </c>
      <c r="AB23" s="85" t="s">
        <v>437</v>
      </c>
      <c r="AC23" s="101" t="str">
        <f ca="1">IF(OR(AC23="",AC23=0),IF($AB23="Submitted",TODAY(),""),AC23)</f>
        <v/>
      </c>
      <c r="AD23" s="85" t="s">
        <v>272</v>
      </c>
      <c r="AE23" s="85" t="s">
        <v>272</v>
      </c>
      <c r="AF23" s="85" t="s">
        <v>437</v>
      </c>
      <c r="AG23" s="101" t="str">
        <f ca="1">IF(OR(AG23="",AG23=0),IF($AF23="Submitted",TODAY(),""),AG23)</f>
        <v/>
      </c>
      <c r="AH23" s="85" t="s">
        <v>272</v>
      </c>
      <c r="AI23" s="85" t="s">
        <v>272</v>
      </c>
      <c r="AJ23" s="196" t="s">
        <v>605</v>
      </c>
      <c r="AK23" s="102" t="b">
        <v>0</v>
      </c>
      <c r="AL23" s="85" cm="1">
        <f t="array" ref="AL23">IF($A23="","",SUMPRODUCT((CHOOSE({1,2,3,4,5},$R23,$V23,$Z23,$AD23,$AH23)="Yes")*(((CHOOSE({1,2,3,4,5},$S23,$W23,$AA23,$AE23,$AI23)="Yes")+(CHOOSE({1,2,3,4,5},$S23,$W23,$AA23,$AE23,$AI23)=TRUE))&gt;0)))</f>
        <v>0</v>
      </c>
      <c r="AM23" s="101">
        <v>46287</v>
      </c>
      <c r="AN23" s="85">
        <f ca="1">IF(OR($A23="",$AM23=""),"",TODAY()-$AM23)</f>
        <v>1</v>
      </c>
      <c r="AO23" s="87"/>
      <c r="AP23" s="106"/>
      <c r="AQ23" s="106"/>
      <c r="AR23" s="106"/>
      <c r="AS23" s="106"/>
      <c r="AT23" s="106"/>
      <c r="AU23" s="106"/>
      <c r="AV23" s="106"/>
      <c r="AW23" s="106"/>
      <c r="AX23" s="106"/>
      <c r="AY23" s="106"/>
      <c r="BA23" s="20">
        <v>19</v>
      </c>
      <c r="BD23" s="174"/>
      <c r="BE23" s="174"/>
      <c r="BF23" s="174"/>
      <c r="BG23" s="174"/>
      <c r="BH23" s="174"/>
      <c r="BI23" s="174"/>
      <c r="BJ23" s="174"/>
      <c r="BK23" s="174"/>
      <c r="BL23" s="174"/>
      <c r="BM23" s="174"/>
      <c r="BN23" s="174"/>
      <c r="BO23" s="174"/>
      <c r="BP23" s="174"/>
      <c r="BQ23" s="174"/>
      <c r="BR23" s="174"/>
      <c r="BS23" s="174"/>
      <c r="BT23" s="174"/>
      <c r="BU23" s="174"/>
      <c r="BV23" s="174"/>
      <c r="BW23" s="174"/>
      <c r="BX23" s="174"/>
      <c r="BY23" s="174"/>
      <c r="BZ23" s="127" t="inlineStr">
        <is>
          <t>Unassigned</t>
        </is>
      </c>
      <c r="CA23" s="127" t="inlineStr">
        <is>
          <t>No</t>
        </is>
      </c>
      <c r="CB23" s="131">
        <f>IF($A23="","",_xlfn.LET(_xlpm.sfp,AND($P23&lt;&gt;"",$P23&lt;&gt;"N/A",$P23&lt;&gt;"No Min RQ"),_xlpm.slp,AND($T23&lt;&gt;"",$T23&lt;&gt;"N/A",$T23&lt;&gt;"No Min RQ"),_xlpm.ffp,AND($X23&lt;&gt;"",$X23&lt;&gt;"N/A",$X23&lt;&gt;"No Min RQ"),_xlpm.chp,AND($AB23&lt;&gt;"",$AB23&lt;&gt;"N/A",$AB23&lt;&gt;"No Min RQ"),_xlpm.usp,AND($AF23&lt;&gt;"",$AF23&lt;&gt;"N/A",$AF23&lt;&gt;"No Min RQ"),_xlpm.n,_xlpm.sfp+_xlpm.slp+_xlpm.ffp+_xlpm.chp+_xlpm.usp,_xlpm.sub,(_xlpm.sfp*($P23="Submitted"))+(_xlpm.slp*($T23="Submitted"))+(_xlpm.ffp*($X23="Submitted"))+(_xlpm.chp*($AB23="Submitted"))+(_xlpm.usp*($AF23="Submitted")),_xlpm.term,(_xlpm.sfp*OR($P23="Approved",$P23="Declined"))+(_xlpm.slp*OR($T23="Approved",$T23="Declined"))+(_xlpm.ffp*OR($X23="Approved",$X23="Declined"))+(_xlpm.chp*OR($AB23="Approved",$AB23="Declined"))+(_xlpm.usp*OR($AF23="Approved",$AF23="Declined")),IF(_xlpm.n=0,"No applicable lenders",IF(_xlpm.sub&gt;0,"Stays with Shaw - lender still Submitted",IF(_xlpm.term=_xlpm.n,"Clear - all applicable lenders Approved or Declined","Stays with Shaw - not all lenders Approved or Declined")))))</f>
      </c>
    </row>
    <row r="24" spans="1:81" s="20" customFormat="1" ht="38.25">
      <c r="A24" s="225" t="s">
        <v>606</v>
      </c>
      <c r="B24" s="99" t="s">
        <v>607</v>
      </c>
      <c r="C24" s="99"/>
      <c r="D24" s="197" t="s">
        <v>608</v>
      </c>
      <c r="E24" s="88" t="s">
        <v>609</v>
      </c>
      <c r="F24" s="194" t="s">
        <v>610</v>
      </c>
      <c r="G24" s="100" t="s">
        <v>611</v>
      </c>
      <c r="H24" s="194" t="s">
        <v>612</v>
      </c>
      <c r="I24" s="99" t="s">
        <v>537</v>
      </c>
      <c r="J24" s="107"/>
      <c r="K24" s="85">
        <v>2</v>
      </c>
      <c r="L24" s="85" t="str">
        <f>IF($A24="","",_xlfn.LET(_xlpm.ns,(--($P24="Ready 2 Submit"))+(--($T24="Ready 2 Submit"))+(--($X24="Ready 2 Submit"))+(--($AB24="Ready 2 Submit"))+(--($AF24="Ready 2 Submit")),_xlpm.wd,(--($P24="Waiting on Dealer"))+(--($T24="Waiting on Dealer"))+(--($X24="Waiting on Dealer"))+(--($AB24="Waiting on Dealer"))+(--($AF24="Waiting on Dealer")),_xlpm.sb,(--($P24="Submitted"))+(--($T24="Submitted"))+(--($X24="Submitted"))+(--($AB24="Submitted"))+(--($AF24="Submitted")),_xlpm.ap,(--($P24="Approved"))+(--($T24="Approved"))+(--($X24="Approved"))+(--($AB24="Approved"))+(--($AF24="Approved")),_xlpm.ac,(--($P24="Active"))+(--($T24="Active"))+(--($X24="Active"))+(--($AB24="Active"))+(--($AF24="Active")),_xlpm.dc,(--($P24="Declined"))+(--($T24="Declined"))+(--($X24="Declined"))+(--($AB24="Declined"))+(--($AF24="Declined")),_xlpm.aRS,(--($P24="Active"))*(--($R24="Yes"))+(--($T24="Active"))*(--($V24="Yes"))+(--($X24="Active"))*(--($Z24="Yes"))+(--($AB24="Active"))*(--($AD24="Yes"))+(--($AF24="Active"))*(--($AH24="Yes")),_xlpm.aDn,(--($P24="Active"))*(--($R24="Yes"))*(--((($S24="Yes")+($S24=TRUE))&gt;0))+(--($T24="Active"))*(--($V24="Yes"))*(--((($W24="Yes")+($W24=TRUE))&gt;0))+(--($X24="Active"))*(--($Z24="Yes"))*(--((($AA24="Yes")+($AA24=TRUE))&gt;0))+(--($AB24="Active"))*(--($AD24="Yes"))*(--((($AE24="Yes")+($AE24=TRUE))&gt;0))+(--($AF24="Active"))*(--($AH24="Yes"))*(--((($AI24="Yes")+($AI24=TRUE))&gt;0)),_xlpm.inPlay,_xlpm.ns+_xlpm.wd+_xlpm.sb+_xlpm.ap,IF(AND(_xlpm.ac&gt;0,_xlpm.inPlay=0,_xlpm.aDn=_xlpm.ac),"LIVE DLR",IF(AND(_xlpm.aRS&gt;0,_xlpm.aDn&lt;_xlpm.aRS),"Training",IF(_xlpm.aRS&gt;0,"Active",IF(AND(_xlpm.dc&gt;0,_xlpm.inPlay+_xlpm.ac=0),"Dead",IF(OR($CA24="Yes",$CA24=TRUE),"Rate Sheet",IF(AND($AJ24&lt;&gt;"",$AK24=FALSE),"Waiting on Dealer",IF(_xlpm.sb&gt;0,"Waiting on Lender",IF(AND(_xlpm.ap+_xlpm.ac&gt;0,_xlpm.ns+_xlpm.wd=0),"Rate Sheet","Application Submitted"))))))))))</f>
        <v>Application Submitted</v>
      </c>
      <c r="M24" s="101">
        <v>46247</v>
      </c>
      <c r="N24" s="101">
        <v>46280</v>
      </c>
      <c r="O24" s="196" t="s">
        <v>613</v>
      </c>
      <c r="P24" s="85" t="str">
        <f>IF($A24="","",IF($AK24=TRUE,"Ready 2 Submit","Waiting on Dealer"))</f>
        <v>Ready 2 Submit</v>
      </c>
      <c r="Q24" s="101" t="str">
        <f ca="1">IF(OR(Q24="",Q24=0),IF($P24="Submitted",TODAY(),""),Q24)</f>
        <v/>
      </c>
      <c r="R24" s="85" t="s">
        <v>272</v>
      </c>
      <c r="S24" s="85" t="s">
        <v>272</v>
      </c>
      <c r="T24" s="85" t="s">
        <v>448</v>
      </c>
      <c r="U24" s="101" t="str">
        <f ca="1">IF(OR(U24="",U24=0),IF($T24="Submitted",TODAY(),""),U24)</f>
        <v/>
      </c>
      <c r="V24" s="85" t="s">
        <v>272</v>
      </c>
      <c r="W24" s="85" t="s">
        <v>272</v>
      </c>
      <c r="X24" s="85" t="s">
        <v>448</v>
      </c>
      <c r="Y24" s="101">
        <v>46275</v>
      </c>
      <c r="Z24" s="85" t="s">
        <v>272</v>
      </c>
      <c r="AA24" s="85" t="s">
        <v>272</v>
      </c>
      <c r="AB24" s="85" t="s">
        <v>437</v>
      </c>
      <c r="AC24" s="101" t="str">
        <f ca="1">IF(OR(AC24="",AC24=0),IF($AB24="Submitted",TODAY(),""),AC24)</f>
        <v/>
      </c>
      <c r="AD24" s="85" t="s">
        <v>272</v>
      </c>
      <c r="AE24" s="85" t="s">
        <v>272</v>
      </c>
      <c r="AF24" s="85" t="s">
        <v>437</v>
      </c>
      <c r="AG24" s="101" t="str">
        <f ca="1">IF(OR(AG24="",AG24=0),IF($AF24="Submitted",TODAY(),""),AG24)</f>
        <v/>
      </c>
      <c r="AH24" s="85" t="s">
        <v>272</v>
      </c>
      <c r="AI24" s="85" t="s">
        <v>272</v>
      </c>
      <c r="AJ24" s="196" t="s">
        <v>614</v>
      </c>
      <c r="AK24" s="102" t="b">
        <v>1</v>
      </c>
      <c r="AL24" s="85" cm="1">
        <f t="array" ref="AL24">IF($A24="","",SUMPRODUCT((CHOOSE({1,2,3,4,5},$R24,$V24,$Z24,$AD24,$AH24)="Yes")*(((CHOOSE({1,2,3,4,5},$S24,$W24,$AA24,$AE24,$AI24)="Yes")+(CHOOSE({1,2,3,4,5},$S24,$W24,$AA24,$AE24,$AI24)=TRUE))&gt;0)))</f>
        <v>0</v>
      </c>
      <c r="AM24" s="101"/>
      <c r="AN24" s="85" t="str">
        <f ca="1">IF(OR($A24="",$AM24=""),"",TODAY()-$AM24)</f>
        <v/>
      </c>
      <c r="AO24" s="87"/>
      <c r="AP24" s="106"/>
      <c r="AQ24" s="106"/>
      <c r="AR24" s="106"/>
      <c r="AS24" s="106"/>
      <c r="AT24" s="106"/>
      <c r="AU24" s="106"/>
      <c r="AV24" s="106"/>
      <c r="AW24" s="106"/>
      <c r="AX24" s="106"/>
      <c r="AY24" s="106"/>
      <c r="BA24" s="20">
        <v>20</v>
      </c>
      <c r="BD24" s="174"/>
      <c r="BE24" s="174"/>
      <c r="BF24" s="174"/>
      <c r="BG24" s="174"/>
      <c r="BH24" s="174"/>
      <c r="BI24" s="174"/>
      <c r="BJ24" s="174"/>
      <c r="BK24" s="174"/>
      <c r="BL24" s="174"/>
      <c r="BM24" s="174"/>
      <c r="BN24" s="174"/>
      <c r="BO24" s="174"/>
      <c r="BP24" s="174"/>
      <c r="BQ24" s="174"/>
      <c r="BR24" s="174"/>
      <c r="BS24" s="174"/>
      <c r="BT24" s="174"/>
      <c r="BU24" s="174"/>
      <c r="BV24" s="174"/>
      <c r="BW24" s="174"/>
      <c r="BX24" s="174"/>
      <c r="BY24" s="174"/>
      <c r="BZ24" s="127" t="inlineStr">
        <is>
          <t>Unassigned</t>
        </is>
      </c>
      <c r="CA24" s="127" t="inlineStr">
        <is>
          <t>No</t>
        </is>
      </c>
      <c r="CB24" s="131">
        <f>IF($A24="","",_xlfn.LET(_xlpm.sfp,AND($P24&lt;&gt;"",$P24&lt;&gt;"N/A",$P24&lt;&gt;"No Min RQ"),_xlpm.slp,AND($T24&lt;&gt;"",$T24&lt;&gt;"N/A",$T24&lt;&gt;"No Min RQ"),_xlpm.ffp,AND($X24&lt;&gt;"",$X24&lt;&gt;"N/A",$X24&lt;&gt;"No Min RQ"),_xlpm.chp,AND($AB24&lt;&gt;"",$AB24&lt;&gt;"N/A",$AB24&lt;&gt;"No Min RQ"),_xlpm.usp,AND($AF24&lt;&gt;"",$AF24&lt;&gt;"N/A",$AF24&lt;&gt;"No Min RQ"),_xlpm.n,_xlpm.sfp+_xlpm.slp+_xlpm.ffp+_xlpm.chp+_xlpm.usp,_xlpm.sub,(_xlpm.sfp*($P24="Submitted"))+(_xlpm.slp*($T24="Submitted"))+(_xlpm.ffp*($X24="Submitted"))+(_xlpm.chp*($AB24="Submitted"))+(_xlpm.usp*($AF24="Submitted")),_xlpm.term,(_xlpm.sfp*OR($P24="Approved",$P24="Declined"))+(_xlpm.slp*OR($T24="Approved",$T24="Declined"))+(_xlpm.ffp*OR($X24="Approved",$X24="Declined"))+(_xlpm.chp*OR($AB24="Approved",$AB24="Declined"))+(_xlpm.usp*OR($AF24="Approved",$AF24="Declined")),IF(_xlpm.n=0,"No applicable lenders",IF(_xlpm.sub&gt;0,"Stays with Shaw - lender still Submitted",IF(_xlpm.term=_xlpm.n,"Clear - all applicable lenders Approved or Declined","Stays with Shaw - not all lenders Approved or Declined")))))</f>
      </c>
    </row>
    <row r="25" spans="1:81" s="20" customFormat="1" ht="38.25">
      <c r="A25" s="225" t="s">
        <v>615</v>
      </c>
      <c r="B25" s="99" t="s">
        <v>616</v>
      </c>
      <c r="C25" s="99"/>
      <c r="D25" s="197" t="s">
        <v>617</v>
      </c>
      <c r="E25" s="108" t="s">
        <v>618</v>
      </c>
      <c r="F25" s="194" t="s">
        <v>619</v>
      </c>
      <c r="G25" s="100" t="s">
        <v>620</v>
      </c>
      <c r="H25" s="194" t="s">
        <v>621</v>
      </c>
      <c r="I25" s="99"/>
      <c r="J25" s="107"/>
      <c r="K25" s="85">
        <v>3</v>
      </c>
      <c r="L25" s="85" t="str">
        <f>IF($A25="","",_xlfn.LET(_xlpm.ns,(--($P25="Ready 2 Submit"))+(--($T25="Ready 2 Submit"))+(--($X25="Ready 2 Submit"))+(--($AB25="Ready 2 Submit"))+(--($AF25="Ready 2 Submit")),_xlpm.wd,(--($P25="Waiting on Dealer"))+(--($T25="Waiting on Dealer"))+(--($X25="Waiting on Dealer"))+(--($AB25="Waiting on Dealer"))+(--($AF25="Waiting on Dealer")),_xlpm.sb,(--($P25="Submitted"))+(--($T25="Submitted"))+(--($X25="Submitted"))+(--($AB25="Submitted"))+(--($AF25="Submitted")),_xlpm.ap,(--($P25="Approved"))+(--($T25="Approved"))+(--($X25="Approved"))+(--($AB25="Approved"))+(--($AF25="Approved")),_xlpm.ac,(--($P25="Active"))+(--($T25="Active"))+(--($X25="Active"))+(--($AB25="Active"))+(--($AF25="Active")),_xlpm.dc,(--($P25="Declined"))+(--($T25="Declined"))+(--($X25="Declined"))+(--($AB25="Declined"))+(--($AF25="Declined")),_xlpm.aRS,(--($P25="Active"))*(--($R25="Yes"))+(--($T25="Active"))*(--($V25="Yes"))+(--($X25="Active"))*(--($Z25="Yes"))+(--($AB25="Active"))*(--($AD25="Yes"))+(--($AF25="Active"))*(--($AH25="Yes")),_xlpm.aDn,(--($P25="Active"))*(--($R25="Yes"))*(--((($S25="Yes")+($S25=TRUE))&gt;0))+(--($T25="Active"))*(--($V25="Yes"))*(--((($W25="Yes")+($W25=TRUE))&gt;0))+(--($X25="Active"))*(--($Z25="Yes"))*(--((($AA25="Yes")+($AA25=TRUE))&gt;0))+(--($AB25="Active"))*(--($AD25="Yes"))*(--((($AE25="Yes")+($AE25=TRUE))&gt;0))+(--($AF25="Active"))*(--($AH25="Yes"))*(--((($AI25="Yes")+($AI25=TRUE))&gt;0)),_xlpm.inPlay,_xlpm.ns+_xlpm.wd+_xlpm.sb+_xlpm.ap,IF(AND(_xlpm.ac&gt;0,_xlpm.inPlay=0,_xlpm.aDn=_xlpm.ac),"LIVE DLR",IF(AND(_xlpm.aRS&gt;0,_xlpm.aDn&lt;_xlpm.aRS),"Training",IF(_xlpm.aRS&gt;0,"Active",IF(AND(_xlpm.dc&gt;0,_xlpm.inPlay+_xlpm.ac=0),"Dead",IF(OR($CA25="Yes",$CA25=TRUE),"Rate Sheet",IF(AND($AJ25&lt;&gt;"",$AK25=FALSE),"Waiting on Dealer",IF(_xlpm.sb&gt;0,"Waiting on Lender",IF(AND(_xlpm.ap+_xlpm.ac&gt;0,_xlpm.ns+_xlpm.wd=0),"Rate Sheet","Application Submitted"))))))))))</f>
        <v>Waiting on Dealer</v>
      </c>
      <c r="M25" s="101">
        <v>46247</v>
      </c>
      <c r="N25" s="101">
        <v>46280</v>
      </c>
      <c r="O25" s="196" t="s">
        <v>553</v>
      </c>
      <c r="P25" s="85" t="str">
        <f>IF($A25="","",IF($AK25=TRUE,"Ready 2 Submit","Waiting on Dealer"))</f>
        <v>Waiting on Dealer</v>
      </c>
      <c r="Q25" s="101" t="str">
        <f ca="1">IF(OR(Q25="",Q25=0),IF($P25="Submitted",TODAY(),""),Q25)</f>
        <v/>
      </c>
      <c r="R25" s="85" t="s">
        <v>272</v>
      </c>
      <c r="S25" s="85" t="s">
        <v>272</v>
      </c>
      <c r="T25" s="85" t="str">
        <f>IF($A25="","",IF($AK25=TRUE,"Ready 2 Submit","Waiting on Dealer"))</f>
        <v>Waiting on Dealer</v>
      </c>
      <c r="U25" s="101" t="str">
        <f ca="1">IF(OR(U25="",U25=0),IF($T25="Submitted",TODAY(),""),U25)</f>
        <v/>
      </c>
      <c r="V25" s="85" t="s">
        <v>272</v>
      </c>
      <c r="W25" s="85" t="s">
        <v>272</v>
      </c>
      <c r="X25" s="85" t="str">
        <f>IF($A25="","",IF($AK25=TRUE,"Ready 2 Submit","Waiting on Dealer"))</f>
        <v>Waiting on Dealer</v>
      </c>
      <c r="Y25" s="101" t="str">
        <f ca="1">IF(OR(Y25="",Y25=0),IF($X25="Submitted",TODAY(),""),Y25)</f>
        <v/>
      </c>
      <c r="Z25" s="85" t="s">
        <v>272</v>
      </c>
      <c r="AA25" s="85" t="s">
        <v>272</v>
      </c>
      <c r="AB25" s="85" t="s">
        <v>437</v>
      </c>
      <c r="AC25" s="101" t="str">
        <f ca="1">IF(OR(AC25="",AC25=0),IF($AB25="Submitted",TODAY(),""),AC25)</f>
        <v/>
      </c>
      <c r="AD25" s="85" t="s">
        <v>272</v>
      </c>
      <c r="AE25" s="85" t="s">
        <v>272</v>
      </c>
      <c r="AF25" s="85" t="s">
        <v>437</v>
      </c>
      <c r="AG25" s="101" t="str">
        <f ca="1">IF(OR(AG25="",AG25=0),IF($AF25="Submitted",TODAY(),""),AG25)</f>
        <v/>
      </c>
      <c r="AH25" s="85" t="s">
        <v>272</v>
      </c>
      <c r="AI25" s="85" t="s">
        <v>272</v>
      </c>
      <c r="AJ25" s="196" t="s">
        <v>622</v>
      </c>
      <c r="AK25" s="102" t="b">
        <v>0</v>
      </c>
      <c r="AL25" s="85" cm="1">
        <f t="array" ref="AL25">IF($A25="","",SUMPRODUCT((CHOOSE({1,2,3,4,5},$R25,$V25,$Z25,$AD25,$AH25)="Yes")*(((CHOOSE({1,2,3,4,5},$S25,$W25,$AA25,$AE25,$AI25)="Yes")+(CHOOSE({1,2,3,4,5},$S25,$W25,$AA25,$AE25,$AI25)=TRUE))&gt;0)))</f>
        <v>0</v>
      </c>
      <c r="AM25" s="101">
        <v>46287</v>
      </c>
      <c r="AN25" s="85">
        <f ca="1">IF(OR($A25="",$AM25=""),"",TODAY()-$AM25)</f>
        <v>1</v>
      </c>
      <c r="AO25" s="87"/>
      <c r="AP25" s="106"/>
      <c r="AQ25" s="106"/>
      <c r="AR25" s="106"/>
      <c r="AS25" s="106"/>
      <c r="AT25" s="106"/>
      <c r="AU25" s="106"/>
      <c r="AV25" s="106"/>
      <c r="AW25" s="106"/>
      <c r="AX25" s="106"/>
      <c r="AY25" s="106"/>
      <c r="BA25" s="20">
        <v>21</v>
      </c>
      <c r="BD25" s="174"/>
      <c r="BE25" s="174"/>
      <c r="BF25" s="174"/>
      <c r="BG25" s="174"/>
      <c r="BH25" s="174"/>
      <c r="BI25" s="174"/>
      <c r="BJ25" s="174"/>
      <c r="BK25" s="174"/>
      <c r="BL25" s="174"/>
      <c r="BM25" s="174"/>
      <c r="BN25" s="174"/>
      <c r="BO25" s="174"/>
      <c r="BP25" s="174"/>
      <c r="BQ25" s="174"/>
      <c r="BR25" s="174"/>
      <c r="BS25" s="174"/>
      <c r="BT25" s="174"/>
      <c r="BU25" s="174"/>
      <c r="BV25" s="174"/>
      <c r="BW25" s="174"/>
      <c r="BX25" s="174"/>
      <c r="BY25" s="174"/>
      <c r="BZ25" s="127" t="inlineStr">
        <is>
          <t>Unassigned</t>
        </is>
      </c>
      <c r="CA25" s="127" t="inlineStr">
        <is>
          <t>No</t>
        </is>
      </c>
      <c r="CB25" s="131">
        <f>IF($A25="","",_xlfn.LET(_xlpm.sfp,AND($P25&lt;&gt;"",$P25&lt;&gt;"N/A",$P25&lt;&gt;"No Min RQ"),_xlpm.slp,AND($T25&lt;&gt;"",$T25&lt;&gt;"N/A",$T25&lt;&gt;"No Min RQ"),_xlpm.ffp,AND($X25&lt;&gt;"",$X25&lt;&gt;"N/A",$X25&lt;&gt;"No Min RQ"),_xlpm.chp,AND($AB25&lt;&gt;"",$AB25&lt;&gt;"N/A",$AB25&lt;&gt;"No Min RQ"),_xlpm.usp,AND($AF25&lt;&gt;"",$AF25&lt;&gt;"N/A",$AF25&lt;&gt;"No Min RQ"),_xlpm.n,_xlpm.sfp+_xlpm.slp+_xlpm.ffp+_xlpm.chp+_xlpm.usp,_xlpm.sub,(_xlpm.sfp*($P25="Submitted"))+(_xlpm.slp*($T25="Submitted"))+(_xlpm.ffp*($X25="Submitted"))+(_xlpm.chp*($AB25="Submitted"))+(_xlpm.usp*($AF25="Submitted")),_xlpm.term,(_xlpm.sfp*OR($P25="Approved",$P25="Declined"))+(_xlpm.slp*OR($T25="Approved",$T25="Declined"))+(_xlpm.ffp*OR($X25="Approved",$X25="Declined"))+(_xlpm.chp*OR($AB25="Approved",$AB25="Declined"))+(_xlpm.usp*OR($AF25="Approved",$AF25="Declined")),IF(_xlpm.n=0,"No applicable lenders",IF(_xlpm.sub&gt;0,"Stays with Shaw - lender still Submitted",IF(_xlpm.term=_xlpm.n,"Clear - all applicable lenders Approved or Declined","Stays with Shaw - not all lenders Approved or Declined")))))</f>
      </c>
    </row>
    <row r="26" spans="1:81" s="20" customFormat="1" ht="57">
      <c r="A26" s="225" t="s">
        <v>623</v>
      </c>
      <c r="B26" s="99" t="s">
        <v>624</v>
      </c>
      <c r="C26" s="99"/>
      <c r="D26" s="197" t="s">
        <v>623</v>
      </c>
      <c r="E26" s="88" t="s">
        <v>625</v>
      </c>
      <c r="F26" s="194" t="s">
        <v>626</v>
      </c>
      <c r="G26" s="100" t="s">
        <v>535</v>
      </c>
      <c r="H26" s="194" t="s">
        <v>627</v>
      </c>
      <c r="I26" s="99" t="s">
        <v>628</v>
      </c>
      <c r="J26" s="107"/>
      <c r="K26" s="85">
        <v>2</v>
      </c>
      <c r="L26" s="85" t="str">
        <f>IF($A26="","",_xlfn.LET(_xlpm.ns,(--($P26="Ready 2 Submit"))+(--($T26="Ready 2 Submit"))+(--($X26="Ready 2 Submit"))+(--($AB26="Ready 2 Submit"))+(--($AF26="Ready 2 Submit")),_xlpm.wd,(--($P26="Waiting on Dealer"))+(--($T26="Waiting on Dealer"))+(--($X26="Waiting on Dealer"))+(--($AB26="Waiting on Dealer"))+(--($AF26="Waiting on Dealer")),_xlpm.sb,(--($P26="Submitted"))+(--($T26="Submitted"))+(--($X26="Submitted"))+(--($AB26="Submitted"))+(--($AF26="Submitted")),_xlpm.ap,(--($P26="Approved"))+(--($T26="Approved"))+(--($X26="Approved"))+(--($AB26="Approved"))+(--($AF26="Approved")),_xlpm.ac,(--($P26="Active"))+(--($T26="Active"))+(--($X26="Active"))+(--($AB26="Active"))+(--($AF26="Active")),_xlpm.dc,(--($P26="Declined"))+(--($T26="Declined"))+(--($X26="Declined"))+(--($AB26="Declined"))+(--($AF26="Declined")),_xlpm.aRS,(--($P26="Active"))*(--($R26="Yes"))+(--($T26="Active"))*(--($V26="Yes"))+(--($X26="Active"))*(--($Z26="Yes"))+(--($AB26="Active"))*(--($AD26="Yes"))+(--($AF26="Active"))*(--($AH26="Yes")),_xlpm.aDn,(--($P26="Active"))*(--($R26="Yes"))*(--((($S26="Yes")+($S26=TRUE))&gt;0))+(--($T26="Active"))*(--($V26="Yes"))*(--((($W26="Yes")+($W26=TRUE))&gt;0))+(--($X26="Active"))*(--($Z26="Yes"))*(--((($AA26="Yes")+($AA26=TRUE))&gt;0))+(--($AB26="Active"))*(--($AD26="Yes"))*(--((($AE26="Yes")+($AE26=TRUE))&gt;0))+(--($AF26="Active"))*(--($AH26="Yes"))*(--((($AI26="Yes")+($AI26=TRUE))&gt;0)),_xlpm.inPlay,_xlpm.ns+_xlpm.wd+_xlpm.sb+_xlpm.ap,IF(AND(_xlpm.ac&gt;0,_xlpm.inPlay=0,_xlpm.aDn=_xlpm.ac),"LIVE DLR",IF(AND(_xlpm.aRS&gt;0,_xlpm.aDn&lt;_xlpm.aRS),"Training",IF(_xlpm.aRS&gt;0,"Active",IF(AND(_xlpm.dc&gt;0,_xlpm.inPlay+_xlpm.ac=0),"Dead",IF(OR($CA26="Yes",$CA26=TRUE),"Rate Sheet",IF(AND($AJ26&lt;&gt;"",$AK26=FALSE),"Waiting on Dealer",IF(_xlpm.sb&gt;0,"Waiting on Lender",IF(AND(_xlpm.ap+_xlpm.ac&gt;0,_xlpm.ns+_xlpm.wd=0),"Rate Sheet","Application Submitted"))))))))))</f>
        <v>Waiting on Dealer</v>
      </c>
      <c r="M26" s="101">
        <v>46247</v>
      </c>
      <c r="N26" s="101">
        <v>46280</v>
      </c>
      <c r="O26" s="196" t="s">
        <v>563</v>
      </c>
      <c r="P26" s="85" t="str">
        <f>IF($A26="","",IF($AK26=TRUE,"Ready 2 Submit","Waiting on Dealer"))</f>
        <v>Waiting on Dealer</v>
      </c>
      <c r="Q26" s="101" t="str">
        <f ca="1">IF(OR(Q26="",Q26=0),IF($P26="Submitted",TODAY(),""),Q26)</f>
        <v/>
      </c>
      <c r="R26" s="85" t="s">
        <v>272</v>
      </c>
      <c r="S26" s="85" t="s">
        <v>272</v>
      </c>
      <c r="T26" s="85" t="str">
        <f>IF($A26="","",IF($AK26=TRUE,"Ready 2 Submit","Waiting on Dealer"))</f>
        <v>Waiting on Dealer</v>
      </c>
      <c r="U26" s="101" t="str">
        <f ca="1">IF(OR(U26="",U26=0),IF($T26="Submitted",TODAY(),""),U26)</f>
        <v/>
      </c>
      <c r="V26" s="85" t="s">
        <v>272</v>
      </c>
      <c r="W26" s="85" t="s">
        <v>272</v>
      </c>
      <c r="X26" s="85" t="str">
        <f>IF($A26="","",IF($AK26=TRUE,"Ready 2 Submit","Waiting on Dealer"))</f>
        <v>Waiting on Dealer</v>
      </c>
      <c r="Y26" s="101" t="str">
        <f ca="1">IF(OR(Y26="",Y26=0),IF($X26="Submitted",TODAY(),""),Y26)</f>
        <v/>
      </c>
      <c r="Z26" s="85" t="s">
        <v>272</v>
      </c>
      <c r="AA26" s="85" t="s">
        <v>272</v>
      </c>
      <c r="AB26" s="85" t="s">
        <v>437</v>
      </c>
      <c r="AC26" s="101" t="str">
        <f ca="1">IF(OR(AC26="",AC26=0),IF($AB26="Submitted",TODAY(),""),AC26)</f>
        <v/>
      </c>
      <c r="AD26" s="85" t="s">
        <v>272</v>
      </c>
      <c r="AE26" s="85" t="s">
        <v>272</v>
      </c>
      <c r="AF26" s="85" t="s">
        <v>437</v>
      </c>
      <c r="AG26" s="101" t="str">
        <f ca="1">IF(OR(AG26="",AG26=0),IF($AF26="Submitted",TODAY(),""),AG26)</f>
        <v/>
      </c>
      <c r="AH26" s="85" t="s">
        <v>272</v>
      </c>
      <c r="AI26" s="85" t="s">
        <v>272</v>
      </c>
      <c r="AJ26" s="196" t="s">
        <v>629</v>
      </c>
      <c r="AK26" s="102" t="b">
        <v>0</v>
      </c>
      <c r="AL26" s="85" cm="1">
        <f t="array" ref="AL26">IF($A26="","",SUMPRODUCT((CHOOSE({1,2,3,4,5},$R26,$V26,$Z26,$AD26,$AH26)="Yes")*(((CHOOSE({1,2,3,4,5},$S26,$W26,$AA26,$AE26,$AI26)="Yes")+(CHOOSE({1,2,3,4,5},$S26,$W26,$AA26,$AE26,$AI26)=TRUE))&gt;0)))</f>
        <v>0</v>
      </c>
      <c r="AM26" s="101">
        <v>46267</v>
      </c>
      <c r="AN26" s="85">
        <f ca="1">IF(OR($A26="",$AM26=""),"",TODAY()-$AM26)</f>
        <v>21</v>
      </c>
      <c r="AO26" s="87"/>
      <c r="AP26" s="106"/>
      <c r="AQ26" s="106"/>
      <c r="AR26" s="106"/>
      <c r="AS26" s="106"/>
      <c r="AT26" s="106"/>
      <c r="AU26" s="106"/>
      <c r="AV26" s="106"/>
      <c r="AW26" s="106"/>
      <c r="AX26" s="106"/>
      <c r="AY26" s="106"/>
      <c r="BA26" s="20">
        <v>22</v>
      </c>
      <c r="BD26" s="174"/>
      <c r="BE26" s="174"/>
      <c r="BF26" s="174"/>
      <c r="BG26" s="174"/>
      <c r="BH26" s="174"/>
      <c r="BI26" s="174"/>
      <c r="BJ26" s="174"/>
      <c r="BK26" s="174"/>
      <c r="BL26" s="174"/>
      <c r="BM26" s="174"/>
      <c r="BN26" s="174"/>
      <c r="BO26" s="174"/>
      <c r="BP26" s="174"/>
      <c r="BQ26" s="174"/>
      <c r="BR26" s="174"/>
      <c r="BS26" s="174"/>
      <c r="BT26" s="174"/>
      <c r="BU26" s="174"/>
      <c r="BV26" s="174"/>
      <c r="BW26" s="174"/>
      <c r="BX26" s="174"/>
      <c r="BY26" s="174"/>
      <c r="BZ26" s="127" t="inlineStr">
        <is>
          <t>Unassigned</t>
        </is>
      </c>
      <c r="CA26" s="127" t="inlineStr">
        <is>
          <t>No</t>
        </is>
      </c>
      <c r="CB26" s="131">
        <f>IF($A26="","",_xlfn.LET(_xlpm.sfp,AND($P26&lt;&gt;"",$P26&lt;&gt;"N/A",$P26&lt;&gt;"No Min RQ"),_xlpm.slp,AND($T26&lt;&gt;"",$T26&lt;&gt;"N/A",$T26&lt;&gt;"No Min RQ"),_xlpm.ffp,AND($X26&lt;&gt;"",$X26&lt;&gt;"N/A",$X26&lt;&gt;"No Min RQ"),_xlpm.chp,AND($AB26&lt;&gt;"",$AB26&lt;&gt;"N/A",$AB26&lt;&gt;"No Min RQ"),_xlpm.usp,AND($AF26&lt;&gt;"",$AF26&lt;&gt;"N/A",$AF26&lt;&gt;"No Min RQ"),_xlpm.n,_xlpm.sfp+_xlpm.slp+_xlpm.ffp+_xlpm.chp+_xlpm.usp,_xlpm.sub,(_xlpm.sfp*($P26="Submitted"))+(_xlpm.slp*($T26="Submitted"))+(_xlpm.ffp*($X26="Submitted"))+(_xlpm.chp*($AB26="Submitted"))+(_xlpm.usp*($AF26="Submitted")),_xlpm.term,(_xlpm.sfp*OR($P26="Approved",$P26="Declined"))+(_xlpm.slp*OR($T26="Approved",$T26="Declined"))+(_xlpm.ffp*OR($X26="Approved",$X26="Declined"))+(_xlpm.chp*OR($AB26="Approved",$AB26="Declined"))+(_xlpm.usp*OR($AF26="Approved",$AF26="Declined")),IF(_xlpm.n=0,"No applicable lenders",IF(_xlpm.sub&gt;0,"Stays with Shaw - lender still Submitted",IF(_xlpm.term=_xlpm.n,"Clear - all applicable lenders Approved or Declined","Stays with Shaw - not all lenders Approved or Declined")))))</f>
      </c>
    </row>
    <row r="27" spans="1:81" s="20" customFormat="1" ht="95.25">
      <c r="A27" s="225" t="s">
        <v>630</v>
      </c>
      <c r="B27" s="99" t="s">
        <v>631</v>
      </c>
      <c r="C27" s="99"/>
      <c r="D27" s="197" t="s">
        <v>632</v>
      </c>
      <c r="E27" s="88" t="s">
        <v>633</v>
      </c>
      <c r="F27" s="194" t="s">
        <v>634</v>
      </c>
      <c r="G27" s="100" t="s">
        <v>635</v>
      </c>
      <c r="H27" s="194" t="s">
        <v>636</v>
      </c>
      <c r="I27" s="99" t="s">
        <v>537</v>
      </c>
      <c r="J27" s="107"/>
      <c r="K27" s="85">
        <v>3</v>
      </c>
      <c r="L27" s="85" t="str">
        <f>IF($A27="","",_xlfn.LET(_xlpm.ns,(--($P27="Ready 2 Submit"))+(--($T27="Ready 2 Submit"))+(--($X27="Ready 2 Submit"))+(--($AB27="Ready 2 Submit"))+(--($AF27="Ready 2 Submit")),_xlpm.wd,(--($P27="Waiting on Dealer"))+(--($T27="Waiting on Dealer"))+(--($X27="Waiting on Dealer"))+(--($AB27="Waiting on Dealer"))+(--($AF27="Waiting on Dealer")),_xlpm.sb,(--($P27="Submitted"))+(--($T27="Submitted"))+(--($X27="Submitted"))+(--($AB27="Submitted"))+(--($AF27="Submitted")),_xlpm.ap,(--($P27="Approved"))+(--($T27="Approved"))+(--($X27="Approved"))+(--($AB27="Approved"))+(--($AF27="Approved")),_xlpm.ac,(--($P27="Active"))+(--($T27="Active"))+(--($X27="Active"))+(--($AB27="Active"))+(--($AF27="Active")),_xlpm.dc,(--($P27="Declined"))+(--($T27="Declined"))+(--($X27="Declined"))+(--($AB27="Declined"))+(--($AF27="Declined")),_xlpm.aRS,(--($P27="Active"))*(--($R27="Yes"))+(--($T27="Active"))*(--($V27="Yes"))+(--($X27="Active"))*(--($Z27="Yes"))+(--($AB27="Active"))*(--($AD27="Yes"))+(--($AF27="Active"))*(--($AH27="Yes")),_xlpm.aDn,(--($P27="Active"))*(--($R27="Yes"))*(--((($S27="Yes")+($S27=TRUE))&gt;0))+(--($T27="Active"))*(--($V27="Yes"))*(--((($W27="Yes")+($W27=TRUE))&gt;0))+(--($X27="Active"))*(--($Z27="Yes"))*(--((($AA27="Yes")+($AA27=TRUE))&gt;0))+(--($AB27="Active"))*(--($AD27="Yes"))*(--((($AE27="Yes")+($AE27=TRUE))&gt;0))+(--($AF27="Active"))*(--($AH27="Yes"))*(--((($AI27="Yes")+($AI27=TRUE))&gt;0)),_xlpm.inPlay,_xlpm.ns+_xlpm.wd+_xlpm.sb+_xlpm.ap,IF(AND(_xlpm.ac&gt;0,_xlpm.inPlay=0,_xlpm.aDn=_xlpm.ac),"LIVE DLR",IF(AND(_xlpm.aRS&gt;0,_xlpm.aDn&lt;_xlpm.aRS),"Training",IF(_xlpm.aRS&gt;0,"Active",IF(AND(_xlpm.dc&gt;0,_xlpm.inPlay+_xlpm.ac=0),"Dead",IF(OR($CA27="Yes",$CA27=TRUE),"Rate Sheet",IF(AND($AJ27&lt;&gt;"",$AK27=FALSE),"Waiting on Dealer",IF(_xlpm.sb&gt;0,"Waiting on Lender",IF(AND(_xlpm.ap+_xlpm.ac&gt;0,_xlpm.ns+_xlpm.wd=0),"Rate Sheet","Application Submitted"))))))))))</f>
        <v>Waiting on Dealer</v>
      </c>
      <c r="M27" s="101">
        <v>46248</v>
      </c>
      <c r="N27" s="101">
        <v>46280</v>
      </c>
      <c r="O27" s="196" t="s">
        <v>538</v>
      </c>
      <c r="P27" s="85" t="str">
        <f>IF($A27="","",IF($AK27=TRUE,"Ready 2 Submit","Waiting on Dealer"))</f>
        <v>Waiting on Dealer</v>
      </c>
      <c r="Q27" s="101" t="str">
        <f ca="1">IF(OR(Q27="",Q27=0),IF($P27="Submitted",TODAY(),""),Q27)</f>
        <v/>
      </c>
      <c r="R27" s="85" t="s">
        <v>272</v>
      </c>
      <c r="S27" s="85" t="s">
        <v>272</v>
      </c>
      <c r="T27" s="85" t="s">
        <v>437</v>
      </c>
      <c r="U27" s="101" t="str">
        <f ca="1">IF(OR(U27="",U27=0),IF($T27="Submitted",TODAY(),""),U27)</f>
        <v/>
      </c>
      <c r="V27" s="85" t="s">
        <v>272</v>
      </c>
      <c r="W27" s="85" t="s">
        <v>272</v>
      </c>
      <c r="X27" s="85" t="str">
        <f>IF($A27="","",IF($AK27=TRUE,"Ready 2 Submit","Waiting on Dealer"))</f>
        <v>Waiting on Dealer</v>
      </c>
      <c r="Y27" s="101" t="str">
        <f ca="1">IF(OR(Y27="",Y27=0),IF($X27="Submitted",TODAY(),""),Y27)</f>
        <v/>
      </c>
      <c r="Z27" s="85" t="s">
        <v>272</v>
      </c>
      <c r="AA27" s="85" t="s">
        <v>272</v>
      </c>
      <c r="AB27" s="85" t="s">
        <v>437</v>
      </c>
      <c r="AC27" s="101" t="str">
        <f ca="1">IF(OR(AC27="",AC27=0),IF($AB27="Submitted",TODAY(),""),AC27)</f>
        <v/>
      </c>
      <c r="AD27" s="85" t="s">
        <v>272</v>
      </c>
      <c r="AE27" s="85" t="s">
        <v>272</v>
      </c>
      <c r="AF27" s="85" t="s">
        <v>437</v>
      </c>
      <c r="AG27" s="101" t="str">
        <f ca="1">IF(OR(AG27="",AG27=0),IF($AF27="Submitted",TODAY(),""),AG27)</f>
        <v/>
      </c>
      <c r="AH27" s="85" t="s">
        <v>272</v>
      </c>
      <c r="AI27" s="85" t="s">
        <v>272</v>
      </c>
      <c r="AJ27" s="199" t="s">
        <v>637</v>
      </c>
      <c r="AK27" s="165" t="b">
        <v>0</v>
      </c>
      <c r="AL27" s="85" cm="1">
        <f t="array" ref="AL27">IF($A27="","",SUMPRODUCT((CHOOSE({1,2,3,4,5},$R27,$V27,$Z27,$AD27,$AH27)="Yes")*(((CHOOSE({1,2,3,4,5},$S27,$W27,$AA27,$AE27,$AI27)="Yes")+(CHOOSE({1,2,3,4,5},$S27,$W27,$AA27,$AE27,$AI27)=TRUE))&gt;0)))</f>
        <v>0</v>
      </c>
      <c r="AM27" s="101">
        <v>46287</v>
      </c>
      <c r="AN27" s="85">
        <f ca="1">IF(OR($A27="",$AM27=""),"",TODAY()-$AM27)</f>
        <v>1</v>
      </c>
      <c r="AO27" s="87"/>
      <c r="AP27" s="106"/>
      <c r="AQ27" s="106"/>
      <c r="AR27" s="106"/>
      <c r="AS27" s="106"/>
      <c r="AT27" s="106"/>
      <c r="AU27" s="106"/>
      <c r="AV27" s="106"/>
      <c r="AW27" s="106"/>
      <c r="AX27" s="106"/>
      <c r="AY27" s="106"/>
      <c r="BA27" s="20">
        <v>23</v>
      </c>
      <c r="BD27" s="174"/>
      <c r="BE27" s="174"/>
      <c r="BF27" s="174"/>
      <c r="BG27" s="174"/>
      <c r="BH27" s="174"/>
      <c r="BI27" s="174"/>
      <c r="BJ27" s="174"/>
      <c r="BK27" s="174"/>
      <c r="BL27" s="174"/>
      <c r="BM27" s="174"/>
      <c r="BN27" s="174"/>
      <c r="BO27" s="174"/>
      <c r="BP27" s="174"/>
      <c r="BQ27" s="174"/>
      <c r="BR27" s="174"/>
      <c r="BS27" s="174"/>
      <c r="BT27" s="174"/>
      <c r="BU27" s="174"/>
      <c r="BV27" s="174"/>
      <c r="BW27" s="174"/>
      <c r="BX27" s="174"/>
      <c r="BY27" s="174"/>
      <c r="BZ27" s="127" t="inlineStr">
        <is>
          <t>Unassigned</t>
        </is>
      </c>
      <c r="CA27" s="127" t="inlineStr">
        <is>
          <t>No</t>
        </is>
      </c>
      <c r="CB27" s="131">
        <f>IF($A27="","",_xlfn.LET(_xlpm.sfp,AND($P27&lt;&gt;"",$P27&lt;&gt;"N/A",$P27&lt;&gt;"No Min RQ"),_xlpm.slp,AND($T27&lt;&gt;"",$T27&lt;&gt;"N/A",$T27&lt;&gt;"No Min RQ"),_xlpm.ffp,AND($X27&lt;&gt;"",$X27&lt;&gt;"N/A",$X27&lt;&gt;"No Min RQ"),_xlpm.chp,AND($AB27&lt;&gt;"",$AB27&lt;&gt;"N/A",$AB27&lt;&gt;"No Min RQ"),_xlpm.usp,AND($AF27&lt;&gt;"",$AF27&lt;&gt;"N/A",$AF27&lt;&gt;"No Min RQ"),_xlpm.n,_xlpm.sfp+_xlpm.slp+_xlpm.ffp+_xlpm.chp+_xlpm.usp,_xlpm.sub,(_xlpm.sfp*($P27="Submitted"))+(_xlpm.slp*($T27="Submitted"))+(_xlpm.ffp*($X27="Submitted"))+(_xlpm.chp*($AB27="Submitted"))+(_xlpm.usp*($AF27="Submitted")),_xlpm.term,(_xlpm.sfp*OR($P27="Approved",$P27="Declined"))+(_xlpm.slp*OR($T27="Approved",$T27="Declined"))+(_xlpm.ffp*OR($X27="Approved",$X27="Declined"))+(_xlpm.chp*OR($AB27="Approved",$AB27="Declined"))+(_xlpm.usp*OR($AF27="Approved",$AF27="Declined")),IF(_xlpm.n=0,"No applicable lenders",IF(_xlpm.sub&gt;0,"Stays with Shaw - lender still Submitted",IF(_xlpm.term=_xlpm.n,"Clear - all applicable lenders Approved or Declined","Stays with Shaw - not all lenders Approved or Declined")))))</f>
      </c>
    </row>
    <row r="28" spans="1:81" s="20" customFormat="1" ht="57">
      <c r="A28" s="225" t="s">
        <v>638</v>
      </c>
      <c r="B28" s="99" t="s">
        <v>638</v>
      </c>
      <c r="C28" s="99"/>
      <c r="D28" s="197" t="s">
        <v>639</v>
      </c>
      <c r="E28" s="109" t="s">
        <v>640</v>
      </c>
      <c r="F28" s="194" t="s">
        <v>641</v>
      </c>
      <c r="G28" s="100" t="s">
        <v>465</v>
      </c>
      <c r="H28" s="194" t="s">
        <v>466</v>
      </c>
      <c r="I28" s="99" t="s">
        <v>642</v>
      </c>
      <c r="J28" s="107"/>
      <c r="K28" s="85">
        <v>1</v>
      </c>
      <c r="L28" s="85" t="str">
        <f>IF($A28="","",_xlfn.LET(_xlpm.ns,(--($P28="Ready 2 Submit"))+(--($T28="Ready 2 Submit"))+(--($X28="Ready 2 Submit"))+(--($AB28="Ready 2 Submit"))+(--($AF28="Ready 2 Submit")),_xlpm.wd,(--($P28="Waiting on Dealer"))+(--($T28="Waiting on Dealer"))+(--($X28="Waiting on Dealer"))+(--($AB28="Waiting on Dealer"))+(--($AF28="Waiting on Dealer")),_xlpm.sb,(--($P28="Submitted"))+(--($T28="Submitted"))+(--($X28="Submitted"))+(--($AB28="Submitted"))+(--($AF28="Submitted")),_xlpm.ap,(--($P28="Approved"))+(--($T28="Approved"))+(--($X28="Approved"))+(--($AB28="Approved"))+(--($AF28="Approved")),_xlpm.ac,(--($P28="Active"))+(--($T28="Active"))+(--($X28="Active"))+(--($AB28="Active"))+(--($AF28="Active")),_xlpm.dc,(--($P28="Declined"))+(--($T28="Declined"))+(--($X28="Declined"))+(--($AB28="Declined"))+(--($AF28="Declined")),_xlpm.aRS,(--($P28="Active"))*(--($R28="Yes"))+(--($T28="Active"))*(--($V28="Yes"))+(--($X28="Active"))*(--($Z28="Yes"))+(--($AB28="Active"))*(--($AD28="Yes"))+(--($AF28="Active"))*(--($AH28="Yes")),_xlpm.aDn,(--($P28="Active"))*(--($R28="Yes"))*(--((($S28="Yes")+($S28=TRUE))&gt;0))+(--($T28="Active"))*(--($V28="Yes"))*(--((($W28="Yes")+($W28=TRUE))&gt;0))+(--($X28="Active"))*(--($Z28="Yes"))*(--((($AA28="Yes")+($AA28=TRUE))&gt;0))+(--($AB28="Active"))*(--($AD28="Yes"))*(--((($AE28="Yes")+($AE28=TRUE))&gt;0))+(--($AF28="Active"))*(--($AH28="Yes"))*(--((($AI28="Yes")+($AI28=TRUE))&gt;0)),_xlpm.inPlay,_xlpm.ns+_xlpm.wd+_xlpm.sb+_xlpm.ap,IF(AND(_xlpm.ac&gt;0,_xlpm.inPlay=0,_xlpm.aDn=_xlpm.ac),"LIVE DLR",IF(AND(_xlpm.aRS&gt;0,_xlpm.aDn&lt;_xlpm.aRS),"Training",IF(_xlpm.aRS&gt;0,"Active",IF(AND(_xlpm.dc&gt;0,_xlpm.inPlay+_xlpm.ac=0),"Dead",IF(OR($CA28="Yes",$CA28=TRUE),"Rate Sheet",IF(AND($AJ28&lt;&gt;"",$AK28=FALSE),"Waiting on Dealer",IF(_xlpm.sb&gt;0,"Waiting on Lender",IF(AND(_xlpm.ap+_xlpm.ac&gt;0,_xlpm.ns+_xlpm.wd=0),"Rate Sheet","Application Submitted"))))))))))</f>
        <v>Waiting on Lender</v>
      </c>
      <c r="M28" s="101">
        <v>46249</v>
      </c>
      <c r="N28" s="101">
        <v>46280</v>
      </c>
      <c r="O28" s="196" t="s">
        <v>563</v>
      </c>
      <c r="P28" s="85" t="s">
        <v>457</v>
      </c>
      <c r="Q28" s="101">
        <v>46280</v>
      </c>
      <c r="R28" s="85" t="s">
        <v>272</v>
      </c>
      <c r="S28" s="85" t="s">
        <v>272</v>
      </c>
      <c r="T28" s="85" t="s">
        <v>513</v>
      </c>
      <c r="U28" s="101" t="str">
        <f ca="1">IF(OR(U28="",U28=0),IF($T28="Submitted",TODAY(),""),U28)</f>
        <v/>
      </c>
      <c r="V28" s="85" t="s">
        <v>272</v>
      </c>
      <c r="W28" s="85" t="s">
        <v>272</v>
      </c>
      <c r="X28" s="85" t="s">
        <v>457</v>
      </c>
      <c r="Y28" s="101">
        <f ca="1">IF(OR(Y28="",Y28=0),IF($X28="Submitted",TODAY(),""),Y28)</f>
        <v>46286</v>
      </c>
      <c r="Z28" s="85" t="s">
        <v>272</v>
      </c>
      <c r="AA28" s="85" t="s">
        <v>272</v>
      </c>
      <c r="AB28" s="85" t="s">
        <v>437</v>
      </c>
      <c r="AC28" s="101" t="str">
        <f ca="1">IF(OR(AC28="",AC28=0),IF($AB28="Submitted",TODAY(),""),AC28)</f>
        <v/>
      </c>
      <c r="AD28" s="85" t="s">
        <v>272</v>
      </c>
      <c r="AE28" s="85" t="s">
        <v>272</v>
      </c>
      <c r="AF28" s="85" t="s">
        <v>437</v>
      </c>
      <c r="AG28" s="101" t="str">
        <f ca="1">IF(OR(AG28="",AG28=0),IF($AF28="Submitted",TODAY(),""),AG28)</f>
        <v/>
      </c>
      <c r="AH28" s="85" t="s">
        <v>272</v>
      </c>
      <c r="AI28" s="85" t="s">
        <v>272</v>
      </c>
      <c r="AJ28" s="196" t="s">
        <v>643</v>
      </c>
      <c r="AK28" s="102" t="b">
        <v>1</v>
      </c>
      <c r="AL28" s="85" cm="1">
        <f t="array" ref="AL28">IF($A28="","",SUMPRODUCT((CHOOSE({1,2,3,4,5},$R28,$V28,$Z28,$AD28,$AH28)="Yes")*(((CHOOSE({1,2,3,4,5},$S28,$W28,$AA28,$AE28,$AI28)="Yes")+(CHOOSE({1,2,3,4,5},$S28,$W28,$AA28,$AE28,$AI28)=TRUE))&gt;0)))</f>
        <v>0</v>
      </c>
      <c r="AM28" s="101">
        <v>46286</v>
      </c>
      <c r="AN28" s="85">
        <f ca="1">IF(OR($A28="",$AM28=""),"",TODAY()-$AM28)</f>
        <v>2</v>
      </c>
      <c r="AO28" s="87"/>
      <c r="AP28" s="106"/>
      <c r="AQ28" s="106"/>
      <c r="AR28" s="106"/>
      <c r="AS28" s="106"/>
      <c r="AT28" s="106"/>
      <c r="AU28" s="106"/>
      <c r="AV28" s="106"/>
      <c r="AW28" s="106"/>
      <c r="AX28" s="106"/>
      <c r="AY28" s="106"/>
      <c r="BA28" s="20">
        <v>24</v>
      </c>
      <c r="BD28" s="174"/>
      <c r="BE28" s="174"/>
      <c r="BF28" s="174"/>
      <c r="BG28" s="174"/>
      <c r="BH28" s="174"/>
      <c r="BI28" s="174"/>
      <c r="BJ28" s="174"/>
      <c r="BK28" s="174"/>
      <c r="BL28" s="174"/>
      <c r="BM28" s="174"/>
      <c r="BN28" s="174"/>
      <c r="BO28" s="174"/>
      <c r="BP28" s="174"/>
      <c r="BQ28" s="174"/>
      <c r="BR28" s="174"/>
      <c r="BS28" s="174"/>
      <c r="BT28" s="174"/>
      <c r="BU28" s="174"/>
      <c r="BV28" s="174"/>
      <c r="BW28" s="174"/>
      <c r="BX28" s="174"/>
      <c r="BY28" s="174"/>
      <c r="BZ28" s="127" t="inlineStr">
        <is>
          <t>Unassigned</t>
        </is>
      </c>
      <c r="CA28" s="127" t="inlineStr">
        <is>
          <t>No</t>
        </is>
      </c>
      <c r="CB28" s="131">
        <f>IF($A28="","",_xlfn.LET(_xlpm.sfp,AND($P28&lt;&gt;"",$P28&lt;&gt;"N/A",$P28&lt;&gt;"No Min RQ"),_xlpm.slp,AND($T28&lt;&gt;"",$T28&lt;&gt;"N/A",$T28&lt;&gt;"No Min RQ"),_xlpm.ffp,AND($X28&lt;&gt;"",$X28&lt;&gt;"N/A",$X28&lt;&gt;"No Min RQ"),_xlpm.chp,AND($AB28&lt;&gt;"",$AB28&lt;&gt;"N/A",$AB28&lt;&gt;"No Min RQ"),_xlpm.usp,AND($AF28&lt;&gt;"",$AF28&lt;&gt;"N/A",$AF28&lt;&gt;"No Min RQ"),_xlpm.n,_xlpm.sfp+_xlpm.slp+_xlpm.ffp+_xlpm.chp+_xlpm.usp,_xlpm.sub,(_xlpm.sfp*($P28="Submitted"))+(_xlpm.slp*($T28="Submitted"))+(_xlpm.ffp*($X28="Submitted"))+(_xlpm.chp*($AB28="Submitted"))+(_xlpm.usp*($AF28="Submitted")),_xlpm.term,(_xlpm.sfp*OR($P28="Approved",$P28="Declined"))+(_xlpm.slp*OR($T28="Approved",$T28="Declined"))+(_xlpm.ffp*OR($X28="Approved",$X28="Declined"))+(_xlpm.chp*OR($AB28="Approved",$AB28="Declined"))+(_xlpm.usp*OR($AF28="Approved",$AF28="Declined")),IF(_xlpm.n=0,"No applicable lenders",IF(_xlpm.sub&gt;0,"Stays with Shaw - lender still Submitted",IF(_xlpm.term=_xlpm.n,"Clear - all applicable lenders Approved or Declined","Stays with Shaw - not all lenders Approved or Declined")))))</f>
      </c>
    </row>
    <row r="29" spans="1:81" s="20" customFormat="1" ht="76.5">
      <c r="A29" s="225" t="s">
        <v>644</v>
      </c>
      <c r="B29" s="99" t="s">
        <v>645</v>
      </c>
      <c r="C29" s="99"/>
      <c r="D29" s="197" t="s">
        <v>494</v>
      </c>
      <c r="E29" s="88" t="s">
        <v>495</v>
      </c>
      <c r="F29" s="194" t="s">
        <v>496</v>
      </c>
      <c r="G29" s="100" t="s">
        <v>646</v>
      </c>
      <c r="H29" s="194" t="s">
        <v>647</v>
      </c>
      <c r="I29" s="99" t="s">
        <v>537</v>
      </c>
      <c r="J29" s="107"/>
      <c r="K29" s="85"/>
      <c r="L29" s="85" t="str">
        <f>IF($A29="","",_xlfn.LET(_xlpm.ns,(--($P29="Ready 2 Submit"))+(--($T29="Ready 2 Submit"))+(--($X29="Ready 2 Submit"))+(--($AB29="Ready 2 Submit"))+(--($AF29="Ready 2 Submit")),_xlpm.wd,(--($P29="Waiting on Dealer"))+(--($T29="Waiting on Dealer"))+(--($X29="Waiting on Dealer"))+(--($AB29="Waiting on Dealer"))+(--($AF29="Waiting on Dealer")),_xlpm.sb,(--($P29="Submitted"))+(--($T29="Submitted"))+(--($X29="Submitted"))+(--($AB29="Submitted"))+(--($AF29="Submitted")),_xlpm.ap,(--($P29="Approved"))+(--($T29="Approved"))+(--($X29="Approved"))+(--($AB29="Approved"))+(--($AF29="Approved")),_xlpm.ac,(--($P29="Active"))+(--($T29="Active"))+(--($X29="Active"))+(--($AB29="Active"))+(--($AF29="Active")),_xlpm.dc,(--($P29="Declined"))+(--($T29="Declined"))+(--($X29="Declined"))+(--($AB29="Declined"))+(--($AF29="Declined")),_xlpm.aRS,(--($P29="Active"))*(--($R29="Yes"))+(--($T29="Active"))*(--($V29="Yes"))+(--($X29="Active"))*(--($Z29="Yes"))+(--($AB29="Active"))*(--($AD29="Yes"))+(--($AF29="Active"))*(--($AH29="Yes")),_xlpm.aDn,(--($P29="Active"))*(--($R29="Yes"))*(--((($S29="Yes")+($S29=TRUE))&gt;0))+(--($T29="Active"))*(--($V29="Yes"))*(--((($W29="Yes")+($W29=TRUE))&gt;0))+(--($X29="Active"))*(--($Z29="Yes"))*(--((($AA29="Yes")+($AA29=TRUE))&gt;0))+(--($AB29="Active"))*(--($AD29="Yes"))*(--((($AE29="Yes")+($AE29=TRUE))&gt;0))+(--($AF29="Active"))*(--($AH29="Yes"))*(--((($AI29="Yes")+($AI29=TRUE))&gt;0)),_xlpm.inPlay,_xlpm.ns+_xlpm.wd+_xlpm.sb+_xlpm.ap,IF(AND(_xlpm.ac&gt;0,_xlpm.inPlay=0,_xlpm.aDn=_xlpm.ac),"LIVE DLR",IF(AND(_xlpm.aRS&gt;0,_xlpm.aDn&lt;_xlpm.aRS),"Training",IF(_xlpm.aRS&gt;0,"Active",IF(AND(_xlpm.dc&gt;0,_xlpm.inPlay+_xlpm.ac=0),"Dead",IF(OR($CA29="Yes",$CA29=TRUE),"Rate Sheet",IF(AND($AJ29&lt;&gt;"",$AK29=FALSE),"Waiting on Dealer",IF(_xlpm.sb&gt;0,"Waiting on Lender",IF(AND(_xlpm.ap+_xlpm.ac&gt;0,_xlpm.ns+_xlpm.wd=0),"Rate Sheet","Application Submitted"))))))))))</f>
        <v>Waiting on Lender</v>
      </c>
      <c r="M29" s="101">
        <v>46252</v>
      </c>
      <c r="N29" s="101">
        <v>46255</v>
      </c>
      <c r="O29" s="196"/>
      <c r="P29" s="85" t="s">
        <v>457</v>
      </c>
      <c r="Q29" s="101">
        <v>46274</v>
      </c>
      <c r="R29" s="85" t="s">
        <v>272</v>
      </c>
      <c r="S29" s="85" t="s">
        <v>272</v>
      </c>
      <c r="T29" s="85" t="s">
        <v>499</v>
      </c>
      <c r="U29" s="101">
        <v>46274</v>
      </c>
      <c r="V29" s="85" t="s">
        <v>272</v>
      </c>
      <c r="W29" s="85" t="s">
        <v>272</v>
      </c>
      <c r="X29" s="85" t="s">
        <v>499</v>
      </c>
      <c r="Y29" s="101">
        <v>46269</v>
      </c>
      <c r="Z29" s="85" t="s">
        <v>272</v>
      </c>
      <c r="AA29" s="85" t="s">
        <v>272</v>
      </c>
      <c r="AB29" s="85" t="s">
        <v>437</v>
      </c>
      <c r="AC29" s="101" t="str">
        <f ca="1">IF(OR(AC29="",AC29=0),IF($AB29="Submitted",TODAY(),""),AC29)</f>
        <v/>
      </c>
      <c r="AD29" s="85" t="s">
        <v>272</v>
      </c>
      <c r="AE29" s="85" t="s">
        <v>272</v>
      </c>
      <c r="AF29" s="85" t="s">
        <v>437</v>
      </c>
      <c r="AG29" s="101" t="str">
        <f ca="1">IF(OR(AG29="",AG29=0),IF($AF29="Submitted",TODAY(),""),AG29)</f>
        <v/>
      </c>
      <c r="AH29" s="85" t="s">
        <v>272</v>
      </c>
      <c r="AI29" s="85" t="s">
        <v>272</v>
      </c>
      <c r="AJ29" s="196" t="s">
        <v>648</v>
      </c>
      <c r="AK29" s="102" t="b">
        <v>1</v>
      </c>
      <c r="AL29" s="85" cm="1">
        <f t="array" ref="AL29">IF($A29="","",SUMPRODUCT((CHOOSE({1,2,3,4,5},$R29,$V29,$Z29,$AD29,$AH29)="Yes")*(((CHOOSE({1,2,3,4,5},$S29,$W29,$AA29,$AE29,$AI29)="Yes")+(CHOOSE({1,2,3,4,5},$S29,$W29,$AA29,$AE29,$AI29)=TRUE))&gt;0)))</f>
        <v>0</v>
      </c>
      <c r="AM29" s="101">
        <v>46269</v>
      </c>
      <c r="AN29" s="85">
        <f ca="1">IF(OR($A29="",$AM29=""),"",TODAY()-$AM29)</f>
        <v>19</v>
      </c>
      <c r="AO29" s="87"/>
      <c r="AP29" s="106"/>
      <c r="AQ29" s="106"/>
      <c r="AR29" s="106"/>
      <c r="AS29" s="106"/>
      <c r="AT29" s="107">
        <v>36564000</v>
      </c>
      <c r="AU29" s="106"/>
      <c r="AV29" s="106"/>
      <c r="AW29" s="106"/>
      <c r="AX29" s="106"/>
      <c r="AY29" s="106"/>
      <c r="BA29" s="20">
        <v>25</v>
      </c>
      <c r="BD29" s="174"/>
      <c r="BE29" s="174"/>
      <c r="BF29" s="174"/>
      <c r="BG29" s="174"/>
      <c r="BH29" s="174"/>
      <c r="BI29" s="174"/>
      <c r="BJ29" s="174"/>
      <c r="BK29" s="174"/>
      <c r="BL29" s="174"/>
      <c r="BM29" s="174"/>
      <c r="BN29" s="174"/>
      <c r="BO29" s="174"/>
      <c r="BP29" s="174"/>
      <c r="BQ29" s="174"/>
      <c r="BR29" s="174"/>
      <c r="BS29" s="174"/>
      <c r="BT29" s="174"/>
      <c r="BU29" s="174"/>
      <c r="BV29" s="174"/>
      <c r="BW29" s="174"/>
      <c r="BX29" s="174"/>
      <c r="BY29" s="174"/>
      <c r="BZ29" s="127" t="inlineStr">
        <is>
          <t>Unassigned</t>
        </is>
      </c>
      <c r="CA29" s="127" t="inlineStr">
        <is>
          <t>No</t>
        </is>
      </c>
      <c r="CB29" s="131">
        <f>IF($A29="","",_xlfn.LET(_xlpm.sfp,AND($P29&lt;&gt;"",$P29&lt;&gt;"N/A",$P29&lt;&gt;"No Min RQ"),_xlpm.slp,AND($T29&lt;&gt;"",$T29&lt;&gt;"N/A",$T29&lt;&gt;"No Min RQ"),_xlpm.ffp,AND($X29&lt;&gt;"",$X29&lt;&gt;"N/A",$X29&lt;&gt;"No Min RQ"),_xlpm.chp,AND($AB29&lt;&gt;"",$AB29&lt;&gt;"N/A",$AB29&lt;&gt;"No Min RQ"),_xlpm.usp,AND($AF29&lt;&gt;"",$AF29&lt;&gt;"N/A",$AF29&lt;&gt;"No Min RQ"),_xlpm.n,_xlpm.sfp+_xlpm.slp+_xlpm.ffp+_xlpm.chp+_xlpm.usp,_xlpm.sub,(_xlpm.sfp*($P29="Submitted"))+(_xlpm.slp*($T29="Submitted"))+(_xlpm.ffp*($X29="Submitted"))+(_xlpm.chp*($AB29="Submitted"))+(_xlpm.usp*($AF29="Submitted")),_xlpm.term,(_xlpm.sfp*OR($P29="Approved",$P29="Declined"))+(_xlpm.slp*OR($T29="Approved",$T29="Declined"))+(_xlpm.ffp*OR($X29="Approved",$X29="Declined"))+(_xlpm.chp*OR($AB29="Approved",$AB29="Declined"))+(_xlpm.usp*OR($AF29="Approved",$AF29="Declined")),IF(_xlpm.n=0,"No applicable lenders",IF(_xlpm.sub&gt;0,"Stays with Shaw - lender still Submitted",IF(_xlpm.term=_xlpm.n,"Clear - all applicable lenders Approved or Declined","Stays with Shaw - not all lenders Approved or Declined")))))</f>
      </c>
    </row>
    <row r="30" spans="1:81" s="20" customFormat="1" ht="76.5">
      <c r="A30" s="225" t="s">
        <v>649</v>
      </c>
      <c r="B30" s="99" t="s">
        <v>650</v>
      </c>
      <c r="C30" s="99"/>
      <c r="D30" s="197" t="s">
        <v>651</v>
      </c>
      <c r="E30" s="88" t="s">
        <v>652</v>
      </c>
      <c r="F30" s="194" t="s">
        <v>653</v>
      </c>
      <c r="G30" s="100" t="s">
        <v>651</v>
      </c>
      <c r="H30" s="194" t="s">
        <v>654</v>
      </c>
      <c r="I30" s="99" t="s">
        <v>655</v>
      </c>
      <c r="J30" s="107"/>
      <c r="K30" s="85">
        <v>2</v>
      </c>
      <c r="L30" s="85" t="str">
        <f>IF($A30="","",_xlfn.LET(_xlpm.ns,(--($P30="Ready 2 Submit"))+(--($T30="Ready 2 Submit"))+(--($X30="Ready 2 Submit"))+(--($AB30="Ready 2 Submit"))+(--($AF30="Ready 2 Submit")),_xlpm.wd,(--($P30="Waiting on Dealer"))+(--($T30="Waiting on Dealer"))+(--($X30="Waiting on Dealer"))+(--($AB30="Waiting on Dealer"))+(--($AF30="Waiting on Dealer")),_xlpm.sb,(--($P30="Submitted"))+(--($T30="Submitted"))+(--($X30="Submitted"))+(--($AB30="Submitted"))+(--($AF30="Submitted")),_xlpm.ap,(--($P30="Approved"))+(--($T30="Approved"))+(--($X30="Approved"))+(--($AB30="Approved"))+(--($AF30="Approved")),_xlpm.ac,(--($P30="Active"))+(--($T30="Active"))+(--($X30="Active"))+(--($AB30="Active"))+(--($AF30="Active")),_xlpm.dc,(--($P30="Declined"))+(--($T30="Declined"))+(--($X30="Declined"))+(--($AB30="Declined"))+(--($AF30="Declined")),_xlpm.aRS,(--($P30="Active"))*(--($R30="Yes"))+(--($T30="Active"))*(--($V30="Yes"))+(--($X30="Active"))*(--($Z30="Yes"))+(--($AB30="Active"))*(--($AD30="Yes"))+(--($AF30="Active"))*(--($AH30="Yes")),_xlpm.aDn,(--($P30="Active"))*(--($R30="Yes"))*(--((($S30="Yes")+($S30=TRUE))&gt;0))+(--($T30="Active"))*(--($V30="Yes"))*(--((($W30="Yes")+($W30=TRUE))&gt;0))+(--($X30="Active"))*(--($Z30="Yes"))*(--((($AA30="Yes")+($AA30=TRUE))&gt;0))+(--($AB30="Active"))*(--($AD30="Yes"))*(--((($AE30="Yes")+($AE30=TRUE))&gt;0))+(--($AF30="Active"))*(--($AH30="Yes"))*(--((($AI30="Yes")+($AI30=TRUE))&gt;0)),_xlpm.inPlay,_xlpm.ns+_xlpm.wd+_xlpm.sb+_xlpm.ap,IF(AND(_xlpm.ac&gt;0,_xlpm.inPlay=0,_xlpm.aDn=_xlpm.ac),"LIVE DLR",IF(AND(_xlpm.aRS&gt;0,_xlpm.aDn&lt;_xlpm.aRS),"Training",IF(_xlpm.aRS&gt;0,"Active",IF(AND(_xlpm.dc&gt;0,_xlpm.inPlay+_xlpm.ac=0),"Dead",IF(OR($CA30="Yes",$CA30=TRUE),"Rate Sheet",IF(AND($AJ30&lt;&gt;"",$AK30=FALSE),"Waiting on Dealer",IF(_xlpm.sb&gt;0,"Waiting on Lender",IF(AND(_xlpm.ap+_xlpm.ac&gt;0,_xlpm.ns+_xlpm.wd=0),"Rate Sheet","Application Submitted"))))))))))</f>
        <v>Waiting on Lender</v>
      </c>
      <c r="M30" s="101">
        <v>46258</v>
      </c>
      <c r="N30" s="101">
        <v>46258</v>
      </c>
      <c r="O30" s="196" t="s">
        <v>656</v>
      </c>
      <c r="P30" s="85" t="s">
        <v>457</v>
      </c>
      <c r="Q30" s="101">
        <v>46274</v>
      </c>
      <c r="R30" s="85" t="s">
        <v>272</v>
      </c>
      <c r="S30" s="85" t="s">
        <v>272</v>
      </c>
      <c r="T30" s="85" t="s">
        <v>437</v>
      </c>
      <c r="U30" s="101" t="str">
        <f ca="1">IF(OR(U30="",U30=0),IF($T30="Submitted",TODAY(),""),U30)</f>
        <v/>
      </c>
      <c r="V30" s="85" t="s">
        <v>272</v>
      </c>
      <c r="W30" s="85" t="s">
        <v>272</v>
      </c>
      <c r="X30" s="85" t="s">
        <v>499</v>
      </c>
      <c r="Y30" s="101">
        <v>45194</v>
      </c>
      <c r="Z30" s="85" t="s">
        <v>272</v>
      </c>
      <c r="AA30" s="85" t="s">
        <v>272</v>
      </c>
      <c r="AB30" s="85" t="s">
        <v>457</v>
      </c>
      <c r="AC30" s="101">
        <f ca="1">IF(OR(AC30="",AC30=0),IF($AB30="Submitted",TODAY(),""),AC30)</f>
        <v>46287</v>
      </c>
      <c r="AD30" s="85" t="s">
        <v>272</v>
      </c>
      <c r="AE30" s="85" t="s">
        <v>272</v>
      </c>
      <c r="AF30" s="85" t="s">
        <v>437</v>
      </c>
      <c r="AG30" s="101" t="str">
        <f ca="1">IF(OR(AG30="",AG30=0),IF($AF30="Submitted",TODAY(),""),AG30)</f>
        <v/>
      </c>
      <c r="AH30" s="85" t="s">
        <v>272</v>
      </c>
      <c r="AI30" s="85" t="s">
        <v>272</v>
      </c>
      <c r="AJ30" s="196" t="s">
        <v>657</v>
      </c>
      <c r="AK30" s="102" t="b">
        <v>1</v>
      </c>
      <c r="AL30" s="85" cm="1">
        <f t="array" ref="AL30">IF($A30="","",SUMPRODUCT((CHOOSE({1,2,3,4,5},$R30,$V30,$Z30,$AD30,$AH30)="Yes")*(((CHOOSE({1,2,3,4,5},$S30,$W30,$AA30,$AE30,$AI30)="Yes")+(CHOOSE({1,2,3,4,5},$S30,$W30,$AA30,$AE30,$AI30)=TRUE))&gt;0)))</f>
        <v>0</v>
      </c>
      <c r="AM30" s="101">
        <v>46287</v>
      </c>
      <c r="AN30" s="85">
        <f ca="1">IF(OR($A30="",$AM30=""),"",TODAY()-$AM30)</f>
        <v>1</v>
      </c>
      <c r="AO30" s="87"/>
      <c r="AP30" s="106"/>
      <c r="AQ30" s="106"/>
      <c r="AR30" s="106"/>
      <c r="AS30" s="106"/>
      <c r="AT30" s="107" t="s">
        <v>658</v>
      </c>
      <c r="AU30" s="106"/>
      <c r="AV30" s="106"/>
      <c r="AW30" s="106"/>
      <c r="AX30" s="106"/>
      <c r="AY30" s="106"/>
      <c r="BA30" s="20">
        <v>26</v>
      </c>
      <c r="BD30" s="174"/>
      <c r="BE30" s="174"/>
      <c r="BF30" s="174"/>
      <c r="BG30" s="174"/>
      <c r="BH30" s="174"/>
      <c r="BI30" s="174"/>
      <c r="BJ30" s="174"/>
      <c r="BK30" s="174"/>
      <c r="BL30" s="174"/>
      <c r="BM30" s="174"/>
      <c r="BN30" s="174"/>
      <c r="BO30" s="174"/>
      <c r="BP30" s="174"/>
      <c r="BQ30" s="174"/>
      <c r="BR30" s="174"/>
      <c r="BS30" s="174"/>
      <c r="BT30" s="174"/>
      <c r="BU30" s="174"/>
      <c r="BV30" s="174"/>
      <c r="BW30" s="174"/>
      <c r="BX30" s="174"/>
      <c r="BY30" s="174"/>
      <c r="BZ30" s="127" t="inlineStr">
        <is>
          <t>Unassigned</t>
        </is>
      </c>
      <c r="CA30" s="127" t="inlineStr">
        <is>
          <t>No</t>
        </is>
      </c>
      <c r="CB30" s="131">
        <f>IF($A30="","",_xlfn.LET(_xlpm.sfp,AND($P30&lt;&gt;"",$P30&lt;&gt;"N/A",$P30&lt;&gt;"No Min RQ"),_xlpm.slp,AND($T30&lt;&gt;"",$T30&lt;&gt;"N/A",$T30&lt;&gt;"No Min RQ"),_xlpm.ffp,AND($X30&lt;&gt;"",$X30&lt;&gt;"N/A",$X30&lt;&gt;"No Min RQ"),_xlpm.chp,AND($AB30&lt;&gt;"",$AB30&lt;&gt;"N/A",$AB30&lt;&gt;"No Min RQ"),_xlpm.usp,AND($AF30&lt;&gt;"",$AF30&lt;&gt;"N/A",$AF30&lt;&gt;"No Min RQ"),_xlpm.n,_xlpm.sfp+_xlpm.slp+_xlpm.ffp+_xlpm.chp+_xlpm.usp,_xlpm.sub,(_xlpm.sfp*($P30="Submitted"))+(_xlpm.slp*($T30="Submitted"))+(_xlpm.ffp*($X30="Submitted"))+(_xlpm.chp*($AB30="Submitted"))+(_xlpm.usp*($AF30="Submitted")),_xlpm.term,(_xlpm.sfp*OR($P30="Approved",$P30="Declined"))+(_xlpm.slp*OR($T30="Approved",$T30="Declined"))+(_xlpm.ffp*OR($X30="Approved",$X30="Declined"))+(_xlpm.chp*OR($AB30="Approved",$AB30="Declined"))+(_xlpm.usp*OR($AF30="Approved",$AF30="Declined")),IF(_xlpm.n=0,"No applicable lenders",IF(_xlpm.sub&gt;0,"Stays with Shaw - lender still Submitted",IF(_xlpm.term=_xlpm.n,"Clear - all applicable lenders Approved or Declined","Stays with Shaw - not all lenders Approved or Declined")))))</f>
      </c>
    </row>
    <row r="31" spans="1:81" s="23" customFormat="1" ht="12.75" customHeight="1">
      <c r="A31" s="227" t="s">
        <v>659</v>
      </c>
      <c r="B31" s="216" t="s">
        <v>437</v>
      </c>
      <c r="C31" s="216"/>
      <c r="D31" s="216"/>
      <c r="E31" s="220"/>
      <c r="F31" s="216"/>
      <c r="G31" s="216" t="s">
        <v>509</v>
      </c>
      <c r="H31" s="210" t="s">
        <v>660</v>
      </c>
      <c r="I31" s="216" t="s">
        <v>661</v>
      </c>
      <c r="J31" s="221"/>
      <c r="K31" s="217"/>
      <c r="L31" s="217" t="str">
        <f>IF($A31="","",_xlfn.LET(_xlpm.ns,(--($P31="Ready 2 Submit"))+(--($T31="Ready 2 Submit"))+(--($X31="Ready 2 Submit"))+(--($AB31="Ready 2 Submit"))+(--($AF31="Ready 2 Submit")),_xlpm.wd,(--($P31="Waiting on Dealer"))+(--($T31="Waiting on Dealer"))+(--($X31="Waiting on Dealer"))+(--($AB31="Waiting on Dealer"))+(--($AF31="Waiting on Dealer")),_xlpm.sb,(--($P31="Submitted"))+(--($T31="Submitted"))+(--($X31="Submitted"))+(--($AB31="Submitted"))+(--($AF31="Submitted")),_xlpm.ap,(--($P31="Approved"))+(--($T31="Approved"))+(--($X31="Approved"))+(--($AB31="Approved"))+(--($AF31="Approved")),_xlpm.ac,(--($P31="Active"))+(--($T31="Active"))+(--($X31="Active"))+(--($AB31="Active"))+(--($AF31="Active")),_xlpm.dc,(--($P31="Declined"))+(--($T31="Declined"))+(--($X31="Declined"))+(--($AB31="Declined"))+(--($AF31="Declined")),_xlpm.aRS,(--($P31="Active"))*(--($R31="Yes"))+(--($T31="Active"))*(--($V31="Yes"))+(--($X31="Active"))*(--($Z31="Yes"))+(--($AB31="Active"))*(--($AD31="Yes"))+(--($AF31="Active"))*(--($AH31="Yes")),_xlpm.aDn,(--($P31="Active"))*(--($R31="Yes"))*(--((($S31="Yes")+($S31=TRUE))&gt;0))+(--($T31="Active"))*(--($V31="Yes"))*(--((($W31="Yes")+($W31=TRUE))&gt;0))+(--($X31="Active"))*(--($Z31="Yes"))*(--((($AA31="Yes")+($AA31=TRUE))&gt;0))+(--($AB31="Active"))*(--($AD31="Yes"))*(--((($AE31="Yes")+($AE31=TRUE))&gt;0))+(--($AF31="Active"))*(--($AH31="Yes"))*(--((($AI31="Yes")+($AI31=TRUE))&gt;0)),_xlpm.inPlay,_xlpm.ns+_xlpm.wd+_xlpm.sb+_xlpm.ap,IF(AND(_xlpm.ac&gt;0,_xlpm.inPlay=0,_xlpm.aDn=_xlpm.ac),"LIVE DLR",IF(AND(_xlpm.aRS&gt;0,_xlpm.aDn&lt;_xlpm.aRS),"Training",IF(_xlpm.aRS&gt;0,"Active",IF(AND(_xlpm.dc&gt;0,_xlpm.inPlay+_xlpm.ac=0),"Dead",IF(OR($CA31="Yes",$CA31=TRUE),"Rate Sheet",IF(AND($AJ31&lt;&gt;"",$AK31=FALSE),"Waiting on Dealer",IF(_xlpm.sb&gt;0,"Waiting on Lender",IF(AND(_xlpm.ap+_xlpm.ac&gt;0,_xlpm.ns+_xlpm.wd=0),"Rate Sheet","Application Submitted"))))))))))</f>
        <v>Dead</v>
      </c>
      <c r="M31" s="218">
        <v>46216</v>
      </c>
      <c r="N31" s="218">
        <v>46216</v>
      </c>
      <c r="O31" s="216" t="s">
        <v>662</v>
      </c>
      <c r="P31" s="217" t="s">
        <v>448</v>
      </c>
      <c r="Q31" s="218" t="str">
        <f ca="1">IF(OR(Q31="",Q31=0),IF($P31="Submitted",TODAY(),""),Q31)</f>
        <v/>
      </c>
      <c r="R31" s="217" t="s">
        <v>436</v>
      </c>
      <c r="S31" s="217" t="s">
        <v>436</v>
      </c>
      <c r="T31" s="217" t="s">
        <v>448</v>
      </c>
      <c r="U31" s="218" t="str">
        <f ca="1">IF(OR(U31="",U31=0),IF($T31="Submitted",TODAY(),""),U31)</f>
        <v/>
      </c>
      <c r="V31" s="217" t="s">
        <v>272</v>
      </c>
      <c r="W31" s="217" t="s">
        <v>272</v>
      </c>
      <c r="X31" s="217" t="s">
        <v>448</v>
      </c>
      <c r="Y31" s="218" t="str">
        <f ca="1">IF(OR(Y31="",Y31=0),IF($X31="Submitted",TODAY(),""),Y31)</f>
        <v/>
      </c>
      <c r="Z31" s="217" t="s">
        <v>272</v>
      </c>
      <c r="AA31" s="217" t="s">
        <v>272</v>
      </c>
      <c r="AB31" s="217" t="s">
        <v>437</v>
      </c>
      <c r="AC31" s="218" t="str">
        <f ca="1">IF(OR(AC31="",AC31=0),IF($AB31="Submitted",TODAY(),""),AC31)</f>
        <v/>
      </c>
      <c r="AD31" s="217" t="s">
        <v>272</v>
      </c>
      <c r="AE31" s="217" t="s">
        <v>272</v>
      </c>
      <c r="AF31" s="217" t="s">
        <v>437</v>
      </c>
      <c r="AG31" s="218" t="str">
        <f ca="1">IF(OR(AG31="",AG31=0),IF($AF31="Submitted",TODAY(),""),AG31)</f>
        <v/>
      </c>
      <c r="AH31" s="217" t="s">
        <v>272</v>
      </c>
      <c r="AI31" s="217" t="s">
        <v>272</v>
      </c>
      <c r="AJ31" s="216" t="s">
        <v>490</v>
      </c>
      <c r="AK31" s="222" t="b">
        <v>1</v>
      </c>
      <c r="AL31" s="217" cm="1">
        <f t="array" ref="AL31">IF($A31="","",SUMPRODUCT((CHOOSE({1,2,3,4,5},$R31,$V31,$Z31,$AD31,$AH31)="Yes")*(((CHOOSE({1,2,3,4,5},$S31,$W31,$AA31,$AE31,$AI31)="Yes")+(CHOOSE({1,2,3,4,5},$S31,$W31,$AA31,$AE31,$AI31)=TRUE))&gt;0)))</f>
        <v>1</v>
      </c>
      <c r="AM31" s="218"/>
      <c r="AN31" s="217" t="str">
        <f ca="1">IF(OR($A31="",$AM31=""),"",TODAY()-$AM31)</f>
        <v/>
      </c>
      <c r="AO31" s="216"/>
      <c r="AP31" s="214"/>
      <c r="AQ31" s="214"/>
      <c r="AR31" s="214"/>
      <c r="AS31" s="214"/>
      <c r="AT31" s="214"/>
      <c r="AU31" s="214"/>
      <c r="AV31" s="214"/>
      <c r="AW31" s="214"/>
      <c r="AX31" s="214"/>
      <c r="AY31" s="214"/>
      <c r="BA31" s="23">
        <v>27</v>
      </c>
      <c r="BD31" s="176"/>
      <c r="BE31" s="176"/>
      <c r="BF31" s="176"/>
      <c r="BG31" s="176"/>
      <c r="BH31" s="176"/>
      <c r="BI31" s="176"/>
      <c r="BJ31" s="176"/>
      <c r="BK31" s="176"/>
      <c r="BL31" s="176"/>
      <c r="BM31" s="176"/>
      <c r="BN31" s="176"/>
      <c r="BO31" s="176"/>
      <c r="BP31" s="176"/>
      <c r="BQ31" s="176"/>
      <c r="BR31" s="176"/>
      <c r="BS31" s="176"/>
      <c r="BT31" s="176"/>
      <c r="BU31" s="176"/>
      <c r="BV31" s="176"/>
      <c r="BW31" s="176"/>
      <c r="BX31" s="176"/>
      <c r="BY31" s="176"/>
      <c r="BZ31" s="127" t="inlineStr">
        <is>
          <t>Unassigned</t>
        </is>
      </c>
      <c r="CA31" s="127" t="inlineStr">
        <is>
          <t>No</t>
        </is>
      </c>
      <c r="CB31" s="131">
        <f>IF($A31="","",_xlfn.LET(_xlpm.sfp,AND($P31&lt;&gt;"",$P31&lt;&gt;"N/A",$P31&lt;&gt;"No Min RQ"),_xlpm.slp,AND($T31&lt;&gt;"",$T31&lt;&gt;"N/A",$T31&lt;&gt;"No Min RQ"),_xlpm.ffp,AND($X31&lt;&gt;"",$X31&lt;&gt;"N/A",$X31&lt;&gt;"No Min RQ"),_xlpm.chp,AND($AB31&lt;&gt;"",$AB31&lt;&gt;"N/A",$AB31&lt;&gt;"No Min RQ"),_xlpm.usp,AND($AF31&lt;&gt;"",$AF31&lt;&gt;"N/A",$AF31&lt;&gt;"No Min RQ"),_xlpm.n,_xlpm.sfp+_xlpm.slp+_xlpm.ffp+_xlpm.chp+_xlpm.usp,_xlpm.sub,(_xlpm.sfp*($P31="Submitted"))+(_xlpm.slp*($T31="Submitted"))+(_xlpm.ffp*($X31="Submitted"))+(_xlpm.chp*($AB31="Submitted"))+(_xlpm.usp*($AF31="Submitted")),_xlpm.term,(_xlpm.sfp*OR($P31="Approved",$P31="Declined"))+(_xlpm.slp*OR($T31="Approved",$T31="Declined"))+(_xlpm.ffp*OR($X31="Approved",$X31="Declined"))+(_xlpm.chp*OR($AB31="Approved",$AB31="Declined"))+(_xlpm.usp*OR($AF31="Approved",$AF31="Declined")),IF(_xlpm.n=0,"No applicable lenders",IF(_xlpm.sub&gt;0,"Stays with Shaw - lender still Submitted",IF(_xlpm.term=_xlpm.n,"Clear - all applicable lenders Approved or Declined","Stays with Shaw - not all lenders Approved or Declined")))))</f>
      </c>
    </row>
    <row r="32" spans="1:81" s="20" customFormat="1" ht="38.25">
      <c r="A32" s="225" t="s">
        <v>663</v>
      </c>
      <c r="B32" s="99" t="s">
        <v>664</v>
      </c>
      <c r="C32" s="99"/>
      <c r="D32" s="197" t="s">
        <v>665</v>
      </c>
      <c r="E32" s="88" t="s">
        <v>666</v>
      </c>
      <c r="F32" s="194" t="s">
        <v>667</v>
      </c>
      <c r="G32" s="100" t="s">
        <v>465</v>
      </c>
      <c r="H32" s="194" t="s">
        <v>466</v>
      </c>
      <c r="I32" s="99" t="s">
        <v>497</v>
      </c>
      <c r="J32" s="107"/>
      <c r="K32" s="85"/>
      <c r="L32" s="85" t="str">
        <f>IF($A32="","",_xlfn.LET(_xlpm.ns,(--($P32="Ready 2 Submit"))+(--($T32="Ready 2 Submit"))+(--($X32="Ready 2 Submit"))+(--($AB32="Ready 2 Submit"))+(--($AF32="Ready 2 Submit")),_xlpm.wd,(--($P32="Waiting on Dealer"))+(--($T32="Waiting on Dealer"))+(--($X32="Waiting on Dealer"))+(--($AB32="Waiting on Dealer"))+(--($AF32="Waiting on Dealer")),_xlpm.sb,(--($P32="Submitted"))+(--($T32="Submitted"))+(--($X32="Submitted"))+(--($AB32="Submitted"))+(--($AF32="Submitted")),_xlpm.ap,(--($P32="Approved"))+(--($T32="Approved"))+(--($X32="Approved"))+(--($AB32="Approved"))+(--($AF32="Approved")),_xlpm.ac,(--($P32="Active"))+(--($T32="Active"))+(--($X32="Active"))+(--($AB32="Active"))+(--($AF32="Active")),_xlpm.dc,(--($P32="Declined"))+(--($T32="Declined"))+(--($X32="Declined"))+(--($AB32="Declined"))+(--($AF32="Declined")),_xlpm.aRS,(--($P32="Active"))*(--($R32="Yes"))+(--($T32="Active"))*(--($V32="Yes"))+(--($X32="Active"))*(--($Z32="Yes"))+(--($AB32="Active"))*(--($AD32="Yes"))+(--($AF32="Active"))*(--($AH32="Yes")),_xlpm.aDn,(--($P32="Active"))*(--($R32="Yes"))*(--((($S32="Yes")+($S32=TRUE))&gt;0))+(--($T32="Active"))*(--($V32="Yes"))*(--((($W32="Yes")+($W32=TRUE))&gt;0))+(--($X32="Active"))*(--($Z32="Yes"))*(--((($AA32="Yes")+($AA32=TRUE))&gt;0))+(--($AB32="Active"))*(--($AD32="Yes"))*(--((($AE32="Yes")+($AE32=TRUE))&gt;0))+(--($AF32="Active"))*(--($AH32="Yes"))*(--((($AI32="Yes")+($AI32=TRUE))&gt;0)),_xlpm.inPlay,_xlpm.ns+_xlpm.wd+_xlpm.sb+_xlpm.ap,IF(AND(_xlpm.ac&gt;0,_xlpm.inPlay=0,_xlpm.aDn=_xlpm.ac),"LIVE DLR",IF(AND(_xlpm.aRS&gt;0,_xlpm.aDn&lt;_xlpm.aRS),"Training",IF(_xlpm.aRS&gt;0,"Active",IF(AND(_xlpm.dc&gt;0,_xlpm.inPlay+_xlpm.ac=0),"Dead",IF(OR($CA32="Yes",$CA32=TRUE),"Rate Sheet",IF(AND($AJ32&lt;&gt;"",$AK32=FALSE),"Waiting on Dealer",IF(_xlpm.sb&gt;0,"Waiting on Lender",IF(AND(_xlpm.ap+_xlpm.ac&gt;0,_xlpm.ns+_xlpm.wd=0),"Rate Sheet","Application Submitted"))))))))))</f>
        <v>Application Submitted</v>
      </c>
      <c r="M32" s="101">
        <v>46153</v>
      </c>
      <c r="N32" s="101">
        <v>46280</v>
      </c>
      <c r="O32" s="196" t="s">
        <v>668</v>
      </c>
      <c r="P32" s="85" t="s">
        <v>513</v>
      </c>
      <c r="Q32" s="101" t="str">
        <f ca="1">IF(OR(Q32="",Q32=0),IF($P32="Submitted",TODAY(),""),Q32)</f>
        <v/>
      </c>
      <c r="R32" s="85" t="s">
        <v>272</v>
      </c>
      <c r="S32" s="85" t="s">
        <v>272</v>
      </c>
      <c r="T32" s="85" t="s">
        <v>513</v>
      </c>
      <c r="U32" s="101" t="str">
        <f ca="1">IF(OR(U32="",U32=0),IF($T32="Submitted",TODAY(),""),U32)</f>
        <v/>
      </c>
      <c r="V32" s="85" t="s">
        <v>272</v>
      </c>
      <c r="W32" s="85" t="s">
        <v>272</v>
      </c>
      <c r="X32" s="85" t="s">
        <v>513</v>
      </c>
      <c r="Y32" s="101">
        <v>46132</v>
      </c>
      <c r="Z32" s="85" t="s">
        <v>436</v>
      </c>
      <c r="AA32" s="85" t="s">
        <v>436</v>
      </c>
      <c r="AB32" s="85" t="s">
        <v>437</v>
      </c>
      <c r="AC32" s="101" t="str">
        <f ca="1">IF(OR(AC32="",AC32=0),IF($AB32="Submitted",TODAY(),""),AC32)</f>
        <v/>
      </c>
      <c r="AD32" s="85" t="s">
        <v>272</v>
      </c>
      <c r="AE32" s="85" t="s">
        <v>272</v>
      </c>
      <c r="AF32" s="85" t="s">
        <v>437</v>
      </c>
      <c r="AG32" s="101" t="str">
        <f ca="1">IF(OR(AG32="",AG32=0),IF($AF32="Submitted",TODAY(),""),AG32)</f>
        <v/>
      </c>
      <c r="AH32" s="85" t="s">
        <v>272</v>
      </c>
      <c r="AI32" s="85" t="s">
        <v>272</v>
      </c>
      <c r="AJ32" s="196" t="s">
        <v>669</v>
      </c>
      <c r="AK32" s="102" t="b">
        <v>1</v>
      </c>
      <c r="AL32" s="85" cm="1">
        <f t="array" ref="AL32">IF($A32="","",SUMPRODUCT((CHOOSE({1,2,3,4,5},$R32,$V32,$Z32,$AD32,$AH32)="Yes")*(((CHOOSE({1,2,3,4,5},$S32,$W32,$AA32,$AE32,$AI32)="Yes")+(CHOOSE({1,2,3,4,5},$S32,$W32,$AA32,$AE32,$AI32)=TRUE))&gt;0)))</f>
        <v>1</v>
      </c>
      <c r="AM32" s="101">
        <v>46281</v>
      </c>
      <c r="AN32" s="85">
        <f ca="1">IF(OR($A32="",$AM32=""),"",TODAY()-$AM32)</f>
        <v>7</v>
      </c>
      <c r="AO32" s="87"/>
      <c r="AP32" s="106"/>
      <c r="AQ32" s="106"/>
      <c r="AR32" s="106"/>
      <c r="AS32" s="106"/>
      <c r="AT32" s="107" t="s">
        <v>670</v>
      </c>
      <c r="AU32" s="106"/>
      <c r="AV32" s="106"/>
      <c r="AW32" s="106"/>
      <c r="AX32" s="106"/>
      <c r="AY32" s="106"/>
      <c r="BA32" s="20">
        <v>28</v>
      </c>
      <c r="BD32" s="174"/>
      <c r="BE32" s="174"/>
      <c r="BF32" s="174"/>
      <c r="BG32" s="174"/>
      <c r="BH32" s="174"/>
      <c r="BI32" s="174"/>
      <c r="BJ32" s="174"/>
      <c r="BK32" s="174"/>
      <c r="BL32" s="174"/>
      <c r="BM32" s="174"/>
      <c r="BN32" s="174"/>
      <c r="BO32" s="174"/>
      <c r="BP32" s="174"/>
      <c r="BQ32" s="174"/>
      <c r="BR32" s="174"/>
      <c r="BS32" s="174"/>
      <c r="BT32" s="174"/>
      <c r="BU32" s="174"/>
      <c r="BV32" s="174"/>
      <c r="BW32" s="174"/>
      <c r="BX32" s="174"/>
      <c r="BY32" s="174"/>
      <c r="BZ32" s="127" t="inlineStr">
        <is>
          <t>Unassigned</t>
        </is>
      </c>
      <c r="CA32" s="127" t="inlineStr">
        <is>
          <t>No</t>
        </is>
      </c>
      <c r="CB32" s="131">
        <f>IF($A32="","",_xlfn.LET(_xlpm.sfp,AND($P32&lt;&gt;"",$P32&lt;&gt;"N/A",$P32&lt;&gt;"No Min RQ"),_xlpm.slp,AND($T32&lt;&gt;"",$T32&lt;&gt;"N/A",$T32&lt;&gt;"No Min RQ"),_xlpm.ffp,AND($X32&lt;&gt;"",$X32&lt;&gt;"N/A",$X32&lt;&gt;"No Min RQ"),_xlpm.chp,AND($AB32&lt;&gt;"",$AB32&lt;&gt;"N/A",$AB32&lt;&gt;"No Min RQ"),_xlpm.usp,AND($AF32&lt;&gt;"",$AF32&lt;&gt;"N/A",$AF32&lt;&gt;"No Min RQ"),_xlpm.n,_xlpm.sfp+_xlpm.slp+_xlpm.ffp+_xlpm.chp+_xlpm.usp,_xlpm.sub,(_xlpm.sfp*($P32="Submitted"))+(_xlpm.slp*($T32="Submitted"))+(_xlpm.ffp*($X32="Submitted"))+(_xlpm.chp*($AB32="Submitted"))+(_xlpm.usp*($AF32="Submitted")),_xlpm.term,(_xlpm.sfp*OR($P32="Approved",$P32="Declined"))+(_xlpm.slp*OR($T32="Approved",$T32="Declined"))+(_xlpm.ffp*OR($X32="Approved",$X32="Declined"))+(_xlpm.chp*OR($AB32="Approved",$AB32="Declined"))+(_xlpm.usp*OR($AF32="Approved",$AF32="Declined")),IF(_xlpm.n=0,"No applicable lenders",IF(_xlpm.sub&gt;0,"Stays with Shaw - lender still Submitted",IF(_xlpm.term=_xlpm.n,"Clear - all applicable lenders Approved or Declined","Stays with Shaw - not all lenders Approved or Declined")))))</f>
      </c>
    </row>
    <row r="33" spans="1:81" s="20" customFormat="1" ht="95.25">
      <c r="A33" s="228" t="s">
        <v>671</v>
      </c>
      <c r="B33" s="87" t="s">
        <v>671</v>
      </c>
      <c r="C33" s="87"/>
      <c r="D33" s="197" t="s">
        <v>672</v>
      </c>
      <c r="E33" s="88" t="s">
        <v>673</v>
      </c>
      <c r="F33" s="194" t="s">
        <v>674</v>
      </c>
      <c r="G33" s="87" t="s">
        <v>675</v>
      </c>
      <c r="H33" s="194" t="s">
        <v>676</v>
      </c>
      <c r="I33" s="99" t="s">
        <v>537</v>
      </c>
      <c r="J33" s="107"/>
      <c r="K33" s="85">
        <v>1</v>
      </c>
      <c r="L33" s="85" t="str">
        <f>IF($A33="","",_xlfn.LET(_xlpm.ns,(--($P33="Ready 2 Submit"))+(--($T33="Ready 2 Submit"))+(--($X33="Ready 2 Submit"))+(--($AB33="Ready 2 Submit"))+(--($AF33="Ready 2 Submit")),_xlpm.wd,(--($P33="Waiting on Dealer"))+(--($T33="Waiting on Dealer"))+(--($X33="Waiting on Dealer"))+(--($AB33="Waiting on Dealer"))+(--($AF33="Waiting on Dealer")),_xlpm.sb,(--($P33="Submitted"))+(--($T33="Submitted"))+(--($X33="Submitted"))+(--($AB33="Submitted"))+(--($AF33="Submitted")),_xlpm.ap,(--($P33="Approved"))+(--($T33="Approved"))+(--($X33="Approved"))+(--($AB33="Approved"))+(--($AF33="Approved")),_xlpm.ac,(--($P33="Active"))+(--($T33="Active"))+(--($X33="Active"))+(--($AB33="Active"))+(--($AF33="Active")),_xlpm.dc,(--($P33="Declined"))+(--($T33="Declined"))+(--($X33="Declined"))+(--($AB33="Declined"))+(--($AF33="Declined")),_xlpm.aRS,(--($P33="Active"))*(--($R33="Yes"))+(--($T33="Active"))*(--($V33="Yes"))+(--($X33="Active"))*(--($Z33="Yes"))+(--($AB33="Active"))*(--($AD33="Yes"))+(--($AF33="Active"))*(--($AH33="Yes")),_xlpm.aDn,(--($P33="Active"))*(--($R33="Yes"))*(--((($S33="Yes")+($S33=TRUE))&gt;0))+(--($T33="Active"))*(--($V33="Yes"))*(--((($W33="Yes")+($W33=TRUE))&gt;0))+(--($X33="Active"))*(--($Z33="Yes"))*(--((($AA33="Yes")+($AA33=TRUE))&gt;0))+(--($AB33="Active"))*(--($AD33="Yes"))*(--((($AE33="Yes")+($AE33=TRUE))&gt;0))+(--($AF33="Active"))*(--($AH33="Yes"))*(--((($AI33="Yes")+($AI33=TRUE))&gt;0)),_xlpm.inPlay,_xlpm.ns+_xlpm.wd+_xlpm.sb+_xlpm.ap,IF(AND(_xlpm.ac&gt;0,_xlpm.inPlay=0,_xlpm.aDn=_xlpm.ac),"LIVE DLR",IF(AND(_xlpm.aRS&gt;0,_xlpm.aDn&lt;_xlpm.aRS),"Training",IF(_xlpm.aRS&gt;0,"Active",IF(AND(_xlpm.dc&gt;0,_xlpm.inPlay+_xlpm.ac=0),"Dead",IF(OR($CA33="Yes",$CA33=TRUE),"Rate Sheet",IF(AND($AJ33&lt;&gt;"",$AK33=FALSE),"Waiting on Dealer",IF(_xlpm.sb&gt;0,"Waiting on Lender",IF(AND(_xlpm.ap+_xlpm.ac&gt;0,_xlpm.ns+_xlpm.wd=0),"Rate Sheet","Application Submitted"))))))))))</f>
        <v>Waiting on Lender</v>
      </c>
      <c r="M33" s="101">
        <v>46262</v>
      </c>
      <c r="N33" s="101">
        <v>46280</v>
      </c>
      <c r="O33" s="196" t="s">
        <v>553</v>
      </c>
      <c r="P33" s="85" t="s">
        <v>677</v>
      </c>
      <c r="Q33" s="101">
        <v>46274</v>
      </c>
      <c r="R33" s="85" t="s">
        <v>272</v>
      </c>
      <c r="S33" s="85" t="s">
        <v>272</v>
      </c>
      <c r="T33" s="85" t="s">
        <v>435</v>
      </c>
      <c r="U33" s="101">
        <v>46274</v>
      </c>
      <c r="V33" s="85" t="s">
        <v>272</v>
      </c>
      <c r="W33" s="85" t="s">
        <v>272</v>
      </c>
      <c r="X33" s="85" t="s">
        <v>457</v>
      </c>
      <c r="Y33" s="101">
        <v>46274</v>
      </c>
      <c r="Z33" s="85" t="s">
        <v>272</v>
      </c>
      <c r="AA33" s="85" t="s">
        <v>272</v>
      </c>
      <c r="AB33" s="85" t="s">
        <v>437</v>
      </c>
      <c r="AC33" s="101" t="str">
        <f ca="1">IF(OR(AC33="",AC33=0),IF($AB33="Submitted",TODAY(),""),AC33)</f>
        <v/>
      </c>
      <c r="AD33" s="85" t="s">
        <v>272</v>
      </c>
      <c r="AE33" s="85" t="s">
        <v>272</v>
      </c>
      <c r="AF33" s="85" t="s">
        <v>437</v>
      </c>
      <c r="AG33" s="101" t="str">
        <f ca="1">IF(OR(AG33="",AG33=0),IF($AF33="Submitted",TODAY(),""),AG33)</f>
        <v/>
      </c>
      <c r="AH33" s="85" t="s">
        <v>272</v>
      </c>
      <c r="AI33" s="85" t="s">
        <v>272</v>
      </c>
      <c r="AJ33" s="196" t="s">
        <v>678</v>
      </c>
      <c r="AK33" s="102" t="b">
        <v>1</v>
      </c>
      <c r="AL33" s="85" cm="1">
        <f t="array" ref="AL33">IF($A33="","",SUMPRODUCT((CHOOSE({1,2,3,4,5},$R33,$V33,$Z33,$AD33,$AH33)="Yes")*(((CHOOSE({1,2,3,4,5},$S33,$W33,$AA33,$AE33,$AI33)="Yes")+(CHOOSE({1,2,3,4,5},$S33,$W33,$AA33,$AE33,$AI33)=TRUE))&gt;0)))</f>
        <v>0</v>
      </c>
      <c r="AM33" s="101">
        <v>46266</v>
      </c>
      <c r="AN33" s="85">
        <f ca="1">IF(OR($A33="",$AM33=""),"",TODAY()-$AM33)</f>
        <v>22</v>
      </c>
      <c r="AO33" s="87"/>
      <c r="AP33" s="168">
        <v>815134282</v>
      </c>
      <c r="AQ33" s="106"/>
      <c r="AR33" s="106" t="s">
        <v>679</v>
      </c>
      <c r="AS33" s="106"/>
      <c r="AT33" s="106"/>
      <c r="AU33" s="106"/>
      <c r="AV33" s="106"/>
      <c r="AW33" s="106"/>
      <c r="AX33" s="106"/>
      <c r="AY33" s="106"/>
      <c r="BA33" s="20">
        <v>29</v>
      </c>
      <c r="BD33" s="174"/>
      <c r="BE33" s="174"/>
      <c r="BF33" s="174"/>
      <c r="BG33" s="174"/>
      <c r="BH33" s="174"/>
      <c r="BI33" s="174"/>
      <c r="BJ33" s="174"/>
      <c r="BK33" s="174"/>
      <c r="BL33" s="174"/>
      <c r="BM33" s="174"/>
      <c r="BN33" s="174"/>
      <c r="BO33" s="174"/>
      <c r="BP33" s="174"/>
      <c r="BQ33" s="174"/>
      <c r="BR33" s="174"/>
      <c r="BS33" s="174"/>
      <c r="BT33" s="174"/>
      <c r="BU33" s="174"/>
      <c r="BV33" s="174"/>
      <c r="BW33" s="174"/>
      <c r="BX33" s="174"/>
      <c r="BY33" s="174"/>
      <c r="BZ33" s="127" t="inlineStr">
        <is>
          <t>Unassigned</t>
        </is>
      </c>
      <c r="CA33" s="127" t="inlineStr">
        <is>
          <t>No</t>
        </is>
      </c>
      <c r="CB33" s="131">
        <f>IF($A33="","",_xlfn.LET(_xlpm.sfp,AND($P33&lt;&gt;"",$P33&lt;&gt;"N/A",$P33&lt;&gt;"No Min RQ"),_xlpm.slp,AND($T33&lt;&gt;"",$T33&lt;&gt;"N/A",$T33&lt;&gt;"No Min RQ"),_xlpm.ffp,AND($X33&lt;&gt;"",$X33&lt;&gt;"N/A",$X33&lt;&gt;"No Min RQ"),_xlpm.chp,AND($AB33&lt;&gt;"",$AB33&lt;&gt;"N/A",$AB33&lt;&gt;"No Min RQ"),_xlpm.usp,AND($AF33&lt;&gt;"",$AF33&lt;&gt;"N/A",$AF33&lt;&gt;"No Min RQ"),_xlpm.n,_xlpm.sfp+_xlpm.slp+_xlpm.ffp+_xlpm.chp+_xlpm.usp,_xlpm.sub,(_xlpm.sfp*($P33="Submitted"))+(_xlpm.slp*($T33="Submitted"))+(_xlpm.ffp*($X33="Submitted"))+(_xlpm.chp*($AB33="Submitted"))+(_xlpm.usp*($AF33="Submitted")),_xlpm.term,(_xlpm.sfp*OR($P33="Approved",$P33="Declined"))+(_xlpm.slp*OR($T33="Approved",$T33="Declined"))+(_xlpm.ffp*OR($X33="Approved",$X33="Declined"))+(_xlpm.chp*OR($AB33="Approved",$AB33="Declined"))+(_xlpm.usp*OR($AF33="Approved",$AF33="Declined")),IF(_xlpm.n=0,"No applicable lenders",IF(_xlpm.sub&gt;0,"Stays with Shaw - lender still Submitted",IF(_xlpm.term=_xlpm.n,"Clear - all applicable lenders Approved or Declined","Stays with Shaw - not all lenders Approved or Declined")))))</f>
      </c>
    </row>
    <row r="34" spans="1:81" s="20" customFormat="1" ht="57">
      <c r="A34" s="225" t="s">
        <v>680</v>
      </c>
      <c r="B34" s="99" t="s">
        <v>680</v>
      </c>
      <c r="C34" s="99"/>
      <c r="D34" s="197" t="s">
        <v>681</v>
      </c>
      <c r="E34" s="88" t="s">
        <v>682</v>
      </c>
      <c r="F34" s="194" t="s">
        <v>683</v>
      </c>
      <c r="G34" s="100" t="s">
        <v>684</v>
      </c>
      <c r="H34" s="194" t="s">
        <v>685</v>
      </c>
      <c r="I34" s="99" t="s">
        <v>497</v>
      </c>
      <c r="J34" s="107"/>
      <c r="K34" s="85">
        <v>3</v>
      </c>
      <c r="L34" s="85" t="str">
        <f>IF($A34="","",_xlfn.LET(_xlpm.ns,(--($P34="Ready 2 Submit"))+(--($T34="Ready 2 Submit"))+(--($X34="Ready 2 Submit"))+(--($AB34="Ready 2 Submit"))+(--($AF34="Ready 2 Submit")),_xlpm.wd,(--($P34="Waiting on Dealer"))+(--($T34="Waiting on Dealer"))+(--($X34="Waiting on Dealer"))+(--($AB34="Waiting on Dealer"))+(--($AF34="Waiting on Dealer")),_xlpm.sb,(--($P34="Submitted"))+(--($T34="Submitted"))+(--($X34="Submitted"))+(--($AB34="Submitted"))+(--($AF34="Submitted")),_xlpm.ap,(--($P34="Approved"))+(--($T34="Approved"))+(--($X34="Approved"))+(--($AB34="Approved"))+(--($AF34="Approved")),_xlpm.ac,(--($P34="Active"))+(--($T34="Active"))+(--($X34="Active"))+(--($AB34="Active"))+(--($AF34="Active")),_xlpm.dc,(--($P34="Declined"))+(--($T34="Declined"))+(--($X34="Declined"))+(--($AB34="Declined"))+(--($AF34="Declined")),_xlpm.aRS,(--($P34="Active"))*(--($R34="Yes"))+(--($T34="Active"))*(--($V34="Yes"))+(--($X34="Active"))*(--($Z34="Yes"))+(--($AB34="Active"))*(--($AD34="Yes"))+(--($AF34="Active"))*(--($AH34="Yes")),_xlpm.aDn,(--($P34="Active"))*(--($R34="Yes"))*(--((($S34="Yes")+($S34=TRUE))&gt;0))+(--($T34="Active"))*(--($V34="Yes"))*(--((($W34="Yes")+($W34=TRUE))&gt;0))+(--($X34="Active"))*(--($Z34="Yes"))*(--((($AA34="Yes")+($AA34=TRUE))&gt;0))+(--($AB34="Active"))*(--($AD34="Yes"))*(--((($AE34="Yes")+($AE34=TRUE))&gt;0))+(--($AF34="Active"))*(--($AH34="Yes"))*(--((($AI34="Yes")+($AI34=TRUE))&gt;0)),_xlpm.inPlay,_xlpm.ns+_xlpm.wd+_xlpm.sb+_xlpm.ap,IF(AND(_xlpm.ac&gt;0,_xlpm.inPlay=0,_xlpm.aDn=_xlpm.ac),"LIVE DLR",IF(AND(_xlpm.aRS&gt;0,_xlpm.aDn&lt;_xlpm.aRS),"Training",IF(_xlpm.aRS&gt;0,"Active",IF(AND(_xlpm.dc&gt;0,_xlpm.inPlay+_xlpm.ac=0),"Dead",IF(OR($CA34="Yes",$CA34=TRUE),"Rate Sheet",IF(AND($AJ34&lt;&gt;"",$AK34=FALSE),"Waiting on Dealer",IF(_xlpm.sb&gt;0,"Waiting on Lender",IF(AND(_xlpm.ap+_xlpm.ac&gt;0,_xlpm.ns+_xlpm.wd=0),"Rate Sheet","Application Submitted"))))))))))</f>
        <v>Active</v>
      </c>
      <c r="M34" s="101">
        <v>46266</v>
      </c>
      <c r="N34" s="101">
        <v>46280</v>
      </c>
      <c r="O34" s="196" t="s">
        <v>686</v>
      </c>
      <c r="P34" s="85" t="s">
        <v>448</v>
      </c>
      <c r="Q34" s="101">
        <v>46274</v>
      </c>
      <c r="R34" s="85" t="s">
        <v>272</v>
      </c>
      <c r="S34" s="85" t="s">
        <v>272</v>
      </c>
      <c r="T34" s="85" t="s">
        <v>448</v>
      </c>
      <c r="U34" s="101">
        <v>46279</v>
      </c>
      <c r="V34" s="85" t="s">
        <v>272</v>
      </c>
      <c r="W34" s="85" t="s">
        <v>272</v>
      </c>
      <c r="X34" s="85" t="s">
        <v>457</v>
      </c>
      <c r="Y34" s="101">
        <v>46274</v>
      </c>
      <c r="Z34" s="85" t="s">
        <v>272</v>
      </c>
      <c r="AA34" s="85" t="s">
        <v>272</v>
      </c>
      <c r="AB34" s="85" t="s">
        <v>435</v>
      </c>
      <c r="AC34" s="101">
        <v>46274</v>
      </c>
      <c r="AD34" s="85" t="s">
        <v>436</v>
      </c>
      <c r="AE34" s="85" t="s">
        <v>436</v>
      </c>
      <c r="AF34" s="85" t="s">
        <v>437</v>
      </c>
      <c r="AG34" s="101" t="str">
        <f ca="1">IF(OR(AG34="",AG34=0),IF($AF34="Submitted",TODAY(),""),AG34)</f>
        <v/>
      </c>
      <c r="AH34" s="85" t="s">
        <v>272</v>
      </c>
      <c r="AI34" s="85" t="s">
        <v>272</v>
      </c>
      <c r="AJ34" s="196" t="s">
        <v>687</v>
      </c>
      <c r="AK34" s="102" t="b">
        <v>1</v>
      </c>
      <c r="AL34" s="85" cm="1">
        <f t="array" ref="AL34">IF($A34="","",SUMPRODUCT((CHOOSE({1,2,3,4,5},$R34,$V34,$Z34,$AD34,$AH34)="Yes")*(((CHOOSE({1,2,3,4,5},$S34,$W34,$AA34,$AE34,$AI34)="Yes")+(CHOOSE({1,2,3,4,5},$S34,$W34,$AA34,$AE34,$AI34)=TRUE))&gt;0)))</f>
        <v>1</v>
      </c>
      <c r="AM34" s="101">
        <v>46276</v>
      </c>
      <c r="AN34" s="85">
        <f ca="1">IF(OR($A34="",$AM34=""),"",TODAY()-$AM34)</f>
        <v>12</v>
      </c>
      <c r="AO34" s="103"/>
      <c r="AP34" s="104"/>
      <c r="AQ34" s="105"/>
      <c r="AR34" s="104"/>
      <c r="AS34" s="105"/>
      <c r="AT34" s="104"/>
      <c r="AU34" s="105"/>
      <c r="AV34" s="105"/>
      <c r="AW34" s="105"/>
      <c r="AX34" s="105"/>
      <c r="AY34" s="105"/>
      <c r="BA34" s="20">
        <v>30</v>
      </c>
      <c r="BD34" s="174"/>
      <c r="BE34" s="174"/>
      <c r="BF34" s="174"/>
      <c r="BG34" s="174"/>
      <c r="BH34" s="174"/>
      <c r="BI34" s="174"/>
      <c r="BJ34" s="174"/>
      <c r="BK34" s="174"/>
      <c r="BL34" s="174"/>
      <c r="BM34" s="174"/>
      <c r="BN34" s="174"/>
      <c r="BO34" s="174"/>
      <c r="BP34" s="174"/>
      <c r="BQ34" s="174"/>
      <c r="BR34" s="174"/>
      <c r="BS34" s="174"/>
      <c r="BT34" s="174"/>
      <c r="BU34" s="174"/>
      <c r="BV34" s="174"/>
      <c r="BW34" s="174"/>
      <c r="BX34" s="174"/>
      <c r="BY34" s="174"/>
      <c r="BZ34" s="127" t="inlineStr">
        <is>
          <t>Unassigned</t>
        </is>
      </c>
      <c r="CA34" s="127" t="inlineStr">
        <is>
          <t>No</t>
        </is>
      </c>
      <c r="CB34" s="131">
        <f>IF($A34="","",_xlfn.LET(_xlpm.sfp,AND($P34&lt;&gt;"",$P34&lt;&gt;"N/A",$P34&lt;&gt;"No Min RQ"),_xlpm.slp,AND($T34&lt;&gt;"",$T34&lt;&gt;"N/A",$T34&lt;&gt;"No Min RQ"),_xlpm.ffp,AND($X34&lt;&gt;"",$X34&lt;&gt;"N/A",$X34&lt;&gt;"No Min RQ"),_xlpm.chp,AND($AB34&lt;&gt;"",$AB34&lt;&gt;"N/A",$AB34&lt;&gt;"No Min RQ"),_xlpm.usp,AND($AF34&lt;&gt;"",$AF34&lt;&gt;"N/A",$AF34&lt;&gt;"No Min RQ"),_xlpm.n,_xlpm.sfp+_xlpm.slp+_xlpm.ffp+_xlpm.chp+_xlpm.usp,_xlpm.sub,(_xlpm.sfp*($P34="Submitted"))+(_xlpm.slp*($T34="Submitted"))+(_xlpm.ffp*($X34="Submitted"))+(_xlpm.chp*($AB34="Submitted"))+(_xlpm.usp*($AF34="Submitted")),_xlpm.term,(_xlpm.sfp*OR($P34="Approved",$P34="Declined"))+(_xlpm.slp*OR($T34="Approved",$T34="Declined"))+(_xlpm.ffp*OR($X34="Approved",$X34="Declined"))+(_xlpm.chp*OR($AB34="Approved",$AB34="Declined"))+(_xlpm.usp*OR($AF34="Approved",$AF34="Declined")),IF(_xlpm.n=0,"No applicable lenders",IF(_xlpm.sub&gt;0,"Stays with Shaw - lender still Submitted",IF(_xlpm.term=_xlpm.n,"Clear - all applicable lenders Approved or Declined","Stays with Shaw - not all lenders Approved or Declined")))))</f>
      </c>
    </row>
    <row r="35" spans="1:81" s="20" customFormat="1" ht="38.25">
      <c r="A35" s="225" t="s">
        <v>688</v>
      </c>
      <c r="B35" s="99" t="s">
        <v>688</v>
      </c>
      <c r="C35" s="99"/>
      <c r="D35" s="197" t="s">
        <v>689</v>
      </c>
      <c r="E35" s="88" t="s">
        <v>690</v>
      </c>
      <c r="F35" s="194" t="s">
        <v>691</v>
      </c>
      <c r="G35" s="100" t="s">
        <v>675</v>
      </c>
      <c r="H35" s="194" t="s">
        <v>692</v>
      </c>
      <c r="I35" s="99" t="s">
        <v>497</v>
      </c>
      <c r="J35" s="107"/>
      <c r="K35" s="85">
        <v>2</v>
      </c>
      <c r="L35" s="85" t="str">
        <f>IF($A35="","",_xlfn.LET(_xlpm.ns,(--($P35="Ready 2 Submit"))+(--($T35="Ready 2 Submit"))+(--($X35="Ready 2 Submit"))+(--($AB35="Ready 2 Submit"))+(--($AF35="Ready 2 Submit")),_xlpm.wd,(--($P35="Waiting on Dealer"))+(--($T35="Waiting on Dealer"))+(--($X35="Waiting on Dealer"))+(--($AB35="Waiting on Dealer"))+(--($AF35="Waiting on Dealer")),_xlpm.sb,(--($P35="Submitted"))+(--($T35="Submitted"))+(--($X35="Submitted"))+(--($AB35="Submitted"))+(--($AF35="Submitted")),_xlpm.ap,(--($P35="Approved"))+(--($T35="Approved"))+(--($X35="Approved"))+(--($AB35="Approved"))+(--($AF35="Approved")),_xlpm.ac,(--($P35="Active"))+(--($T35="Active"))+(--($X35="Active"))+(--($AB35="Active"))+(--($AF35="Active")),_xlpm.dc,(--($P35="Declined"))+(--($T35="Declined"))+(--($X35="Declined"))+(--($AB35="Declined"))+(--($AF35="Declined")),_xlpm.aRS,(--($P35="Active"))*(--($R35="Yes"))+(--($T35="Active"))*(--($V35="Yes"))+(--($X35="Active"))*(--($Z35="Yes"))+(--($AB35="Active"))*(--($AD35="Yes"))+(--($AF35="Active"))*(--($AH35="Yes")),_xlpm.aDn,(--($P35="Active"))*(--($R35="Yes"))*(--((($S35="Yes")+($S35=TRUE))&gt;0))+(--($T35="Active"))*(--($V35="Yes"))*(--((($W35="Yes")+($W35=TRUE))&gt;0))+(--($X35="Active"))*(--($Z35="Yes"))*(--((($AA35="Yes")+($AA35=TRUE))&gt;0))+(--($AB35="Active"))*(--($AD35="Yes"))*(--((($AE35="Yes")+($AE35=TRUE))&gt;0))+(--($AF35="Active"))*(--($AH35="Yes"))*(--((($AI35="Yes")+($AI35=TRUE))&gt;0)),_xlpm.inPlay,_xlpm.ns+_xlpm.wd+_xlpm.sb+_xlpm.ap,IF(AND(_xlpm.ac&gt;0,_xlpm.inPlay=0,_xlpm.aDn=_xlpm.ac),"LIVE DLR",IF(AND(_xlpm.aRS&gt;0,_xlpm.aDn&lt;_xlpm.aRS),"Training",IF(_xlpm.aRS&gt;0,"Active",IF(AND(_xlpm.dc&gt;0,_xlpm.inPlay+_xlpm.ac=0),"Dead",IF(OR($CA35="Yes",$CA35=TRUE),"Rate Sheet",IF(AND($AJ35&lt;&gt;"",$AK35=FALSE),"Waiting on Dealer",IF(_xlpm.sb&gt;0,"Waiting on Lender",IF(AND(_xlpm.ap+_xlpm.ac&gt;0,_xlpm.ns+_xlpm.wd=0),"Rate Sheet","Application Submitted"))))))))))</f>
        <v>Waiting on Dealer</v>
      </c>
      <c r="M35" s="101">
        <v>46268</v>
      </c>
      <c r="N35" s="101">
        <v>46280</v>
      </c>
      <c r="O35" s="196" t="s">
        <v>693</v>
      </c>
      <c r="P35" s="85" t="str">
        <f>IF($A35="","",IF($AK35=TRUE,"Ready 2 Submit","Waiting on Dealer"))</f>
        <v>Waiting on Dealer</v>
      </c>
      <c r="Q35" s="101" t="str">
        <f ca="1">IF(OR(Q35="",Q35=0),IF($P35="Submitted",TODAY(),""),Q35)</f>
        <v/>
      </c>
      <c r="R35" s="85" t="s">
        <v>272</v>
      </c>
      <c r="S35" s="85" t="s">
        <v>272</v>
      </c>
      <c r="T35" s="85" t="str">
        <f>IF($A35="","",IF($AK35=TRUE,"Ready 2 Submit","Waiting on Dealer"))</f>
        <v>Waiting on Dealer</v>
      </c>
      <c r="U35" s="101" t="str">
        <f ca="1">IF(OR(U35="",U35=0),IF($T35="Submitted",TODAY(),""),U35)</f>
        <v/>
      </c>
      <c r="V35" s="85" t="s">
        <v>272</v>
      </c>
      <c r="W35" s="85" t="s">
        <v>272</v>
      </c>
      <c r="X35" s="85" t="str">
        <f>IF($A35="","",IF($AK35=TRUE,"Ready 2 Submit","Waiting on Dealer"))</f>
        <v>Waiting on Dealer</v>
      </c>
      <c r="Y35" s="101" t="str">
        <f ca="1">IF(OR(Y35="",Y35=0),IF($X35="Submitted",TODAY(),""),Y35)</f>
        <v/>
      </c>
      <c r="Z35" s="85" t="s">
        <v>272</v>
      </c>
      <c r="AA35" s="85" t="s">
        <v>272</v>
      </c>
      <c r="AB35" s="85" t="str">
        <f>IF($A35="","",IF($AK35=TRUE,"Ready 2 Submit","Waiting on Dealer"))</f>
        <v>Waiting on Dealer</v>
      </c>
      <c r="AC35" s="101" t="str">
        <f ca="1">IF(OR(AC35="",AC35=0),IF($AB35="Submitted",TODAY(),""),AC35)</f>
        <v/>
      </c>
      <c r="AD35" s="85" t="s">
        <v>272</v>
      </c>
      <c r="AE35" s="85" t="s">
        <v>272</v>
      </c>
      <c r="AF35" s="85" t="s">
        <v>437</v>
      </c>
      <c r="AG35" s="101" t="str">
        <f ca="1">IF(OR(AG35="",AG35=0),IF($AF35="Submitted",TODAY(),""),AG35)</f>
        <v/>
      </c>
      <c r="AH35" s="85" t="s">
        <v>272</v>
      </c>
      <c r="AI35" s="85" t="s">
        <v>272</v>
      </c>
      <c r="AJ35" s="196" t="s">
        <v>694</v>
      </c>
      <c r="AK35" s="102" t="b">
        <v>0</v>
      </c>
      <c r="AL35" s="85" cm="1">
        <f t="array" ref="AL35">IF($A35="","",SUMPRODUCT((CHOOSE({1,2,3,4,5},$R35,$V35,$Z35,$AD35,$AH35)="Yes")*(((CHOOSE({1,2,3,4,5},$S35,$W35,$AA35,$AE35,$AI35)="Yes")+(CHOOSE({1,2,3,4,5},$S35,$W35,$AA35,$AE35,$AI35)=TRUE))&gt;0)))</f>
        <v>0</v>
      </c>
      <c r="AM35" s="101">
        <v>46287</v>
      </c>
      <c r="AN35" s="85">
        <f ca="1">IF(OR($A35="",$AM35=""),"",TODAY()-$AM35)</f>
        <v>1</v>
      </c>
      <c r="AO35" s="103"/>
      <c r="AP35" s="104"/>
      <c r="AQ35" s="105"/>
      <c r="AR35" s="104"/>
      <c r="AS35" s="105"/>
      <c r="AT35" s="104"/>
      <c r="AU35" s="105"/>
      <c r="AV35" s="106"/>
      <c r="AW35" s="106"/>
      <c r="AX35" s="106"/>
      <c r="AY35" s="106"/>
      <c r="BA35" s="20">
        <v>31</v>
      </c>
      <c r="BD35" s="174"/>
      <c r="BE35" s="174"/>
      <c r="BF35" s="174"/>
      <c r="BG35" s="174"/>
      <c r="BH35" s="174"/>
      <c r="BI35" s="174"/>
      <c r="BJ35" s="174"/>
      <c r="BK35" s="174"/>
      <c r="BL35" s="174"/>
      <c r="BM35" s="174"/>
      <c r="BN35" s="174"/>
      <c r="BO35" s="174"/>
      <c r="BP35" s="174"/>
      <c r="BQ35" s="174"/>
      <c r="BR35" s="174"/>
      <c r="BS35" s="174"/>
      <c r="BT35" s="174"/>
      <c r="BU35" s="174"/>
      <c r="BV35" s="174"/>
      <c r="BW35" s="174"/>
      <c r="BX35" s="174"/>
      <c r="BY35" s="174"/>
      <c r="BZ35" s="127" t="inlineStr">
        <is>
          <t>Unassigned</t>
        </is>
      </c>
      <c r="CA35" s="127" t="inlineStr">
        <is>
          <t>No</t>
        </is>
      </c>
      <c r="CB35" s="131">
        <f>IF($A35="","",_xlfn.LET(_xlpm.sfp,AND($P35&lt;&gt;"",$P35&lt;&gt;"N/A",$P35&lt;&gt;"No Min RQ"),_xlpm.slp,AND($T35&lt;&gt;"",$T35&lt;&gt;"N/A",$T35&lt;&gt;"No Min RQ"),_xlpm.ffp,AND($X35&lt;&gt;"",$X35&lt;&gt;"N/A",$X35&lt;&gt;"No Min RQ"),_xlpm.chp,AND($AB35&lt;&gt;"",$AB35&lt;&gt;"N/A",$AB35&lt;&gt;"No Min RQ"),_xlpm.usp,AND($AF35&lt;&gt;"",$AF35&lt;&gt;"N/A",$AF35&lt;&gt;"No Min RQ"),_xlpm.n,_xlpm.sfp+_xlpm.slp+_xlpm.ffp+_xlpm.chp+_xlpm.usp,_xlpm.sub,(_xlpm.sfp*($P35="Submitted"))+(_xlpm.slp*($T35="Submitted"))+(_xlpm.ffp*($X35="Submitted"))+(_xlpm.chp*($AB35="Submitted"))+(_xlpm.usp*($AF35="Submitted")),_xlpm.term,(_xlpm.sfp*OR($P35="Approved",$P35="Declined"))+(_xlpm.slp*OR($T35="Approved",$T35="Declined"))+(_xlpm.ffp*OR($X35="Approved",$X35="Declined"))+(_xlpm.chp*OR($AB35="Approved",$AB35="Declined"))+(_xlpm.usp*OR($AF35="Approved",$AF35="Declined")),IF(_xlpm.n=0,"No applicable lenders",IF(_xlpm.sub&gt;0,"Stays with Shaw - lender still Submitted",IF(_xlpm.term=_xlpm.n,"Clear - all applicable lenders Approved or Declined","Stays with Shaw - not all lenders Approved or Declined")))))</f>
      </c>
    </row>
    <row r="36" spans="1:81" s="20" customFormat="1" ht="19.5">
      <c r="A36" s="225" t="s">
        <v>695</v>
      </c>
      <c r="B36" s="99" t="s">
        <v>695</v>
      </c>
      <c r="C36" s="99"/>
      <c r="D36" s="197" t="s">
        <v>696</v>
      </c>
      <c r="E36" s="88">
        <v>8016953085</v>
      </c>
      <c r="F36" s="194" t="s">
        <v>697</v>
      </c>
      <c r="G36" s="100" t="s">
        <v>611</v>
      </c>
      <c r="H36" s="194" t="s">
        <v>612</v>
      </c>
      <c r="I36" s="99" t="s">
        <v>537</v>
      </c>
      <c r="J36" s="107"/>
      <c r="K36" s="85">
        <v>3</v>
      </c>
      <c r="L36" s="85" t="str">
        <f>IF($A36="","",_xlfn.LET(_xlpm.ns,(--($P36="Ready 2 Submit"))+(--($T36="Ready 2 Submit"))+(--($X36="Ready 2 Submit"))+(--($AB36="Ready 2 Submit"))+(--($AF36="Ready 2 Submit")),_xlpm.wd,(--($P36="Waiting on Dealer"))+(--($T36="Waiting on Dealer"))+(--($X36="Waiting on Dealer"))+(--($AB36="Waiting on Dealer"))+(--($AF36="Waiting on Dealer")),_xlpm.sb,(--($P36="Submitted"))+(--($T36="Submitted"))+(--($X36="Submitted"))+(--($AB36="Submitted"))+(--($AF36="Submitted")),_xlpm.ap,(--($P36="Approved"))+(--($T36="Approved"))+(--($X36="Approved"))+(--($AB36="Approved"))+(--($AF36="Approved")),_xlpm.ac,(--($P36="Active"))+(--($T36="Active"))+(--($X36="Active"))+(--($AB36="Active"))+(--($AF36="Active")),_xlpm.dc,(--($P36="Declined"))+(--($T36="Declined"))+(--($X36="Declined"))+(--($AB36="Declined"))+(--($AF36="Declined")),_xlpm.aRS,(--($P36="Active"))*(--($R36="Yes"))+(--($T36="Active"))*(--($V36="Yes"))+(--($X36="Active"))*(--($Z36="Yes"))+(--($AB36="Active"))*(--($AD36="Yes"))+(--($AF36="Active"))*(--($AH36="Yes")),_xlpm.aDn,(--($P36="Active"))*(--($R36="Yes"))*(--((($S36="Yes")+($S36=TRUE))&gt;0))+(--($T36="Active"))*(--($V36="Yes"))*(--((($W36="Yes")+($W36=TRUE))&gt;0))+(--($X36="Active"))*(--($Z36="Yes"))*(--((($AA36="Yes")+($AA36=TRUE))&gt;0))+(--($AB36="Active"))*(--($AD36="Yes"))*(--((($AE36="Yes")+($AE36=TRUE))&gt;0))+(--($AF36="Active"))*(--($AH36="Yes"))*(--((($AI36="Yes")+($AI36=TRUE))&gt;0)),_xlpm.inPlay,_xlpm.ns+_xlpm.wd+_xlpm.sb+_xlpm.ap,IF(AND(_xlpm.ac&gt;0,_xlpm.inPlay=0,_xlpm.aDn=_xlpm.ac),"LIVE DLR",IF(AND(_xlpm.aRS&gt;0,_xlpm.aDn&lt;_xlpm.aRS),"Training",IF(_xlpm.aRS&gt;0,"Active",IF(AND(_xlpm.dc&gt;0,_xlpm.inPlay+_xlpm.ac=0),"Dead",IF(OR($CA36="Yes",$CA36=TRUE),"Rate Sheet",IF(AND($AJ36&lt;&gt;"",$AK36=FALSE),"Waiting on Dealer",IF(_xlpm.sb&gt;0,"Waiting on Lender",IF(AND(_xlpm.ap+_xlpm.ac&gt;0,_xlpm.ns+_xlpm.wd=0),"Rate Sheet","Application Submitted"))))))))))</f>
        <v>Waiting on Lender</v>
      </c>
      <c r="M36" s="101">
        <v>46272</v>
      </c>
      <c r="N36" s="101">
        <v>46280</v>
      </c>
      <c r="O36" s="196" t="s">
        <v>538</v>
      </c>
      <c r="P36" s="85" t="s">
        <v>457</v>
      </c>
      <c r="Q36" s="101">
        <v>46274</v>
      </c>
      <c r="R36" s="85" t="s">
        <v>272</v>
      </c>
      <c r="S36" s="85" t="s">
        <v>272</v>
      </c>
      <c r="T36" s="85" t="s">
        <v>513</v>
      </c>
      <c r="U36" s="101" t="str">
        <f ca="1">IF(OR(U36="",U36=0),IF($T36="Submitted",TODAY(),""),U36)</f>
        <v/>
      </c>
      <c r="V36" s="85" t="s">
        <v>272</v>
      </c>
      <c r="W36" s="85" t="s">
        <v>272</v>
      </c>
      <c r="X36" s="85" t="s">
        <v>499</v>
      </c>
      <c r="Y36" s="101">
        <v>46273</v>
      </c>
      <c r="Z36" s="85" t="s">
        <v>272</v>
      </c>
      <c r="AA36" s="85" t="s">
        <v>272</v>
      </c>
      <c r="AB36" s="85" t="s">
        <v>437</v>
      </c>
      <c r="AC36" s="101" t="str">
        <f ca="1">IF(OR(AC36="",AC36=0),IF($AB36="Submitted",TODAY(),""),AC36)</f>
        <v/>
      </c>
      <c r="AD36" s="85" t="s">
        <v>272</v>
      </c>
      <c r="AE36" s="85" t="s">
        <v>272</v>
      </c>
      <c r="AF36" s="85" t="s">
        <v>437</v>
      </c>
      <c r="AG36" s="101" t="str">
        <f ca="1">IF(OR(AG36="",AG36=0),IF($AF36="Submitted",TODAY(),""),AG36)</f>
        <v/>
      </c>
      <c r="AH36" s="85" t="s">
        <v>272</v>
      </c>
      <c r="AI36" s="85" t="s">
        <v>272</v>
      </c>
      <c r="AJ36" s="196" t="s">
        <v>698</v>
      </c>
      <c r="AK36" s="102" t="b">
        <v>1</v>
      </c>
      <c r="AL36" s="85" cm="1">
        <f t="array" ref="AL36">IF($A36="","",SUMPRODUCT((CHOOSE({1,2,3,4,5},$R36,$V36,$Z36,$AD36,$AH36)="Yes")*(((CHOOSE({1,2,3,4,5},$S36,$W36,$AA36,$AE36,$AI36)="Yes")+(CHOOSE({1,2,3,4,5},$S36,$W36,$AA36,$AE36,$AI36)=TRUE))&gt;0)))</f>
        <v>0</v>
      </c>
      <c r="AM36" s="101"/>
      <c r="AN36" s="85" t="str">
        <f ca="1">IF(OR($A36="",$AM36=""),"",TODAY()-$AM36)</f>
        <v/>
      </c>
      <c r="AO36" s="103"/>
      <c r="AP36" s="104"/>
      <c r="AQ36" s="105"/>
      <c r="AR36" s="104"/>
      <c r="AS36" s="105"/>
      <c r="AT36" s="104" t="s">
        <v>699</v>
      </c>
      <c r="AU36" s="106"/>
      <c r="AV36" s="106"/>
      <c r="AW36" s="106"/>
      <c r="AX36" s="106"/>
      <c r="AY36" s="106"/>
      <c r="BA36" s="20">
        <v>32</v>
      </c>
      <c r="BD36" s="174"/>
      <c r="BE36" s="174"/>
      <c r="BF36" s="174"/>
      <c r="BG36" s="174"/>
      <c r="BH36" s="174"/>
      <c r="BI36" s="174"/>
      <c r="BJ36" s="174"/>
      <c r="BK36" s="174"/>
      <c r="BL36" s="174"/>
      <c r="BM36" s="174"/>
      <c r="BN36" s="174"/>
      <c r="BO36" s="174"/>
      <c r="BP36" s="174"/>
      <c r="BQ36" s="174"/>
      <c r="BR36" s="174"/>
      <c r="BS36" s="174"/>
      <c r="BT36" s="174"/>
      <c r="BU36" s="174"/>
      <c r="BV36" s="174"/>
      <c r="BW36" s="174"/>
      <c r="BX36" s="174"/>
      <c r="BY36" s="174"/>
      <c r="BZ36" s="127" t="inlineStr">
        <is>
          <t>Unassigned</t>
        </is>
      </c>
      <c r="CA36" s="127" t="inlineStr">
        <is>
          <t>No</t>
        </is>
      </c>
      <c r="CB36" s="131">
        <f>IF($A36="","",_xlfn.LET(_xlpm.sfp,AND($P36&lt;&gt;"",$P36&lt;&gt;"N/A",$P36&lt;&gt;"No Min RQ"),_xlpm.slp,AND($T36&lt;&gt;"",$T36&lt;&gt;"N/A",$T36&lt;&gt;"No Min RQ"),_xlpm.ffp,AND($X36&lt;&gt;"",$X36&lt;&gt;"N/A",$X36&lt;&gt;"No Min RQ"),_xlpm.chp,AND($AB36&lt;&gt;"",$AB36&lt;&gt;"N/A",$AB36&lt;&gt;"No Min RQ"),_xlpm.usp,AND($AF36&lt;&gt;"",$AF36&lt;&gt;"N/A",$AF36&lt;&gt;"No Min RQ"),_xlpm.n,_xlpm.sfp+_xlpm.slp+_xlpm.ffp+_xlpm.chp+_xlpm.usp,_xlpm.sub,(_xlpm.sfp*($P36="Submitted"))+(_xlpm.slp*($T36="Submitted"))+(_xlpm.ffp*($X36="Submitted"))+(_xlpm.chp*($AB36="Submitted"))+(_xlpm.usp*($AF36="Submitted")),_xlpm.term,(_xlpm.sfp*OR($P36="Approved",$P36="Declined"))+(_xlpm.slp*OR($T36="Approved",$T36="Declined"))+(_xlpm.ffp*OR($X36="Approved",$X36="Declined"))+(_xlpm.chp*OR($AB36="Approved",$AB36="Declined"))+(_xlpm.usp*OR($AF36="Approved",$AF36="Declined")),IF(_xlpm.n=0,"No applicable lenders",IF(_xlpm.sub&gt;0,"Stays with Shaw - lender still Submitted",IF(_xlpm.term=_xlpm.n,"Clear - all applicable lenders Approved or Declined","Stays with Shaw - not all lenders Approved or Declined")))))</f>
      </c>
    </row>
    <row r="37" spans="1:81" s="20" customFormat="1" ht="38.25">
      <c r="A37" s="225" t="s">
        <v>700</v>
      </c>
      <c r="B37" s="99" t="s">
        <v>700</v>
      </c>
      <c r="C37" s="99" t="s">
        <v>485</v>
      </c>
      <c r="D37" s="197" t="s">
        <v>701</v>
      </c>
      <c r="E37" s="88" t="s">
        <v>702</v>
      </c>
      <c r="F37" s="203" t="s">
        <v>703</v>
      </c>
      <c r="G37" s="100" t="s">
        <v>248</v>
      </c>
      <c r="H37" s="194" t="s">
        <v>249</v>
      </c>
      <c r="I37" s="99" t="s">
        <v>537</v>
      </c>
      <c r="J37" s="107" t="s">
        <v>704</v>
      </c>
      <c r="K37" s="85">
        <v>1</v>
      </c>
      <c r="L37" s="85" t="str">
        <f>IF($A37="","",_xlfn.LET(_xlpm.ns,(--($P37="Ready 2 Submit"))+(--($T37="Ready 2 Submit"))+(--($X37="Ready 2 Submit"))+(--($AB37="Ready 2 Submit"))+(--($AF37="Ready 2 Submit")),_xlpm.wd,(--($P37="Waiting on Dealer"))+(--($T37="Waiting on Dealer"))+(--($X37="Waiting on Dealer"))+(--($AB37="Waiting on Dealer"))+(--($AF37="Waiting on Dealer")),_xlpm.sb,(--($P37="Submitted"))+(--($T37="Submitted"))+(--($X37="Submitted"))+(--($AB37="Submitted"))+(--($AF37="Submitted")),_xlpm.ap,(--($P37="Approved"))+(--($T37="Approved"))+(--($X37="Approved"))+(--($AB37="Approved"))+(--($AF37="Approved")),_xlpm.ac,(--($P37="Active"))+(--($T37="Active"))+(--($X37="Active"))+(--($AB37="Active"))+(--($AF37="Active")),_xlpm.dc,(--($P37="Declined"))+(--($T37="Declined"))+(--($X37="Declined"))+(--($AB37="Declined"))+(--($AF37="Declined")),_xlpm.aRS,(--($P37="Active"))*(--($R37="Yes"))+(--($T37="Active"))*(--($V37="Yes"))+(--($X37="Active"))*(--($Z37="Yes"))+(--($AB37="Active"))*(--($AD37="Yes"))+(--($AF37="Active"))*(--($AH37="Yes")),_xlpm.aDn,(--($P37="Active"))*(--($R37="Yes"))*(--((($S37="Yes")+($S37=TRUE))&gt;0))+(--($T37="Active"))*(--($V37="Yes"))*(--((($W37="Yes")+($W37=TRUE))&gt;0))+(--($X37="Active"))*(--($Z37="Yes"))*(--((($AA37="Yes")+($AA37=TRUE))&gt;0))+(--($AB37="Active"))*(--($AD37="Yes"))*(--((($AE37="Yes")+($AE37=TRUE))&gt;0))+(--($AF37="Active"))*(--($AH37="Yes"))*(--((($AI37="Yes")+($AI37=TRUE))&gt;0)),_xlpm.inPlay,_xlpm.ns+_xlpm.wd+_xlpm.sb+_xlpm.ap,IF(AND(_xlpm.ac&gt;0,_xlpm.inPlay=0,_xlpm.aDn=_xlpm.ac),"LIVE DLR",IF(AND(_xlpm.aRS&gt;0,_xlpm.aDn&lt;_xlpm.aRS),"Training",IF(_xlpm.aRS&gt;0,"Active",IF(AND(_xlpm.dc&gt;0,_xlpm.inPlay+_xlpm.ac=0),"Dead",IF(OR($CA37="Yes",$CA37=TRUE),"Rate Sheet",IF(AND($AJ37&lt;&gt;"",$AK37=FALSE),"Waiting on Dealer",IF(_xlpm.sb&gt;0,"Waiting on Lender",IF(AND(_xlpm.ap+_xlpm.ac&gt;0,_xlpm.ns+_xlpm.wd=0),"Rate Sheet","Application Submitted"))))))))))</f>
        <v>Waiting on Dealer</v>
      </c>
      <c r="M37" s="101">
        <v>46274</v>
      </c>
      <c r="N37" s="101">
        <v>46280</v>
      </c>
      <c r="O37" s="196" t="s">
        <v>563</v>
      </c>
      <c r="P37" s="85" t="str">
        <f>IF($A37="","",IF($AK37=TRUE,"Ready 2 Submit","Waiting on Dealer"))</f>
        <v>Waiting on Dealer</v>
      </c>
      <c r="Q37" s="101" t="str">
        <f ca="1">IF(OR(Q37="",Q37=0),IF($P37="Submitted",TODAY(),""),Q37)</f>
        <v/>
      </c>
      <c r="R37" s="85" t="s">
        <v>272</v>
      </c>
      <c r="S37" s="85" t="s">
        <v>272</v>
      </c>
      <c r="T37" s="85" t="str">
        <f>IF($A37="","",IF($AK37=TRUE,"Ready 2 Submit","Waiting on Dealer"))</f>
        <v>Waiting on Dealer</v>
      </c>
      <c r="U37" s="101" t="str">
        <f ca="1">IF(OR(U37="",U37=0),IF($T37="Submitted",TODAY(),""),U37)</f>
        <v/>
      </c>
      <c r="V37" s="85" t="s">
        <v>272</v>
      </c>
      <c r="W37" s="85" t="s">
        <v>272</v>
      </c>
      <c r="X37" s="85" t="str">
        <f>IF($A37="","",IF($AK37=TRUE,"Ready 2 Submit","Waiting on Dealer"))</f>
        <v>Waiting on Dealer</v>
      </c>
      <c r="Y37" s="101" t="str">
        <f ca="1">IF(OR(Y37="",Y37=0),IF($X37="Submitted",TODAY(),""),Y37)</f>
        <v/>
      </c>
      <c r="Z37" s="85" t="s">
        <v>272</v>
      </c>
      <c r="AA37" s="85" t="s">
        <v>272</v>
      </c>
      <c r="AB37" s="85" t="s">
        <v>437</v>
      </c>
      <c r="AC37" s="101" t="str">
        <f ca="1">IF(OR(AC37="",AC37=0),IF($AB37="Submitted",TODAY(),""),AC37)</f>
        <v/>
      </c>
      <c r="AD37" s="85" t="s">
        <v>272</v>
      </c>
      <c r="AE37" s="85" t="s">
        <v>272</v>
      </c>
      <c r="AF37" s="85" t="s">
        <v>437</v>
      </c>
      <c r="AG37" s="101" t="str">
        <f ca="1">IF(OR(AG37="",AG37=0),IF($AF37="Submitted",TODAY(),""),AG37)</f>
        <v/>
      </c>
      <c r="AH37" s="85" t="s">
        <v>272</v>
      </c>
      <c r="AI37" s="85" t="s">
        <v>272</v>
      </c>
      <c r="AJ37" s="196" t="s">
        <v>705</v>
      </c>
      <c r="AK37" s="102" t="b">
        <v>0</v>
      </c>
      <c r="AL37" s="85" cm="1">
        <f t="array" ref="AL37">IF($A37="","",SUMPRODUCT((CHOOSE({1,2,3,4,5},$R37,$V37,$Z37,$AD37,$AH37)="Yes")*(((CHOOSE({1,2,3,4,5},$S37,$W37,$AA37,$AE37,$AI37)="Yes")+(CHOOSE({1,2,3,4,5},$S37,$W37,$AA37,$AE37,$AI37)=TRUE))&gt;0)))</f>
        <v>0</v>
      </c>
      <c r="AM37" s="101">
        <v>46287</v>
      </c>
      <c r="AN37" s="85">
        <f ca="1">IF(OR($A37="",$AM37=""),"",TODAY()-$AM37)</f>
        <v>1</v>
      </c>
      <c r="AO37" s="103"/>
      <c r="AP37" s="104"/>
      <c r="AQ37" s="105"/>
      <c r="AR37" s="104"/>
      <c r="AS37" s="105"/>
      <c r="AT37" s="106"/>
      <c r="AU37" s="106"/>
      <c r="AV37" s="106"/>
      <c r="AW37" s="106"/>
      <c r="AX37" s="106"/>
      <c r="AY37" s="106"/>
      <c r="BA37" s="20">
        <v>33</v>
      </c>
      <c r="BD37" s="174"/>
      <c r="BE37" s="174"/>
      <c r="BF37" s="174"/>
      <c r="BG37" s="174"/>
      <c r="BH37" s="174"/>
      <c r="BI37" s="174"/>
      <c r="BJ37" s="174"/>
      <c r="BK37" s="174"/>
      <c r="BL37" s="174"/>
      <c r="BM37" s="174"/>
      <c r="BN37" s="174"/>
      <c r="BO37" s="174"/>
      <c r="BP37" s="174"/>
      <c r="BQ37" s="174"/>
      <c r="BR37" s="174"/>
      <c r="BS37" s="174"/>
      <c r="BT37" s="174"/>
      <c r="BU37" s="174"/>
      <c r="BV37" s="174"/>
      <c r="BW37" s="174"/>
      <c r="BX37" s="174"/>
      <c r="BY37" s="174"/>
      <c r="BZ37" s="127" t="inlineStr">
        <is>
          <t>Unassigned</t>
        </is>
      </c>
      <c r="CA37" s="127" t="inlineStr">
        <is>
          <t>No</t>
        </is>
      </c>
      <c r="CB37" s="131">
        <f>IF($A37="","",_xlfn.LET(_xlpm.sfp,AND($P37&lt;&gt;"",$P37&lt;&gt;"N/A",$P37&lt;&gt;"No Min RQ"),_xlpm.slp,AND($T37&lt;&gt;"",$T37&lt;&gt;"N/A",$T37&lt;&gt;"No Min RQ"),_xlpm.ffp,AND($X37&lt;&gt;"",$X37&lt;&gt;"N/A",$X37&lt;&gt;"No Min RQ"),_xlpm.chp,AND($AB37&lt;&gt;"",$AB37&lt;&gt;"N/A",$AB37&lt;&gt;"No Min RQ"),_xlpm.usp,AND($AF37&lt;&gt;"",$AF37&lt;&gt;"N/A",$AF37&lt;&gt;"No Min RQ"),_xlpm.n,_xlpm.sfp+_xlpm.slp+_xlpm.ffp+_xlpm.chp+_xlpm.usp,_xlpm.sub,(_xlpm.sfp*($P37="Submitted"))+(_xlpm.slp*($T37="Submitted"))+(_xlpm.ffp*($X37="Submitted"))+(_xlpm.chp*($AB37="Submitted"))+(_xlpm.usp*($AF37="Submitted")),_xlpm.term,(_xlpm.sfp*OR($P37="Approved",$P37="Declined"))+(_xlpm.slp*OR($T37="Approved",$T37="Declined"))+(_xlpm.ffp*OR($X37="Approved",$X37="Declined"))+(_xlpm.chp*OR($AB37="Approved",$AB37="Declined"))+(_xlpm.usp*OR($AF37="Approved",$AF37="Declined")),IF(_xlpm.n=0,"No applicable lenders",IF(_xlpm.sub&gt;0,"Stays with Shaw - lender still Submitted",IF(_xlpm.term=_xlpm.n,"Clear - all applicable lenders Approved or Declined","Stays with Shaw - not all lenders Approved or Declined")))))</f>
      </c>
    </row>
    <row r="38" spans="1:81" s="20" customFormat="1" ht="57">
      <c r="A38" s="225" t="s">
        <v>706</v>
      </c>
      <c r="B38" s="99" t="s">
        <v>706</v>
      </c>
      <c r="C38" s="99"/>
      <c r="D38" s="197" t="s">
        <v>707</v>
      </c>
      <c r="E38" s="88" t="s">
        <v>708</v>
      </c>
      <c r="F38" s="194" t="s">
        <v>709</v>
      </c>
      <c r="G38" s="100" t="s">
        <v>239</v>
      </c>
      <c r="H38" s="194" t="s">
        <v>710</v>
      </c>
      <c r="I38" s="99" t="s">
        <v>711</v>
      </c>
      <c r="J38" s="107"/>
      <c r="K38" s="85">
        <v>2</v>
      </c>
      <c r="L38" s="85" t="str">
        <f>IF($A38="","",_xlfn.LET(_xlpm.ns,(--($P38="Ready 2 Submit"))+(--($T38="Ready 2 Submit"))+(--($X38="Ready 2 Submit"))+(--($AB38="Ready 2 Submit"))+(--($AF38="Ready 2 Submit")),_xlpm.wd,(--($P38="Waiting on Dealer"))+(--($T38="Waiting on Dealer"))+(--($X38="Waiting on Dealer"))+(--($AB38="Waiting on Dealer"))+(--($AF38="Waiting on Dealer")),_xlpm.sb,(--($P38="Submitted"))+(--($T38="Submitted"))+(--($X38="Submitted"))+(--($AB38="Submitted"))+(--($AF38="Submitted")),_xlpm.ap,(--($P38="Approved"))+(--($T38="Approved"))+(--($X38="Approved"))+(--($AB38="Approved"))+(--($AF38="Approved")),_xlpm.ac,(--($P38="Active"))+(--($T38="Active"))+(--($X38="Active"))+(--($AB38="Active"))+(--($AF38="Active")),_xlpm.dc,(--($P38="Declined"))+(--($T38="Declined"))+(--($X38="Declined"))+(--($AB38="Declined"))+(--($AF38="Declined")),_xlpm.aRS,(--($P38="Active"))*(--($R38="Yes"))+(--($T38="Active"))*(--($V38="Yes"))+(--($X38="Active"))*(--($Z38="Yes"))+(--($AB38="Active"))*(--($AD38="Yes"))+(--($AF38="Active"))*(--($AH38="Yes")),_xlpm.aDn,(--($P38="Active"))*(--($R38="Yes"))*(--((($S38="Yes")+($S38=TRUE))&gt;0))+(--($T38="Active"))*(--($V38="Yes"))*(--((($W38="Yes")+($W38=TRUE))&gt;0))+(--($X38="Active"))*(--($Z38="Yes"))*(--((($AA38="Yes")+($AA38=TRUE))&gt;0))+(--($AB38="Active"))*(--($AD38="Yes"))*(--((($AE38="Yes")+($AE38=TRUE))&gt;0))+(--($AF38="Active"))*(--($AH38="Yes"))*(--((($AI38="Yes")+($AI38=TRUE))&gt;0)),_xlpm.inPlay,_xlpm.ns+_xlpm.wd+_xlpm.sb+_xlpm.ap,IF(AND(_xlpm.ac&gt;0,_xlpm.inPlay=0,_xlpm.aDn=_xlpm.ac),"LIVE DLR",IF(AND(_xlpm.aRS&gt;0,_xlpm.aDn&lt;_xlpm.aRS),"Training",IF(_xlpm.aRS&gt;0,"Active",IF(AND(_xlpm.dc&gt;0,_xlpm.inPlay+_xlpm.ac=0),"Dead",IF(OR($CA38="Yes",$CA38=TRUE),"Rate Sheet",IF(AND($AJ38&lt;&gt;"",$AK38=FALSE),"Waiting on Dealer",IF(_xlpm.sb&gt;0,"Waiting on Lender",IF(AND(_xlpm.ap+_xlpm.ac&gt;0,_xlpm.ns+_xlpm.wd=0),"Rate Sheet","Application Submitted"))))))))))</f>
        <v>Waiting on Dealer</v>
      </c>
      <c r="M38" s="101">
        <v>46274</v>
      </c>
      <c r="N38" s="101">
        <v>46280</v>
      </c>
      <c r="O38" s="196" t="s">
        <v>563</v>
      </c>
      <c r="P38" s="85" t="str">
        <f>IF($A38="","",IF($AK38=TRUE,"Ready 2 Submit","Waiting on Dealer"))</f>
        <v>Waiting on Dealer</v>
      </c>
      <c r="Q38" s="101" t="str">
        <f ca="1">IF(OR(Q38="",Q38=0),IF($P38="Submitted",TODAY(),""),Q38)</f>
        <v/>
      </c>
      <c r="R38" s="85" t="s">
        <v>272</v>
      </c>
      <c r="S38" s="85" t="s">
        <v>272</v>
      </c>
      <c r="T38" s="85" t="str">
        <f>IF($A38="","",IF($AK38=TRUE,"Ready 2 Submit","Waiting on Dealer"))</f>
        <v>Waiting on Dealer</v>
      </c>
      <c r="U38" s="101" t="str">
        <f ca="1">IF(OR(U38="",U38=0),IF($T38="Submitted",TODAY(),""),U38)</f>
        <v/>
      </c>
      <c r="V38" s="85" t="s">
        <v>272</v>
      </c>
      <c r="W38" s="85" t="s">
        <v>272</v>
      </c>
      <c r="X38" s="85" t="str">
        <f>IF($A38="","",IF($AK38=TRUE,"Ready 2 Submit","Waiting on Dealer"))</f>
        <v>Waiting on Dealer</v>
      </c>
      <c r="Y38" s="101" t="str">
        <f ca="1">IF(OR(Y38="",Y38=0),IF($X38="Submitted",TODAY(),""),Y38)</f>
        <v/>
      </c>
      <c r="Z38" s="85" t="s">
        <v>272</v>
      </c>
      <c r="AA38" s="85" t="s">
        <v>272</v>
      </c>
      <c r="AB38" s="85" t="s">
        <v>437</v>
      </c>
      <c r="AC38" s="101" t="str">
        <f ca="1">IF(OR(AC38="",AC38=0),IF($AB38="Submitted",TODAY(),""),AC38)</f>
        <v/>
      </c>
      <c r="AD38" s="85" t="s">
        <v>272</v>
      </c>
      <c r="AE38" s="85" t="s">
        <v>272</v>
      </c>
      <c r="AF38" s="85" t="s">
        <v>437</v>
      </c>
      <c r="AG38" s="101" t="str">
        <f ca="1">IF(OR(AG38="",AG38=0),IF($AF38="Submitted",TODAY(),""),AG38)</f>
        <v/>
      </c>
      <c r="AH38" s="85" t="s">
        <v>272</v>
      </c>
      <c r="AI38" s="85" t="s">
        <v>272</v>
      </c>
      <c r="AJ38" s="196" t="s">
        <v>712</v>
      </c>
      <c r="AK38" s="102" t="b">
        <v>0</v>
      </c>
      <c r="AL38" s="85" cm="1">
        <f t="array" ref="AL38">IF($A38="","",SUMPRODUCT((CHOOSE({1,2,3,4,5},$R38,$V38,$Z38,$AD38,$AH38)="Yes")*(((CHOOSE({1,2,3,4,5},$S38,$W38,$AA38,$AE38,$AI38)="Yes")+(CHOOSE({1,2,3,4,5},$S38,$W38,$AA38,$AE38,$AI38)=TRUE))&gt;0)))</f>
        <v>0</v>
      </c>
      <c r="AM38" s="101">
        <v>46287</v>
      </c>
      <c r="AN38" s="85">
        <f ca="1">IF(OR($A38="",$AM38=""),"",TODAY()-$AM38)</f>
        <v>1</v>
      </c>
      <c r="AO38" s="103"/>
      <c r="AP38" s="104"/>
      <c r="AQ38" s="105"/>
      <c r="AR38" s="104"/>
      <c r="AS38" s="105"/>
      <c r="AT38" s="106"/>
      <c r="AU38" s="106"/>
      <c r="AV38" s="106"/>
      <c r="AW38" s="106"/>
      <c r="AX38" s="106"/>
      <c r="AY38" s="106"/>
      <c r="BA38" s="20">
        <v>34</v>
      </c>
      <c r="BD38" s="174"/>
      <c r="BE38" s="174"/>
      <c r="BF38" s="174"/>
      <c r="BG38" s="174"/>
      <c r="BH38" s="174"/>
      <c r="BI38" s="174"/>
      <c r="BJ38" s="174"/>
      <c r="BK38" s="174"/>
      <c r="BL38" s="174"/>
      <c r="BM38" s="174"/>
      <c r="BN38" s="174"/>
      <c r="BO38" s="174"/>
      <c r="BP38" s="174"/>
      <c r="BQ38" s="174"/>
      <c r="BR38" s="174"/>
      <c r="BS38" s="174"/>
      <c r="BT38" s="174"/>
      <c r="BU38" s="174"/>
      <c r="BV38" s="174"/>
      <c r="BW38" s="174"/>
      <c r="BX38" s="174"/>
      <c r="BY38" s="174"/>
      <c r="BZ38" s="127" t="inlineStr">
        <is>
          <t>Unassigned</t>
        </is>
      </c>
      <c r="CA38" s="127" t="inlineStr">
        <is>
          <t>No</t>
        </is>
      </c>
      <c r="CB38" s="131">
        <f>IF($A38="","",_xlfn.LET(_xlpm.sfp,AND($P38&lt;&gt;"",$P38&lt;&gt;"N/A",$P38&lt;&gt;"No Min RQ"),_xlpm.slp,AND($T38&lt;&gt;"",$T38&lt;&gt;"N/A",$T38&lt;&gt;"No Min RQ"),_xlpm.ffp,AND($X38&lt;&gt;"",$X38&lt;&gt;"N/A",$X38&lt;&gt;"No Min RQ"),_xlpm.chp,AND($AB38&lt;&gt;"",$AB38&lt;&gt;"N/A",$AB38&lt;&gt;"No Min RQ"),_xlpm.usp,AND($AF38&lt;&gt;"",$AF38&lt;&gt;"N/A",$AF38&lt;&gt;"No Min RQ"),_xlpm.n,_xlpm.sfp+_xlpm.slp+_xlpm.ffp+_xlpm.chp+_xlpm.usp,_xlpm.sub,(_xlpm.sfp*($P38="Submitted"))+(_xlpm.slp*($T38="Submitted"))+(_xlpm.ffp*($X38="Submitted"))+(_xlpm.chp*($AB38="Submitted"))+(_xlpm.usp*($AF38="Submitted")),_xlpm.term,(_xlpm.sfp*OR($P38="Approved",$P38="Declined"))+(_xlpm.slp*OR($T38="Approved",$T38="Declined"))+(_xlpm.ffp*OR($X38="Approved",$X38="Declined"))+(_xlpm.chp*OR($AB38="Approved",$AB38="Declined"))+(_xlpm.usp*OR($AF38="Approved",$AF38="Declined")),IF(_xlpm.n=0,"No applicable lenders",IF(_xlpm.sub&gt;0,"Stays with Shaw - lender still Submitted",IF(_xlpm.term=_xlpm.n,"Clear - all applicable lenders Approved or Declined","Stays with Shaw - not all lenders Approved or Declined")))))</f>
      </c>
    </row>
    <row r="39" spans="1:81" s="20" customFormat="1" ht="38.25">
      <c r="A39" s="225" t="s">
        <v>713</v>
      </c>
      <c r="B39" s="99" t="s">
        <v>713</v>
      </c>
      <c r="C39" s="99"/>
      <c r="D39" s="197" t="s">
        <v>714</v>
      </c>
      <c r="E39" s="88" t="s">
        <v>715</v>
      </c>
      <c r="F39" s="203" t="s">
        <v>716</v>
      </c>
      <c r="G39" s="100" t="s">
        <v>611</v>
      </c>
      <c r="H39" s="194" t="s">
        <v>612</v>
      </c>
      <c r="I39" s="99" t="s">
        <v>717</v>
      </c>
      <c r="J39" s="107" t="s">
        <v>269</v>
      </c>
      <c r="K39" s="85">
        <v>1</v>
      </c>
      <c r="L39" s="85" t="str">
        <f>IF($A39="","",_xlfn.LET(_xlpm.ns,(--($P39="Ready 2 Submit"))+(--($T39="Ready 2 Submit"))+(--($X39="Ready 2 Submit"))+(--($AB39="Ready 2 Submit"))+(--($AF39="Ready 2 Submit")),_xlpm.wd,(--($P39="Waiting on Dealer"))+(--($T39="Waiting on Dealer"))+(--($X39="Waiting on Dealer"))+(--($AB39="Waiting on Dealer"))+(--($AF39="Waiting on Dealer")),_xlpm.sb,(--($P39="Submitted"))+(--($T39="Submitted"))+(--($X39="Submitted"))+(--($AB39="Submitted"))+(--($AF39="Submitted")),_xlpm.ap,(--($P39="Approved"))+(--($T39="Approved"))+(--($X39="Approved"))+(--($AB39="Approved"))+(--($AF39="Approved")),_xlpm.ac,(--($P39="Active"))+(--($T39="Active"))+(--($X39="Active"))+(--($AB39="Active"))+(--($AF39="Active")),_xlpm.dc,(--($P39="Declined"))+(--($T39="Declined"))+(--($X39="Declined"))+(--($AB39="Declined"))+(--($AF39="Declined")),_xlpm.aRS,(--($P39="Active"))*(--($R39="Yes"))+(--($T39="Active"))*(--($V39="Yes"))+(--($X39="Active"))*(--($Z39="Yes"))+(--($AB39="Active"))*(--($AD39="Yes"))+(--($AF39="Active"))*(--($AH39="Yes")),_xlpm.aDn,(--($P39="Active"))*(--($R39="Yes"))*(--((($S39="Yes")+($S39=TRUE))&gt;0))+(--($T39="Active"))*(--($V39="Yes"))*(--((($W39="Yes")+($W39=TRUE))&gt;0))+(--($X39="Active"))*(--($Z39="Yes"))*(--((($AA39="Yes")+($AA39=TRUE))&gt;0))+(--($AB39="Active"))*(--($AD39="Yes"))*(--((($AE39="Yes")+($AE39=TRUE))&gt;0))+(--($AF39="Active"))*(--($AH39="Yes"))*(--((($AI39="Yes")+($AI39=TRUE))&gt;0)),_xlpm.inPlay,_xlpm.ns+_xlpm.wd+_xlpm.sb+_xlpm.ap,IF(AND(_xlpm.ac&gt;0,_xlpm.inPlay=0,_xlpm.aDn=_xlpm.ac),"LIVE DLR",IF(AND(_xlpm.aRS&gt;0,_xlpm.aDn&lt;_xlpm.aRS),"Training",IF(_xlpm.aRS&gt;0,"Active",IF(AND(_xlpm.dc&gt;0,_xlpm.inPlay+_xlpm.ac=0),"Dead",IF(OR($CA39="Yes",$CA39=TRUE),"Rate Sheet",IF(AND($AJ39&lt;&gt;"",$AK39=FALSE),"Waiting on Dealer",IF(_xlpm.sb&gt;0,"Waiting on Lender",IF(AND(_xlpm.ap+_xlpm.ac&gt;0,_xlpm.ns+_xlpm.wd=0),"Rate Sheet","Application Submitted"))))))))))</f>
        <v>Waiting on Dealer</v>
      </c>
      <c r="M39" s="101">
        <v>46274</v>
      </c>
      <c r="N39" s="101">
        <v>46280</v>
      </c>
      <c r="O39" s="196" t="s">
        <v>563</v>
      </c>
      <c r="P39" s="85" t="str">
        <f>IF($A39="","",IF($AK39=TRUE,"Ready 2 Submit","Waiting on Dealer"))</f>
        <v>Waiting on Dealer</v>
      </c>
      <c r="Q39" s="101" t="str">
        <f ca="1">IF(OR(Q39="",Q39=0),IF($P39="Submitted",TODAY(),""),Q39)</f>
        <v/>
      </c>
      <c r="R39" s="85" t="s">
        <v>272</v>
      </c>
      <c r="S39" s="85" t="s">
        <v>272</v>
      </c>
      <c r="T39" s="85" t="str">
        <f>IF($A39="","",IF($AK39=TRUE,"Ready 2 Submit","Waiting on Dealer"))</f>
        <v>Waiting on Dealer</v>
      </c>
      <c r="U39" s="101" t="str">
        <f ca="1">IF(OR(U39="",U39=0),IF($T39="Submitted",TODAY(),""),U39)</f>
        <v/>
      </c>
      <c r="V39" s="85" t="s">
        <v>272</v>
      </c>
      <c r="W39" s="85" t="s">
        <v>272</v>
      </c>
      <c r="X39" s="85" t="str">
        <f>IF($A39="","",IF($AK39=TRUE,"Ready 2 Submit","Waiting on Dealer"))</f>
        <v>Waiting on Dealer</v>
      </c>
      <c r="Y39" s="101" t="str">
        <f ca="1">IF(OR(Y39="",Y39=0),IF($X39="Submitted",TODAY(),""),Y39)</f>
        <v/>
      </c>
      <c r="Z39" s="85" t="s">
        <v>272</v>
      </c>
      <c r="AA39" s="85" t="s">
        <v>272</v>
      </c>
      <c r="AB39" s="85" t="s">
        <v>437</v>
      </c>
      <c r="AC39" s="101" t="str">
        <f ca="1">IF(OR(AC39="",AC39=0),IF($AB39="Submitted",TODAY(),""),AC39)</f>
        <v/>
      </c>
      <c r="AD39" s="85" t="s">
        <v>272</v>
      </c>
      <c r="AE39" s="85" t="s">
        <v>272</v>
      </c>
      <c r="AF39" s="85" t="s">
        <v>437</v>
      </c>
      <c r="AG39" s="101" t="str">
        <f ca="1">IF(OR(AG39="",AG39=0),IF($AF39="Submitted",TODAY(),""),AG39)</f>
        <v/>
      </c>
      <c r="AH39" s="85" t="s">
        <v>272</v>
      </c>
      <c r="AI39" s="85" t="s">
        <v>272</v>
      </c>
      <c r="AJ39" s="196" t="s">
        <v>718</v>
      </c>
      <c r="AK39" s="102" t="b">
        <v>0</v>
      </c>
      <c r="AL39" s="85" cm="1">
        <f t="array" ref="AL39">IF($A39="","",SUMPRODUCT((CHOOSE({1,2,3,4,5},$R39,$V39,$Z39,$AD39,$AH39)="Yes")*(((CHOOSE({1,2,3,4,5},$S39,$W39,$AA39,$AE39,$AI39)="Yes")+(CHOOSE({1,2,3,4,5},$S39,$W39,$AA39,$AE39,$AI39)=TRUE))&gt;0)))</f>
        <v>0</v>
      </c>
      <c r="AM39" s="101">
        <v>46287</v>
      </c>
      <c r="AN39" s="85">
        <f ca="1">IF(OR($A39="",$AM39=""),"",TODAY()-$AM39)</f>
        <v>1</v>
      </c>
      <c r="AO39" s="87"/>
      <c r="AP39" s="106"/>
      <c r="AQ39" s="106"/>
      <c r="AR39" s="106"/>
      <c r="AS39" s="106"/>
      <c r="AT39" s="106"/>
      <c r="AU39" s="106"/>
      <c r="AV39" s="106"/>
      <c r="AW39" s="106"/>
      <c r="AX39" s="106"/>
      <c r="AY39" s="106"/>
      <c r="BA39" s="20">
        <v>35</v>
      </c>
      <c r="BD39" s="174"/>
      <c r="BE39" s="174"/>
      <c r="BF39" s="174"/>
      <c r="BG39" s="174"/>
      <c r="BH39" s="174"/>
      <c r="BI39" s="174"/>
      <c r="BJ39" s="174"/>
      <c r="BK39" s="174"/>
      <c r="BL39" s="174"/>
      <c r="BM39" s="174"/>
      <c r="BN39" s="174"/>
      <c r="BO39" s="174"/>
      <c r="BP39" s="174"/>
      <c r="BQ39" s="174"/>
      <c r="BR39" s="174"/>
      <c r="BS39" s="174"/>
      <c r="BT39" s="174"/>
      <c r="BU39" s="174"/>
      <c r="BV39" s="174"/>
      <c r="BW39" s="174"/>
      <c r="BX39" s="174"/>
      <c r="BY39" s="174"/>
      <c r="BZ39" s="127" t="inlineStr">
        <is>
          <t>Unassigned</t>
        </is>
      </c>
      <c r="CA39" s="127" t="inlineStr">
        <is>
          <t>No</t>
        </is>
      </c>
      <c r="CB39" s="131">
        <f>IF($A39="","",_xlfn.LET(_xlpm.sfp,AND($P39&lt;&gt;"",$P39&lt;&gt;"N/A",$P39&lt;&gt;"No Min RQ"),_xlpm.slp,AND($T39&lt;&gt;"",$T39&lt;&gt;"N/A",$T39&lt;&gt;"No Min RQ"),_xlpm.ffp,AND($X39&lt;&gt;"",$X39&lt;&gt;"N/A",$X39&lt;&gt;"No Min RQ"),_xlpm.chp,AND($AB39&lt;&gt;"",$AB39&lt;&gt;"N/A",$AB39&lt;&gt;"No Min RQ"),_xlpm.usp,AND($AF39&lt;&gt;"",$AF39&lt;&gt;"N/A",$AF39&lt;&gt;"No Min RQ"),_xlpm.n,_xlpm.sfp+_xlpm.slp+_xlpm.ffp+_xlpm.chp+_xlpm.usp,_xlpm.sub,(_xlpm.sfp*($P39="Submitted"))+(_xlpm.slp*($T39="Submitted"))+(_xlpm.ffp*($X39="Submitted"))+(_xlpm.chp*($AB39="Submitted"))+(_xlpm.usp*($AF39="Submitted")),_xlpm.term,(_xlpm.sfp*OR($P39="Approved",$P39="Declined"))+(_xlpm.slp*OR($T39="Approved",$T39="Declined"))+(_xlpm.ffp*OR($X39="Approved",$X39="Declined"))+(_xlpm.chp*OR($AB39="Approved",$AB39="Declined"))+(_xlpm.usp*OR($AF39="Approved",$AF39="Declined")),IF(_xlpm.n=0,"No applicable lenders",IF(_xlpm.sub&gt;0,"Stays with Shaw - lender still Submitted",IF(_xlpm.term=_xlpm.n,"Clear - all applicable lenders Approved or Declined","Stays with Shaw - not all lenders Approved or Declined")))))</f>
      </c>
    </row>
    <row r="40" spans="1:81" s="20" customFormat="1" ht="38.25">
      <c r="A40" s="225" t="s">
        <v>719</v>
      </c>
      <c r="B40" s="99"/>
      <c r="C40" s="99"/>
      <c r="D40" s="197" t="s">
        <v>720</v>
      </c>
      <c r="E40" s="88">
        <v>4808620353</v>
      </c>
      <c r="F40" s="194" t="s">
        <v>721</v>
      </c>
      <c r="G40" s="100" t="s">
        <v>611</v>
      </c>
      <c r="H40" s="194" t="s">
        <v>612</v>
      </c>
      <c r="I40" s="99" t="s">
        <v>722</v>
      </c>
      <c r="J40" s="107" t="s">
        <v>207</v>
      </c>
      <c r="K40" s="85">
        <v>2</v>
      </c>
      <c r="L40" s="85" t="str">
        <f>IF($A40="","",_xlfn.LET(_xlpm.ns,(--($P40="Ready 2 Submit"))+(--($T40="Ready 2 Submit"))+(--($X40="Ready 2 Submit"))+(--($AB40="Ready 2 Submit"))+(--($AF40="Ready 2 Submit")),_xlpm.wd,(--($P40="Waiting on Dealer"))+(--($T40="Waiting on Dealer"))+(--($X40="Waiting on Dealer"))+(--($AB40="Waiting on Dealer"))+(--($AF40="Waiting on Dealer")),_xlpm.sb,(--($P40="Submitted"))+(--($T40="Submitted"))+(--($X40="Submitted"))+(--($AB40="Submitted"))+(--($AF40="Submitted")),_xlpm.ap,(--($P40="Approved"))+(--($T40="Approved"))+(--($X40="Approved"))+(--($AB40="Approved"))+(--($AF40="Approved")),_xlpm.ac,(--($P40="Active"))+(--($T40="Active"))+(--($X40="Active"))+(--($AB40="Active"))+(--($AF40="Active")),_xlpm.dc,(--($P40="Declined"))+(--($T40="Declined"))+(--($X40="Declined"))+(--($AB40="Declined"))+(--($AF40="Declined")),_xlpm.aRS,(--($P40="Active"))*(--($R40="Yes"))+(--($T40="Active"))*(--($V40="Yes"))+(--($X40="Active"))*(--($Z40="Yes"))+(--($AB40="Active"))*(--($AD40="Yes"))+(--($AF40="Active"))*(--($AH40="Yes")),_xlpm.aDn,(--($P40="Active"))*(--($R40="Yes"))*(--((($S40="Yes")+($S40=TRUE))&gt;0))+(--($T40="Active"))*(--($V40="Yes"))*(--((($W40="Yes")+($W40=TRUE))&gt;0))+(--($X40="Active"))*(--($Z40="Yes"))*(--((($AA40="Yes")+($AA40=TRUE))&gt;0))+(--($AB40="Active"))*(--($AD40="Yes"))*(--((($AE40="Yes")+($AE40=TRUE))&gt;0))+(--($AF40="Active"))*(--($AH40="Yes"))*(--((($AI40="Yes")+($AI40=TRUE))&gt;0)),_xlpm.inPlay,_xlpm.ns+_xlpm.wd+_xlpm.sb+_xlpm.ap,IF(AND(_xlpm.ac&gt;0,_xlpm.inPlay=0,_xlpm.aDn=_xlpm.ac),"LIVE DLR",IF(AND(_xlpm.aRS&gt;0,_xlpm.aDn&lt;_xlpm.aRS),"Training",IF(_xlpm.aRS&gt;0,"Active",IF(AND(_xlpm.dc&gt;0,_xlpm.inPlay+_xlpm.ac=0),"Dead",IF(OR($CA40="Yes",$CA40=TRUE),"Rate Sheet",IF(AND($AJ40&lt;&gt;"",$AK40=FALSE),"Waiting on Dealer",IF(_xlpm.sb&gt;0,"Waiting on Lender",IF(AND(_xlpm.ap+_xlpm.ac&gt;0,_xlpm.ns+_xlpm.wd=0),"Rate Sheet","Application Submitted"))))))))))</f>
        <v>Waiting on Lender</v>
      </c>
      <c r="M40" s="151">
        <v>46276</v>
      </c>
      <c r="N40" s="101">
        <v>46280</v>
      </c>
      <c r="O40" s="196" t="s">
        <v>563</v>
      </c>
      <c r="P40" s="85" t="s">
        <v>457</v>
      </c>
      <c r="Q40" s="101">
        <f ca="1">IF(OR(Q40="",Q40=0),IF($P40="Submitted",TODAY(),""),Q40)</f>
        <v>46287</v>
      </c>
      <c r="R40" s="85" t="s">
        <v>272</v>
      </c>
      <c r="S40" s="85" t="s">
        <v>272</v>
      </c>
      <c r="T40" s="85" t="s">
        <v>457</v>
      </c>
      <c r="U40" s="101">
        <f ca="1">IF(OR(U40="",U40=0),IF($T40="Submitted",TODAY(),""),U40)</f>
        <v>46287</v>
      </c>
      <c r="V40" s="85" t="s">
        <v>272</v>
      </c>
      <c r="W40" s="85" t="s">
        <v>272</v>
      </c>
      <c r="X40" s="85" t="s">
        <v>457</v>
      </c>
      <c r="Y40" s="101">
        <f ca="1">IF(OR(Y40="",Y40=0),IF($X40="Submitted",TODAY(),""),Y40)</f>
        <v>46287</v>
      </c>
      <c r="Z40" s="85" t="s">
        <v>272</v>
      </c>
      <c r="AA40" s="85" t="s">
        <v>272</v>
      </c>
      <c r="AB40" s="85" t="s">
        <v>437</v>
      </c>
      <c r="AC40" s="101" t="str">
        <f ca="1">IF(OR(AC40="",AC40=0),IF($AB40="Submitted",TODAY(),""),AC40)</f>
        <v/>
      </c>
      <c r="AD40" s="85" t="s">
        <v>272</v>
      </c>
      <c r="AE40" s="85" t="s">
        <v>272</v>
      </c>
      <c r="AF40" s="85" t="s">
        <v>437</v>
      </c>
      <c r="AG40" s="101" t="str">
        <f ca="1">IF(OR(AG40="",AG40=0),IF($AF40="Submitted",TODAY(),""),AG40)</f>
        <v/>
      </c>
      <c r="AH40" s="85" t="s">
        <v>272</v>
      </c>
      <c r="AI40" s="85" t="s">
        <v>272</v>
      </c>
      <c r="AJ40" s="196" t="s">
        <v>723</v>
      </c>
      <c r="AK40" s="102" t="b">
        <v>1</v>
      </c>
      <c r="AL40" s="85" cm="1">
        <f t="array" ref="AL40">IF($A40="","",SUMPRODUCT((CHOOSE({1,2,3,4,5},$R40,$V40,$Z40,$AD40,$AH40)="Yes")*(((CHOOSE({1,2,3,4,5},$S40,$W40,$AA40,$AE40,$AI40)="Yes")+(CHOOSE({1,2,3,4,5},$S40,$W40,$AA40,$AE40,$AI40)=TRUE))&gt;0)))</f>
        <v>0</v>
      </c>
      <c r="AM40" s="101">
        <v>46287</v>
      </c>
      <c r="AN40" s="85">
        <f ca="1">IF(OR($A40="",$AM40=""),"",TODAY()-$AM40)</f>
        <v>1</v>
      </c>
      <c r="AO40" s="87"/>
      <c r="AP40" s="106"/>
      <c r="AQ40" s="106"/>
      <c r="AR40" s="106"/>
      <c r="AS40" s="106"/>
      <c r="AT40" s="106"/>
      <c r="AU40" s="106"/>
      <c r="AV40" s="106"/>
      <c r="AW40" s="106"/>
      <c r="AX40" s="106"/>
      <c r="AY40" s="106"/>
      <c r="BA40" s="20">
        <v>36</v>
      </c>
      <c r="BD40" s="174"/>
      <c r="BE40" s="174"/>
      <c r="BF40" s="174"/>
      <c r="BG40" s="174"/>
      <c r="BH40" s="174"/>
      <c r="BI40" s="174"/>
      <c r="BJ40" s="174"/>
      <c r="BK40" s="174"/>
      <c r="BL40" s="174"/>
      <c r="BM40" s="174"/>
      <c r="BN40" s="174"/>
      <c r="BO40" s="174"/>
      <c r="BP40" s="174"/>
      <c r="BQ40" s="174"/>
      <c r="BR40" s="174"/>
      <c r="BS40" s="174"/>
      <c r="BT40" s="174"/>
      <c r="BU40" s="174"/>
      <c r="BV40" s="174"/>
      <c r="BW40" s="174"/>
      <c r="BX40" s="174"/>
      <c r="BY40" s="174"/>
      <c r="BZ40" s="127" t="inlineStr">
        <is>
          <t>Unassigned</t>
        </is>
      </c>
      <c r="CA40" s="127" t="inlineStr">
        <is>
          <t>No</t>
        </is>
      </c>
      <c r="CB40" s="131">
        <f>IF($A40="","",_xlfn.LET(_xlpm.sfp,AND($P40&lt;&gt;"",$P40&lt;&gt;"N/A",$P40&lt;&gt;"No Min RQ"),_xlpm.slp,AND($T40&lt;&gt;"",$T40&lt;&gt;"N/A",$T40&lt;&gt;"No Min RQ"),_xlpm.ffp,AND($X40&lt;&gt;"",$X40&lt;&gt;"N/A",$X40&lt;&gt;"No Min RQ"),_xlpm.chp,AND($AB40&lt;&gt;"",$AB40&lt;&gt;"N/A",$AB40&lt;&gt;"No Min RQ"),_xlpm.usp,AND($AF40&lt;&gt;"",$AF40&lt;&gt;"N/A",$AF40&lt;&gt;"No Min RQ"),_xlpm.n,_xlpm.sfp+_xlpm.slp+_xlpm.ffp+_xlpm.chp+_xlpm.usp,_xlpm.sub,(_xlpm.sfp*($P40="Submitted"))+(_xlpm.slp*($T40="Submitted"))+(_xlpm.ffp*($X40="Submitted"))+(_xlpm.chp*($AB40="Submitted"))+(_xlpm.usp*($AF40="Submitted")),_xlpm.term,(_xlpm.sfp*OR($P40="Approved",$P40="Declined"))+(_xlpm.slp*OR($T40="Approved",$T40="Declined"))+(_xlpm.ffp*OR($X40="Approved",$X40="Declined"))+(_xlpm.chp*OR($AB40="Approved",$AB40="Declined"))+(_xlpm.usp*OR($AF40="Approved",$AF40="Declined")),IF(_xlpm.n=0,"No applicable lenders",IF(_xlpm.sub&gt;0,"Stays with Shaw - lender still Submitted",IF(_xlpm.term=_xlpm.n,"Clear - all applicable lenders Approved or Declined","Stays with Shaw - not all lenders Approved or Declined")))))</f>
      </c>
    </row>
    <row r="41" spans="1:81" s="20" customFormat="1" ht="38.25">
      <c r="A41" s="225" t="s">
        <v>724</v>
      </c>
      <c r="B41" s="99"/>
      <c r="C41" s="99"/>
      <c r="D41" s="197" t="s">
        <v>725</v>
      </c>
      <c r="E41" s="88">
        <v>9012198862</v>
      </c>
      <c r="F41" s="194" t="s">
        <v>726</v>
      </c>
      <c r="G41" s="100" t="s">
        <v>611</v>
      </c>
      <c r="H41" s="194" t="s">
        <v>612</v>
      </c>
      <c r="I41" s="99" t="s">
        <v>727</v>
      </c>
      <c r="J41" s="107"/>
      <c r="K41" s="85">
        <v>2</v>
      </c>
      <c r="L41" s="85" t="str">
        <f>IF($A41="","",_xlfn.LET(_xlpm.ns,(--($P41="Ready 2 Submit"))+(--($T41="Ready 2 Submit"))+(--($X41="Ready 2 Submit"))+(--($AB41="Ready 2 Submit"))+(--($AF41="Ready 2 Submit")),_xlpm.wd,(--($P41="Waiting on Dealer"))+(--($T41="Waiting on Dealer"))+(--($X41="Waiting on Dealer"))+(--($AB41="Waiting on Dealer"))+(--($AF41="Waiting on Dealer")),_xlpm.sb,(--($P41="Submitted"))+(--($T41="Submitted"))+(--($X41="Submitted"))+(--($AB41="Submitted"))+(--($AF41="Submitted")),_xlpm.ap,(--($P41="Approved"))+(--($T41="Approved"))+(--($X41="Approved"))+(--($AB41="Approved"))+(--($AF41="Approved")),_xlpm.ac,(--($P41="Active"))+(--($T41="Active"))+(--($X41="Active"))+(--($AB41="Active"))+(--($AF41="Active")),_xlpm.dc,(--($P41="Declined"))+(--($T41="Declined"))+(--($X41="Declined"))+(--($AB41="Declined"))+(--($AF41="Declined")),_xlpm.aRS,(--($P41="Active"))*(--($R41="Yes"))+(--($T41="Active"))*(--($V41="Yes"))+(--($X41="Active"))*(--($Z41="Yes"))+(--($AB41="Active"))*(--($AD41="Yes"))+(--($AF41="Active"))*(--($AH41="Yes")),_xlpm.aDn,(--($P41="Active"))*(--($R41="Yes"))*(--((($S41="Yes")+($S41=TRUE))&gt;0))+(--($T41="Active"))*(--($V41="Yes"))*(--((($W41="Yes")+($W41=TRUE))&gt;0))+(--($X41="Active"))*(--($Z41="Yes"))*(--((($AA41="Yes")+($AA41=TRUE))&gt;0))+(--($AB41="Active"))*(--($AD41="Yes"))*(--((($AE41="Yes")+($AE41=TRUE))&gt;0))+(--($AF41="Active"))*(--($AH41="Yes"))*(--((($AI41="Yes")+($AI41=TRUE))&gt;0)),_xlpm.inPlay,_xlpm.ns+_xlpm.wd+_xlpm.sb+_xlpm.ap,IF(AND(_xlpm.ac&gt;0,_xlpm.inPlay=0,_xlpm.aDn=_xlpm.ac),"LIVE DLR",IF(AND(_xlpm.aRS&gt;0,_xlpm.aDn&lt;_xlpm.aRS),"Training",IF(_xlpm.aRS&gt;0,"Active",IF(AND(_xlpm.dc&gt;0,_xlpm.inPlay+_xlpm.ac=0),"Dead",IF(OR($CA41="Yes",$CA41=TRUE),"Rate Sheet",IF(AND($AJ41&lt;&gt;"",$AK41=FALSE),"Waiting on Dealer",IF(_xlpm.sb&gt;0,"Waiting on Lender",IF(AND(_xlpm.ap+_xlpm.ac&gt;0,_xlpm.ns+_xlpm.wd=0),"Rate Sheet","Application Submitted"))))))))))</f>
        <v>Waiting on Dealer</v>
      </c>
      <c r="M41" s="151">
        <v>46279</v>
      </c>
      <c r="N41" s="101">
        <v>46280</v>
      </c>
      <c r="O41" s="196" t="s">
        <v>693</v>
      </c>
      <c r="P41" s="85" t="str">
        <f>IF($A41="","",IF($AK41=TRUE,"Ready 2 Submit","Waiting on Dealer"))</f>
        <v>Waiting on Dealer</v>
      </c>
      <c r="Q41" s="101" t="str">
        <f ca="1">IF(OR(Q41="",Q41=0),IF($P41="Submitted",TODAY(),""),Q41)</f>
        <v/>
      </c>
      <c r="R41" s="85" t="s">
        <v>272</v>
      </c>
      <c r="S41" s="85" t="s">
        <v>272</v>
      </c>
      <c r="T41" s="85" t="str">
        <f>IF($A41="","",IF($AK41=TRUE,"Ready 2 Submit","Waiting on Dealer"))</f>
        <v>Waiting on Dealer</v>
      </c>
      <c r="U41" s="101" t="str">
        <f ca="1">IF(OR(U41="",U41=0),IF($T41="Submitted",TODAY(),""),U41)</f>
        <v/>
      </c>
      <c r="V41" s="85" t="s">
        <v>272</v>
      </c>
      <c r="W41" s="85" t="s">
        <v>272</v>
      </c>
      <c r="X41" s="85" t="str">
        <f>IF($A41="","",IF($AK41=TRUE,"Ready 2 Submit","Waiting on Dealer"))</f>
        <v>Waiting on Dealer</v>
      </c>
      <c r="Y41" s="101" t="str">
        <f ca="1">IF(OR(Y41="",Y41=0),IF($X41="Submitted",TODAY(),""),Y41)</f>
        <v/>
      </c>
      <c r="Z41" s="85" t="s">
        <v>272</v>
      </c>
      <c r="AA41" s="85" t="s">
        <v>272</v>
      </c>
      <c r="AB41" s="85" t="str">
        <f>IF($A41="","",IF($AK41=TRUE,"Ready 2 Submit","Waiting on Dealer"))</f>
        <v>Waiting on Dealer</v>
      </c>
      <c r="AC41" s="101" t="str">
        <f ca="1">IF(OR(AC41="",AC41=0),IF($AB41="Submitted",TODAY(),""),AC41)</f>
        <v/>
      </c>
      <c r="AD41" s="85" t="s">
        <v>272</v>
      </c>
      <c r="AE41" s="85" t="s">
        <v>272</v>
      </c>
      <c r="AF41" s="85" t="str">
        <f>IF($A41="","",IF($AK41=TRUE,"Ready 2 Submit","Waiting on Dealer"))</f>
        <v>Waiting on Dealer</v>
      </c>
      <c r="AG41" s="101" t="str">
        <f ca="1">IF(OR(AG41="",AG41=0),IF($AF41="Submitted",TODAY(),""),AG41)</f>
        <v/>
      </c>
      <c r="AH41" s="85" t="s">
        <v>272</v>
      </c>
      <c r="AI41" s="85" t="s">
        <v>272</v>
      </c>
      <c r="AJ41" s="196" t="s">
        <v>728</v>
      </c>
      <c r="AK41" s="102" t="b">
        <v>0</v>
      </c>
      <c r="AL41" s="85" cm="1">
        <f t="array" ref="AL41">IF($A41="","",SUMPRODUCT((CHOOSE({1,2,3,4,5},$R41,$V41,$Z41,$AD41,$AH41)="Yes")*(((CHOOSE({1,2,3,4,5},$S41,$W41,$AA41,$AE41,$AI41)="Yes")+(CHOOSE({1,2,3,4,5},$S41,$W41,$AA41,$AE41,$AI41)=TRUE))&gt;0)))</f>
        <v>0</v>
      </c>
      <c r="AM41" s="101">
        <v>46287</v>
      </c>
      <c r="AN41" s="85">
        <f ca="1">IF(OR($A41="",$AM41=""),"",TODAY()-$AM41)</f>
        <v>1</v>
      </c>
      <c r="AO41" s="87"/>
      <c r="AP41" s="106"/>
      <c r="AQ41" s="106"/>
      <c r="AR41" s="106"/>
      <c r="AS41" s="106"/>
      <c r="AT41" s="106"/>
      <c r="AU41" s="106"/>
      <c r="AV41" s="106"/>
      <c r="AW41" s="106"/>
      <c r="AX41" s="106"/>
      <c r="AY41" s="106"/>
      <c r="BA41" s="20">
        <v>37</v>
      </c>
      <c r="BD41" s="174"/>
      <c r="BE41" s="174"/>
      <c r="BF41" s="174"/>
      <c r="BG41" s="174"/>
      <c r="BH41" s="174"/>
      <c r="BI41" s="174"/>
      <c r="BJ41" s="174"/>
      <c r="BK41" s="174"/>
      <c r="BL41" s="174"/>
      <c r="BM41" s="174"/>
      <c r="BN41" s="174"/>
      <c r="BO41" s="174"/>
      <c r="BP41" s="174"/>
      <c r="BQ41" s="174"/>
      <c r="BR41" s="174"/>
      <c r="BS41" s="174"/>
      <c r="BT41" s="174"/>
      <c r="BU41" s="174"/>
      <c r="BV41" s="174"/>
      <c r="BW41" s="174"/>
      <c r="BX41" s="174"/>
      <c r="BY41" s="174"/>
      <c r="BZ41" s="127" t="inlineStr">
        <is>
          <t>Unassigned</t>
        </is>
      </c>
      <c r="CA41" s="127" t="inlineStr">
        <is>
          <t>No</t>
        </is>
      </c>
      <c r="CB41" s="131">
        <f>IF($A41="","",_xlfn.LET(_xlpm.sfp,AND($P41&lt;&gt;"",$P41&lt;&gt;"N/A",$P41&lt;&gt;"No Min RQ"),_xlpm.slp,AND($T41&lt;&gt;"",$T41&lt;&gt;"N/A",$T41&lt;&gt;"No Min RQ"),_xlpm.ffp,AND($X41&lt;&gt;"",$X41&lt;&gt;"N/A",$X41&lt;&gt;"No Min RQ"),_xlpm.chp,AND($AB41&lt;&gt;"",$AB41&lt;&gt;"N/A",$AB41&lt;&gt;"No Min RQ"),_xlpm.usp,AND($AF41&lt;&gt;"",$AF41&lt;&gt;"N/A",$AF41&lt;&gt;"No Min RQ"),_xlpm.n,_xlpm.sfp+_xlpm.slp+_xlpm.ffp+_xlpm.chp+_xlpm.usp,_xlpm.sub,(_xlpm.sfp*($P41="Submitted"))+(_xlpm.slp*($T41="Submitted"))+(_xlpm.ffp*($X41="Submitted"))+(_xlpm.chp*($AB41="Submitted"))+(_xlpm.usp*($AF41="Submitted")),_xlpm.term,(_xlpm.sfp*OR($P41="Approved",$P41="Declined"))+(_xlpm.slp*OR($T41="Approved",$T41="Declined"))+(_xlpm.ffp*OR($X41="Approved",$X41="Declined"))+(_xlpm.chp*OR($AB41="Approved",$AB41="Declined"))+(_xlpm.usp*OR($AF41="Approved",$AF41="Declined")),IF(_xlpm.n=0,"No applicable lenders",IF(_xlpm.sub&gt;0,"Stays with Shaw - lender still Submitted",IF(_xlpm.term=_xlpm.n,"Clear - all applicable lenders Approved or Declined","Stays with Shaw - not all lenders Approved or Declined")))))</f>
      </c>
    </row>
    <row r="42" spans="1:81" s="20" customFormat="1" ht="38.25">
      <c r="A42" s="225" t="s">
        <v>729</v>
      </c>
      <c r="B42" s="99" t="s">
        <v>729</v>
      </c>
      <c r="C42" s="99"/>
      <c r="D42" s="197" t="s">
        <v>730</v>
      </c>
      <c r="E42" s="88">
        <v>8632066995</v>
      </c>
      <c r="F42" s="194" t="s">
        <v>731</v>
      </c>
      <c r="G42" s="100" t="s">
        <v>620</v>
      </c>
      <c r="H42" s="194" t="s">
        <v>621</v>
      </c>
      <c r="I42" s="99" t="s">
        <v>732</v>
      </c>
      <c r="J42" s="107"/>
      <c r="K42" s="85">
        <v>3</v>
      </c>
      <c r="L42" s="85" t="str">
        <f>IF($A42="","",_xlfn.LET(_xlpm.ns,(--($P42="Ready 2 Submit"))+(--($T42="Ready 2 Submit"))+(--($X42="Ready 2 Submit"))+(--($AB42="Ready 2 Submit"))+(--($AF42="Ready 2 Submit")),_xlpm.wd,(--($P42="Waiting on Dealer"))+(--($T42="Waiting on Dealer"))+(--($X42="Waiting on Dealer"))+(--($AB42="Waiting on Dealer"))+(--($AF42="Waiting on Dealer")),_xlpm.sb,(--($P42="Submitted"))+(--($T42="Submitted"))+(--($X42="Submitted"))+(--($AB42="Submitted"))+(--($AF42="Submitted")),_xlpm.ap,(--($P42="Approved"))+(--($T42="Approved"))+(--($X42="Approved"))+(--($AB42="Approved"))+(--($AF42="Approved")),_xlpm.ac,(--($P42="Active"))+(--($T42="Active"))+(--($X42="Active"))+(--($AB42="Active"))+(--($AF42="Active")),_xlpm.dc,(--($P42="Declined"))+(--($T42="Declined"))+(--($X42="Declined"))+(--($AB42="Declined"))+(--($AF42="Declined")),_xlpm.aRS,(--($P42="Active"))*(--($R42="Yes"))+(--($T42="Active"))*(--($V42="Yes"))+(--($X42="Active"))*(--($Z42="Yes"))+(--($AB42="Active"))*(--($AD42="Yes"))+(--($AF42="Active"))*(--($AH42="Yes")),_xlpm.aDn,(--($P42="Active"))*(--($R42="Yes"))*(--((($S42="Yes")+($S42=TRUE))&gt;0))+(--($T42="Active"))*(--($V42="Yes"))*(--((($W42="Yes")+($W42=TRUE))&gt;0))+(--($X42="Active"))*(--($Z42="Yes"))*(--((($AA42="Yes")+($AA42=TRUE))&gt;0))+(--($AB42="Active"))*(--($AD42="Yes"))*(--((($AE42="Yes")+($AE42=TRUE))&gt;0))+(--($AF42="Active"))*(--($AH42="Yes"))*(--((($AI42="Yes")+($AI42=TRUE))&gt;0)),_xlpm.inPlay,_xlpm.ns+_xlpm.wd+_xlpm.sb+_xlpm.ap,IF(AND(_xlpm.ac&gt;0,_xlpm.inPlay=0,_xlpm.aDn=_xlpm.ac),"LIVE DLR",IF(AND(_xlpm.aRS&gt;0,_xlpm.aDn&lt;_xlpm.aRS),"Training",IF(_xlpm.aRS&gt;0,"Active",IF(AND(_xlpm.dc&gt;0,_xlpm.inPlay+_xlpm.ac=0),"Dead",IF(OR($CA42="Yes",$CA42=TRUE),"Rate Sheet",IF(AND($AJ42&lt;&gt;"",$AK42=FALSE),"Waiting on Dealer",IF(_xlpm.sb&gt;0,"Waiting on Lender",IF(AND(_xlpm.ap+_xlpm.ac&gt;0,_xlpm.ns+_xlpm.wd=0),"Rate Sheet","Application Submitted"))))))))))</f>
        <v>Waiting on Dealer</v>
      </c>
      <c r="M42" s="151">
        <v>46279</v>
      </c>
      <c r="N42" s="101">
        <v>46280</v>
      </c>
      <c r="O42" s="196" t="s">
        <v>553</v>
      </c>
      <c r="P42" s="85" t="s">
        <v>437</v>
      </c>
      <c r="Q42" s="101" t="str">
        <f ca="1">IF(OR(Q42="",Q42=0),IF($P42="Submitted",TODAY(),""),Q42)</f>
        <v/>
      </c>
      <c r="R42" s="85" t="s">
        <v>272</v>
      </c>
      <c r="S42" s="85" t="s">
        <v>272</v>
      </c>
      <c r="T42" s="85" t="s">
        <v>437</v>
      </c>
      <c r="U42" s="101" t="str">
        <f ca="1">IF(OR(U42="",U42=0),IF($T42="Submitted",TODAY(),""),U42)</f>
        <v/>
      </c>
      <c r="V42" s="85" t="s">
        <v>272</v>
      </c>
      <c r="W42" s="85" t="s">
        <v>272</v>
      </c>
      <c r="X42" s="85" t="str">
        <f>IF($A42="","",IF($AK42=TRUE,"Ready 2 Submit","Waiting on Dealer"))</f>
        <v>Waiting on Dealer</v>
      </c>
      <c r="Y42" s="101" t="str">
        <f ca="1">IF(OR(Y42="",Y42=0),IF($X42="Submitted",TODAY(),""),Y42)</f>
        <v/>
      </c>
      <c r="Z42" s="85" t="s">
        <v>272</v>
      </c>
      <c r="AA42" s="85" t="s">
        <v>272</v>
      </c>
      <c r="AB42" s="85" t="s">
        <v>437</v>
      </c>
      <c r="AC42" s="101" t="str">
        <f ca="1">IF(OR(AC42="",AC42=0),IF($AB42="Submitted",TODAY(),""),AC42)</f>
        <v/>
      </c>
      <c r="AD42" s="85" t="s">
        <v>272</v>
      </c>
      <c r="AE42" s="85" t="s">
        <v>272</v>
      </c>
      <c r="AF42" s="85" t="s">
        <v>437</v>
      </c>
      <c r="AG42" s="101" t="str">
        <f ca="1">IF(OR(AG42="",AG42=0),IF($AF42="Submitted",TODAY(),""),AG42)</f>
        <v/>
      </c>
      <c r="AH42" s="85" t="s">
        <v>272</v>
      </c>
      <c r="AI42" s="85" t="s">
        <v>272</v>
      </c>
      <c r="AJ42" s="196" t="s">
        <v>733</v>
      </c>
      <c r="AK42" s="102" t="b">
        <v>0</v>
      </c>
      <c r="AL42" s="85" cm="1">
        <f t="array" ref="AL42">IF($A42="","",SUMPRODUCT((CHOOSE({1,2,3,4,5},$R42,$V42,$Z42,$AD42,$AH42)="Yes")*(((CHOOSE({1,2,3,4,5},$S42,$W42,$AA42,$AE42,$AI42)="Yes")+(CHOOSE({1,2,3,4,5},$S42,$W42,$AA42,$AE42,$AI42)=TRUE))&gt;0)))</f>
        <v>0</v>
      </c>
      <c r="AM42" s="101">
        <v>46287</v>
      </c>
      <c r="AN42" s="85">
        <f ca="1">IF(OR($A42="",$AM42=""),"",TODAY()-$AM42)</f>
        <v>1</v>
      </c>
      <c r="AO42" s="87"/>
      <c r="AP42" s="106"/>
      <c r="AQ42" s="106"/>
      <c r="AR42" s="106"/>
      <c r="AS42" s="106"/>
      <c r="AT42" s="106"/>
      <c r="AU42" s="106"/>
      <c r="AV42" s="106"/>
      <c r="AW42" s="106"/>
      <c r="AX42" s="106"/>
      <c r="AY42" s="106"/>
      <c r="BA42" s="20">
        <v>38</v>
      </c>
      <c r="BD42" s="174"/>
      <c r="BE42" s="174"/>
      <c r="BF42" s="174"/>
      <c r="BG42" s="174"/>
      <c r="BH42" s="174"/>
      <c r="BI42" s="174"/>
      <c r="BJ42" s="174"/>
      <c r="BK42" s="174"/>
      <c r="BL42" s="174"/>
      <c r="BM42" s="174"/>
      <c r="BN42" s="174"/>
      <c r="BO42" s="174"/>
      <c r="BP42" s="174"/>
      <c r="BQ42" s="174"/>
      <c r="BR42" s="174"/>
      <c r="BS42" s="174"/>
      <c r="BT42" s="174"/>
      <c r="BU42" s="174"/>
      <c r="BV42" s="174"/>
      <c r="BW42" s="174"/>
      <c r="BX42" s="174"/>
      <c r="BY42" s="174"/>
      <c r="BZ42" s="127" t="inlineStr">
        <is>
          <t>Unassigned</t>
        </is>
      </c>
      <c r="CA42" s="127" t="inlineStr">
        <is>
          <t>No</t>
        </is>
      </c>
      <c r="CB42" s="131">
        <f>IF($A42="","",_xlfn.LET(_xlpm.sfp,AND($P42&lt;&gt;"",$P42&lt;&gt;"N/A",$P42&lt;&gt;"No Min RQ"),_xlpm.slp,AND($T42&lt;&gt;"",$T42&lt;&gt;"N/A",$T42&lt;&gt;"No Min RQ"),_xlpm.ffp,AND($X42&lt;&gt;"",$X42&lt;&gt;"N/A",$X42&lt;&gt;"No Min RQ"),_xlpm.chp,AND($AB42&lt;&gt;"",$AB42&lt;&gt;"N/A",$AB42&lt;&gt;"No Min RQ"),_xlpm.usp,AND($AF42&lt;&gt;"",$AF42&lt;&gt;"N/A",$AF42&lt;&gt;"No Min RQ"),_xlpm.n,_xlpm.sfp+_xlpm.slp+_xlpm.ffp+_xlpm.chp+_xlpm.usp,_xlpm.sub,(_xlpm.sfp*($P42="Submitted"))+(_xlpm.slp*($T42="Submitted"))+(_xlpm.ffp*($X42="Submitted"))+(_xlpm.chp*($AB42="Submitted"))+(_xlpm.usp*($AF42="Submitted")),_xlpm.term,(_xlpm.sfp*OR($P42="Approved",$P42="Declined"))+(_xlpm.slp*OR($T42="Approved",$T42="Declined"))+(_xlpm.ffp*OR($X42="Approved",$X42="Declined"))+(_xlpm.chp*OR($AB42="Approved",$AB42="Declined"))+(_xlpm.usp*OR($AF42="Approved",$AF42="Declined")),IF(_xlpm.n=0,"No applicable lenders",IF(_xlpm.sub&gt;0,"Stays with Shaw - lender still Submitted",IF(_xlpm.term=_xlpm.n,"Clear - all applicable lenders Approved or Declined","Stays with Shaw - not all lenders Approved or Declined")))))</f>
      </c>
    </row>
    <row r="43" spans="1:81" s="20" customFormat="1" ht="38.25">
      <c r="A43" s="225" t="s">
        <v>734</v>
      </c>
      <c r="B43" s="99" t="s">
        <v>734</v>
      </c>
      <c r="C43" s="99"/>
      <c r="D43" s="197" t="s">
        <v>735</v>
      </c>
      <c r="E43" s="88" t="s">
        <v>736</v>
      </c>
      <c r="F43" s="194" t="s">
        <v>737</v>
      </c>
      <c r="G43" s="100" t="s">
        <v>230</v>
      </c>
      <c r="H43" s="194" t="s">
        <v>738</v>
      </c>
      <c r="I43" s="99" t="s">
        <v>497</v>
      </c>
      <c r="J43" s="107"/>
      <c r="K43" s="85">
        <v>1</v>
      </c>
      <c r="L43" s="85" t="str">
        <f>IF($A43="","",_xlfn.LET(_xlpm.ns,(--($P43="Ready 2 Submit"))+(--($T43="Ready 2 Submit"))+(--($X43="Ready 2 Submit"))+(--($AB43="Ready 2 Submit"))+(--($AF43="Ready 2 Submit")),_xlpm.wd,(--($P43="Waiting on Dealer"))+(--($T43="Waiting on Dealer"))+(--($X43="Waiting on Dealer"))+(--($AB43="Waiting on Dealer"))+(--($AF43="Waiting on Dealer")),_xlpm.sb,(--($P43="Submitted"))+(--($T43="Submitted"))+(--($X43="Submitted"))+(--($AB43="Submitted"))+(--($AF43="Submitted")),_xlpm.ap,(--($P43="Approved"))+(--($T43="Approved"))+(--($X43="Approved"))+(--($AB43="Approved"))+(--($AF43="Approved")),_xlpm.ac,(--($P43="Active"))+(--($T43="Active"))+(--($X43="Active"))+(--($AB43="Active"))+(--($AF43="Active")),_xlpm.dc,(--($P43="Declined"))+(--($T43="Declined"))+(--($X43="Declined"))+(--($AB43="Declined"))+(--($AF43="Declined")),_xlpm.aRS,(--($P43="Active"))*(--($R43="Yes"))+(--($T43="Active"))*(--($V43="Yes"))+(--($X43="Active"))*(--($Z43="Yes"))+(--($AB43="Active"))*(--($AD43="Yes"))+(--($AF43="Active"))*(--($AH43="Yes")),_xlpm.aDn,(--($P43="Active"))*(--($R43="Yes"))*(--((($S43="Yes")+($S43=TRUE))&gt;0))+(--($T43="Active"))*(--($V43="Yes"))*(--((($W43="Yes")+($W43=TRUE))&gt;0))+(--($X43="Active"))*(--($Z43="Yes"))*(--((($AA43="Yes")+($AA43=TRUE))&gt;0))+(--($AB43="Active"))*(--($AD43="Yes"))*(--((($AE43="Yes")+($AE43=TRUE))&gt;0))+(--($AF43="Active"))*(--($AH43="Yes"))*(--((($AI43="Yes")+($AI43=TRUE))&gt;0)),_xlpm.inPlay,_xlpm.ns+_xlpm.wd+_xlpm.sb+_xlpm.ap,IF(AND(_xlpm.ac&gt;0,_xlpm.inPlay=0,_xlpm.aDn=_xlpm.ac),"LIVE DLR",IF(AND(_xlpm.aRS&gt;0,_xlpm.aDn&lt;_xlpm.aRS),"Training",IF(_xlpm.aRS&gt;0,"Active",IF(AND(_xlpm.dc&gt;0,_xlpm.inPlay+_xlpm.ac=0),"Dead",IF(OR($CA43="Yes",$CA43=TRUE),"Rate Sheet",IF(AND($AJ43&lt;&gt;"",$AK43=FALSE),"Waiting on Dealer",IF(_xlpm.sb&gt;0,"Waiting on Lender",IF(AND(_xlpm.ap+_xlpm.ac&gt;0,_xlpm.ns+_xlpm.wd=0),"Rate Sheet","Application Submitted"))))))))))</f>
        <v>Waiting on Dealer</v>
      </c>
      <c r="M43" s="151">
        <v>46279</v>
      </c>
      <c r="N43" s="101">
        <v>46280</v>
      </c>
      <c r="O43" s="196" t="s">
        <v>693</v>
      </c>
      <c r="P43" s="85" t="str">
        <f>IF($A43="","",IF($AK43=TRUE,"Ready 2 Submit","Waiting on Dealer"))</f>
        <v>Waiting on Dealer</v>
      </c>
      <c r="Q43" s="101" t="str">
        <f ca="1">IF(OR(Q43="",Q43=0),IF($P43="Submitted",TODAY(),""),Q43)</f>
        <v/>
      </c>
      <c r="R43" s="85" t="s">
        <v>272</v>
      </c>
      <c r="S43" s="85" t="s">
        <v>272</v>
      </c>
      <c r="T43" s="85" t="str">
        <f>IF($A43="","",IF($AK43=TRUE,"Ready 2 Submit","Waiting on Dealer"))</f>
        <v>Waiting on Dealer</v>
      </c>
      <c r="U43" s="101" t="str">
        <f ca="1">IF(OR(U43="",U43=0),IF($T43="Submitted",TODAY(),""),U43)</f>
        <v/>
      </c>
      <c r="V43" s="85" t="s">
        <v>272</v>
      </c>
      <c r="W43" s="85" t="s">
        <v>272</v>
      </c>
      <c r="X43" s="85" t="str">
        <f>IF($A43="","",IF($AK43=TRUE,"Ready 2 Submit","Waiting on Dealer"))</f>
        <v>Waiting on Dealer</v>
      </c>
      <c r="Y43" s="101" t="str">
        <f ca="1">IF(OR(Y43="",Y43=0),IF($X43="Submitted",TODAY(),""),Y43)</f>
        <v/>
      </c>
      <c r="Z43" s="85" t="s">
        <v>272</v>
      </c>
      <c r="AA43" s="85" t="s">
        <v>272</v>
      </c>
      <c r="AB43" s="85" t="str">
        <f>IF($A43="","",IF($AK43=TRUE,"Ready 2 Submit","Waiting on Dealer"))</f>
        <v>Waiting on Dealer</v>
      </c>
      <c r="AC43" s="101" t="str">
        <f ca="1">IF(OR(AC43="",AC43=0),IF($AB43="Submitted",TODAY(),""),AC43)</f>
        <v/>
      </c>
      <c r="AD43" s="85" t="s">
        <v>272</v>
      </c>
      <c r="AE43" s="85" t="s">
        <v>272</v>
      </c>
      <c r="AF43" s="85" t="s">
        <v>437</v>
      </c>
      <c r="AG43" s="101" t="str">
        <f ca="1">IF(OR(AG43="",AG43=0),IF($AF43="Submitted",TODAY(),""),AG43)</f>
        <v/>
      </c>
      <c r="AH43" s="85" t="s">
        <v>272</v>
      </c>
      <c r="AI43" s="85" t="s">
        <v>272</v>
      </c>
      <c r="AJ43" s="196" t="s">
        <v>739</v>
      </c>
      <c r="AK43" s="102" t="b">
        <v>0</v>
      </c>
      <c r="AL43" s="85" cm="1">
        <f t="array" ref="AL43">IF($A43="","",SUMPRODUCT((CHOOSE({1,2,3,4,5},$R43,$V43,$Z43,$AD43,$AH43)="Yes")*(((CHOOSE({1,2,3,4,5},$S43,$W43,$AA43,$AE43,$AI43)="Yes")+(CHOOSE({1,2,3,4,5},$S43,$W43,$AA43,$AE43,$AI43)=TRUE))&gt;0)))</f>
        <v>0</v>
      </c>
      <c r="AM43" s="101">
        <v>46287</v>
      </c>
      <c r="AN43" s="85">
        <f ca="1">IF(OR($A43="",$AM43=""),"",TODAY()-$AM43)</f>
        <v>1</v>
      </c>
      <c r="AO43" s="87"/>
      <c r="AP43" s="106"/>
      <c r="AQ43" s="106"/>
      <c r="AR43" s="106"/>
      <c r="AS43" s="106"/>
      <c r="AT43" s="106"/>
      <c r="AU43" s="106"/>
      <c r="AV43" s="106"/>
      <c r="AW43" s="106"/>
      <c r="AX43" s="106"/>
      <c r="AY43" s="106"/>
      <c r="BA43" s="20">
        <v>39</v>
      </c>
      <c r="BD43" s="174"/>
      <c r="BE43" s="174"/>
      <c r="BF43" s="174"/>
      <c r="BG43" s="174"/>
      <c r="BH43" s="174"/>
      <c r="BI43" s="174"/>
      <c r="BJ43" s="174"/>
      <c r="BK43" s="174"/>
      <c r="BL43" s="174"/>
      <c r="BM43" s="174"/>
      <c r="BN43" s="174"/>
      <c r="BO43" s="174"/>
      <c r="BP43" s="174"/>
      <c r="BQ43" s="174"/>
      <c r="BR43" s="174"/>
      <c r="BS43" s="174"/>
      <c r="BT43" s="174"/>
      <c r="BU43" s="174"/>
      <c r="BV43" s="174"/>
      <c r="BW43" s="174"/>
      <c r="BX43" s="174"/>
      <c r="BY43" s="174"/>
      <c r="BZ43" s="127" t="inlineStr">
        <is>
          <t>Unassigned</t>
        </is>
      </c>
      <c r="CA43" s="127" t="inlineStr">
        <is>
          <t>No</t>
        </is>
      </c>
      <c r="CB43" s="131">
        <f>IF($A43="","",_xlfn.LET(_xlpm.sfp,AND($P43&lt;&gt;"",$P43&lt;&gt;"N/A",$P43&lt;&gt;"No Min RQ"),_xlpm.slp,AND($T43&lt;&gt;"",$T43&lt;&gt;"N/A",$T43&lt;&gt;"No Min RQ"),_xlpm.ffp,AND($X43&lt;&gt;"",$X43&lt;&gt;"N/A",$X43&lt;&gt;"No Min RQ"),_xlpm.chp,AND($AB43&lt;&gt;"",$AB43&lt;&gt;"N/A",$AB43&lt;&gt;"No Min RQ"),_xlpm.usp,AND($AF43&lt;&gt;"",$AF43&lt;&gt;"N/A",$AF43&lt;&gt;"No Min RQ"),_xlpm.n,_xlpm.sfp+_xlpm.slp+_xlpm.ffp+_xlpm.chp+_xlpm.usp,_xlpm.sub,(_xlpm.sfp*($P43="Submitted"))+(_xlpm.slp*($T43="Submitted"))+(_xlpm.ffp*($X43="Submitted"))+(_xlpm.chp*($AB43="Submitted"))+(_xlpm.usp*($AF43="Submitted")),_xlpm.term,(_xlpm.sfp*OR($P43="Approved",$P43="Declined"))+(_xlpm.slp*OR($T43="Approved",$T43="Declined"))+(_xlpm.ffp*OR($X43="Approved",$X43="Declined"))+(_xlpm.chp*OR($AB43="Approved",$AB43="Declined"))+(_xlpm.usp*OR($AF43="Approved",$AF43="Declined")),IF(_xlpm.n=0,"No applicable lenders",IF(_xlpm.sub&gt;0,"Stays with Shaw - lender still Submitted",IF(_xlpm.term=_xlpm.n,"Clear - all applicable lenders Approved or Declined","Stays with Shaw - not all lenders Approved or Declined")))))</f>
      </c>
    </row>
    <row r="44" spans="1:81" s="20" customFormat="1" ht="30.75">
      <c r="A44" s="225" t="s">
        <v>740</v>
      </c>
      <c r="B44" s="99" t="s">
        <v>741</v>
      </c>
      <c r="C44" s="99"/>
      <c r="D44" s="197" t="s">
        <v>742</v>
      </c>
      <c r="E44" s="88" t="s">
        <v>743</v>
      </c>
      <c r="F44" s="194" t="s">
        <v>744</v>
      </c>
      <c r="G44" s="100" t="s">
        <v>465</v>
      </c>
      <c r="H44" s="194" t="s">
        <v>466</v>
      </c>
      <c r="I44" s="99" t="s">
        <v>497</v>
      </c>
      <c r="J44" s="107"/>
      <c r="K44" s="85">
        <v>1</v>
      </c>
      <c r="L44" s="85" t="str">
        <f>IF($A44="","",_xlfn.LET(_xlpm.ns,(--($P44="Ready 2 Submit"))+(--($T44="Ready 2 Submit"))+(--($X44="Ready 2 Submit"))+(--($AB44="Ready 2 Submit"))+(--($AF44="Ready 2 Submit")),_xlpm.wd,(--($P44="Waiting on Dealer"))+(--($T44="Waiting on Dealer"))+(--($X44="Waiting on Dealer"))+(--($AB44="Waiting on Dealer"))+(--($AF44="Waiting on Dealer")),_xlpm.sb,(--($P44="Submitted"))+(--($T44="Submitted"))+(--($X44="Submitted"))+(--($AB44="Submitted"))+(--($AF44="Submitted")),_xlpm.ap,(--($P44="Approved"))+(--($T44="Approved"))+(--($X44="Approved"))+(--($AB44="Approved"))+(--($AF44="Approved")),_xlpm.ac,(--($P44="Active"))+(--($T44="Active"))+(--($X44="Active"))+(--($AB44="Active"))+(--($AF44="Active")),_xlpm.dc,(--($P44="Declined"))+(--($T44="Declined"))+(--($X44="Declined"))+(--($AB44="Declined"))+(--($AF44="Declined")),_xlpm.aRS,(--($P44="Active"))*(--($R44="Yes"))+(--($T44="Active"))*(--($V44="Yes"))+(--($X44="Active"))*(--($Z44="Yes"))+(--($AB44="Active"))*(--($AD44="Yes"))+(--($AF44="Active"))*(--($AH44="Yes")),_xlpm.aDn,(--($P44="Active"))*(--($R44="Yes"))*(--((($S44="Yes")+($S44=TRUE))&gt;0))+(--($T44="Active"))*(--($V44="Yes"))*(--((($W44="Yes")+($W44=TRUE))&gt;0))+(--($X44="Active"))*(--($Z44="Yes"))*(--((($AA44="Yes")+($AA44=TRUE))&gt;0))+(--($AB44="Active"))*(--($AD44="Yes"))*(--((($AE44="Yes")+($AE44=TRUE))&gt;0))+(--($AF44="Active"))*(--($AH44="Yes"))*(--((($AI44="Yes")+($AI44=TRUE))&gt;0)),_xlpm.inPlay,_xlpm.ns+_xlpm.wd+_xlpm.sb+_xlpm.ap,IF(AND(_xlpm.ac&gt;0,_xlpm.inPlay=0,_xlpm.aDn=_xlpm.ac),"LIVE DLR",IF(AND(_xlpm.aRS&gt;0,_xlpm.aDn&lt;_xlpm.aRS),"Training",IF(_xlpm.aRS&gt;0,"Active",IF(AND(_xlpm.dc&gt;0,_xlpm.inPlay+_xlpm.ac=0),"Dead",IF(OR($CA44="Yes",$CA44=TRUE),"Rate Sheet",IF(AND($AJ44&lt;&gt;"",$AK44=FALSE),"Waiting on Dealer",IF(_xlpm.sb&gt;0,"Waiting on Lender",IF(AND(_xlpm.ap+_xlpm.ac&gt;0,_xlpm.ns+_xlpm.wd=0),"Rate Sheet","Application Submitted"))))))))))</f>
        <v>Waiting on Lender</v>
      </c>
      <c r="M44" s="151">
        <v>46280</v>
      </c>
      <c r="N44" s="101">
        <v>46280</v>
      </c>
      <c r="O44" s="196" t="s">
        <v>686</v>
      </c>
      <c r="P44" s="85" t="s">
        <v>457</v>
      </c>
      <c r="Q44" s="101">
        <v>46281</v>
      </c>
      <c r="R44" s="85" t="s">
        <v>272</v>
      </c>
      <c r="S44" s="85" t="s">
        <v>272</v>
      </c>
      <c r="T44" s="85" t="s">
        <v>437</v>
      </c>
      <c r="U44" s="101" t="str">
        <f ca="1">IF(OR(U44="",U44=0),IF($T44="Submitted",TODAY(),""),U44)</f>
        <v/>
      </c>
      <c r="V44" s="85" t="s">
        <v>272</v>
      </c>
      <c r="W44" s="85" t="s">
        <v>272</v>
      </c>
      <c r="X44" s="85" t="s">
        <v>457</v>
      </c>
      <c r="Y44" s="101">
        <v>46280</v>
      </c>
      <c r="Z44" s="85" t="s">
        <v>272</v>
      </c>
      <c r="AA44" s="85" t="s">
        <v>272</v>
      </c>
      <c r="AB44" s="85" t="s">
        <v>499</v>
      </c>
      <c r="AC44" s="101">
        <v>46280</v>
      </c>
      <c r="AD44" s="85" t="s">
        <v>272</v>
      </c>
      <c r="AE44" s="85" t="s">
        <v>272</v>
      </c>
      <c r="AF44" s="85" t="s">
        <v>437</v>
      </c>
      <c r="AG44" s="101" t="str">
        <f ca="1">IF(OR(AG44="",AG44=0),IF($AF44="Submitted",TODAY(),""),AG44)</f>
        <v/>
      </c>
      <c r="AH44" s="85" t="s">
        <v>272</v>
      </c>
      <c r="AI44" s="85" t="s">
        <v>272</v>
      </c>
      <c r="AJ44" s="200" t="s">
        <v>745</v>
      </c>
      <c r="AK44" s="102" t="b">
        <v>1</v>
      </c>
      <c r="AL44" s="85" cm="1">
        <f t="array" ref="AL44">IF($A44="","",SUMPRODUCT((CHOOSE({1,2,3,4,5},$R44,$V44,$Z44,$AD44,$AH44)="Yes")*(((CHOOSE({1,2,3,4,5},$S44,$W44,$AA44,$AE44,$AI44)="Yes")+(CHOOSE({1,2,3,4,5},$S44,$W44,$AA44,$AE44,$AI44)=TRUE))&gt;0)))</f>
        <v>0</v>
      </c>
      <c r="AM44" s="101"/>
      <c r="AN44" s="85" t="str">
        <f ca="1">IF(OR($A44="",$AM44=""),"",TODAY()-$AM44)</f>
        <v/>
      </c>
      <c r="AO44" s="87"/>
      <c r="AP44" s="106"/>
      <c r="AQ44" s="106"/>
      <c r="AR44" s="106"/>
      <c r="AS44" s="106"/>
      <c r="AT44" s="106"/>
      <c r="AU44" s="106"/>
      <c r="AV44" s="106"/>
      <c r="AW44" s="106"/>
      <c r="AX44" s="106"/>
      <c r="AY44" s="106"/>
      <c r="BD44" s="174"/>
      <c r="BE44" s="174"/>
      <c r="BF44" s="174"/>
      <c r="BG44" s="174"/>
      <c r="BH44" s="174"/>
      <c r="BI44" s="174"/>
      <c r="BJ44" s="174"/>
      <c r="BK44" s="174"/>
      <c r="BL44" s="174"/>
      <c r="BM44" s="174"/>
      <c r="BN44" s="174"/>
      <c r="BO44" s="174"/>
      <c r="BP44" s="174"/>
      <c r="BQ44" s="174"/>
      <c r="BR44" s="174"/>
      <c r="BS44" s="174"/>
      <c r="BT44" s="174"/>
      <c r="BU44" s="174"/>
      <c r="BV44" s="174"/>
      <c r="BW44" s="174"/>
      <c r="BX44" s="174"/>
      <c r="BY44" s="174"/>
      <c r="BZ44" s="127" t="inlineStr">
        <is>
          <t>Unassigned</t>
        </is>
      </c>
      <c r="CA44" s="127" t="inlineStr">
        <is>
          <t>No</t>
        </is>
      </c>
      <c r="CB44" s="131">
        <f>IF($A44="","",_xlfn.LET(_xlpm.sfp,AND($P44&lt;&gt;"",$P44&lt;&gt;"N/A",$P44&lt;&gt;"No Min RQ"),_xlpm.slp,AND($T44&lt;&gt;"",$T44&lt;&gt;"N/A",$T44&lt;&gt;"No Min RQ"),_xlpm.ffp,AND($X44&lt;&gt;"",$X44&lt;&gt;"N/A",$X44&lt;&gt;"No Min RQ"),_xlpm.chp,AND($AB44&lt;&gt;"",$AB44&lt;&gt;"N/A",$AB44&lt;&gt;"No Min RQ"),_xlpm.usp,AND($AF44&lt;&gt;"",$AF44&lt;&gt;"N/A",$AF44&lt;&gt;"No Min RQ"),_xlpm.n,_xlpm.sfp+_xlpm.slp+_xlpm.ffp+_xlpm.chp+_xlpm.usp,_xlpm.sub,(_xlpm.sfp*($P44="Submitted"))+(_xlpm.slp*($T44="Submitted"))+(_xlpm.ffp*($X44="Submitted"))+(_xlpm.chp*($AB44="Submitted"))+(_xlpm.usp*($AF44="Submitted")),_xlpm.term,(_xlpm.sfp*OR($P44="Approved",$P44="Declined"))+(_xlpm.slp*OR($T44="Approved",$T44="Declined"))+(_xlpm.ffp*OR($X44="Approved",$X44="Declined"))+(_xlpm.chp*OR($AB44="Approved",$AB44="Declined"))+(_xlpm.usp*OR($AF44="Approved",$AF44="Declined")),IF(_xlpm.n=0,"No applicable lenders",IF(_xlpm.sub&gt;0,"Stays with Shaw - lender still Submitted",IF(_xlpm.term=_xlpm.n,"Clear - all applicable lenders Approved or Declined","Stays with Shaw - not all lenders Approved or Declined")))))</f>
      </c>
    </row>
    <row r="45" spans="1:81" s="20" customFormat="1" ht="19.5">
      <c r="A45" s="225" t="s">
        <v>746</v>
      </c>
      <c r="B45" s="99"/>
      <c r="C45" s="99"/>
      <c r="D45" s="197" t="s">
        <v>747</v>
      </c>
      <c r="E45" s="88" t="s">
        <v>748</v>
      </c>
      <c r="F45" s="194" t="s">
        <v>749</v>
      </c>
      <c r="G45" s="100" t="s">
        <v>195</v>
      </c>
      <c r="H45" s="194" t="s">
        <v>196</v>
      </c>
      <c r="I45" s="99" t="s">
        <v>537</v>
      </c>
      <c r="J45" s="107"/>
      <c r="K45" s="85">
        <v>2</v>
      </c>
      <c r="L45" s="85" t="str">
        <f>IF($A45="","",_xlfn.LET(_xlpm.ns,(--($P45="Ready 2 Submit"))+(--($T45="Ready 2 Submit"))+(--($X45="Ready 2 Submit"))+(--($AB45="Ready 2 Submit"))+(--($AF45="Ready 2 Submit")),_xlpm.wd,(--($P45="Waiting on Dealer"))+(--($T45="Waiting on Dealer"))+(--($X45="Waiting on Dealer"))+(--($AB45="Waiting on Dealer"))+(--($AF45="Waiting on Dealer")),_xlpm.sb,(--($P45="Submitted"))+(--($T45="Submitted"))+(--($X45="Submitted"))+(--($AB45="Submitted"))+(--($AF45="Submitted")),_xlpm.ap,(--($P45="Approved"))+(--($T45="Approved"))+(--($X45="Approved"))+(--($AB45="Approved"))+(--($AF45="Approved")),_xlpm.ac,(--($P45="Active"))+(--($T45="Active"))+(--($X45="Active"))+(--($AB45="Active"))+(--($AF45="Active")),_xlpm.dc,(--($P45="Declined"))+(--($T45="Declined"))+(--($X45="Declined"))+(--($AB45="Declined"))+(--($AF45="Declined")),_xlpm.aRS,(--($P45="Active"))*(--($R45="Yes"))+(--($T45="Active"))*(--($V45="Yes"))+(--($X45="Active"))*(--($Z45="Yes"))+(--($AB45="Active"))*(--($AD45="Yes"))+(--($AF45="Active"))*(--($AH45="Yes")),_xlpm.aDn,(--($P45="Active"))*(--($R45="Yes"))*(--((($S45="Yes")+($S45=TRUE))&gt;0))+(--($T45="Active"))*(--($V45="Yes"))*(--((($W45="Yes")+($W45=TRUE))&gt;0))+(--($X45="Active"))*(--($Z45="Yes"))*(--((($AA45="Yes")+($AA45=TRUE))&gt;0))+(--($AB45="Active"))*(--($AD45="Yes"))*(--((($AE45="Yes")+($AE45=TRUE))&gt;0))+(--($AF45="Active"))*(--($AH45="Yes"))*(--((($AI45="Yes")+($AI45=TRUE))&gt;0)),_xlpm.inPlay,_xlpm.ns+_xlpm.wd+_xlpm.sb+_xlpm.ap,IF(AND(_xlpm.ac&gt;0,_xlpm.inPlay=0,_xlpm.aDn=_xlpm.ac),"LIVE DLR",IF(AND(_xlpm.aRS&gt;0,_xlpm.aDn&lt;_xlpm.aRS),"Training",IF(_xlpm.aRS&gt;0,"Active",IF(AND(_xlpm.dc&gt;0,_xlpm.inPlay+_xlpm.ac=0),"Dead",IF(OR($CA45="Yes",$CA45=TRUE),"Rate Sheet",IF(AND($AJ45&lt;&gt;"",$AK45=FALSE),"Waiting on Dealer",IF(_xlpm.sb&gt;0,"Waiting on Lender",IF(AND(_xlpm.ap+_xlpm.ac&gt;0,_xlpm.ns+_xlpm.wd=0),"Rate Sheet","Application Submitted"))))))))))</f>
        <v>Waiting on Lender</v>
      </c>
      <c r="M45" s="151">
        <v>46280</v>
      </c>
      <c r="N45" s="101">
        <v>46280</v>
      </c>
      <c r="O45" s="196" t="s">
        <v>563</v>
      </c>
      <c r="P45" s="85" t="s">
        <v>457</v>
      </c>
      <c r="Q45" s="101">
        <v>46280</v>
      </c>
      <c r="R45" s="85" t="s">
        <v>272</v>
      </c>
      <c r="S45" s="85" t="s">
        <v>272</v>
      </c>
      <c r="T45" s="85" t="s">
        <v>499</v>
      </c>
      <c r="U45" s="101">
        <v>46281</v>
      </c>
      <c r="V45" s="85" t="s">
        <v>272</v>
      </c>
      <c r="W45" s="85" t="s">
        <v>272</v>
      </c>
      <c r="X45" s="85" t="s">
        <v>457</v>
      </c>
      <c r="Y45" s="101">
        <v>46280</v>
      </c>
      <c r="Z45" s="85" t="s">
        <v>272</v>
      </c>
      <c r="AA45" s="85" t="s">
        <v>272</v>
      </c>
      <c r="AB45" s="85" t="s">
        <v>437</v>
      </c>
      <c r="AC45" s="101" t="str">
        <f ca="1">IF(OR(AC45="",AC45=0),IF($AB45="Submitted",TODAY(),""),AC45)</f>
        <v/>
      </c>
      <c r="AD45" s="85" t="s">
        <v>272</v>
      </c>
      <c r="AE45" s="85" t="s">
        <v>272</v>
      </c>
      <c r="AF45" s="85" t="s">
        <v>437</v>
      </c>
      <c r="AG45" s="101" t="str">
        <f ca="1">IF(OR(AG45="",AG45=0),IF($AF45="Submitted",TODAY(),""),AG45)</f>
        <v/>
      </c>
      <c r="AH45" s="85" t="s">
        <v>272</v>
      </c>
      <c r="AI45" s="85" t="s">
        <v>272</v>
      </c>
      <c r="AJ45" s="196" t="s">
        <v>750</v>
      </c>
      <c r="AK45" s="102" t="b">
        <v>1</v>
      </c>
      <c r="AL45" s="85" cm="1">
        <f t="array" ref="AL45">IF($A45="","",SUMPRODUCT((CHOOSE({1,2,3,4,5},$R45,$V45,$Z45,$AD45,$AH45)="Yes")*(((CHOOSE({1,2,3,4,5},$S45,$W45,$AA45,$AE45,$AI45)="Yes")+(CHOOSE({1,2,3,4,5},$S45,$W45,$AA45,$AE45,$AI45)=TRUE))&gt;0)))</f>
        <v>0</v>
      </c>
      <c r="AM45" s="101">
        <v>46280</v>
      </c>
      <c r="AN45" s="85">
        <f ca="1">IF(OR($A45="",$AM45=""),"",TODAY()-$AM45)</f>
        <v>8</v>
      </c>
      <c r="AO45" s="87"/>
      <c r="AP45" s="106"/>
      <c r="AQ45" s="106"/>
      <c r="AR45" s="106"/>
      <c r="AS45" s="106"/>
      <c r="AT45" s="106"/>
      <c r="AU45" s="106"/>
      <c r="AV45" s="106"/>
      <c r="AW45" s="106"/>
      <c r="AX45" s="106"/>
      <c r="AY45" s="106"/>
      <c r="BD45" s="174"/>
      <c r="BE45" s="174"/>
      <c r="BF45" s="174"/>
      <c r="BG45" s="174"/>
      <c r="BH45" s="174"/>
      <c r="BI45" s="174"/>
      <c r="BJ45" s="174"/>
      <c r="BK45" s="174"/>
      <c r="BL45" s="174"/>
      <c r="BM45" s="174"/>
      <c r="BN45" s="174"/>
      <c r="BO45" s="174"/>
      <c r="BP45" s="174"/>
      <c r="BQ45" s="174"/>
      <c r="BR45" s="174"/>
      <c r="BS45" s="174"/>
      <c r="BT45" s="174"/>
      <c r="BU45" s="174"/>
      <c r="BV45" s="174"/>
      <c r="BW45" s="174"/>
      <c r="BX45" s="174"/>
      <c r="BY45" s="174"/>
      <c r="BZ45" s="127" t="inlineStr">
        <is>
          <t>Unassigned</t>
        </is>
      </c>
      <c r="CA45" s="127" t="inlineStr">
        <is>
          <t>No</t>
        </is>
      </c>
      <c r="CB45" s="131">
        <f>IF($A45="","",_xlfn.LET(_xlpm.sfp,AND($P45&lt;&gt;"",$P45&lt;&gt;"N/A",$P45&lt;&gt;"No Min RQ"),_xlpm.slp,AND($T45&lt;&gt;"",$T45&lt;&gt;"N/A",$T45&lt;&gt;"No Min RQ"),_xlpm.ffp,AND($X45&lt;&gt;"",$X45&lt;&gt;"N/A",$X45&lt;&gt;"No Min RQ"),_xlpm.chp,AND($AB45&lt;&gt;"",$AB45&lt;&gt;"N/A",$AB45&lt;&gt;"No Min RQ"),_xlpm.usp,AND($AF45&lt;&gt;"",$AF45&lt;&gt;"N/A",$AF45&lt;&gt;"No Min RQ"),_xlpm.n,_xlpm.sfp+_xlpm.slp+_xlpm.ffp+_xlpm.chp+_xlpm.usp,_xlpm.sub,(_xlpm.sfp*($P45="Submitted"))+(_xlpm.slp*($T45="Submitted"))+(_xlpm.ffp*($X45="Submitted"))+(_xlpm.chp*($AB45="Submitted"))+(_xlpm.usp*($AF45="Submitted")),_xlpm.term,(_xlpm.sfp*OR($P45="Approved",$P45="Declined"))+(_xlpm.slp*OR($T45="Approved",$T45="Declined"))+(_xlpm.ffp*OR($X45="Approved",$X45="Declined"))+(_xlpm.chp*OR($AB45="Approved",$AB45="Declined"))+(_xlpm.usp*OR($AF45="Approved",$AF45="Declined")),IF(_xlpm.n=0,"No applicable lenders",IF(_xlpm.sub&gt;0,"Stays with Shaw - lender still Submitted",IF(_xlpm.term=_xlpm.n,"Clear - all applicable lenders Approved or Declined","Stays with Shaw - not all lenders Approved or Declined")))))</f>
      </c>
    </row>
    <row r="46" spans="1:81" s="20" customFormat="1" ht="38.25">
      <c r="A46" s="225" t="s">
        <v>751</v>
      </c>
      <c r="B46" s="99" t="s">
        <v>752</v>
      </c>
      <c r="C46" s="99"/>
      <c r="D46" s="197" t="s">
        <v>753</v>
      </c>
      <c r="E46" s="88" t="s">
        <v>754</v>
      </c>
      <c r="F46" s="194" t="s">
        <v>755</v>
      </c>
      <c r="G46" s="100" t="s">
        <v>756</v>
      </c>
      <c r="H46" s="194" t="s">
        <v>757</v>
      </c>
      <c r="I46" s="99" t="s">
        <v>497</v>
      </c>
      <c r="J46" s="107"/>
      <c r="K46" s="85">
        <v>2</v>
      </c>
      <c r="L46" s="85" t="str">
        <f>IF($A46="","",_xlfn.LET(_xlpm.ns,(--($P46="Ready 2 Submit"))+(--($T46="Ready 2 Submit"))+(--($X46="Ready 2 Submit"))+(--($AB46="Ready 2 Submit"))+(--($AF46="Ready 2 Submit")),_xlpm.wd,(--($P46="Waiting on Dealer"))+(--($T46="Waiting on Dealer"))+(--($X46="Waiting on Dealer"))+(--($AB46="Waiting on Dealer"))+(--($AF46="Waiting on Dealer")),_xlpm.sb,(--($P46="Submitted"))+(--($T46="Submitted"))+(--($X46="Submitted"))+(--($AB46="Submitted"))+(--($AF46="Submitted")),_xlpm.ap,(--($P46="Approved"))+(--($T46="Approved"))+(--($X46="Approved"))+(--($AB46="Approved"))+(--($AF46="Approved")),_xlpm.ac,(--($P46="Active"))+(--($T46="Active"))+(--($X46="Active"))+(--($AB46="Active"))+(--($AF46="Active")),_xlpm.dc,(--($P46="Declined"))+(--($T46="Declined"))+(--($X46="Declined"))+(--($AB46="Declined"))+(--($AF46="Declined")),_xlpm.aRS,(--($P46="Active"))*(--($R46="Yes"))+(--($T46="Active"))*(--($V46="Yes"))+(--($X46="Active"))*(--($Z46="Yes"))+(--($AB46="Active"))*(--($AD46="Yes"))+(--($AF46="Active"))*(--($AH46="Yes")),_xlpm.aDn,(--($P46="Active"))*(--($R46="Yes"))*(--((($S46="Yes")+($S46=TRUE))&gt;0))+(--($T46="Active"))*(--($V46="Yes"))*(--((($W46="Yes")+($W46=TRUE))&gt;0))+(--($X46="Active"))*(--($Z46="Yes"))*(--((($AA46="Yes")+($AA46=TRUE))&gt;0))+(--($AB46="Active"))*(--($AD46="Yes"))*(--((($AE46="Yes")+($AE46=TRUE))&gt;0))+(--($AF46="Active"))*(--($AH46="Yes"))*(--((($AI46="Yes")+($AI46=TRUE))&gt;0)),_xlpm.inPlay,_xlpm.ns+_xlpm.wd+_xlpm.sb+_xlpm.ap,IF(AND(_xlpm.ac&gt;0,_xlpm.inPlay=0,_xlpm.aDn=_xlpm.ac),"LIVE DLR",IF(AND(_xlpm.aRS&gt;0,_xlpm.aDn&lt;_xlpm.aRS),"Training",IF(_xlpm.aRS&gt;0,"Active",IF(AND(_xlpm.dc&gt;0,_xlpm.inPlay+_xlpm.ac=0),"Dead",IF(OR($CA46="Yes",$CA46=TRUE),"Rate Sheet",IF(AND($AJ46&lt;&gt;"",$AK46=FALSE),"Waiting on Dealer",IF(_xlpm.sb&gt;0,"Waiting on Lender",IF(AND(_xlpm.ap+_xlpm.ac&gt;0,_xlpm.ns+_xlpm.wd=0),"Rate Sheet","Application Submitted"))))))))))</f>
        <v>Waiting on Dealer</v>
      </c>
      <c r="M46" s="151">
        <v>46281</v>
      </c>
      <c r="N46" s="101"/>
      <c r="O46" s="196" t="s">
        <v>693</v>
      </c>
      <c r="P46" s="85" t="str">
        <f>IF($A46="","",IF($AK46=TRUE,"Ready 2 Submit","Waiting on Dealer"))</f>
        <v>Waiting on Dealer</v>
      </c>
      <c r="Q46" s="101" t="str">
        <f ca="1">IF(OR(Q46="",Q46=0),IF($P46="Submitted",TODAY(),""),Q46)</f>
        <v/>
      </c>
      <c r="R46" s="85" t="s">
        <v>272</v>
      </c>
      <c r="S46" s="85" t="s">
        <v>272</v>
      </c>
      <c r="T46" s="85" t="str">
        <f>IF($A46="","",IF($AK46=TRUE,"Ready 2 Submit","Waiting on Dealer"))</f>
        <v>Waiting on Dealer</v>
      </c>
      <c r="U46" s="101" t="str">
        <f ca="1">IF(OR(U46="",U46=0),IF($T46="Submitted",TODAY(),""),U46)</f>
        <v/>
      </c>
      <c r="V46" s="85" t="s">
        <v>272</v>
      </c>
      <c r="W46" s="85" t="s">
        <v>272</v>
      </c>
      <c r="X46" s="85" t="str">
        <f>IF($A46="","",IF($AK46=TRUE,"Ready 2 Submit","Waiting on Dealer"))</f>
        <v>Waiting on Dealer</v>
      </c>
      <c r="Y46" s="101" t="str">
        <f ca="1">IF(OR(Y46="",Y46=0),IF($X46="Submitted",TODAY(),""),Y46)</f>
        <v/>
      </c>
      <c r="Z46" s="85" t="s">
        <v>272</v>
      </c>
      <c r="AA46" s="85" t="s">
        <v>272</v>
      </c>
      <c r="AB46" s="85" t="str">
        <f>IF($A46="","",IF($AK46=TRUE,"Ready 2 Submit","Waiting on Dealer"))</f>
        <v>Waiting on Dealer</v>
      </c>
      <c r="AC46" s="101" t="str">
        <f ca="1">IF(OR(AC46="",AC46=0),IF($AB46="Submitted",TODAY(),""),AC46)</f>
        <v/>
      </c>
      <c r="AD46" s="85" t="s">
        <v>272</v>
      </c>
      <c r="AE46" s="85" t="s">
        <v>272</v>
      </c>
      <c r="AF46" s="85" t="s">
        <v>437</v>
      </c>
      <c r="AG46" s="101" t="str">
        <f ca="1">IF(OR(AG46="",AG46=0),IF($AF46="Submitted",TODAY(),""),AG46)</f>
        <v/>
      </c>
      <c r="AH46" s="85" t="s">
        <v>272</v>
      </c>
      <c r="AI46" s="85" t="s">
        <v>272</v>
      </c>
      <c r="AJ46" s="196" t="s">
        <v>758</v>
      </c>
      <c r="AK46" s="102" t="b">
        <v>0</v>
      </c>
      <c r="AL46" s="85" cm="1">
        <f t="array" ref="AL46">IF($A46="","",SUMPRODUCT((CHOOSE({1,2,3,4,5},$R46,$V46,$Z46,$AD46,$AH46)="Yes")*(((CHOOSE({1,2,3,4,5},$S46,$W46,$AA46,$AE46,$AI46)="Yes")+(CHOOSE({1,2,3,4,5},$S46,$W46,$AA46,$AE46,$AI46)=TRUE))&gt;0)))</f>
        <v>0</v>
      </c>
      <c r="AM46" s="101">
        <v>46287</v>
      </c>
      <c r="AN46" s="85">
        <f ca="1">IF(OR($A46="",$AM46=""),"",TODAY()-$AM46)</f>
        <v>1</v>
      </c>
      <c r="AO46" s="87"/>
      <c r="AP46" s="106"/>
      <c r="AQ46" s="106"/>
      <c r="AR46" s="106"/>
      <c r="AS46" s="106"/>
      <c r="AT46" s="106"/>
      <c r="AU46" s="106"/>
      <c r="AV46" s="106"/>
      <c r="AW46" s="106"/>
      <c r="AX46" s="106"/>
      <c r="AY46" s="106"/>
      <c r="BD46" s="174"/>
      <c r="BE46" s="174"/>
      <c r="BF46" s="174"/>
      <c r="BG46" s="174"/>
      <c r="BH46" s="174"/>
      <c r="BI46" s="174"/>
      <c r="BJ46" s="174"/>
      <c r="BK46" s="174"/>
      <c r="BL46" s="174"/>
      <c r="BM46" s="174"/>
      <c r="BN46" s="174"/>
      <c r="BO46" s="174"/>
      <c r="BP46" s="174"/>
      <c r="BQ46" s="174"/>
      <c r="BR46" s="174"/>
      <c r="BS46" s="174"/>
      <c r="BT46" s="174"/>
      <c r="BU46" s="174"/>
      <c r="BV46" s="174"/>
      <c r="BW46" s="174"/>
      <c r="BX46" s="174"/>
      <c r="BY46" s="174"/>
      <c r="BZ46" s="127" t="inlineStr">
        <is>
          <t>Unassigned</t>
        </is>
      </c>
      <c r="CA46" s="127" t="inlineStr">
        <is>
          <t>No</t>
        </is>
      </c>
      <c r="CB46" s="131">
        <f>IF($A46="","",_xlfn.LET(_xlpm.sfp,AND($P46&lt;&gt;"",$P46&lt;&gt;"N/A",$P46&lt;&gt;"No Min RQ"),_xlpm.slp,AND($T46&lt;&gt;"",$T46&lt;&gt;"N/A",$T46&lt;&gt;"No Min RQ"),_xlpm.ffp,AND($X46&lt;&gt;"",$X46&lt;&gt;"N/A",$X46&lt;&gt;"No Min RQ"),_xlpm.chp,AND($AB46&lt;&gt;"",$AB46&lt;&gt;"N/A",$AB46&lt;&gt;"No Min RQ"),_xlpm.usp,AND($AF46&lt;&gt;"",$AF46&lt;&gt;"N/A",$AF46&lt;&gt;"No Min RQ"),_xlpm.n,_xlpm.sfp+_xlpm.slp+_xlpm.ffp+_xlpm.chp+_xlpm.usp,_xlpm.sub,(_xlpm.sfp*($P46="Submitted"))+(_xlpm.slp*($T46="Submitted"))+(_xlpm.ffp*($X46="Submitted"))+(_xlpm.chp*($AB46="Submitted"))+(_xlpm.usp*($AF46="Submitted")),_xlpm.term,(_xlpm.sfp*OR($P46="Approved",$P46="Declined"))+(_xlpm.slp*OR($T46="Approved",$T46="Declined"))+(_xlpm.ffp*OR($X46="Approved",$X46="Declined"))+(_xlpm.chp*OR($AB46="Approved",$AB46="Declined"))+(_xlpm.usp*OR($AF46="Approved",$AF46="Declined")),IF(_xlpm.n=0,"No applicable lenders",IF(_xlpm.sub&gt;0,"Stays with Shaw - lender still Submitted",IF(_xlpm.term=_xlpm.n,"Clear - all applicable lenders Approved or Declined","Stays with Shaw - not all lenders Approved or Declined")))))</f>
      </c>
    </row>
    <row r="47" spans="1:81" s="20" customFormat="1" ht="19.5">
      <c r="A47" s="225" t="s">
        <v>759</v>
      </c>
      <c r="B47" s="99" t="s">
        <v>760</v>
      </c>
      <c r="C47" s="99" t="s">
        <v>485</v>
      </c>
      <c r="D47" s="197" t="s">
        <v>761</v>
      </c>
      <c r="E47" s="88" t="s">
        <v>762</v>
      </c>
      <c r="F47" s="194" t="s">
        <v>763</v>
      </c>
      <c r="G47" s="100" t="s">
        <v>485</v>
      </c>
      <c r="H47" s="194"/>
      <c r="I47" s="99" t="s">
        <v>537</v>
      </c>
      <c r="J47" s="107"/>
      <c r="K47" s="85">
        <v>1</v>
      </c>
      <c r="L47" s="85" t="str">
        <f>IF($A47="","",_xlfn.LET(_xlpm.ns,(--($P47="Ready 2 Submit"))+(--($T47="Ready 2 Submit"))+(--($X47="Ready 2 Submit"))+(--($AB47="Ready 2 Submit"))+(--($AF47="Ready 2 Submit")),_xlpm.wd,(--($P47="Waiting on Dealer"))+(--($T47="Waiting on Dealer"))+(--($X47="Waiting on Dealer"))+(--($AB47="Waiting on Dealer"))+(--($AF47="Waiting on Dealer")),_xlpm.sb,(--($P47="Submitted"))+(--($T47="Submitted"))+(--($X47="Submitted"))+(--($AB47="Submitted"))+(--($AF47="Submitted")),_xlpm.ap,(--($P47="Approved"))+(--($T47="Approved"))+(--($X47="Approved"))+(--($AB47="Approved"))+(--($AF47="Approved")),_xlpm.ac,(--($P47="Active"))+(--($T47="Active"))+(--($X47="Active"))+(--($AB47="Active"))+(--($AF47="Active")),_xlpm.dc,(--($P47="Declined"))+(--($T47="Declined"))+(--($X47="Declined"))+(--($AB47="Declined"))+(--($AF47="Declined")),_xlpm.aRS,(--($P47="Active"))*(--($R47="Yes"))+(--($T47="Active"))*(--($V47="Yes"))+(--($X47="Active"))*(--($Z47="Yes"))+(--($AB47="Active"))*(--($AD47="Yes"))+(--($AF47="Active"))*(--($AH47="Yes")),_xlpm.aDn,(--($P47="Active"))*(--($R47="Yes"))*(--((($S47="Yes")+($S47=TRUE))&gt;0))+(--($T47="Active"))*(--($V47="Yes"))*(--((($W47="Yes")+($W47=TRUE))&gt;0))+(--($X47="Active"))*(--($Z47="Yes"))*(--((($AA47="Yes")+($AA47=TRUE))&gt;0))+(--($AB47="Active"))*(--($AD47="Yes"))*(--((($AE47="Yes")+($AE47=TRUE))&gt;0))+(--($AF47="Active"))*(--($AH47="Yes"))*(--((($AI47="Yes")+($AI47=TRUE))&gt;0)),_xlpm.inPlay,_xlpm.ns+_xlpm.wd+_xlpm.sb+_xlpm.ap,IF(AND(_xlpm.ac&gt;0,_xlpm.inPlay=0,_xlpm.aDn=_xlpm.ac),"LIVE DLR",IF(AND(_xlpm.aRS&gt;0,_xlpm.aDn&lt;_xlpm.aRS),"Training",IF(_xlpm.aRS&gt;0,"Active",IF(AND(_xlpm.dc&gt;0,_xlpm.inPlay+_xlpm.ac=0),"Dead",IF(OR($CA47="Yes",$CA47=TRUE),"Rate Sheet",IF(AND($AJ47&lt;&gt;"",$AK47=FALSE),"Waiting on Dealer",IF(_xlpm.sb&gt;0,"Waiting on Lender",IF(AND(_xlpm.ap+_xlpm.ac&gt;0,_xlpm.ns+_xlpm.wd=0),"Rate Sheet","Application Submitted"))))))))))</f>
        <v>Waiting on Lender</v>
      </c>
      <c r="M47" s="151">
        <v>46281</v>
      </c>
      <c r="N47" s="101">
        <v>46282</v>
      </c>
      <c r="O47" s="196" t="s">
        <v>538</v>
      </c>
      <c r="P47" s="85" t="s">
        <v>457</v>
      </c>
      <c r="Q47" s="101">
        <f ca="1">IF(OR(Q47="",Q47=0),IF($P47="Submitted",TODAY(),""),Q47)</f>
        <v>46287</v>
      </c>
      <c r="R47" s="85" t="s">
        <v>272</v>
      </c>
      <c r="S47" s="85" t="s">
        <v>272</v>
      </c>
      <c r="T47" s="85" t="s">
        <v>437</v>
      </c>
      <c r="U47" s="101" t="str">
        <f ca="1">IF(OR(U47="",U47=0),IF($T47="Submitted",TODAY(),""),U47)</f>
        <v/>
      </c>
      <c r="V47" s="85" t="s">
        <v>272</v>
      </c>
      <c r="W47" s="85" t="s">
        <v>272</v>
      </c>
      <c r="X47" s="85" t="s">
        <v>457</v>
      </c>
      <c r="Y47" s="101">
        <f ca="1">IF(OR(Y47="",Y47=0),IF($X47="Submitted",TODAY(),""),Y47)</f>
        <v>46287</v>
      </c>
      <c r="Z47" s="85" t="s">
        <v>272</v>
      </c>
      <c r="AA47" s="85" t="s">
        <v>272</v>
      </c>
      <c r="AB47" s="85" t="s">
        <v>437</v>
      </c>
      <c r="AC47" s="101" t="str">
        <f ca="1">IF(OR(AC47="",AC47=0),IF($AB47="Submitted",TODAY(),""),AC47)</f>
        <v/>
      </c>
      <c r="AD47" s="85" t="s">
        <v>272</v>
      </c>
      <c r="AE47" s="85" t="s">
        <v>272</v>
      </c>
      <c r="AF47" s="85" t="s">
        <v>437</v>
      </c>
      <c r="AG47" s="101" t="str">
        <f ca="1">IF(OR(AG47="",AG47=0),IF($AF47="Submitted",TODAY(),""),AG47)</f>
        <v/>
      </c>
      <c r="AH47" s="85" t="s">
        <v>272</v>
      </c>
      <c r="AI47" s="85" t="s">
        <v>272</v>
      </c>
      <c r="AJ47" s="196" t="s">
        <v>764</v>
      </c>
      <c r="AK47" s="102" t="b">
        <v>1</v>
      </c>
      <c r="AL47" s="85" cm="1">
        <f t="array" ref="AL47">IF($A47="","",SUMPRODUCT((CHOOSE({1,2,3,4,5},$R47,$V47,$Z47,$AD47,$AH47)="Yes")*(((CHOOSE({1,2,3,4,5},$S47,$W47,$AA47,$AE47,$AI47)="Yes")+(CHOOSE({1,2,3,4,5},$S47,$W47,$AA47,$AE47,$AI47)=TRUE))&gt;0)))</f>
        <v>0</v>
      </c>
      <c r="AM47" s="101">
        <v>46287</v>
      </c>
      <c r="AN47" s="85">
        <f ca="1">IF(OR($A47="",$AM47=""),"",TODAY()-$AM47)</f>
        <v>1</v>
      </c>
      <c r="AO47" s="87"/>
      <c r="AP47" s="106"/>
      <c r="AQ47" s="106"/>
      <c r="AR47" s="106"/>
      <c r="AS47" s="106"/>
      <c r="AT47" s="106"/>
      <c r="AU47" s="106"/>
      <c r="AV47" s="106"/>
      <c r="AW47" s="106"/>
      <c r="AX47" s="106"/>
      <c r="AY47" s="106"/>
      <c r="BD47" s="174"/>
      <c r="BE47" s="174"/>
      <c r="BF47" s="174"/>
      <c r="BG47" s="174"/>
      <c r="BH47" s="174"/>
      <c r="BI47" s="174"/>
      <c r="BJ47" s="174"/>
      <c r="BK47" s="174"/>
      <c r="BL47" s="174"/>
      <c r="BM47" s="174"/>
      <c r="BN47" s="174"/>
      <c r="BO47" s="174"/>
      <c r="BP47" s="174"/>
      <c r="BQ47" s="174"/>
      <c r="BR47" s="174"/>
      <c r="BS47" s="174"/>
      <c r="BT47" s="174"/>
      <c r="BU47" s="174"/>
      <c r="BV47" s="174"/>
      <c r="BW47" s="174"/>
      <c r="BX47" s="174"/>
      <c r="BY47" s="174"/>
      <c r="BZ47" s="127" t="inlineStr">
        <is>
          <t>Unassigned</t>
        </is>
      </c>
      <c r="CA47" s="127" t="inlineStr">
        <is>
          <t>No</t>
        </is>
      </c>
      <c r="CB47" s="131">
        <f>IF($A47="","",_xlfn.LET(_xlpm.sfp,AND($P47&lt;&gt;"",$P47&lt;&gt;"N/A",$P47&lt;&gt;"No Min RQ"),_xlpm.slp,AND($T47&lt;&gt;"",$T47&lt;&gt;"N/A",$T47&lt;&gt;"No Min RQ"),_xlpm.ffp,AND($X47&lt;&gt;"",$X47&lt;&gt;"N/A",$X47&lt;&gt;"No Min RQ"),_xlpm.chp,AND($AB47&lt;&gt;"",$AB47&lt;&gt;"N/A",$AB47&lt;&gt;"No Min RQ"),_xlpm.usp,AND($AF47&lt;&gt;"",$AF47&lt;&gt;"N/A",$AF47&lt;&gt;"No Min RQ"),_xlpm.n,_xlpm.sfp+_xlpm.slp+_xlpm.ffp+_xlpm.chp+_xlpm.usp,_xlpm.sub,(_xlpm.sfp*($P47="Submitted"))+(_xlpm.slp*($T47="Submitted"))+(_xlpm.ffp*($X47="Submitted"))+(_xlpm.chp*($AB47="Submitted"))+(_xlpm.usp*($AF47="Submitted")),_xlpm.term,(_xlpm.sfp*OR($P47="Approved",$P47="Declined"))+(_xlpm.slp*OR($T47="Approved",$T47="Declined"))+(_xlpm.ffp*OR($X47="Approved",$X47="Declined"))+(_xlpm.chp*OR($AB47="Approved",$AB47="Declined"))+(_xlpm.usp*OR($AF47="Approved",$AF47="Declined")),IF(_xlpm.n=0,"No applicable lenders",IF(_xlpm.sub&gt;0,"Stays with Shaw - lender still Submitted",IF(_xlpm.term=_xlpm.n,"Clear - all applicable lenders Approved or Declined","Stays with Shaw - not all lenders Approved or Declined")))))</f>
      </c>
    </row>
    <row r="48" spans="1:81" s="20" customFormat="1" ht="19.5">
      <c r="A48" s="225" t="s">
        <v>765</v>
      </c>
      <c r="B48" s="99" t="s">
        <v>766</v>
      </c>
      <c r="C48" s="99"/>
      <c r="D48" s="197" t="s">
        <v>767</v>
      </c>
      <c r="E48" s="88" t="s">
        <v>768</v>
      </c>
      <c r="F48" s="194" t="s">
        <v>769</v>
      </c>
      <c r="G48" s="100" t="s">
        <v>465</v>
      </c>
      <c r="H48" s="194" t="s">
        <v>466</v>
      </c>
      <c r="I48" s="99" t="s">
        <v>770</v>
      </c>
      <c r="J48" s="107"/>
      <c r="K48" s="85">
        <v>2</v>
      </c>
      <c r="L48" s="85" t="str">
        <f>IF($A48="","",_xlfn.LET(_xlpm.ns,(--($P48="Ready 2 Submit"))+(--($T48="Ready 2 Submit"))+(--($X48="Ready 2 Submit"))+(--($AB48="Ready 2 Submit"))+(--($AF48="Ready 2 Submit")),_xlpm.wd,(--($P48="Waiting on Dealer"))+(--($T48="Waiting on Dealer"))+(--($X48="Waiting on Dealer"))+(--($AB48="Waiting on Dealer"))+(--($AF48="Waiting on Dealer")),_xlpm.sb,(--($P48="Submitted"))+(--($T48="Submitted"))+(--($X48="Submitted"))+(--($AB48="Submitted"))+(--($AF48="Submitted")),_xlpm.ap,(--($P48="Approved"))+(--($T48="Approved"))+(--($X48="Approved"))+(--($AB48="Approved"))+(--($AF48="Approved")),_xlpm.ac,(--($P48="Active"))+(--($T48="Active"))+(--($X48="Active"))+(--($AB48="Active"))+(--($AF48="Active")),_xlpm.dc,(--($P48="Declined"))+(--($T48="Declined"))+(--($X48="Declined"))+(--($AB48="Declined"))+(--($AF48="Declined")),_xlpm.aRS,(--($P48="Active"))*(--($R48="Yes"))+(--($T48="Active"))*(--($V48="Yes"))+(--($X48="Active"))*(--($Z48="Yes"))+(--($AB48="Active"))*(--($AD48="Yes"))+(--($AF48="Active"))*(--($AH48="Yes")),_xlpm.aDn,(--($P48="Active"))*(--($R48="Yes"))*(--((($S48="Yes")+($S48=TRUE))&gt;0))+(--($T48="Active"))*(--($V48="Yes"))*(--((($W48="Yes")+($W48=TRUE))&gt;0))+(--($X48="Active"))*(--($Z48="Yes"))*(--((($AA48="Yes")+($AA48=TRUE))&gt;0))+(--($AB48="Active"))*(--($AD48="Yes"))*(--((($AE48="Yes")+($AE48=TRUE))&gt;0))+(--($AF48="Active"))*(--($AH48="Yes"))*(--((($AI48="Yes")+($AI48=TRUE))&gt;0)),_xlpm.inPlay,_xlpm.ns+_xlpm.wd+_xlpm.sb+_xlpm.ap,IF(AND(_xlpm.ac&gt;0,_xlpm.inPlay=0,_xlpm.aDn=_xlpm.ac),"LIVE DLR",IF(AND(_xlpm.aRS&gt;0,_xlpm.aDn&lt;_xlpm.aRS),"Training",IF(_xlpm.aRS&gt;0,"Active",IF(AND(_xlpm.dc&gt;0,_xlpm.inPlay+_xlpm.ac=0),"Dead",IF(OR($CA48="Yes",$CA48=TRUE),"Rate Sheet",IF(AND($AJ48&lt;&gt;"",$AK48=FALSE),"Waiting on Dealer",IF(_xlpm.sb&gt;0,"Waiting on Lender",IF(AND(_xlpm.ap+_xlpm.ac&gt;0,_xlpm.ns+_xlpm.wd=0),"Rate Sheet","Application Submitted"))))))))))</f>
        <v>Waiting on Lender</v>
      </c>
      <c r="M48" s="151">
        <v>46281</v>
      </c>
      <c r="N48" s="101">
        <v>46282</v>
      </c>
      <c r="O48" s="196" t="s">
        <v>771</v>
      </c>
      <c r="P48" s="85" t="s">
        <v>437</v>
      </c>
      <c r="Q48" s="101" t="str">
        <f ca="1">IF(OR(Q48="",Q48=0),IF($P48="Submitted",TODAY(),""),Q48)</f>
        <v/>
      </c>
      <c r="R48" s="85" t="s">
        <v>272</v>
      </c>
      <c r="S48" s="85" t="s">
        <v>272</v>
      </c>
      <c r="T48" s="85" t="s">
        <v>457</v>
      </c>
      <c r="U48" s="101">
        <v>46283</v>
      </c>
      <c r="V48" s="85" t="s">
        <v>272</v>
      </c>
      <c r="W48" s="85" t="s">
        <v>272</v>
      </c>
      <c r="X48" s="85" t="s">
        <v>457</v>
      </c>
      <c r="Y48" s="101">
        <v>46283</v>
      </c>
      <c r="Z48" s="85" t="s">
        <v>272</v>
      </c>
      <c r="AA48" s="85" t="s">
        <v>272</v>
      </c>
      <c r="AB48" s="85" t="s">
        <v>437</v>
      </c>
      <c r="AC48" s="101" t="str">
        <f ca="1">IF(OR(AC48="",AC48=0),IF($AB48="Submitted",TODAY(),""),AC48)</f>
        <v/>
      </c>
      <c r="AD48" s="85" t="s">
        <v>272</v>
      </c>
      <c r="AE48" s="85" t="s">
        <v>272</v>
      </c>
      <c r="AF48" s="85" t="s">
        <v>437</v>
      </c>
      <c r="AG48" s="101" t="str">
        <f ca="1">IF(OR(AG48="",AG48=0),IF($AF48="Submitted",TODAY(),""),AG48)</f>
        <v/>
      </c>
      <c r="AH48" s="85" t="s">
        <v>272</v>
      </c>
      <c r="AI48" s="85" t="s">
        <v>272</v>
      </c>
      <c r="AJ48" s="196" t="s">
        <v>772</v>
      </c>
      <c r="AK48" s="102" t="b">
        <v>1</v>
      </c>
      <c r="AL48" s="85" cm="1">
        <f t="array" ref="AL48">IF($A48="","",SUMPRODUCT((CHOOSE({1,2,3,4,5},$R48,$V48,$Z48,$AD48,$AH48)="Yes")*(((CHOOSE({1,2,3,4,5},$S48,$W48,$AA48,$AE48,$AI48)="Yes")+(CHOOSE({1,2,3,4,5},$S48,$W48,$AA48,$AE48,$AI48)=TRUE))&gt;0)))</f>
        <v>0</v>
      </c>
      <c r="AM48" s="101">
        <v>46282</v>
      </c>
      <c r="AN48" s="85">
        <f ca="1">IF(OR($A48="",$AM48=""),"",TODAY()-$AM48)</f>
        <v>6</v>
      </c>
      <c r="AO48" s="87"/>
      <c r="AP48" s="106"/>
      <c r="AQ48" s="106"/>
      <c r="AR48" s="106"/>
      <c r="AS48" s="106"/>
      <c r="AT48" s="106"/>
      <c r="AU48" s="106"/>
      <c r="AV48" s="106"/>
      <c r="AW48" s="106"/>
      <c r="AX48" s="106"/>
      <c r="AY48" s="106"/>
      <c r="BD48" s="174"/>
      <c r="BE48" s="174"/>
      <c r="BF48" s="174"/>
      <c r="BG48" s="174"/>
      <c r="BH48" s="174"/>
      <c r="BI48" s="174"/>
      <c r="BJ48" s="174"/>
      <c r="BK48" s="174"/>
      <c r="BL48" s="174"/>
      <c r="BM48" s="174"/>
      <c r="BN48" s="174"/>
      <c r="BO48" s="174"/>
      <c r="BP48" s="174"/>
      <c r="BQ48" s="174"/>
      <c r="BR48" s="174"/>
      <c r="BS48" s="174"/>
      <c r="BT48" s="174"/>
      <c r="BU48" s="174"/>
      <c r="BV48" s="174"/>
      <c r="BW48" s="174"/>
      <c r="BX48" s="174"/>
      <c r="BY48" s="174"/>
      <c r="BZ48" s="127" t="inlineStr">
        <is>
          <t>Unassigned</t>
        </is>
      </c>
      <c r="CA48" s="127" t="inlineStr">
        <is>
          <t>No</t>
        </is>
      </c>
      <c r="CB48" s="131">
        <f>IF($A48="","",_xlfn.LET(_xlpm.sfp,AND($P48&lt;&gt;"",$P48&lt;&gt;"N/A",$P48&lt;&gt;"No Min RQ"),_xlpm.slp,AND($T48&lt;&gt;"",$T48&lt;&gt;"N/A",$T48&lt;&gt;"No Min RQ"),_xlpm.ffp,AND($X48&lt;&gt;"",$X48&lt;&gt;"N/A",$X48&lt;&gt;"No Min RQ"),_xlpm.chp,AND($AB48&lt;&gt;"",$AB48&lt;&gt;"N/A",$AB48&lt;&gt;"No Min RQ"),_xlpm.usp,AND($AF48&lt;&gt;"",$AF48&lt;&gt;"N/A",$AF48&lt;&gt;"No Min RQ"),_xlpm.n,_xlpm.sfp+_xlpm.slp+_xlpm.ffp+_xlpm.chp+_xlpm.usp,_xlpm.sub,(_xlpm.sfp*($P48="Submitted"))+(_xlpm.slp*($T48="Submitted"))+(_xlpm.ffp*($X48="Submitted"))+(_xlpm.chp*($AB48="Submitted"))+(_xlpm.usp*($AF48="Submitted")),_xlpm.term,(_xlpm.sfp*OR($P48="Approved",$P48="Declined"))+(_xlpm.slp*OR($T48="Approved",$T48="Declined"))+(_xlpm.ffp*OR($X48="Approved",$X48="Declined"))+(_xlpm.chp*OR($AB48="Approved",$AB48="Declined"))+(_xlpm.usp*OR($AF48="Approved",$AF48="Declined")),IF(_xlpm.n=0,"No applicable lenders",IF(_xlpm.sub&gt;0,"Stays with Shaw - lender still Submitted",IF(_xlpm.term=_xlpm.n,"Clear - all applicable lenders Approved or Declined","Stays with Shaw - not all lenders Approved or Declined")))))</f>
      </c>
    </row>
    <row r="49" spans="1:81" s="20" customFormat="1" ht="57">
      <c r="A49" s="225" t="s">
        <v>773</v>
      </c>
      <c r="B49" s="99" t="s">
        <v>773</v>
      </c>
      <c r="C49" s="99"/>
      <c r="D49" s="197" t="s">
        <v>774</v>
      </c>
      <c r="E49" s="88" t="s">
        <v>775</v>
      </c>
      <c r="F49" s="194" t="s">
        <v>776</v>
      </c>
      <c r="G49" s="100" t="s">
        <v>611</v>
      </c>
      <c r="H49" s="194" t="s">
        <v>612</v>
      </c>
      <c r="I49" s="99" t="s">
        <v>777</v>
      </c>
      <c r="J49" s="107"/>
      <c r="K49" s="85">
        <v>3</v>
      </c>
      <c r="L49" s="85" t="str">
        <f>IF($A49="","",_xlfn.LET(_xlpm.ns,(--($P49="Ready 2 Submit"))+(--($T49="Ready 2 Submit"))+(--($X49="Ready 2 Submit"))+(--($AB49="Ready 2 Submit"))+(--($AF49="Ready 2 Submit")),_xlpm.wd,(--($P49="Waiting on Dealer"))+(--($T49="Waiting on Dealer"))+(--($X49="Waiting on Dealer"))+(--($AB49="Waiting on Dealer"))+(--($AF49="Waiting on Dealer")),_xlpm.sb,(--($P49="Submitted"))+(--($T49="Submitted"))+(--($X49="Submitted"))+(--($AB49="Submitted"))+(--($AF49="Submitted")),_xlpm.ap,(--($P49="Approved"))+(--($T49="Approved"))+(--($X49="Approved"))+(--($AB49="Approved"))+(--($AF49="Approved")),_xlpm.ac,(--($P49="Active"))+(--($T49="Active"))+(--($X49="Active"))+(--($AB49="Active"))+(--($AF49="Active")),_xlpm.dc,(--($P49="Declined"))+(--($T49="Declined"))+(--($X49="Declined"))+(--($AB49="Declined"))+(--($AF49="Declined")),_xlpm.aRS,(--($P49="Active"))*(--($R49="Yes"))+(--($T49="Active"))*(--($V49="Yes"))+(--($X49="Active"))*(--($Z49="Yes"))+(--($AB49="Active"))*(--($AD49="Yes"))+(--($AF49="Active"))*(--($AH49="Yes")),_xlpm.aDn,(--($P49="Active"))*(--($R49="Yes"))*(--((($S49="Yes")+($S49=TRUE))&gt;0))+(--($T49="Active"))*(--($V49="Yes"))*(--((($W49="Yes")+($W49=TRUE))&gt;0))+(--($X49="Active"))*(--($Z49="Yes"))*(--((($AA49="Yes")+($AA49=TRUE))&gt;0))+(--($AB49="Active"))*(--($AD49="Yes"))*(--((($AE49="Yes")+($AE49=TRUE))&gt;0))+(--($AF49="Active"))*(--($AH49="Yes"))*(--((($AI49="Yes")+($AI49=TRUE))&gt;0)),_xlpm.inPlay,_xlpm.ns+_xlpm.wd+_xlpm.sb+_xlpm.ap,IF(AND(_xlpm.ac&gt;0,_xlpm.inPlay=0,_xlpm.aDn=_xlpm.ac),"LIVE DLR",IF(AND(_xlpm.aRS&gt;0,_xlpm.aDn&lt;_xlpm.aRS),"Training",IF(_xlpm.aRS&gt;0,"Active",IF(AND(_xlpm.dc&gt;0,_xlpm.inPlay+_xlpm.ac=0),"Dead",IF(OR($CA49="Yes",$CA49=TRUE),"Rate Sheet",IF(AND($AJ49&lt;&gt;"",$AK49=FALSE),"Waiting on Dealer",IF(_xlpm.sb&gt;0,"Waiting on Lender",IF(AND(_xlpm.ap+_xlpm.ac&gt;0,_xlpm.ns+_xlpm.wd=0),"Rate Sheet","Application Submitted"))))))))))</f>
        <v>Waiting on Dealer</v>
      </c>
      <c r="M49" s="151">
        <v>46282</v>
      </c>
      <c r="N49" s="101"/>
      <c r="O49" s="196" t="s">
        <v>538</v>
      </c>
      <c r="P49" s="85" t="str">
        <f>IF($A49="","",IF($AK49=TRUE,"Ready 2 Submit","Waiting on Dealer"))</f>
        <v>Waiting on Dealer</v>
      </c>
      <c r="Q49" s="101" t="str">
        <f ca="1">IF(OR(Q49="",Q49=0),IF($P49="Submitted",TODAY(),""),Q49)</f>
        <v/>
      </c>
      <c r="R49" s="85" t="s">
        <v>272</v>
      </c>
      <c r="S49" s="85" t="s">
        <v>272</v>
      </c>
      <c r="T49" s="85" t="s">
        <v>437</v>
      </c>
      <c r="U49" s="101" t="str">
        <f ca="1">IF(OR(U49="",U49=0),IF($T49="Submitted",TODAY(),""),U49)</f>
        <v/>
      </c>
      <c r="V49" s="85" t="s">
        <v>272</v>
      </c>
      <c r="W49" s="85" t="s">
        <v>272</v>
      </c>
      <c r="X49" s="85" t="str">
        <f>IF($A49="","",IF($AK49=TRUE,"Ready 2 Submit","Waiting on Dealer"))</f>
        <v>Waiting on Dealer</v>
      </c>
      <c r="Y49" s="101" t="str">
        <f ca="1">IF(OR(Y49="",Y49=0),IF($X49="Submitted",TODAY(),""),Y49)</f>
        <v/>
      </c>
      <c r="Z49" s="85" t="s">
        <v>272</v>
      </c>
      <c r="AA49" s="85" t="s">
        <v>272</v>
      </c>
      <c r="AB49" s="85" t="s">
        <v>437</v>
      </c>
      <c r="AC49" s="101" t="str">
        <f ca="1">IF(OR(AC49="",AC49=0),IF($AB49="Submitted",TODAY(),""),AC49)</f>
        <v/>
      </c>
      <c r="AD49" s="85" t="s">
        <v>272</v>
      </c>
      <c r="AE49" s="85" t="s">
        <v>272</v>
      </c>
      <c r="AF49" s="85" t="s">
        <v>437</v>
      </c>
      <c r="AG49" s="101" t="str">
        <f ca="1">IF(OR(AG49="",AG49=0),IF($AF49="Submitted",TODAY(),""),AG49)</f>
        <v/>
      </c>
      <c r="AH49" s="85" t="s">
        <v>272</v>
      </c>
      <c r="AI49" s="85" t="s">
        <v>272</v>
      </c>
      <c r="AJ49" s="196" t="s">
        <v>778</v>
      </c>
      <c r="AK49" s="229" t="b">
        <v>0</v>
      </c>
      <c r="AL49" s="85" cm="1">
        <f t="array" ref="AL49">IF($A49="","",SUMPRODUCT((CHOOSE({1,2,3,4,5},$R49,$V49,$Z49,$AD49,$AH49)="Yes")*(((CHOOSE({1,2,3,4,5},$S49,$W49,$AA49,$AE49,$AI49)="Yes")+(CHOOSE({1,2,3,4,5},$S49,$W49,$AA49,$AE49,$AI49)=TRUE))&gt;0)))</f>
        <v>0</v>
      </c>
      <c r="AM49" s="101">
        <v>46287</v>
      </c>
      <c r="AN49" s="85">
        <f ca="1">IF(OR($A49="",$AM49=""),"",TODAY()-$AM49)</f>
        <v>1</v>
      </c>
      <c r="AO49" s="87"/>
      <c r="AP49" s="106"/>
      <c r="AQ49" s="106"/>
      <c r="AR49" s="106"/>
      <c r="AS49" s="106"/>
      <c r="AT49" s="106"/>
      <c r="AU49" s="106"/>
      <c r="AV49" s="106"/>
      <c r="AW49" s="106"/>
      <c r="AX49" s="106"/>
      <c r="AY49" s="106"/>
      <c r="BD49" s="174"/>
      <c r="BE49" s="174"/>
      <c r="BF49" s="174"/>
      <c r="BG49" s="174"/>
      <c r="BH49" s="174"/>
      <c r="BI49" s="174"/>
      <c r="BJ49" s="174"/>
      <c r="BK49" s="174"/>
      <c r="BL49" s="174"/>
      <c r="BM49" s="174"/>
      <c r="BN49" s="174"/>
      <c r="BO49" s="174"/>
      <c r="BP49" s="174"/>
      <c r="BQ49" s="174"/>
      <c r="BR49" s="174"/>
      <c r="BS49" s="174"/>
      <c r="BT49" s="174"/>
      <c r="BU49" s="174"/>
      <c r="BV49" s="174"/>
      <c r="BW49" s="174"/>
      <c r="BX49" s="174"/>
      <c r="BY49" s="174"/>
      <c r="BZ49" s="127" t="inlineStr">
        <is>
          <t>Unassigned</t>
        </is>
      </c>
      <c r="CA49" s="127" t="inlineStr">
        <is>
          <t>No</t>
        </is>
      </c>
      <c r="CB49" s="131">
        <f>IF($A49="","",_xlfn.LET(_xlpm.sfp,AND($P49&lt;&gt;"",$P49&lt;&gt;"N/A",$P49&lt;&gt;"No Min RQ"),_xlpm.slp,AND($T49&lt;&gt;"",$T49&lt;&gt;"N/A",$T49&lt;&gt;"No Min RQ"),_xlpm.ffp,AND($X49&lt;&gt;"",$X49&lt;&gt;"N/A",$X49&lt;&gt;"No Min RQ"),_xlpm.chp,AND($AB49&lt;&gt;"",$AB49&lt;&gt;"N/A",$AB49&lt;&gt;"No Min RQ"),_xlpm.usp,AND($AF49&lt;&gt;"",$AF49&lt;&gt;"N/A",$AF49&lt;&gt;"No Min RQ"),_xlpm.n,_xlpm.sfp+_xlpm.slp+_xlpm.ffp+_xlpm.chp+_xlpm.usp,_xlpm.sub,(_xlpm.sfp*($P49="Submitted"))+(_xlpm.slp*($T49="Submitted"))+(_xlpm.ffp*($X49="Submitted"))+(_xlpm.chp*($AB49="Submitted"))+(_xlpm.usp*($AF49="Submitted")),_xlpm.term,(_xlpm.sfp*OR($P49="Approved",$P49="Declined"))+(_xlpm.slp*OR($T49="Approved",$T49="Declined"))+(_xlpm.ffp*OR($X49="Approved",$X49="Declined"))+(_xlpm.chp*OR($AB49="Approved",$AB49="Declined"))+(_xlpm.usp*OR($AF49="Approved",$AF49="Declined")),IF(_xlpm.n=0,"No applicable lenders",IF(_xlpm.sub&gt;0,"Stays with Shaw - lender still Submitted",IF(_xlpm.term=_xlpm.n,"Clear - all applicable lenders Approved or Declined","Stays with Shaw - not all lenders Approved or Declined")))))</f>
      </c>
    </row>
    <row r="50" spans="1:81" s="20" customFormat="1" ht="38.25">
      <c r="A50" s="225" t="s">
        <v>779</v>
      </c>
      <c r="B50" s="99" t="s">
        <v>779</v>
      </c>
      <c r="C50" s="99"/>
      <c r="D50" s="197" t="s">
        <v>780</v>
      </c>
      <c r="E50" s="88" t="s">
        <v>781</v>
      </c>
      <c r="F50" s="194" t="s">
        <v>782</v>
      </c>
      <c r="G50" s="100" t="s">
        <v>213</v>
      </c>
      <c r="H50" s="194" t="s">
        <v>214</v>
      </c>
      <c r="I50" s="99" t="s">
        <v>783</v>
      </c>
      <c r="J50" s="107" t="s">
        <v>784</v>
      </c>
      <c r="K50" s="85">
        <v>3</v>
      </c>
      <c r="L50" s="85" t="str">
        <f>IF($A50="","",_xlfn.LET(_xlpm.ns,(--($P50="Ready 2 Submit"))+(--($T50="Ready 2 Submit"))+(--($X50="Ready 2 Submit"))+(--($AB50="Ready 2 Submit"))+(--($AF50="Ready 2 Submit")),_xlpm.wd,(--($P50="Waiting on Dealer"))+(--($T50="Waiting on Dealer"))+(--($X50="Waiting on Dealer"))+(--($AB50="Waiting on Dealer"))+(--($AF50="Waiting on Dealer")),_xlpm.sb,(--($P50="Submitted"))+(--($T50="Submitted"))+(--($X50="Submitted"))+(--($AB50="Submitted"))+(--($AF50="Submitted")),_xlpm.ap,(--($P50="Approved"))+(--($T50="Approved"))+(--($X50="Approved"))+(--($AB50="Approved"))+(--($AF50="Approved")),_xlpm.ac,(--($P50="Active"))+(--($T50="Active"))+(--($X50="Active"))+(--($AB50="Active"))+(--($AF50="Active")),_xlpm.dc,(--($P50="Declined"))+(--($T50="Declined"))+(--($X50="Declined"))+(--($AB50="Declined"))+(--($AF50="Declined")),_xlpm.aRS,(--($P50="Active"))*(--($R50="Yes"))+(--($T50="Active"))*(--($V50="Yes"))+(--($X50="Active"))*(--($Z50="Yes"))+(--($AB50="Active"))*(--($AD50="Yes"))+(--($AF50="Active"))*(--($AH50="Yes")),_xlpm.aDn,(--($P50="Active"))*(--($R50="Yes"))*(--((($S50="Yes")+($S50=TRUE))&gt;0))+(--($T50="Active"))*(--($V50="Yes"))*(--((($W50="Yes")+($W50=TRUE))&gt;0))+(--($X50="Active"))*(--($Z50="Yes"))*(--((($AA50="Yes")+($AA50=TRUE))&gt;0))+(--($AB50="Active"))*(--($AD50="Yes"))*(--((($AE50="Yes")+($AE50=TRUE))&gt;0))+(--($AF50="Active"))*(--($AH50="Yes"))*(--((($AI50="Yes")+($AI50=TRUE))&gt;0)),_xlpm.inPlay,_xlpm.ns+_xlpm.wd+_xlpm.sb+_xlpm.ap,IF(AND(_xlpm.ac&gt;0,_xlpm.inPlay=0,_xlpm.aDn=_xlpm.ac),"LIVE DLR",IF(AND(_xlpm.aRS&gt;0,_xlpm.aDn&lt;_xlpm.aRS),"Training",IF(_xlpm.aRS&gt;0,"Active",IF(AND(_xlpm.dc&gt;0,_xlpm.inPlay+_xlpm.ac=0),"Dead",IF(OR($CA50="Yes",$CA50=TRUE),"Rate Sheet",IF(AND($AJ50&lt;&gt;"",$AK50=FALSE),"Waiting on Dealer",IF(_xlpm.sb&gt;0,"Waiting on Lender",IF(AND(_xlpm.ap+_xlpm.ac&gt;0,_xlpm.ns+_xlpm.wd=0),"Rate Sheet","Application Submitted"))))))))))</f>
        <v>Waiting on Dealer</v>
      </c>
      <c r="M50" s="151">
        <v>46285</v>
      </c>
      <c r="N50" s="101">
        <v>46287</v>
      </c>
      <c r="O50" s="196" t="s">
        <v>563</v>
      </c>
      <c r="P50" s="85" t="str">
        <f>IF($A50="","",IF($AK50=TRUE,"Ready 2 Submit","Waiting on Dealer"))</f>
        <v>Waiting on Dealer</v>
      </c>
      <c r="Q50" s="101" t="str">
        <f ca="1">IF(OR(Q50="",Q50=0),IF($P50="Submitted",TODAY(),""),Q50)</f>
        <v/>
      </c>
      <c r="R50" s="85" t="s">
        <v>272</v>
      </c>
      <c r="S50" s="85" t="s">
        <v>272</v>
      </c>
      <c r="T50" s="85" t="s">
        <v>785</v>
      </c>
      <c r="U50" s="101" t="str">
        <f ca="1">IF(OR(U50="",U50=0),IF($T50="Submitted",TODAY(),""),U50)</f>
        <v/>
      </c>
      <c r="V50" s="85" t="s">
        <v>272</v>
      </c>
      <c r="W50" s="85" t="s">
        <v>272</v>
      </c>
      <c r="X50" s="85" t="str">
        <f>IF($A50="","",IF($AK50=TRUE,"Ready 2 Submit","Waiting on Dealer"))</f>
        <v>Waiting on Dealer</v>
      </c>
      <c r="Y50" s="101" t="str">
        <f ca="1">IF(OR(Y50="",Y50=0),IF($X50="Submitted",TODAY(),""),Y50)</f>
        <v/>
      </c>
      <c r="Z50" s="85" t="s">
        <v>272</v>
      </c>
      <c r="AA50" s="85" t="s">
        <v>272</v>
      </c>
      <c r="AB50" s="85" t="s">
        <v>437</v>
      </c>
      <c r="AC50" s="101" t="str">
        <f ca="1">IF(OR(AC50="",AC50=0),IF($AB50="Submitted",TODAY(),""),AC50)</f>
        <v/>
      </c>
      <c r="AD50" s="85" t="s">
        <v>272</v>
      </c>
      <c r="AE50" s="85" t="s">
        <v>272</v>
      </c>
      <c r="AF50" s="85" t="s">
        <v>437</v>
      </c>
      <c r="AG50" s="101" t="str">
        <f ca="1">IF(OR(AG50="",AG50=0),IF($AF50="Submitted",TODAY(),""),AG50)</f>
        <v/>
      </c>
      <c r="AH50" s="85" t="s">
        <v>272</v>
      </c>
      <c r="AI50" s="85" t="s">
        <v>272</v>
      </c>
      <c r="AJ50" s="196" t="s">
        <v>786</v>
      </c>
      <c r="AK50" s="229" t="b">
        <v>0</v>
      </c>
      <c r="AL50" s="85" cm="1">
        <f t="array" ref="AL50">IF($A50="","",SUMPRODUCT((CHOOSE({1,2,3,4,5},$R50,$V50,$Z50,$AD50,$AH50)="Yes")*(((CHOOSE({1,2,3,4,5},$S50,$W50,$AA50,$AE50,$AI50)="Yes")+(CHOOSE({1,2,3,4,5},$S50,$W50,$AA50,$AE50,$AI50)=TRUE))&gt;0)))</f>
        <v>0</v>
      </c>
      <c r="AM50" s="101">
        <v>46287</v>
      </c>
      <c r="AN50" s="85">
        <f ca="1">IF(OR($A50="",$AM50=""),"",TODAY()-$AM50)</f>
        <v>1</v>
      </c>
      <c r="AO50" s="87"/>
      <c r="AP50" s="106"/>
      <c r="AQ50" s="106"/>
      <c r="AR50" s="106"/>
      <c r="AS50" s="106"/>
      <c r="AT50" s="106"/>
      <c r="AU50" s="106"/>
      <c r="AV50" s="106"/>
      <c r="AW50" s="106"/>
      <c r="AX50" s="106"/>
      <c r="AY50" s="106"/>
      <c r="BD50" s="174"/>
      <c r="BE50" s="174"/>
      <c r="BF50" s="174"/>
      <c r="BG50" s="174"/>
      <c r="BH50" s="174"/>
      <c r="BI50" s="174"/>
      <c r="BJ50" s="174"/>
      <c r="BK50" s="174"/>
      <c r="BL50" s="174"/>
      <c r="BM50" s="174"/>
      <c r="BN50" s="174"/>
      <c r="BO50" s="174"/>
      <c r="BP50" s="174"/>
      <c r="BQ50" s="174"/>
      <c r="BR50" s="174"/>
      <c r="BS50" s="174"/>
      <c r="BT50" s="174"/>
      <c r="BU50" s="174"/>
      <c r="BV50" s="174"/>
      <c r="BW50" s="174"/>
      <c r="BX50" s="174"/>
      <c r="BY50" s="174"/>
      <c r="BZ50" s="127" t="inlineStr">
        <is>
          <t>Unassigned</t>
        </is>
      </c>
      <c r="CA50" s="127" t="inlineStr">
        <is>
          <t>No</t>
        </is>
      </c>
      <c r="CB50" s="131">
        <f>IF($A50="","",_xlfn.LET(_xlpm.sfp,AND($P50&lt;&gt;"",$P50&lt;&gt;"N/A",$P50&lt;&gt;"No Min RQ"),_xlpm.slp,AND($T50&lt;&gt;"",$T50&lt;&gt;"N/A",$T50&lt;&gt;"No Min RQ"),_xlpm.ffp,AND($X50&lt;&gt;"",$X50&lt;&gt;"N/A",$X50&lt;&gt;"No Min RQ"),_xlpm.chp,AND($AB50&lt;&gt;"",$AB50&lt;&gt;"N/A",$AB50&lt;&gt;"No Min RQ"),_xlpm.usp,AND($AF50&lt;&gt;"",$AF50&lt;&gt;"N/A",$AF50&lt;&gt;"No Min RQ"),_xlpm.n,_xlpm.sfp+_xlpm.slp+_xlpm.ffp+_xlpm.chp+_xlpm.usp,_xlpm.sub,(_xlpm.sfp*($P50="Submitted"))+(_xlpm.slp*($T50="Submitted"))+(_xlpm.ffp*($X50="Submitted"))+(_xlpm.chp*($AB50="Submitted"))+(_xlpm.usp*($AF50="Submitted")),_xlpm.term,(_xlpm.sfp*OR($P50="Approved",$P50="Declined"))+(_xlpm.slp*OR($T50="Approved",$T50="Declined"))+(_xlpm.ffp*OR($X50="Approved",$X50="Declined"))+(_xlpm.chp*OR($AB50="Approved",$AB50="Declined"))+(_xlpm.usp*OR($AF50="Approved",$AF50="Declined")),IF(_xlpm.n=0,"No applicable lenders",IF(_xlpm.sub&gt;0,"Stays with Shaw - lender still Submitted",IF(_xlpm.term=_xlpm.n,"Clear - all applicable lenders Approved or Declined","Stays with Shaw - not all lenders Approved or Declined")))))</f>
      </c>
    </row>
    <row r="51" spans="1:81" ht="38.25">
      <c r="A51" s="233" t="s">
        <v>787</v>
      </c>
      <c r="B51" s="234" t="s">
        <v>788</v>
      </c>
      <c r="C51" s="234"/>
      <c r="D51" s="235" t="s">
        <v>789</v>
      </c>
      <c r="E51" s="236" t="s">
        <v>790</v>
      </c>
      <c r="F51" s="245" t="s">
        <v>791</v>
      </c>
      <c r="G51" s="237" t="s">
        <v>560</v>
      </c>
      <c r="H51" s="245" t="s">
        <v>792</v>
      </c>
      <c r="I51" s="234" t="s">
        <v>793</v>
      </c>
      <c r="J51" s="238"/>
      <c r="K51" s="239" t="s">
        <v>794</v>
      </c>
      <c r="L51" s="239" t="str">
        <f>IF($A51="","",_xlfn.LET(_xlpm.ns,(--($P51="Ready 2 Submit"))+(--($T51="Ready 2 Submit"))+(--($X51="Ready 2 Submit"))+(--($AB51="Ready 2 Submit"))+(--($AF51="Ready 2 Submit")),_xlpm.wd,(--($P51="Waiting on Dealer"))+(--($T51="Waiting on Dealer"))+(--($X51="Waiting on Dealer"))+(--($AB51="Waiting on Dealer"))+(--($AF51="Waiting on Dealer")),_xlpm.sb,(--($P51="Submitted"))+(--($T51="Submitted"))+(--($X51="Submitted"))+(--($AB51="Submitted"))+(--($AF51="Submitted")),_xlpm.ap,(--($P51="Approved"))+(--($T51="Approved"))+(--($X51="Approved"))+(--($AB51="Approved"))+(--($AF51="Approved")),_xlpm.ac,(--($P51="Active"))+(--($T51="Active"))+(--($X51="Active"))+(--($AB51="Active"))+(--($AF51="Active")),_xlpm.dc,(--($P51="Declined"))+(--($T51="Declined"))+(--($X51="Declined"))+(--($AB51="Declined"))+(--($AF51="Declined")),_xlpm.aRS,(--($P51="Active"))*(--($R51="Yes"))+(--($T51="Active"))*(--($V51="Yes"))+(--($X51="Active"))*(--($Z51="Yes"))+(--($AB51="Active"))*(--($AD51="Yes"))+(--($AF51="Active"))*(--($AH51="Yes")),_xlpm.aDn,(--($P51="Active"))*(--($R51="Yes"))*(--((($S51="Yes")+($S51=TRUE))&gt;0))+(--($T51="Active"))*(--($V51="Yes"))*(--((($W51="Yes")+($W51=TRUE))&gt;0))+(--($X51="Active"))*(--($Z51="Yes"))*(--((($AA51="Yes")+($AA51=TRUE))&gt;0))+(--($AB51="Active"))*(--($AD51="Yes"))*(--((($AE51="Yes")+($AE51=TRUE))&gt;0))+(--($AF51="Active"))*(--($AH51="Yes"))*(--((($AI51="Yes")+($AI51=TRUE))&gt;0)),_xlpm.inPlay,_xlpm.ns+_xlpm.wd+_xlpm.sb+_xlpm.ap,IF(AND(_xlpm.ac&gt;0,_xlpm.inPlay=0,_xlpm.aDn=_xlpm.ac),"LIVE DLR",IF(AND(_xlpm.aRS&gt;0,_xlpm.aDn&lt;_xlpm.aRS),"Training",IF(_xlpm.aRS&gt;0,"Active",IF(AND(_xlpm.dc&gt;0,_xlpm.inPlay+_xlpm.ac=0),"Dead",IF(OR($CA51="Yes",$CA51=TRUE),"Rate Sheet",IF(AND($AJ51&lt;&gt;"",$AK51=FALSE),"Waiting on Dealer",IF(_xlpm.sb&gt;0,"Waiting on Lender",IF(AND(_xlpm.ap+_xlpm.ac&gt;0,_xlpm.ns+_xlpm.wd=0),"Rate Sheet","Application Submitted"))))))))))</f>
        <v>Waiting on Dealer</v>
      </c>
      <c r="M51" s="240" t="s">
        <v>795</v>
      </c>
      <c r="N51" s="241" t="s">
        <v>796</v>
      </c>
      <c r="O51" s="242" t="s">
        <v>693</v>
      </c>
      <c r="P51" s="239" t="s">
        <v>457</v>
      </c>
      <c r="Q51" s="241" t="s">
        <v>796</v>
      </c>
      <c r="R51" s="239" t="s">
        <v>272</v>
      </c>
      <c r="S51" s="239" t="s">
        <v>272</v>
      </c>
      <c r="T51" s="239" t="s">
        <v>677</v>
      </c>
      <c r="U51" s="241"/>
      <c r="V51" s="239" t="s">
        <v>272</v>
      </c>
      <c r="W51" s="239" t="s">
        <v>272</v>
      </c>
      <c r="X51" s="239" t="s">
        <v>677</v>
      </c>
      <c r="Y51" s="241"/>
      <c r="Z51" s="239" t="s">
        <v>272</v>
      </c>
      <c r="AA51" s="239" t="s">
        <v>272</v>
      </c>
      <c r="AB51" s="239" t="s">
        <v>677</v>
      </c>
      <c r="AC51" s="241"/>
      <c r="AD51" s="239" t="s">
        <v>272</v>
      </c>
      <c r="AE51" s="239" t="s">
        <v>272</v>
      </c>
      <c r="AF51" s="239" t="s">
        <v>437</v>
      </c>
      <c r="AG51" s="241"/>
      <c r="AH51" s="239" t="s">
        <v>272</v>
      </c>
      <c r="AI51" s="239" t="s">
        <v>272</v>
      </c>
      <c r="AJ51" s="242" t="s">
        <v>797</v>
      </c>
      <c r="AK51" s="229"/>
      <c r="AL51" s="239" cm="1">
        <f t="array" ref="AL51">IF($A51="","",SUMPRODUCT((CHOOSE({1,2,3,4,5},$R51,$V51,$Z51,$AD51,$AH51)="Yes")*(((CHOOSE({1,2,3,4,5},$S51,$W51,$AA51,$AE51,$AI51)="Yes")+(CHOOSE({1,2,3,4,5},$S51,$W51,$AA51,$AE51,$AI51)=TRUE))&gt;0)))</f>
        <v>0</v>
      </c>
      <c r="AM51" s="241" t="s">
        <v>796</v>
      </c>
      <c r="AN51" s="239">
        <f ca="1">IF(OR($A51="",$AM51=""),"",TODAY()-$AM51)</f>
        <v>1</v>
      </c>
      <c r="AO51" s="243"/>
      <c r="AP51" s="244"/>
      <c r="AQ51" s="244"/>
      <c r="AR51" s="244"/>
      <c r="AS51" s="244"/>
      <c r="AT51" s="244"/>
      <c r="AU51" s="244"/>
      <c r="AV51" s="244"/>
      <c r="AW51" s="244"/>
      <c r="AX51" s="244"/>
      <c r="AY51" s="244"/>
      <c r="AZ51" s="20"/>
      <c r="BA51" s="20"/>
      <c r="BB51" s="20"/>
      <c r="BC51" s="20"/>
      <c r="BD51" s="174"/>
      <c r="BE51" s="174"/>
      <c r="BF51" s="174"/>
      <c r="BG51" s="174"/>
      <c r="BH51" s="174"/>
      <c r="BI51" s="174"/>
      <c r="BJ51" s="174"/>
      <c r="BK51" s="174"/>
      <c r="BL51" s="174"/>
      <c r="BM51" s="174"/>
      <c r="BN51" s="174"/>
      <c r="BO51" s="174"/>
      <c r="BP51" s="174"/>
      <c r="BQ51" s="174"/>
      <c r="BR51" s="174"/>
      <c r="BS51" s="174"/>
      <c r="BT51" s="174"/>
      <c r="BU51" s="174"/>
      <c r="BV51" s="174" t="s">
        <v>272</v>
      </c>
      <c r="BW51" s="174" t="s">
        <v>272</v>
      </c>
      <c r="BX51" s="174" t="s">
        <v>272</v>
      </c>
      <c r="BY51" s="174"/>
      <c r="BZ51" s="127" t="inlineStr">
        <is>
          <t>Unassigned</t>
        </is>
      </c>
      <c r="CA51" s="127" t="inlineStr">
        <is>
          <t>No</t>
        </is>
      </c>
      <c r="CB51" s="131">
        <f>IF($A51="","",_xlfn.LET(_xlpm.sfp,AND($P51&lt;&gt;"",$P51&lt;&gt;"N/A",$P51&lt;&gt;"No Min RQ"),_xlpm.slp,AND($T51&lt;&gt;"",$T51&lt;&gt;"N/A",$T51&lt;&gt;"No Min RQ"),_xlpm.ffp,AND($X51&lt;&gt;"",$X51&lt;&gt;"N/A",$X51&lt;&gt;"No Min RQ"),_xlpm.chp,AND($AB51&lt;&gt;"",$AB51&lt;&gt;"N/A",$AB51&lt;&gt;"No Min RQ"),_xlpm.usp,AND($AF51&lt;&gt;"",$AF51&lt;&gt;"N/A",$AF51&lt;&gt;"No Min RQ"),_xlpm.n,_xlpm.sfp+_xlpm.slp+_xlpm.ffp+_xlpm.chp+_xlpm.usp,_xlpm.sub,(_xlpm.sfp*($P51="Submitted"))+(_xlpm.slp*($T51="Submitted"))+(_xlpm.ffp*($X51="Submitted"))+(_xlpm.chp*($AB51="Submitted"))+(_xlpm.usp*($AF51="Submitted")),_xlpm.term,(_xlpm.sfp*OR($P51="Approved",$P51="Declined"))+(_xlpm.slp*OR($T51="Approved",$T51="Declined"))+(_xlpm.ffp*OR($X51="Approved",$X51="Declined"))+(_xlpm.chp*OR($AB51="Approved",$AB51="Declined"))+(_xlpm.usp*OR($AF51="Approved",$AF51="Declined")),IF(_xlpm.n=0,"No applicable lenders",IF(_xlpm.sub&gt;0,"Stays with Shaw - lender still Submitted",IF(_xlpm.term=_xlpm.n,"Clear - all applicable lenders Approved or Declined","Stays with Shaw - not all lenders Approved or Declined")))))</f>
      </c>
    </row>
    <row r="52" spans="1:81" ht="38.25">
      <c r="A52" s="259" t="s">
        <v>798</v>
      </c>
      <c r="B52" s="260"/>
      <c r="C52" s="260"/>
      <c r="D52" s="261" t="s">
        <v>799</v>
      </c>
      <c r="E52" s="262" t="s">
        <v>800</v>
      </c>
      <c r="F52" s="194" t="s">
        <v>801</v>
      </c>
      <c r="G52" s="263" t="s">
        <v>560</v>
      </c>
      <c r="H52" s="194" t="s">
        <v>792</v>
      </c>
      <c r="I52" s="260" t="s">
        <v>802</v>
      </c>
      <c r="J52" s="264"/>
      <c r="K52" s="265">
        <v>3</v>
      </c>
      <c r="L52" s="265" t="str">
        <f>IF($A52="","",_xlfn.LET(_xlpm.ns,(--($P52="Ready 2 Submit"))+(--($T52="Ready 2 Submit"))+(--($X52="Ready 2 Submit"))+(--($AB52="Ready 2 Submit"))+(--($AF52="Ready 2 Submit")),_xlpm.wd,(--($P52="Waiting on Dealer"))+(--($T52="Waiting on Dealer"))+(--($X52="Waiting on Dealer"))+(--($AB52="Waiting on Dealer"))+(--($AF52="Waiting on Dealer")),_xlpm.sb,(--($P52="Submitted"))+(--($T52="Submitted"))+(--($X52="Submitted"))+(--($AB52="Submitted"))+(--($AF52="Submitted")),_xlpm.ap,(--($P52="Approved"))+(--($T52="Approved"))+(--($X52="Approved"))+(--($AB52="Approved"))+(--($AF52="Approved")),_xlpm.ac,(--($P52="Active"))+(--($T52="Active"))+(--($X52="Active"))+(--($AB52="Active"))+(--($AF52="Active")),_xlpm.dc,(--($P52="Declined"))+(--($T52="Declined"))+(--($X52="Declined"))+(--($AB52="Declined"))+(--($AF52="Declined")),_xlpm.aRS,(--($P52="Active"))*(--($R52="Yes"))+(--($T52="Active"))*(--($V52="Yes"))+(--($X52="Active"))*(--($Z52="Yes"))+(--($AB52="Active"))*(--($AD52="Yes"))+(--($AF52="Active"))*(--($AH52="Yes")),_xlpm.aDn,(--($P52="Active"))*(--($R52="Yes"))*(--((($S52="Yes")+($S52=TRUE))&gt;0))+(--($T52="Active"))*(--($V52="Yes"))*(--((($W52="Yes")+($W52=TRUE))&gt;0))+(--($X52="Active"))*(--($Z52="Yes"))*(--((($AA52="Yes")+($AA52=TRUE))&gt;0))+(--($AB52="Active"))*(--($AD52="Yes"))*(--((($AE52="Yes")+($AE52=TRUE))&gt;0))+(--($AF52="Active"))*(--($AH52="Yes"))*(--((($AI52="Yes")+($AI52=TRUE))&gt;0)),_xlpm.inPlay,_xlpm.ns+_xlpm.wd+_xlpm.sb+_xlpm.ap,IF(AND(_xlpm.ac&gt;0,_xlpm.inPlay=0,_xlpm.aDn=_xlpm.ac),"LIVE DLR",IF(AND(_xlpm.aRS&gt;0,_xlpm.aDn&lt;_xlpm.aRS),"Training",IF(_xlpm.aRS&gt;0,"Active",IF(AND(_xlpm.dc&gt;0,_xlpm.inPlay+_xlpm.ac=0),"Dead",IF(OR($CA52="Yes",$CA52=TRUE),"Rate Sheet",IF(AND($AJ52&lt;&gt;"",$AK52=FALSE),"Waiting on Dealer",IF(_xlpm.sb&gt;0,"Waiting on Lender",IF(AND(_xlpm.ap+_xlpm.ac&gt;0,_xlpm.ns+_xlpm.wd=0),"Rate Sheet","Application Submitted"))))))))))</f>
        <v>Waiting on Lender</v>
      </c>
      <c r="M52" s="274">
        <v>46287</v>
      </c>
      <c r="N52" s="266"/>
      <c r="O52" s="259" t="s">
        <v>538</v>
      </c>
      <c r="P52" s="265" t="s">
        <v>457</v>
      </c>
      <c r="Q52" s="266">
        <v>46288</v>
      </c>
      <c r="R52" s="265" t="s">
        <v>272</v>
      </c>
      <c r="S52" s="265" t="s">
        <v>272</v>
      </c>
      <c r="T52" s="265" t="s">
        <v>513</v>
      </c>
      <c r="U52" s="266"/>
      <c r="V52" s="265" t="s">
        <v>272</v>
      </c>
      <c r="W52" s="265" t="s">
        <v>272</v>
      </c>
      <c r="X52" s="265" t="s">
        <v>457</v>
      </c>
      <c r="Y52" s="266">
        <v>46288</v>
      </c>
      <c r="Z52" s="265" t="s">
        <v>272</v>
      </c>
      <c r="AA52" s="265" t="s">
        <v>272</v>
      </c>
      <c r="AB52" s="265" t="s">
        <v>437</v>
      </c>
      <c r="AC52" s="266"/>
      <c r="AD52" s="265" t="s">
        <v>272</v>
      </c>
      <c r="AE52" s="265" t="s">
        <v>272</v>
      </c>
      <c r="AF52" s="265" t="s">
        <v>437</v>
      </c>
      <c r="AG52" s="266"/>
      <c r="AH52" s="265" t="s">
        <v>272</v>
      </c>
      <c r="AI52" s="265" t="s">
        <v>272</v>
      </c>
      <c r="AJ52" s="259"/>
      <c r="AK52" s="267"/>
      <c r="AL52" s="265" cm="1">
        <f t="array" ref="AL52">IF($A52="","",SUMPRODUCT((CHOOSE({1,2,3,4,5},$R52,$V52,$Z52,$AD52,$AH52)="Yes")*(((CHOOSE({1,2,3,4,5},$S52,$W52,$AA52,$AE52,$AI52)="Yes")+(CHOOSE({1,2,3,4,5},$S52,$W52,$AA52,$AE52,$AI52)=TRUE))&gt;0)))</f>
        <v>0</v>
      </c>
      <c r="AM52" s="266"/>
      <c r="AN52" s="265" t="str">
        <f ca="1">IF(OR($A52="",$AM52=""),"",TODAY()-$AM52)</f>
        <v/>
      </c>
      <c r="AO52" s="268"/>
      <c r="AP52" s="269"/>
      <c r="AQ52" s="270"/>
      <c r="AR52" s="271"/>
      <c r="AS52" s="270"/>
      <c r="AT52" s="269"/>
      <c r="AU52" s="270"/>
      <c r="AV52" s="270"/>
      <c r="AW52" s="270"/>
      <c r="AX52" s="270"/>
      <c r="AY52" s="270"/>
      <c r="AZ52" s="272"/>
      <c r="BA52" s="272"/>
      <c r="BB52" s="272"/>
      <c r="BC52" s="272"/>
      <c r="BD52" s="273"/>
      <c r="BE52" s="273"/>
      <c r="BF52" s="273"/>
      <c r="BG52" s="273"/>
      <c r="BH52" s="273"/>
      <c r="BI52" s="273"/>
      <c r="BJ52" s="273"/>
      <c r="BK52" s="273"/>
      <c r="BL52" s="273"/>
      <c r="BM52" s="273"/>
      <c r="BN52" s="273"/>
      <c r="BO52" s="273"/>
      <c r="BP52" s="273"/>
      <c r="BQ52" s="273"/>
      <c r="BR52" s="273"/>
      <c r="BS52" s="273"/>
      <c r="BT52" s="273"/>
      <c r="BU52" s="273"/>
      <c r="BV52" s="273"/>
      <c r="BW52" s="273"/>
      <c r="BX52" s="273"/>
      <c r="BY52" s="273"/>
      <c r="BZ52" s="127" t="inlineStr">
        <is>
          <t>Unassigned</t>
        </is>
      </c>
      <c r="CA52" s="127" t="inlineStr">
        <is>
          <t>No</t>
        </is>
      </c>
      <c r="CB52" s="131">
        <f>IF($A52="","",_xlfn.LET(_xlpm.sfp,AND($P52&lt;&gt;"",$P52&lt;&gt;"N/A",$P52&lt;&gt;"No Min RQ"),_xlpm.slp,AND($T52&lt;&gt;"",$T52&lt;&gt;"N/A",$T52&lt;&gt;"No Min RQ"),_xlpm.ffp,AND($X52&lt;&gt;"",$X52&lt;&gt;"N/A",$X52&lt;&gt;"No Min RQ"),_xlpm.chp,AND($AB52&lt;&gt;"",$AB52&lt;&gt;"N/A",$AB52&lt;&gt;"No Min RQ"),_xlpm.usp,AND($AF52&lt;&gt;"",$AF52&lt;&gt;"N/A",$AF52&lt;&gt;"No Min RQ"),_xlpm.n,_xlpm.sfp+_xlpm.slp+_xlpm.ffp+_xlpm.chp+_xlpm.usp,_xlpm.sub,(_xlpm.sfp*($P52="Submitted"))+(_xlpm.slp*($T52="Submitted"))+(_xlpm.ffp*($X52="Submitted"))+(_xlpm.chp*($AB52="Submitted"))+(_xlpm.usp*($AF52="Submitted")),_xlpm.term,(_xlpm.sfp*OR($P52="Approved",$P52="Declined"))+(_xlpm.slp*OR($T52="Approved",$T52="Declined"))+(_xlpm.ffp*OR($X52="Approved",$X52="Declined"))+(_xlpm.chp*OR($AB52="Approved",$AB52="Declined"))+(_xlpm.usp*OR($AF52="Approved",$AF52="Declined")),IF(_xlpm.n=0,"No applicable lenders",IF(_xlpm.sub&gt;0,"Stays with Shaw - lender still Submitted",IF(_xlpm.term=_xlpm.n,"Clear - all applicable lenders Approved or Declined","Stays with Shaw - not all lenders Approved or Declined")))))</f>
      </c>
    </row>
    <row r="53" spans="80:80">
      <c r="CB53" s="131">
        <f>IF($A53="","",_xlfn.LET(_xlpm.sfp,AND($P53&lt;&gt;"",$P53&lt;&gt;"N/A",$P53&lt;&gt;"No Min RQ"),_xlpm.slp,AND($T53&lt;&gt;"",$T53&lt;&gt;"N/A",$T53&lt;&gt;"No Min RQ"),_xlpm.ffp,AND($X53&lt;&gt;"",$X53&lt;&gt;"N/A",$X53&lt;&gt;"No Min RQ"),_xlpm.chp,AND($AB53&lt;&gt;"",$AB53&lt;&gt;"N/A",$AB53&lt;&gt;"No Min RQ"),_xlpm.usp,AND($AF53&lt;&gt;"",$AF53&lt;&gt;"N/A",$AF53&lt;&gt;"No Min RQ"),_xlpm.n,_xlpm.sfp+_xlpm.slp+_xlpm.ffp+_xlpm.chp+_xlpm.usp,_xlpm.sub,(_xlpm.sfp*($P53="Submitted"))+(_xlpm.slp*($T53="Submitted"))+(_xlpm.ffp*($X53="Submitted"))+(_xlpm.chp*($AB53="Submitted"))+(_xlpm.usp*($AF53="Submitted")),_xlpm.term,(_xlpm.sfp*OR($P53="Approved",$P53="Declined"))+(_xlpm.slp*OR($T53="Approved",$T53="Declined"))+(_xlpm.ffp*OR($X53="Approved",$X53="Declined"))+(_xlpm.chp*OR($AB53="Approved",$AB53="Declined"))+(_xlpm.usp*OR($AF53="Approved",$AF53="Declined")),IF(_xlpm.n=0,"No applicable lenders",IF(_xlpm.sub&gt;0,"Stays with Shaw - lender still Submitted",IF(_xlpm.term=_xlpm.n,"Clear - all applicable lenders Approved or Declined","Stays with Shaw - not all lenders Approved or Declined")))))</f>
      </c>
    </row>
    <row r="54" spans="80:80">
      <c r="CB54" s="131">
        <f>IF($A54="","",_xlfn.LET(_xlpm.sfp,AND($P54&lt;&gt;"",$P54&lt;&gt;"N/A",$P54&lt;&gt;"No Min RQ"),_xlpm.slp,AND($T54&lt;&gt;"",$T54&lt;&gt;"N/A",$T54&lt;&gt;"No Min RQ"),_xlpm.ffp,AND($X54&lt;&gt;"",$X54&lt;&gt;"N/A",$X54&lt;&gt;"No Min RQ"),_xlpm.chp,AND($AB54&lt;&gt;"",$AB54&lt;&gt;"N/A",$AB54&lt;&gt;"No Min RQ"),_xlpm.usp,AND($AF54&lt;&gt;"",$AF54&lt;&gt;"N/A",$AF54&lt;&gt;"No Min RQ"),_xlpm.n,_xlpm.sfp+_xlpm.slp+_xlpm.ffp+_xlpm.chp+_xlpm.usp,_xlpm.sub,(_xlpm.sfp*($P54="Submitted"))+(_xlpm.slp*($T54="Submitted"))+(_xlpm.ffp*($X54="Submitted"))+(_xlpm.chp*($AB54="Submitted"))+(_xlpm.usp*($AF54="Submitted")),_xlpm.term,(_xlpm.sfp*OR($P54="Approved",$P54="Declined"))+(_xlpm.slp*OR($T54="Approved",$T54="Declined"))+(_xlpm.ffp*OR($X54="Approved",$X54="Declined"))+(_xlpm.chp*OR($AB54="Approved",$AB54="Declined"))+(_xlpm.usp*OR($AF54="Approved",$AF54="Declined")),IF(_xlpm.n=0,"No applicable lenders",IF(_xlpm.sub&gt;0,"Stays with Shaw - lender still Submitted",IF(_xlpm.term=_xlpm.n,"Clear - all applicable lenders Approved or Declined","Stays with Shaw - not all lenders Approved or Declined")))))</f>
      </c>
    </row>
    <row r="55" spans="80:80">
      <c r="CB55" s="131">
        <f>IF($A55="","",_xlfn.LET(_xlpm.sfp,AND($P55&lt;&gt;"",$P55&lt;&gt;"N/A",$P55&lt;&gt;"No Min RQ"),_xlpm.slp,AND($T55&lt;&gt;"",$T55&lt;&gt;"N/A",$T55&lt;&gt;"No Min RQ"),_xlpm.ffp,AND($X55&lt;&gt;"",$X55&lt;&gt;"N/A",$X55&lt;&gt;"No Min RQ"),_xlpm.chp,AND($AB55&lt;&gt;"",$AB55&lt;&gt;"N/A",$AB55&lt;&gt;"No Min RQ"),_xlpm.usp,AND($AF55&lt;&gt;"",$AF55&lt;&gt;"N/A",$AF55&lt;&gt;"No Min RQ"),_xlpm.n,_xlpm.sfp+_xlpm.slp+_xlpm.ffp+_xlpm.chp+_xlpm.usp,_xlpm.sub,(_xlpm.sfp*($P55="Submitted"))+(_xlpm.slp*($T55="Submitted"))+(_xlpm.ffp*($X55="Submitted"))+(_xlpm.chp*($AB55="Submitted"))+(_xlpm.usp*($AF55="Submitted")),_xlpm.term,(_xlpm.sfp*OR($P55="Approved",$P55="Declined"))+(_xlpm.slp*OR($T55="Approved",$T55="Declined"))+(_xlpm.ffp*OR($X55="Approved",$X55="Declined"))+(_xlpm.chp*OR($AB55="Approved",$AB55="Declined"))+(_xlpm.usp*OR($AF55="Approved",$AF55="Declined")),IF(_xlpm.n=0,"No applicable lenders",IF(_xlpm.sub&gt;0,"Stays with Shaw - lender still Submitted",IF(_xlpm.term=_xlpm.n,"Clear - all applicable lenders Approved or Declined","Stays with Shaw - not all lenders Approved or Declined")))))</f>
      </c>
    </row>
    <row r="56" spans="80:80">
      <c r="CB56" s="131">
        <f>IF($A56="","",_xlfn.LET(_xlpm.sfp,AND($P56&lt;&gt;"",$P56&lt;&gt;"N/A",$P56&lt;&gt;"No Min RQ"),_xlpm.slp,AND($T56&lt;&gt;"",$T56&lt;&gt;"N/A",$T56&lt;&gt;"No Min RQ"),_xlpm.ffp,AND($X56&lt;&gt;"",$X56&lt;&gt;"N/A",$X56&lt;&gt;"No Min RQ"),_xlpm.chp,AND($AB56&lt;&gt;"",$AB56&lt;&gt;"N/A",$AB56&lt;&gt;"No Min RQ"),_xlpm.usp,AND($AF56&lt;&gt;"",$AF56&lt;&gt;"N/A",$AF56&lt;&gt;"No Min RQ"),_xlpm.n,_xlpm.sfp+_xlpm.slp+_xlpm.ffp+_xlpm.chp+_xlpm.usp,_xlpm.sub,(_xlpm.sfp*($P56="Submitted"))+(_xlpm.slp*($T56="Submitted"))+(_xlpm.ffp*($X56="Submitted"))+(_xlpm.chp*($AB56="Submitted"))+(_xlpm.usp*($AF56="Submitted")),_xlpm.term,(_xlpm.sfp*OR($P56="Approved",$P56="Declined"))+(_xlpm.slp*OR($T56="Approved",$T56="Declined"))+(_xlpm.ffp*OR($X56="Approved",$X56="Declined"))+(_xlpm.chp*OR($AB56="Approved",$AB56="Declined"))+(_xlpm.usp*OR($AF56="Approved",$AF56="Declined")),IF(_xlpm.n=0,"No applicable lenders",IF(_xlpm.sub&gt;0,"Stays with Shaw - lender still Submitted",IF(_xlpm.term=_xlpm.n,"Clear - all applicable lenders Approved or Declined","Stays with Shaw - not all lenders Approved or Declined")))))</f>
      </c>
    </row>
    <row r="57" spans="80:80">
      <c r="CB57" s="131">
        <f>IF($A57="","",_xlfn.LET(_xlpm.sfp,AND($P57&lt;&gt;"",$P57&lt;&gt;"N/A",$P57&lt;&gt;"No Min RQ"),_xlpm.slp,AND($T57&lt;&gt;"",$T57&lt;&gt;"N/A",$T57&lt;&gt;"No Min RQ"),_xlpm.ffp,AND($X57&lt;&gt;"",$X57&lt;&gt;"N/A",$X57&lt;&gt;"No Min RQ"),_xlpm.chp,AND($AB57&lt;&gt;"",$AB57&lt;&gt;"N/A",$AB57&lt;&gt;"No Min RQ"),_xlpm.usp,AND($AF57&lt;&gt;"",$AF57&lt;&gt;"N/A",$AF57&lt;&gt;"No Min RQ"),_xlpm.n,_xlpm.sfp+_xlpm.slp+_xlpm.ffp+_xlpm.chp+_xlpm.usp,_xlpm.sub,(_xlpm.sfp*($P57="Submitted"))+(_xlpm.slp*($T57="Submitted"))+(_xlpm.ffp*($X57="Submitted"))+(_xlpm.chp*($AB57="Submitted"))+(_xlpm.usp*($AF57="Submitted")),_xlpm.term,(_xlpm.sfp*OR($P57="Approved",$P57="Declined"))+(_xlpm.slp*OR($T57="Approved",$T57="Declined"))+(_xlpm.ffp*OR($X57="Approved",$X57="Declined"))+(_xlpm.chp*OR($AB57="Approved",$AB57="Declined"))+(_xlpm.usp*OR($AF57="Approved",$AF57="Declined")),IF(_xlpm.n=0,"No applicable lenders",IF(_xlpm.sub&gt;0,"Stays with Shaw - lender still Submitted",IF(_xlpm.term=_xlpm.n,"Clear - all applicable lenders Approved or Declined","Stays with Shaw - not all lenders Approved or Declined")))))</f>
      </c>
    </row>
    <row r="58" spans="80:80">
      <c r="CB58" s="131">
        <f>IF($A58="","",_xlfn.LET(_xlpm.sfp,AND($P58&lt;&gt;"",$P58&lt;&gt;"N/A",$P58&lt;&gt;"No Min RQ"),_xlpm.slp,AND($T58&lt;&gt;"",$T58&lt;&gt;"N/A",$T58&lt;&gt;"No Min RQ"),_xlpm.ffp,AND($X58&lt;&gt;"",$X58&lt;&gt;"N/A",$X58&lt;&gt;"No Min RQ"),_xlpm.chp,AND($AB58&lt;&gt;"",$AB58&lt;&gt;"N/A",$AB58&lt;&gt;"No Min RQ"),_xlpm.usp,AND($AF58&lt;&gt;"",$AF58&lt;&gt;"N/A",$AF58&lt;&gt;"No Min RQ"),_xlpm.n,_xlpm.sfp+_xlpm.slp+_xlpm.ffp+_xlpm.chp+_xlpm.usp,_xlpm.sub,(_xlpm.sfp*($P58="Submitted"))+(_xlpm.slp*($T58="Submitted"))+(_xlpm.ffp*($X58="Submitted"))+(_xlpm.chp*($AB58="Submitted"))+(_xlpm.usp*($AF58="Submitted")),_xlpm.term,(_xlpm.sfp*OR($P58="Approved",$P58="Declined"))+(_xlpm.slp*OR($T58="Approved",$T58="Declined"))+(_xlpm.ffp*OR($X58="Approved",$X58="Declined"))+(_xlpm.chp*OR($AB58="Approved",$AB58="Declined"))+(_xlpm.usp*OR($AF58="Approved",$AF58="Declined")),IF(_xlpm.n=0,"No applicable lenders",IF(_xlpm.sub&gt;0,"Stays with Shaw - lender still Submitted",IF(_xlpm.term=_xlpm.n,"Clear - all applicable lenders Approved or Declined","Stays with Shaw - not all lenders Approved or Declined")))))</f>
      </c>
    </row>
    <row r="59" spans="80:80">
      <c r="CB59" s="131">
        <f>IF($A59="","",_xlfn.LET(_xlpm.sfp,AND($P59&lt;&gt;"",$P59&lt;&gt;"N/A",$P59&lt;&gt;"No Min RQ"),_xlpm.slp,AND($T59&lt;&gt;"",$T59&lt;&gt;"N/A",$T59&lt;&gt;"No Min RQ"),_xlpm.ffp,AND($X59&lt;&gt;"",$X59&lt;&gt;"N/A",$X59&lt;&gt;"No Min RQ"),_xlpm.chp,AND($AB59&lt;&gt;"",$AB59&lt;&gt;"N/A",$AB59&lt;&gt;"No Min RQ"),_xlpm.usp,AND($AF59&lt;&gt;"",$AF59&lt;&gt;"N/A",$AF59&lt;&gt;"No Min RQ"),_xlpm.n,_xlpm.sfp+_xlpm.slp+_xlpm.ffp+_xlpm.chp+_xlpm.usp,_xlpm.sub,(_xlpm.sfp*($P59="Submitted"))+(_xlpm.slp*($T59="Submitted"))+(_xlpm.ffp*($X59="Submitted"))+(_xlpm.chp*($AB59="Submitted"))+(_xlpm.usp*($AF59="Submitted")),_xlpm.term,(_xlpm.sfp*OR($P59="Approved",$P59="Declined"))+(_xlpm.slp*OR($T59="Approved",$T59="Declined"))+(_xlpm.ffp*OR($X59="Approved",$X59="Declined"))+(_xlpm.chp*OR($AB59="Approved",$AB59="Declined"))+(_xlpm.usp*OR($AF59="Approved",$AF59="Declined")),IF(_xlpm.n=0,"No applicable lenders",IF(_xlpm.sub&gt;0,"Stays with Shaw - lender still Submitted",IF(_xlpm.term=_xlpm.n,"Clear - all applicable lenders Approved or Declined","Stays with Shaw - not all lenders Approved or Declined")))))</f>
      </c>
    </row>
    <row r="60" spans="80:80">
      <c r="CB60" s="131">
        <f>IF($A60="","",_xlfn.LET(_xlpm.sfp,AND($P60&lt;&gt;"",$P60&lt;&gt;"N/A",$P60&lt;&gt;"No Min RQ"),_xlpm.slp,AND($T60&lt;&gt;"",$T60&lt;&gt;"N/A",$T60&lt;&gt;"No Min RQ"),_xlpm.ffp,AND($X60&lt;&gt;"",$X60&lt;&gt;"N/A",$X60&lt;&gt;"No Min RQ"),_xlpm.chp,AND($AB60&lt;&gt;"",$AB60&lt;&gt;"N/A",$AB60&lt;&gt;"No Min RQ"),_xlpm.usp,AND($AF60&lt;&gt;"",$AF60&lt;&gt;"N/A",$AF60&lt;&gt;"No Min RQ"),_xlpm.n,_xlpm.sfp+_xlpm.slp+_xlpm.ffp+_xlpm.chp+_xlpm.usp,_xlpm.sub,(_xlpm.sfp*($P60="Submitted"))+(_xlpm.slp*($T60="Submitted"))+(_xlpm.ffp*($X60="Submitted"))+(_xlpm.chp*($AB60="Submitted"))+(_xlpm.usp*($AF60="Submitted")),_xlpm.term,(_xlpm.sfp*OR($P60="Approved",$P60="Declined"))+(_xlpm.slp*OR($T60="Approved",$T60="Declined"))+(_xlpm.ffp*OR($X60="Approved",$X60="Declined"))+(_xlpm.chp*OR($AB60="Approved",$AB60="Declined"))+(_xlpm.usp*OR($AF60="Approved",$AF60="Declined")),IF(_xlpm.n=0,"No applicable lenders",IF(_xlpm.sub&gt;0,"Stays with Shaw - lender still Submitted",IF(_xlpm.term=_xlpm.n,"Clear - all applicable lenders Approved or Declined","Stays with Shaw - not all lenders Approved or Declined")))))</f>
      </c>
    </row>
    <row r="61" spans="80:80">
      <c r="CB61" s="131">
        <f>IF($A61="","",_xlfn.LET(_xlpm.sfp,AND($P61&lt;&gt;"",$P61&lt;&gt;"N/A",$P61&lt;&gt;"No Min RQ"),_xlpm.slp,AND($T61&lt;&gt;"",$T61&lt;&gt;"N/A",$T61&lt;&gt;"No Min RQ"),_xlpm.ffp,AND($X61&lt;&gt;"",$X61&lt;&gt;"N/A",$X61&lt;&gt;"No Min RQ"),_xlpm.chp,AND($AB61&lt;&gt;"",$AB61&lt;&gt;"N/A",$AB61&lt;&gt;"No Min RQ"),_xlpm.usp,AND($AF61&lt;&gt;"",$AF61&lt;&gt;"N/A",$AF61&lt;&gt;"No Min RQ"),_xlpm.n,_xlpm.sfp+_xlpm.slp+_xlpm.ffp+_xlpm.chp+_xlpm.usp,_xlpm.sub,(_xlpm.sfp*($P61="Submitted"))+(_xlpm.slp*($T61="Submitted"))+(_xlpm.ffp*($X61="Submitted"))+(_xlpm.chp*($AB61="Submitted"))+(_xlpm.usp*($AF61="Submitted")),_xlpm.term,(_xlpm.sfp*OR($P61="Approved",$P61="Declined"))+(_xlpm.slp*OR($T61="Approved",$T61="Declined"))+(_xlpm.ffp*OR($X61="Approved",$X61="Declined"))+(_xlpm.chp*OR($AB61="Approved",$AB61="Declined"))+(_xlpm.usp*OR($AF61="Approved",$AF61="Declined")),IF(_xlpm.n=0,"No applicable lenders",IF(_xlpm.sub&gt;0,"Stays with Shaw - lender still Submitted",IF(_xlpm.term=_xlpm.n,"Clear - all applicable lenders Approved or Declined","Stays with Shaw - not all lenders Approved or Declined")))))</f>
      </c>
    </row>
    <row r="62" spans="80:80">
      <c r="CB62" s="131">
        <f>IF($A62="","",_xlfn.LET(_xlpm.sfp,AND($P62&lt;&gt;"",$P62&lt;&gt;"N/A",$P62&lt;&gt;"No Min RQ"),_xlpm.slp,AND($T62&lt;&gt;"",$T62&lt;&gt;"N/A",$T62&lt;&gt;"No Min RQ"),_xlpm.ffp,AND($X62&lt;&gt;"",$X62&lt;&gt;"N/A",$X62&lt;&gt;"No Min RQ"),_xlpm.chp,AND($AB62&lt;&gt;"",$AB62&lt;&gt;"N/A",$AB62&lt;&gt;"No Min RQ"),_xlpm.usp,AND($AF62&lt;&gt;"",$AF62&lt;&gt;"N/A",$AF62&lt;&gt;"No Min RQ"),_xlpm.n,_xlpm.sfp+_xlpm.slp+_xlpm.ffp+_xlpm.chp+_xlpm.usp,_xlpm.sub,(_xlpm.sfp*($P62="Submitted"))+(_xlpm.slp*($T62="Submitted"))+(_xlpm.ffp*($X62="Submitted"))+(_xlpm.chp*($AB62="Submitted"))+(_xlpm.usp*($AF62="Submitted")),_xlpm.term,(_xlpm.sfp*OR($P62="Approved",$P62="Declined"))+(_xlpm.slp*OR($T62="Approved",$T62="Declined"))+(_xlpm.ffp*OR($X62="Approved",$X62="Declined"))+(_xlpm.chp*OR($AB62="Approved",$AB62="Declined"))+(_xlpm.usp*OR($AF62="Approved",$AF62="Declined")),IF(_xlpm.n=0,"No applicable lenders",IF(_xlpm.sub&gt;0,"Stays with Shaw - lender still Submitted",IF(_xlpm.term=_xlpm.n,"Clear - all applicable lenders Approved or Declined","Stays with Shaw - not all lenders Approved or Declined")))))</f>
      </c>
    </row>
    <row r="63" spans="80:80">
      <c r="CB63" s="131">
        <f>IF($A63="","",_xlfn.LET(_xlpm.sfp,AND($P63&lt;&gt;"",$P63&lt;&gt;"N/A",$P63&lt;&gt;"No Min RQ"),_xlpm.slp,AND($T63&lt;&gt;"",$T63&lt;&gt;"N/A",$T63&lt;&gt;"No Min RQ"),_xlpm.ffp,AND($X63&lt;&gt;"",$X63&lt;&gt;"N/A",$X63&lt;&gt;"No Min RQ"),_xlpm.chp,AND($AB63&lt;&gt;"",$AB63&lt;&gt;"N/A",$AB63&lt;&gt;"No Min RQ"),_xlpm.usp,AND($AF63&lt;&gt;"",$AF63&lt;&gt;"N/A",$AF63&lt;&gt;"No Min RQ"),_xlpm.n,_xlpm.sfp+_xlpm.slp+_xlpm.ffp+_xlpm.chp+_xlpm.usp,_xlpm.sub,(_xlpm.sfp*($P63="Submitted"))+(_xlpm.slp*($T63="Submitted"))+(_xlpm.ffp*($X63="Submitted"))+(_xlpm.chp*($AB63="Submitted"))+(_xlpm.usp*($AF63="Submitted")),_xlpm.term,(_xlpm.sfp*OR($P63="Approved",$P63="Declined"))+(_xlpm.slp*OR($T63="Approved",$T63="Declined"))+(_xlpm.ffp*OR($X63="Approved",$X63="Declined"))+(_xlpm.chp*OR($AB63="Approved",$AB63="Declined"))+(_xlpm.usp*OR($AF63="Approved",$AF63="Declined")),IF(_xlpm.n=0,"No applicable lenders",IF(_xlpm.sub&gt;0,"Stays with Shaw - lender still Submitted",IF(_xlpm.term=_xlpm.n,"Clear - all applicable lenders Approved or Declined","Stays with Shaw - not all lenders Approved or Declined")))))</f>
      </c>
    </row>
    <row r="64" spans="80:80">
      <c r="CB64" s="131">
        <f>IF($A64="","",_xlfn.LET(_xlpm.sfp,AND($P64&lt;&gt;"",$P64&lt;&gt;"N/A",$P64&lt;&gt;"No Min RQ"),_xlpm.slp,AND($T64&lt;&gt;"",$T64&lt;&gt;"N/A",$T64&lt;&gt;"No Min RQ"),_xlpm.ffp,AND($X64&lt;&gt;"",$X64&lt;&gt;"N/A",$X64&lt;&gt;"No Min RQ"),_xlpm.chp,AND($AB64&lt;&gt;"",$AB64&lt;&gt;"N/A",$AB64&lt;&gt;"No Min RQ"),_xlpm.usp,AND($AF64&lt;&gt;"",$AF64&lt;&gt;"N/A",$AF64&lt;&gt;"No Min RQ"),_xlpm.n,_xlpm.sfp+_xlpm.slp+_xlpm.ffp+_xlpm.chp+_xlpm.usp,_xlpm.sub,(_xlpm.sfp*($P64="Submitted"))+(_xlpm.slp*($T64="Submitted"))+(_xlpm.ffp*($X64="Submitted"))+(_xlpm.chp*($AB64="Submitted"))+(_xlpm.usp*($AF64="Submitted")),_xlpm.term,(_xlpm.sfp*OR($P64="Approved",$P64="Declined"))+(_xlpm.slp*OR($T64="Approved",$T64="Declined"))+(_xlpm.ffp*OR($X64="Approved",$X64="Declined"))+(_xlpm.chp*OR($AB64="Approved",$AB64="Declined"))+(_xlpm.usp*OR($AF64="Approved",$AF64="Declined")),IF(_xlpm.n=0,"No applicable lenders",IF(_xlpm.sub&gt;0,"Stays with Shaw - lender still Submitted",IF(_xlpm.term=_xlpm.n,"Clear - all applicable lenders Approved or Declined","Stays with Shaw - not all lenders Approved or Declined")))))</f>
      </c>
    </row>
    <row r="65" spans="80:80">
      <c r="CB65" s="131">
        <f>IF($A65="","",_xlfn.LET(_xlpm.sfp,AND($P65&lt;&gt;"",$P65&lt;&gt;"N/A",$P65&lt;&gt;"No Min RQ"),_xlpm.slp,AND($T65&lt;&gt;"",$T65&lt;&gt;"N/A",$T65&lt;&gt;"No Min RQ"),_xlpm.ffp,AND($X65&lt;&gt;"",$X65&lt;&gt;"N/A",$X65&lt;&gt;"No Min RQ"),_xlpm.chp,AND($AB65&lt;&gt;"",$AB65&lt;&gt;"N/A",$AB65&lt;&gt;"No Min RQ"),_xlpm.usp,AND($AF65&lt;&gt;"",$AF65&lt;&gt;"N/A",$AF65&lt;&gt;"No Min RQ"),_xlpm.n,_xlpm.sfp+_xlpm.slp+_xlpm.ffp+_xlpm.chp+_xlpm.usp,_xlpm.sub,(_xlpm.sfp*($P65="Submitted"))+(_xlpm.slp*($T65="Submitted"))+(_xlpm.ffp*($X65="Submitted"))+(_xlpm.chp*($AB65="Submitted"))+(_xlpm.usp*($AF65="Submitted")),_xlpm.term,(_xlpm.sfp*OR($P65="Approved",$P65="Declined"))+(_xlpm.slp*OR($T65="Approved",$T65="Declined"))+(_xlpm.ffp*OR($X65="Approved",$X65="Declined"))+(_xlpm.chp*OR($AB65="Approved",$AB65="Declined"))+(_xlpm.usp*OR($AF65="Approved",$AF65="Declined")),IF(_xlpm.n=0,"No applicable lenders",IF(_xlpm.sub&gt;0,"Stays with Shaw - lender still Submitted",IF(_xlpm.term=_xlpm.n,"Clear - all applicable lenders Approved or Declined","Stays with Shaw - not all lenders Approved or Declined")))))</f>
      </c>
    </row>
    <row r="66" spans="80:80">
      <c r="CB66" s="131">
        <f>IF($A66="","",_xlfn.LET(_xlpm.sfp,AND($P66&lt;&gt;"",$P66&lt;&gt;"N/A",$P66&lt;&gt;"No Min RQ"),_xlpm.slp,AND($T66&lt;&gt;"",$T66&lt;&gt;"N/A",$T66&lt;&gt;"No Min RQ"),_xlpm.ffp,AND($X66&lt;&gt;"",$X66&lt;&gt;"N/A",$X66&lt;&gt;"No Min RQ"),_xlpm.chp,AND($AB66&lt;&gt;"",$AB66&lt;&gt;"N/A",$AB66&lt;&gt;"No Min RQ"),_xlpm.usp,AND($AF66&lt;&gt;"",$AF66&lt;&gt;"N/A",$AF66&lt;&gt;"No Min RQ"),_xlpm.n,_xlpm.sfp+_xlpm.slp+_xlpm.ffp+_xlpm.chp+_xlpm.usp,_xlpm.sub,(_xlpm.sfp*($P66="Submitted"))+(_xlpm.slp*($T66="Submitted"))+(_xlpm.ffp*($X66="Submitted"))+(_xlpm.chp*($AB66="Submitted"))+(_xlpm.usp*($AF66="Submitted")),_xlpm.term,(_xlpm.sfp*OR($P66="Approved",$P66="Declined"))+(_xlpm.slp*OR($T66="Approved",$T66="Declined"))+(_xlpm.ffp*OR($X66="Approved",$X66="Declined"))+(_xlpm.chp*OR($AB66="Approved",$AB66="Declined"))+(_xlpm.usp*OR($AF66="Approved",$AF66="Declined")),IF(_xlpm.n=0,"No applicable lenders",IF(_xlpm.sub&gt;0,"Stays with Shaw - lender still Submitted",IF(_xlpm.term=_xlpm.n,"Clear - all applicable lenders Approved or Declined","Stays with Shaw - not all lenders Approved or Declined")))))</f>
      </c>
    </row>
    <row r="67" spans="80:80">
      <c r="CB67" s="131">
        <f>IF($A67="","",_xlfn.LET(_xlpm.sfp,AND($P67&lt;&gt;"",$P67&lt;&gt;"N/A",$P67&lt;&gt;"No Min RQ"),_xlpm.slp,AND($T67&lt;&gt;"",$T67&lt;&gt;"N/A",$T67&lt;&gt;"No Min RQ"),_xlpm.ffp,AND($X67&lt;&gt;"",$X67&lt;&gt;"N/A",$X67&lt;&gt;"No Min RQ"),_xlpm.chp,AND($AB67&lt;&gt;"",$AB67&lt;&gt;"N/A",$AB67&lt;&gt;"No Min RQ"),_xlpm.usp,AND($AF67&lt;&gt;"",$AF67&lt;&gt;"N/A",$AF67&lt;&gt;"No Min RQ"),_xlpm.n,_xlpm.sfp+_xlpm.slp+_xlpm.ffp+_xlpm.chp+_xlpm.usp,_xlpm.sub,(_xlpm.sfp*($P67="Submitted"))+(_xlpm.slp*($T67="Submitted"))+(_xlpm.ffp*($X67="Submitted"))+(_xlpm.chp*($AB67="Submitted"))+(_xlpm.usp*($AF67="Submitted")),_xlpm.term,(_xlpm.sfp*OR($P67="Approved",$P67="Declined"))+(_xlpm.slp*OR($T67="Approved",$T67="Declined"))+(_xlpm.ffp*OR($X67="Approved",$X67="Declined"))+(_xlpm.chp*OR($AB67="Approved",$AB67="Declined"))+(_xlpm.usp*OR($AF67="Approved",$AF67="Declined")),IF(_xlpm.n=0,"No applicable lenders",IF(_xlpm.sub&gt;0,"Stays with Shaw - lender still Submitted",IF(_xlpm.term=_xlpm.n,"Clear - all applicable lenders Approved or Declined","Stays with Shaw - not all lenders Approved or Declined")))))</f>
      </c>
    </row>
    <row r="68" spans="80:80">
      <c r="CB68" s="131">
        <f>IF($A68="","",_xlfn.LET(_xlpm.sfp,AND($P68&lt;&gt;"",$P68&lt;&gt;"N/A",$P68&lt;&gt;"No Min RQ"),_xlpm.slp,AND($T68&lt;&gt;"",$T68&lt;&gt;"N/A",$T68&lt;&gt;"No Min RQ"),_xlpm.ffp,AND($X68&lt;&gt;"",$X68&lt;&gt;"N/A",$X68&lt;&gt;"No Min RQ"),_xlpm.chp,AND($AB68&lt;&gt;"",$AB68&lt;&gt;"N/A",$AB68&lt;&gt;"No Min RQ"),_xlpm.usp,AND($AF68&lt;&gt;"",$AF68&lt;&gt;"N/A",$AF68&lt;&gt;"No Min RQ"),_xlpm.n,_xlpm.sfp+_xlpm.slp+_xlpm.ffp+_xlpm.chp+_xlpm.usp,_xlpm.sub,(_xlpm.sfp*($P68="Submitted"))+(_xlpm.slp*($T68="Submitted"))+(_xlpm.ffp*($X68="Submitted"))+(_xlpm.chp*($AB68="Submitted"))+(_xlpm.usp*($AF68="Submitted")),_xlpm.term,(_xlpm.sfp*OR($P68="Approved",$P68="Declined"))+(_xlpm.slp*OR($T68="Approved",$T68="Declined"))+(_xlpm.ffp*OR($X68="Approved",$X68="Declined"))+(_xlpm.chp*OR($AB68="Approved",$AB68="Declined"))+(_xlpm.usp*OR($AF68="Approved",$AF68="Declined")),IF(_xlpm.n=0,"No applicable lenders",IF(_xlpm.sub&gt;0,"Stays with Shaw - lender still Submitted",IF(_xlpm.term=_xlpm.n,"Clear - all applicable lenders Approved or Declined","Stays with Shaw - not all lenders Approved or Declined")))))</f>
      </c>
    </row>
    <row r="69" spans="80:80">
      <c r="CB69" s="131">
        <f>IF($A69="","",_xlfn.LET(_xlpm.sfp,AND($P69&lt;&gt;"",$P69&lt;&gt;"N/A",$P69&lt;&gt;"No Min RQ"),_xlpm.slp,AND($T69&lt;&gt;"",$T69&lt;&gt;"N/A",$T69&lt;&gt;"No Min RQ"),_xlpm.ffp,AND($X69&lt;&gt;"",$X69&lt;&gt;"N/A",$X69&lt;&gt;"No Min RQ"),_xlpm.chp,AND($AB69&lt;&gt;"",$AB69&lt;&gt;"N/A",$AB69&lt;&gt;"No Min RQ"),_xlpm.usp,AND($AF69&lt;&gt;"",$AF69&lt;&gt;"N/A",$AF69&lt;&gt;"No Min RQ"),_xlpm.n,_xlpm.sfp+_xlpm.slp+_xlpm.ffp+_xlpm.chp+_xlpm.usp,_xlpm.sub,(_xlpm.sfp*($P69="Submitted"))+(_xlpm.slp*($T69="Submitted"))+(_xlpm.ffp*($X69="Submitted"))+(_xlpm.chp*($AB69="Submitted"))+(_xlpm.usp*($AF69="Submitted")),_xlpm.term,(_xlpm.sfp*OR($P69="Approved",$P69="Declined"))+(_xlpm.slp*OR($T69="Approved",$T69="Declined"))+(_xlpm.ffp*OR($X69="Approved",$X69="Declined"))+(_xlpm.chp*OR($AB69="Approved",$AB69="Declined"))+(_xlpm.usp*OR($AF69="Approved",$AF69="Declined")),IF(_xlpm.n=0,"No applicable lenders",IF(_xlpm.sub&gt;0,"Stays with Shaw - lender still Submitted",IF(_xlpm.term=_xlpm.n,"Clear - all applicable lenders Approved or Declined","Stays with Shaw - not all lenders Approved or Declined")))))</f>
      </c>
    </row>
    <row r="70" spans="80:80">
      <c r="CB70" s="131">
        <f>IF($A70="","",_xlfn.LET(_xlpm.sfp,AND($P70&lt;&gt;"",$P70&lt;&gt;"N/A",$P70&lt;&gt;"No Min RQ"),_xlpm.slp,AND($T70&lt;&gt;"",$T70&lt;&gt;"N/A",$T70&lt;&gt;"No Min RQ"),_xlpm.ffp,AND($X70&lt;&gt;"",$X70&lt;&gt;"N/A",$X70&lt;&gt;"No Min RQ"),_xlpm.chp,AND($AB70&lt;&gt;"",$AB70&lt;&gt;"N/A",$AB70&lt;&gt;"No Min RQ"),_xlpm.usp,AND($AF70&lt;&gt;"",$AF70&lt;&gt;"N/A",$AF70&lt;&gt;"No Min RQ"),_xlpm.n,_xlpm.sfp+_xlpm.slp+_xlpm.ffp+_xlpm.chp+_xlpm.usp,_xlpm.sub,(_xlpm.sfp*($P70="Submitted"))+(_xlpm.slp*($T70="Submitted"))+(_xlpm.ffp*($X70="Submitted"))+(_xlpm.chp*($AB70="Submitted"))+(_xlpm.usp*($AF70="Submitted")),_xlpm.term,(_xlpm.sfp*OR($P70="Approved",$P70="Declined"))+(_xlpm.slp*OR($T70="Approved",$T70="Declined"))+(_xlpm.ffp*OR($X70="Approved",$X70="Declined"))+(_xlpm.chp*OR($AB70="Approved",$AB70="Declined"))+(_xlpm.usp*OR($AF70="Approved",$AF70="Declined")),IF(_xlpm.n=0,"No applicable lenders",IF(_xlpm.sub&gt;0,"Stays with Shaw - lender still Submitted",IF(_xlpm.term=_xlpm.n,"Clear - all applicable lenders Approved or Declined","Stays with Shaw - not all lenders Approved or Declined")))))</f>
      </c>
    </row>
    <row r="71" spans="80:80">
      <c r="CB71" s="131">
        <f>IF($A71="","",_xlfn.LET(_xlpm.sfp,AND($P71&lt;&gt;"",$P71&lt;&gt;"N/A",$P71&lt;&gt;"No Min RQ"),_xlpm.slp,AND($T71&lt;&gt;"",$T71&lt;&gt;"N/A",$T71&lt;&gt;"No Min RQ"),_xlpm.ffp,AND($X71&lt;&gt;"",$X71&lt;&gt;"N/A",$X71&lt;&gt;"No Min RQ"),_xlpm.chp,AND($AB71&lt;&gt;"",$AB71&lt;&gt;"N/A",$AB71&lt;&gt;"No Min RQ"),_xlpm.usp,AND($AF71&lt;&gt;"",$AF71&lt;&gt;"N/A",$AF71&lt;&gt;"No Min RQ"),_xlpm.n,_xlpm.sfp+_xlpm.slp+_xlpm.ffp+_xlpm.chp+_xlpm.usp,_xlpm.sub,(_xlpm.sfp*($P71="Submitted"))+(_xlpm.slp*($T71="Submitted"))+(_xlpm.ffp*($X71="Submitted"))+(_xlpm.chp*($AB71="Submitted"))+(_xlpm.usp*($AF71="Submitted")),_xlpm.term,(_xlpm.sfp*OR($P71="Approved",$P71="Declined"))+(_xlpm.slp*OR($T71="Approved",$T71="Declined"))+(_xlpm.ffp*OR($X71="Approved",$X71="Declined"))+(_xlpm.chp*OR($AB71="Approved",$AB71="Declined"))+(_xlpm.usp*OR($AF71="Approved",$AF71="Declined")),IF(_xlpm.n=0,"No applicable lenders",IF(_xlpm.sub&gt;0,"Stays with Shaw - lender still Submitted",IF(_xlpm.term=_xlpm.n,"Clear - all applicable lenders Approved or Declined","Stays with Shaw - not all lenders Approved or Declined")))))</f>
      </c>
    </row>
    <row r="72" spans="80:80">
      <c r="CB72" s="131">
        <f>IF($A72="","",_xlfn.LET(_xlpm.sfp,AND($P72&lt;&gt;"",$P72&lt;&gt;"N/A",$P72&lt;&gt;"No Min RQ"),_xlpm.slp,AND($T72&lt;&gt;"",$T72&lt;&gt;"N/A",$T72&lt;&gt;"No Min RQ"),_xlpm.ffp,AND($X72&lt;&gt;"",$X72&lt;&gt;"N/A",$X72&lt;&gt;"No Min RQ"),_xlpm.chp,AND($AB72&lt;&gt;"",$AB72&lt;&gt;"N/A",$AB72&lt;&gt;"No Min RQ"),_xlpm.usp,AND($AF72&lt;&gt;"",$AF72&lt;&gt;"N/A",$AF72&lt;&gt;"No Min RQ"),_xlpm.n,_xlpm.sfp+_xlpm.slp+_xlpm.ffp+_xlpm.chp+_xlpm.usp,_xlpm.sub,(_xlpm.sfp*($P72="Submitted"))+(_xlpm.slp*($T72="Submitted"))+(_xlpm.ffp*($X72="Submitted"))+(_xlpm.chp*($AB72="Submitted"))+(_xlpm.usp*($AF72="Submitted")),_xlpm.term,(_xlpm.sfp*OR($P72="Approved",$P72="Declined"))+(_xlpm.slp*OR($T72="Approved",$T72="Declined"))+(_xlpm.ffp*OR($X72="Approved",$X72="Declined"))+(_xlpm.chp*OR($AB72="Approved",$AB72="Declined"))+(_xlpm.usp*OR($AF72="Approved",$AF72="Declined")),IF(_xlpm.n=0,"No applicable lenders",IF(_xlpm.sub&gt;0,"Stays with Shaw - lender still Submitted",IF(_xlpm.term=_xlpm.n,"Clear - all applicable lenders Approved or Declined","Stays with Shaw - not all lenders Approved or Declined")))))</f>
      </c>
    </row>
    <row r="73" spans="80:80">
      <c r="CB73" s="131">
        <f>IF($A73="","",_xlfn.LET(_xlpm.sfp,AND($P73&lt;&gt;"",$P73&lt;&gt;"N/A",$P73&lt;&gt;"No Min RQ"),_xlpm.slp,AND($T73&lt;&gt;"",$T73&lt;&gt;"N/A",$T73&lt;&gt;"No Min RQ"),_xlpm.ffp,AND($X73&lt;&gt;"",$X73&lt;&gt;"N/A",$X73&lt;&gt;"No Min RQ"),_xlpm.chp,AND($AB73&lt;&gt;"",$AB73&lt;&gt;"N/A",$AB73&lt;&gt;"No Min RQ"),_xlpm.usp,AND($AF73&lt;&gt;"",$AF73&lt;&gt;"N/A",$AF73&lt;&gt;"No Min RQ"),_xlpm.n,_xlpm.sfp+_xlpm.slp+_xlpm.ffp+_xlpm.chp+_xlpm.usp,_xlpm.sub,(_xlpm.sfp*($P73="Submitted"))+(_xlpm.slp*($T73="Submitted"))+(_xlpm.ffp*($X73="Submitted"))+(_xlpm.chp*($AB73="Submitted"))+(_xlpm.usp*($AF73="Submitted")),_xlpm.term,(_xlpm.sfp*OR($P73="Approved",$P73="Declined"))+(_xlpm.slp*OR($T73="Approved",$T73="Declined"))+(_xlpm.ffp*OR($X73="Approved",$X73="Declined"))+(_xlpm.chp*OR($AB73="Approved",$AB73="Declined"))+(_xlpm.usp*OR($AF73="Approved",$AF73="Declined")),IF(_xlpm.n=0,"No applicable lenders",IF(_xlpm.sub&gt;0,"Stays with Shaw - lender still Submitted",IF(_xlpm.term=_xlpm.n,"Clear - all applicable lenders Approved or Declined","Stays with Shaw - not all lenders Approved or Declined")))))</f>
      </c>
    </row>
    <row r="74" spans="80:80">
      <c r="CB74" s="131">
        <f>IF($A74="","",_xlfn.LET(_xlpm.sfp,AND($P74&lt;&gt;"",$P74&lt;&gt;"N/A",$P74&lt;&gt;"No Min RQ"),_xlpm.slp,AND($T74&lt;&gt;"",$T74&lt;&gt;"N/A",$T74&lt;&gt;"No Min RQ"),_xlpm.ffp,AND($X74&lt;&gt;"",$X74&lt;&gt;"N/A",$X74&lt;&gt;"No Min RQ"),_xlpm.chp,AND($AB74&lt;&gt;"",$AB74&lt;&gt;"N/A",$AB74&lt;&gt;"No Min RQ"),_xlpm.usp,AND($AF74&lt;&gt;"",$AF74&lt;&gt;"N/A",$AF74&lt;&gt;"No Min RQ"),_xlpm.n,_xlpm.sfp+_xlpm.slp+_xlpm.ffp+_xlpm.chp+_xlpm.usp,_xlpm.sub,(_xlpm.sfp*($P74="Submitted"))+(_xlpm.slp*($T74="Submitted"))+(_xlpm.ffp*($X74="Submitted"))+(_xlpm.chp*($AB74="Submitted"))+(_xlpm.usp*($AF74="Submitted")),_xlpm.term,(_xlpm.sfp*OR($P74="Approved",$P74="Declined"))+(_xlpm.slp*OR($T74="Approved",$T74="Declined"))+(_xlpm.ffp*OR($X74="Approved",$X74="Declined"))+(_xlpm.chp*OR($AB74="Approved",$AB74="Declined"))+(_xlpm.usp*OR($AF74="Approved",$AF74="Declined")),IF(_xlpm.n=0,"No applicable lenders",IF(_xlpm.sub&gt;0,"Stays with Shaw - lender still Submitted",IF(_xlpm.term=_xlpm.n,"Clear - all applicable lenders Approved or Declined","Stays with Shaw - not all lenders Approved or Declined")))))</f>
      </c>
    </row>
    <row r="75" spans="80:80">
      <c r="CB75" s="131">
        <f>IF($A75="","",_xlfn.LET(_xlpm.sfp,AND($P75&lt;&gt;"",$P75&lt;&gt;"N/A",$P75&lt;&gt;"No Min RQ"),_xlpm.slp,AND($T75&lt;&gt;"",$T75&lt;&gt;"N/A",$T75&lt;&gt;"No Min RQ"),_xlpm.ffp,AND($X75&lt;&gt;"",$X75&lt;&gt;"N/A",$X75&lt;&gt;"No Min RQ"),_xlpm.chp,AND($AB75&lt;&gt;"",$AB75&lt;&gt;"N/A",$AB75&lt;&gt;"No Min RQ"),_xlpm.usp,AND($AF75&lt;&gt;"",$AF75&lt;&gt;"N/A",$AF75&lt;&gt;"No Min RQ"),_xlpm.n,_xlpm.sfp+_xlpm.slp+_xlpm.ffp+_xlpm.chp+_xlpm.usp,_xlpm.sub,(_xlpm.sfp*($P75="Submitted"))+(_xlpm.slp*($T75="Submitted"))+(_xlpm.ffp*($X75="Submitted"))+(_xlpm.chp*($AB75="Submitted"))+(_xlpm.usp*($AF75="Submitted")),_xlpm.term,(_xlpm.sfp*OR($P75="Approved",$P75="Declined"))+(_xlpm.slp*OR($T75="Approved",$T75="Declined"))+(_xlpm.ffp*OR($X75="Approved",$X75="Declined"))+(_xlpm.chp*OR($AB75="Approved",$AB75="Declined"))+(_xlpm.usp*OR($AF75="Approved",$AF75="Declined")),IF(_xlpm.n=0,"No applicable lenders",IF(_xlpm.sub&gt;0,"Stays with Shaw - lender still Submitted",IF(_xlpm.term=_xlpm.n,"Clear - all applicable lenders Approved or Declined","Stays with Shaw - not all lenders Approved or Declined")))))</f>
      </c>
    </row>
    <row r="76" spans="80:80">
      <c r="CB76" s="131">
        <f>IF($A76="","",_xlfn.LET(_xlpm.sfp,AND($P76&lt;&gt;"",$P76&lt;&gt;"N/A",$P76&lt;&gt;"No Min RQ"),_xlpm.slp,AND($T76&lt;&gt;"",$T76&lt;&gt;"N/A",$T76&lt;&gt;"No Min RQ"),_xlpm.ffp,AND($X76&lt;&gt;"",$X76&lt;&gt;"N/A",$X76&lt;&gt;"No Min RQ"),_xlpm.chp,AND($AB76&lt;&gt;"",$AB76&lt;&gt;"N/A",$AB76&lt;&gt;"No Min RQ"),_xlpm.usp,AND($AF76&lt;&gt;"",$AF76&lt;&gt;"N/A",$AF76&lt;&gt;"No Min RQ"),_xlpm.n,_xlpm.sfp+_xlpm.slp+_xlpm.ffp+_xlpm.chp+_xlpm.usp,_xlpm.sub,(_xlpm.sfp*($P76="Submitted"))+(_xlpm.slp*($T76="Submitted"))+(_xlpm.ffp*($X76="Submitted"))+(_xlpm.chp*($AB76="Submitted"))+(_xlpm.usp*($AF76="Submitted")),_xlpm.term,(_xlpm.sfp*OR($P76="Approved",$P76="Declined"))+(_xlpm.slp*OR($T76="Approved",$T76="Declined"))+(_xlpm.ffp*OR($X76="Approved",$X76="Declined"))+(_xlpm.chp*OR($AB76="Approved",$AB76="Declined"))+(_xlpm.usp*OR($AF76="Approved",$AF76="Declined")),IF(_xlpm.n=0,"No applicable lenders",IF(_xlpm.sub&gt;0,"Stays with Shaw - lender still Submitted",IF(_xlpm.term=_xlpm.n,"Clear - all applicable lenders Approved or Declined","Stays with Shaw - not all lenders Approved or Declined")))))</f>
      </c>
    </row>
    <row r="77" spans="80:80">
      <c r="CB77" s="131">
        <f>IF($A77="","",_xlfn.LET(_xlpm.sfp,AND($P77&lt;&gt;"",$P77&lt;&gt;"N/A",$P77&lt;&gt;"No Min RQ"),_xlpm.slp,AND($T77&lt;&gt;"",$T77&lt;&gt;"N/A",$T77&lt;&gt;"No Min RQ"),_xlpm.ffp,AND($X77&lt;&gt;"",$X77&lt;&gt;"N/A",$X77&lt;&gt;"No Min RQ"),_xlpm.chp,AND($AB77&lt;&gt;"",$AB77&lt;&gt;"N/A",$AB77&lt;&gt;"No Min RQ"),_xlpm.usp,AND($AF77&lt;&gt;"",$AF77&lt;&gt;"N/A",$AF77&lt;&gt;"No Min RQ"),_xlpm.n,_xlpm.sfp+_xlpm.slp+_xlpm.ffp+_xlpm.chp+_xlpm.usp,_xlpm.sub,(_xlpm.sfp*($P77="Submitted"))+(_xlpm.slp*($T77="Submitted"))+(_xlpm.ffp*($X77="Submitted"))+(_xlpm.chp*($AB77="Submitted"))+(_xlpm.usp*($AF77="Submitted")),_xlpm.term,(_xlpm.sfp*OR($P77="Approved",$P77="Declined"))+(_xlpm.slp*OR($T77="Approved",$T77="Declined"))+(_xlpm.ffp*OR($X77="Approved",$X77="Declined"))+(_xlpm.chp*OR($AB77="Approved",$AB77="Declined"))+(_xlpm.usp*OR($AF77="Approved",$AF77="Declined")),IF(_xlpm.n=0,"No applicable lenders",IF(_xlpm.sub&gt;0,"Stays with Shaw - lender still Submitted",IF(_xlpm.term=_xlpm.n,"Clear - all applicable lenders Approved or Declined","Stays with Shaw - not all lenders Approved or Declined")))))</f>
      </c>
    </row>
    <row r="78" spans="80:80">
      <c r="CB78" s="131">
        <f>IF($A78="","",_xlfn.LET(_xlpm.sfp,AND($P78&lt;&gt;"",$P78&lt;&gt;"N/A",$P78&lt;&gt;"No Min RQ"),_xlpm.slp,AND($T78&lt;&gt;"",$T78&lt;&gt;"N/A",$T78&lt;&gt;"No Min RQ"),_xlpm.ffp,AND($X78&lt;&gt;"",$X78&lt;&gt;"N/A",$X78&lt;&gt;"No Min RQ"),_xlpm.chp,AND($AB78&lt;&gt;"",$AB78&lt;&gt;"N/A",$AB78&lt;&gt;"No Min RQ"),_xlpm.usp,AND($AF78&lt;&gt;"",$AF78&lt;&gt;"N/A",$AF78&lt;&gt;"No Min RQ"),_xlpm.n,_xlpm.sfp+_xlpm.slp+_xlpm.ffp+_xlpm.chp+_xlpm.usp,_xlpm.sub,(_xlpm.sfp*($P78="Submitted"))+(_xlpm.slp*($T78="Submitted"))+(_xlpm.ffp*($X78="Submitted"))+(_xlpm.chp*($AB78="Submitted"))+(_xlpm.usp*($AF78="Submitted")),_xlpm.term,(_xlpm.sfp*OR($P78="Approved",$P78="Declined"))+(_xlpm.slp*OR($T78="Approved",$T78="Declined"))+(_xlpm.ffp*OR($X78="Approved",$X78="Declined"))+(_xlpm.chp*OR($AB78="Approved",$AB78="Declined"))+(_xlpm.usp*OR($AF78="Approved",$AF78="Declined")),IF(_xlpm.n=0,"No applicable lenders",IF(_xlpm.sub&gt;0,"Stays with Shaw - lender still Submitted",IF(_xlpm.term=_xlpm.n,"Clear - all applicable lenders Approved or Declined","Stays with Shaw - not all lenders Approved or Declined")))))</f>
      </c>
    </row>
    <row r="79" spans="80:80">
      <c r="CB79" s="131">
        <f>IF($A79="","",_xlfn.LET(_xlpm.sfp,AND($P79&lt;&gt;"",$P79&lt;&gt;"N/A",$P79&lt;&gt;"No Min RQ"),_xlpm.slp,AND($T79&lt;&gt;"",$T79&lt;&gt;"N/A",$T79&lt;&gt;"No Min RQ"),_xlpm.ffp,AND($X79&lt;&gt;"",$X79&lt;&gt;"N/A",$X79&lt;&gt;"No Min RQ"),_xlpm.chp,AND($AB79&lt;&gt;"",$AB79&lt;&gt;"N/A",$AB79&lt;&gt;"No Min RQ"),_xlpm.usp,AND($AF79&lt;&gt;"",$AF79&lt;&gt;"N/A",$AF79&lt;&gt;"No Min RQ"),_xlpm.n,_xlpm.sfp+_xlpm.slp+_xlpm.ffp+_xlpm.chp+_xlpm.usp,_xlpm.sub,(_xlpm.sfp*($P79="Submitted"))+(_xlpm.slp*($T79="Submitted"))+(_xlpm.ffp*($X79="Submitted"))+(_xlpm.chp*($AB79="Submitted"))+(_xlpm.usp*($AF79="Submitted")),_xlpm.term,(_xlpm.sfp*OR($P79="Approved",$P79="Declined"))+(_xlpm.slp*OR($T79="Approved",$T79="Declined"))+(_xlpm.ffp*OR($X79="Approved",$X79="Declined"))+(_xlpm.chp*OR($AB79="Approved",$AB79="Declined"))+(_xlpm.usp*OR($AF79="Approved",$AF79="Declined")),IF(_xlpm.n=0,"No applicable lenders",IF(_xlpm.sub&gt;0,"Stays with Shaw - lender still Submitted",IF(_xlpm.term=_xlpm.n,"Clear - all applicable lenders Approved or Declined","Stays with Shaw - not all lenders Approved or Declined")))))</f>
      </c>
    </row>
    <row r="80" spans="80:80">
      <c r="CB80" s="131">
        <f>IF($A80="","",_xlfn.LET(_xlpm.sfp,AND($P80&lt;&gt;"",$P80&lt;&gt;"N/A",$P80&lt;&gt;"No Min RQ"),_xlpm.slp,AND($T80&lt;&gt;"",$T80&lt;&gt;"N/A",$T80&lt;&gt;"No Min RQ"),_xlpm.ffp,AND($X80&lt;&gt;"",$X80&lt;&gt;"N/A",$X80&lt;&gt;"No Min RQ"),_xlpm.chp,AND($AB80&lt;&gt;"",$AB80&lt;&gt;"N/A",$AB80&lt;&gt;"No Min RQ"),_xlpm.usp,AND($AF80&lt;&gt;"",$AF80&lt;&gt;"N/A",$AF80&lt;&gt;"No Min RQ"),_xlpm.n,_xlpm.sfp+_xlpm.slp+_xlpm.ffp+_xlpm.chp+_xlpm.usp,_xlpm.sub,(_xlpm.sfp*($P80="Submitted"))+(_xlpm.slp*($T80="Submitted"))+(_xlpm.ffp*($X80="Submitted"))+(_xlpm.chp*($AB80="Submitted"))+(_xlpm.usp*($AF80="Submitted")),_xlpm.term,(_xlpm.sfp*OR($P80="Approved",$P80="Declined"))+(_xlpm.slp*OR($T80="Approved",$T80="Declined"))+(_xlpm.ffp*OR($X80="Approved",$X80="Declined"))+(_xlpm.chp*OR($AB80="Approved",$AB80="Declined"))+(_xlpm.usp*OR($AF80="Approved",$AF80="Declined")),IF(_xlpm.n=0,"No applicable lenders",IF(_xlpm.sub&gt;0,"Stays with Shaw - lender still Submitted",IF(_xlpm.term=_xlpm.n,"Clear - all applicable lenders Approved or Declined","Stays with Shaw - not all lenders Approved or Declined")))))</f>
      </c>
    </row>
    <row r="81" spans="80:80">
      <c r="CB81" s="131">
        <f>IF($A81="","",_xlfn.LET(_xlpm.sfp,AND($P81&lt;&gt;"",$P81&lt;&gt;"N/A",$P81&lt;&gt;"No Min RQ"),_xlpm.slp,AND($T81&lt;&gt;"",$T81&lt;&gt;"N/A",$T81&lt;&gt;"No Min RQ"),_xlpm.ffp,AND($X81&lt;&gt;"",$X81&lt;&gt;"N/A",$X81&lt;&gt;"No Min RQ"),_xlpm.chp,AND($AB81&lt;&gt;"",$AB81&lt;&gt;"N/A",$AB81&lt;&gt;"No Min RQ"),_xlpm.usp,AND($AF81&lt;&gt;"",$AF81&lt;&gt;"N/A",$AF81&lt;&gt;"No Min RQ"),_xlpm.n,_xlpm.sfp+_xlpm.slp+_xlpm.ffp+_xlpm.chp+_xlpm.usp,_xlpm.sub,(_xlpm.sfp*($P81="Submitted"))+(_xlpm.slp*($T81="Submitted"))+(_xlpm.ffp*($X81="Submitted"))+(_xlpm.chp*($AB81="Submitted"))+(_xlpm.usp*($AF81="Submitted")),_xlpm.term,(_xlpm.sfp*OR($P81="Approved",$P81="Declined"))+(_xlpm.slp*OR($T81="Approved",$T81="Declined"))+(_xlpm.ffp*OR($X81="Approved",$X81="Declined"))+(_xlpm.chp*OR($AB81="Approved",$AB81="Declined"))+(_xlpm.usp*OR($AF81="Approved",$AF81="Declined")),IF(_xlpm.n=0,"No applicable lenders",IF(_xlpm.sub&gt;0,"Stays with Shaw - lender still Submitted",IF(_xlpm.term=_xlpm.n,"Clear - all applicable lenders Approved or Declined","Stays with Shaw - not all lenders Approved or Declined")))))</f>
      </c>
    </row>
    <row r="82" spans="80:80">
      <c r="CB82" s="131">
        <f>IF($A82="","",_xlfn.LET(_xlpm.sfp,AND($P82&lt;&gt;"",$P82&lt;&gt;"N/A",$P82&lt;&gt;"No Min RQ"),_xlpm.slp,AND($T82&lt;&gt;"",$T82&lt;&gt;"N/A",$T82&lt;&gt;"No Min RQ"),_xlpm.ffp,AND($X82&lt;&gt;"",$X82&lt;&gt;"N/A",$X82&lt;&gt;"No Min RQ"),_xlpm.chp,AND($AB82&lt;&gt;"",$AB82&lt;&gt;"N/A",$AB82&lt;&gt;"No Min RQ"),_xlpm.usp,AND($AF82&lt;&gt;"",$AF82&lt;&gt;"N/A",$AF82&lt;&gt;"No Min RQ"),_xlpm.n,_xlpm.sfp+_xlpm.slp+_xlpm.ffp+_xlpm.chp+_xlpm.usp,_xlpm.sub,(_xlpm.sfp*($P82="Submitted"))+(_xlpm.slp*($T82="Submitted"))+(_xlpm.ffp*($X82="Submitted"))+(_xlpm.chp*($AB82="Submitted"))+(_xlpm.usp*($AF82="Submitted")),_xlpm.term,(_xlpm.sfp*OR($P82="Approved",$P82="Declined"))+(_xlpm.slp*OR($T82="Approved",$T82="Declined"))+(_xlpm.ffp*OR($X82="Approved",$X82="Declined"))+(_xlpm.chp*OR($AB82="Approved",$AB82="Declined"))+(_xlpm.usp*OR($AF82="Approved",$AF82="Declined")),IF(_xlpm.n=0,"No applicable lenders",IF(_xlpm.sub&gt;0,"Stays with Shaw - lender still Submitted",IF(_xlpm.term=_xlpm.n,"Clear - all applicable lenders Approved or Declined","Stays with Shaw - not all lenders Approved or Declined")))))</f>
      </c>
    </row>
    <row r="83" spans="80:80">
      <c r="CB83" s="131">
        <f>IF($A83="","",_xlfn.LET(_xlpm.sfp,AND($P83&lt;&gt;"",$P83&lt;&gt;"N/A",$P83&lt;&gt;"No Min RQ"),_xlpm.slp,AND($T83&lt;&gt;"",$T83&lt;&gt;"N/A",$T83&lt;&gt;"No Min RQ"),_xlpm.ffp,AND($X83&lt;&gt;"",$X83&lt;&gt;"N/A",$X83&lt;&gt;"No Min RQ"),_xlpm.chp,AND($AB83&lt;&gt;"",$AB83&lt;&gt;"N/A",$AB83&lt;&gt;"No Min RQ"),_xlpm.usp,AND($AF83&lt;&gt;"",$AF83&lt;&gt;"N/A",$AF83&lt;&gt;"No Min RQ"),_xlpm.n,_xlpm.sfp+_xlpm.slp+_xlpm.ffp+_xlpm.chp+_xlpm.usp,_xlpm.sub,(_xlpm.sfp*($P83="Submitted"))+(_xlpm.slp*($T83="Submitted"))+(_xlpm.ffp*($X83="Submitted"))+(_xlpm.chp*($AB83="Submitted"))+(_xlpm.usp*($AF83="Submitted")),_xlpm.term,(_xlpm.sfp*OR($P83="Approved",$P83="Declined"))+(_xlpm.slp*OR($T83="Approved",$T83="Declined"))+(_xlpm.ffp*OR($X83="Approved",$X83="Declined"))+(_xlpm.chp*OR($AB83="Approved",$AB83="Declined"))+(_xlpm.usp*OR($AF83="Approved",$AF83="Declined")),IF(_xlpm.n=0,"No applicable lenders",IF(_xlpm.sub&gt;0,"Stays with Shaw - lender still Submitted",IF(_xlpm.term=_xlpm.n,"Clear - all applicable lenders Approved or Declined","Stays with Shaw - not all lenders Approved or Declined")))))</f>
      </c>
    </row>
    <row r="84" spans="80:80">
      <c r="CB84" s="131">
        <f>IF($A84="","",_xlfn.LET(_xlpm.sfp,AND($P84&lt;&gt;"",$P84&lt;&gt;"N/A",$P84&lt;&gt;"No Min RQ"),_xlpm.slp,AND($T84&lt;&gt;"",$T84&lt;&gt;"N/A",$T84&lt;&gt;"No Min RQ"),_xlpm.ffp,AND($X84&lt;&gt;"",$X84&lt;&gt;"N/A",$X84&lt;&gt;"No Min RQ"),_xlpm.chp,AND($AB84&lt;&gt;"",$AB84&lt;&gt;"N/A",$AB84&lt;&gt;"No Min RQ"),_xlpm.usp,AND($AF84&lt;&gt;"",$AF84&lt;&gt;"N/A",$AF84&lt;&gt;"No Min RQ"),_xlpm.n,_xlpm.sfp+_xlpm.slp+_xlpm.ffp+_xlpm.chp+_xlpm.usp,_xlpm.sub,(_xlpm.sfp*($P84="Submitted"))+(_xlpm.slp*($T84="Submitted"))+(_xlpm.ffp*($X84="Submitted"))+(_xlpm.chp*($AB84="Submitted"))+(_xlpm.usp*($AF84="Submitted")),_xlpm.term,(_xlpm.sfp*OR($P84="Approved",$P84="Declined"))+(_xlpm.slp*OR($T84="Approved",$T84="Declined"))+(_xlpm.ffp*OR($X84="Approved",$X84="Declined"))+(_xlpm.chp*OR($AB84="Approved",$AB84="Declined"))+(_xlpm.usp*OR($AF84="Approved",$AF84="Declined")),IF(_xlpm.n=0,"No applicable lenders",IF(_xlpm.sub&gt;0,"Stays with Shaw - lender still Submitted",IF(_xlpm.term=_xlpm.n,"Clear - all applicable lenders Approved or Declined","Stays with Shaw - not all lenders Approved or Declined")))))</f>
      </c>
    </row>
    <row r="85" spans="80:80">
      <c r="CB85" s="131">
        <f>IF($A85="","",_xlfn.LET(_xlpm.sfp,AND($P85&lt;&gt;"",$P85&lt;&gt;"N/A",$P85&lt;&gt;"No Min RQ"),_xlpm.slp,AND($T85&lt;&gt;"",$T85&lt;&gt;"N/A",$T85&lt;&gt;"No Min RQ"),_xlpm.ffp,AND($X85&lt;&gt;"",$X85&lt;&gt;"N/A",$X85&lt;&gt;"No Min RQ"),_xlpm.chp,AND($AB85&lt;&gt;"",$AB85&lt;&gt;"N/A",$AB85&lt;&gt;"No Min RQ"),_xlpm.usp,AND($AF85&lt;&gt;"",$AF85&lt;&gt;"N/A",$AF85&lt;&gt;"No Min RQ"),_xlpm.n,_xlpm.sfp+_xlpm.slp+_xlpm.ffp+_xlpm.chp+_xlpm.usp,_xlpm.sub,(_xlpm.sfp*($P85="Submitted"))+(_xlpm.slp*($T85="Submitted"))+(_xlpm.ffp*($X85="Submitted"))+(_xlpm.chp*($AB85="Submitted"))+(_xlpm.usp*($AF85="Submitted")),_xlpm.term,(_xlpm.sfp*OR($P85="Approved",$P85="Declined"))+(_xlpm.slp*OR($T85="Approved",$T85="Declined"))+(_xlpm.ffp*OR($X85="Approved",$X85="Declined"))+(_xlpm.chp*OR($AB85="Approved",$AB85="Declined"))+(_xlpm.usp*OR($AF85="Approved",$AF85="Declined")),IF(_xlpm.n=0,"No applicable lenders",IF(_xlpm.sub&gt;0,"Stays with Shaw - lender still Submitted",IF(_xlpm.term=_xlpm.n,"Clear - all applicable lenders Approved or Declined","Stays with Shaw - not all lenders Approved or Declined")))))</f>
      </c>
    </row>
    <row r="86" spans="80:80">
      <c r="CB86" s="131">
        <f>IF($A86="","",_xlfn.LET(_xlpm.sfp,AND($P86&lt;&gt;"",$P86&lt;&gt;"N/A",$P86&lt;&gt;"No Min RQ"),_xlpm.slp,AND($T86&lt;&gt;"",$T86&lt;&gt;"N/A",$T86&lt;&gt;"No Min RQ"),_xlpm.ffp,AND($X86&lt;&gt;"",$X86&lt;&gt;"N/A",$X86&lt;&gt;"No Min RQ"),_xlpm.chp,AND($AB86&lt;&gt;"",$AB86&lt;&gt;"N/A",$AB86&lt;&gt;"No Min RQ"),_xlpm.usp,AND($AF86&lt;&gt;"",$AF86&lt;&gt;"N/A",$AF86&lt;&gt;"No Min RQ"),_xlpm.n,_xlpm.sfp+_xlpm.slp+_xlpm.ffp+_xlpm.chp+_xlpm.usp,_xlpm.sub,(_xlpm.sfp*($P86="Submitted"))+(_xlpm.slp*($T86="Submitted"))+(_xlpm.ffp*($X86="Submitted"))+(_xlpm.chp*($AB86="Submitted"))+(_xlpm.usp*($AF86="Submitted")),_xlpm.term,(_xlpm.sfp*OR($P86="Approved",$P86="Declined"))+(_xlpm.slp*OR($T86="Approved",$T86="Declined"))+(_xlpm.ffp*OR($X86="Approved",$X86="Declined"))+(_xlpm.chp*OR($AB86="Approved",$AB86="Declined"))+(_xlpm.usp*OR($AF86="Approved",$AF86="Declined")),IF(_xlpm.n=0,"No applicable lenders",IF(_xlpm.sub&gt;0,"Stays with Shaw - lender still Submitted",IF(_xlpm.term=_xlpm.n,"Clear - all applicable lenders Approved or Declined","Stays with Shaw - not all lenders Approved or Declined")))))</f>
      </c>
    </row>
    <row r="87" spans="80:80">
      <c r="CB87" s="131">
        <f>IF($A87="","",_xlfn.LET(_xlpm.sfp,AND($P87&lt;&gt;"",$P87&lt;&gt;"N/A",$P87&lt;&gt;"No Min RQ"),_xlpm.slp,AND($T87&lt;&gt;"",$T87&lt;&gt;"N/A",$T87&lt;&gt;"No Min RQ"),_xlpm.ffp,AND($X87&lt;&gt;"",$X87&lt;&gt;"N/A",$X87&lt;&gt;"No Min RQ"),_xlpm.chp,AND($AB87&lt;&gt;"",$AB87&lt;&gt;"N/A",$AB87&lt;&gt;"No Min RQ"),_xlpm.usp,AND($AF87&lt;&gt;"",$AF87&lt;&gt;"N/A",$AF87&lt;&gt;"No Min RQ"),_xlpm.n,_xlpm.sfp+_xlpm.slp+_xlpm.ffp+_xlpm.chp+_xlpm.usp,_xlpm.sub,(_xlpm.sfp*($P87="Submitted"))+(_xlpm.slp*($T87="Submitted"))+(_xlpm.ffp*($X87="Submitted"))+(_xlpm.chp*($AB87="Submitted"))+(_xlpm.usp*($AF87="Submitted")),_xlpm.term,(_xlpm.sfp*OR($P87="Approved",$P87="Declined"))+(_xlpm.slp*OR($T87="Approved",$T87="Declined"))+(_xlpm.ffp*OR($X87="Approved",$X87="Declined"))+(_xlpm.chp*OR($AB87="Approved",$AB87="Declined"))+(_xlpm.usp*OR($AF87="Approved",$AF87="Declined")),IF(_xlpm.n=0,"No applicable lenders",IF(_xlpm.sub&gt;0,"Stays with Shaw - lender still Submitted",IF(_xlpm.term=_xlpm.n,"Clear - all applicable lenders Approved or Declined","Stays with Shaw - not all lenders Approved or Declined")))))</f>
      </c>
    </row>
    <row r="88" spans="80:80">
      <c r="CB88" s="131">
        <f>IF($A88="","",_xlfn.LET(_xlpm.sfp,AND($P88&lt;&gt;"",$P88&lt;&gt;"N/A",$P88&lt;&gt;"No Min RQ"),_xlpm.slp,AND($T88&lt;&gt;"",$T88&lt;&gt;"N/A",$T88&lt;&gt;"No Min RQ"),_xlpm.ffp,AND($X88&lt;&gt;"",$X88&lt;&gt;"N/A",$X88&lt;&gt;"No Min RQ"),_xlpm.chp,AND($AB88&lt;&gt;"",$AB88&lt;&gt;"N/A",$AB88&lt;&gt;"No Min RQ"),_xlpm.usp,AND($AF88&lt;&gt;"",$AF88&lt;&gt;"N/A",$AF88&lt;&gt;"No Min RQ"),_xlpm.n,_xlpm.sfp+_xlpm.slp+_xlpm.ffp+_xlpm.chp+_xlpm.usp,_xlpm.sub,(_xlpm.sfp*($P88="Submitted"))+(_xlpm.slp*($T88="Submitted"))+(_xlpm.ffp*($X88="Submitted"))+(_xlpm.chp*($AB88="Submitted"))+(_xlpm.usp*($AF88="Submitted")),_xlpm.term,(_xlpm.sfp*OR($P88="Approved",$P88="Declined"))+(_xlpm.slp*OR($T88="Approved",$T88="Declined"))+(_xlpm.ffp*OR($X88="Approved",$X88="Declined"))+(_xlpm.chp*OR($AB88="Approved",$AB88="Declined"))+(_xlpm.usp*OR($AF88="Approved",$AF88="Declined")),IF(_xlpm.n=0,"No applicable lenders",IF(_xlpm.sub&gt;0,"Stays with Shaw - lender still Submitted",IF(_xlpm.term=_xlpm.n,"Clear - all applicable lenders Approved or Declined","Stays with Shaw - not all lenders Approved or Declined")))))</f>
      </c>
    </row>
    <row r="89" spans="80:80">
      <c r="CB89" s="131">
        <f>IF($A89="","",_xlfn.LET(_xlpm.sfp,AND($P89&lt;&gt;"",$P89&lt;&gt;"N/A",$P89&lt;&gt;"No Min RQ"),_xlpm.slp,AND($T89&lt;&gt;"",$T89&lt;&gt;"N/A",$T89&lt;&gt;"No Min RQ"),_xlpm.ffp,AND($X89&lt;&gt;"",$X89&lt;&gt;"N/A",$X89&lt;&gt;"No Min RQ"),_xlpm.chp,AND($AB89&lt;&gt;"",$AB89&lt;&gt;"N/A",$AB89&lt;&gt;"No Min RQ"),_xlpm.usp,AND($AF89&lt;&gt;"",$AF89&lt;&gt;"N/A",$AF89&lt;&gt;"No Min RQ"),_xlpm.n,_xlpm.sfp+_xlpm.slp+_xlpm.ffp+_xlpm.chp+_xlpm.usp,_xlpm.sub,(_xlpm.sfp*($P89="Submitted"))+(_xlpm.slp*($T89="Submitted"))+(_xlpm.ffp*($X89="Submitted"))+(_xlpm.chp*($AB89="Submitted"))+(_xlpm.usp*($AF89="Submitted")),_xlpm.term,(_xlpm.sfp*OR($P89="Approved",$P89="Declined"))+(_xlpm.slp*OR($T89="Approved",$T89="Declined"))+(_xlpm.ffp*OR($X89="Approved",$X89="Declined"))+(_xlpm.chp*OR($AB89="Approved",$AB89="Declined"))+(_xlpm.usp*OR($AF89="Approved",$AF89="Declined")),IF(_xlpm.n=0,"No applicable lenders",IF(_xlpm.sub&gt;0,"Stays with Shaw - lender still Submitted",IF(_xlpm.term=_xlpm.n,"Clear - all applicable lenders Approved or Declined","Stays with Shaw - not all lenders Approved or Declined")))))</f>
      </c>
    </row>
    <row r="90" spans="80:80">
      <c r="CB90" s="131">
        <f>IF($A90="","",_xlfn.LET(_xlpm.sfp,AND($P90&lt;&gt;"",$P90&lt;&gt;"N/A",$P90&lt;&gt;"No Min RQ"),_xlpm.slp,AND($T90&lt;&gt;"",$T90&lt;&gt;"N/A",$T90&lt;&gt;"No Min RQ"),_xlpm.ffp,AND($X90&lt;&gt;"",$X90&lt;&gt;"N/A",$X90&lt;&gt;"No Min RQ"),_xlpm.chp,AND($AB90&lt;&gt;"",$AB90&lt;&gt;"N/A",$AB90&lt;&gt;"No Min RQ"),_xlpm.usp,AND($AF90&lt;&gt;"",$AF90&lt;&gt;"N/A",$AF90&lt;&gt;"No Min RQ"),_xlpm.n,_xlpm.sfp+_xlpm.slp+_xlpm.ffp+_xlpm.chp+_xlpm.usp,_xlpm.sub,(_xlpm.sfp*($P90="Submitted"))+(_xlpm.slp*($T90="Submitted"))+(_xlpm.ffp*($X90="Submitted"))+(_xlpm.chp*($AB90="Submitted"))+(_xlpm.usp*($AF90="Submitted")),_xlpm.term,(_xlpm.sfp*OR($P90="Approved",$P90="Declined"))+(_xlpm.slp*OR($T90="Approved",$T90="Declined"))+(_xlpm.ffp*OR($X90="Approved",$X90="Declined"))+(_xlpm.chp*OR($AB90="Approved",$AB90="Declined"))+(_xlpm.usp*OR($AF90="Approved",$AF90="Declined")),IF(_xlpm.n=0,"No applicable lenders",IF(_xlpm.sub&gt;0,"Stays with Shaw - lender still Submitted",IF(_xlpm.term=_xlpm.n,"Clear - all applicable lenders Approved or Declined","Stays with Shaw - not all lenders Approved or Declined")))))</f>
      </c>
    </row>
    <row r="91" spans="80:80">
      <c r="CB91" s="131">
        <f>IF($A91="","",_xlfn.LET(_xlpm.sfp,AND($P91&lt;&gt;"",$P91&lt;&gt;"N/A",$P91&lt;&gt;"No Min RQ"),_xlpm.slp,AND($T91&lt;&gt;"",$T91&lt;&gt;"N/A",$T91&lt;&gt;"No Min RQ"),_xlpm.ffp,AND($X91&lt;&gt;"",$X91&lt;&gt;"N/A",$X91&lt;&gt;"No Min RQ"),_xlpm.chp,AND($AB91&lt;&gt;"",$AB91&lt;&gt;"N/A",$AB91&lt;&gt;"No Min RQ"),_xlpm.usp,AND($AF91&lt;&gt;"",$AF91&lt;&gt;"N/A",$AF91&lt;&gt;"No Min RQ"),_xlpm.n,_xlpm.sfp+_xlpm.slp+_xlpm.ffp+_xlpm.chp+_xlpm.usp,_xlpm.sub,(_xlpm.sfp*($P91="Submitted"))+(_xlpm.slp*($T91="Submitted"))+(_xlpm.ffp*($X91="Submitted"))+(_xlpm.chp*($AB91="Submitted"))+(_xlpm.usp*($AF91="Submitted")),_xlpm.term,(_xlpm.sfp*OR($P91="Approved",$P91="Declined"))+(_xlpm.slp*OR($T91="Approved",$T91="Declined"))+(_xlpm.ffp*OR($X91="Approved",$X91="Declined"))+(_xlpm.chp*OR($AB91="Approved",$AB91="Declined"))+(_xlpm.usp*OR($AF91="Approved",$AF91="Declined")),IF(_xlpm.n=0,"No applicable lenders",IF(_xlpm.sub&gt;0,"Stays with Shaw - lender still Submitted",IF(_xlpm.term=_xlpm.n,"Clear - all applicable lenders Approved or Declined","Stays with Shaw - not all lenders Approved or Declined")))))</f>
      </c>
    </row>
    <row r="92" spans="80:80">
      <c r="CB92" s="131">
        <f>IF($A92="","",_xlfn.LET(_xlpm.sfp,AND($P92&lt;&gt;"",$P92&lt;&gt;"N/A",$P92&lt;&gt;"No Min RQ"),_xlpm.slp,AND($T92&lt;&gt;"",$T92&lt;&gt;"N/A",$T92&lt;&gt;"No Min RQ"),_xlpm.ffp,AND($X92&lt;&gt;"",$X92&lt;&gt;"N/A",$X92&lt;&gt;"No Min RQ"),_xlpm.chp,AND($AB92&lt;&gt;"",$AB92&lt;&gt;"N/A",$AB92&lt;&gt;"No Min RQ"),_xlpm.usp,AND($AF92&lt;&gt;"",$AF92&lt;&gt;"N/A",$AF92&lt;&gt;"No Min RQ"),_xlpm.n,_xlpm.sfp+_xlpm.slp+_xlpm.ffp+_xlpm.chp+_xlpm.usp,_xlpm.sub,(_xlpm.sfp*($P92="Submitted"))+(_xlpm.slp*($T92="Submitted"))+(_xlpm.ffp*($X92="Submitted"))+(_xlpm.chp*($AB92="Submitted"))+(_xlpm.usp*($AF92="Submitted")),_xlpm.term,(_xlpm.sfp*OR($P92="Approved",$P92="Declined"))+(_xlpm.slp*OR($T92="Approved",$T92="Declined"))+(_xlpm.ffp*OR($X92="Approved",$X92="Declined"))+(_xlpm.chp*OR($AB92="Approved",$AB92="Declined"))+(_xlpm.usp*OR($AF92="Approved",$AF92="Declined")),IF(_xlpm.n=0,"No applicable lenders",IF(_xlpm.sub&gt;0,"Stays with Shaw - lender still Submitted",IF(_xlpm.term=_xlpm.n,"Clear - all applicable lenders Approved or Declined","Stays with Shaw - not all lenders Approved or Declined")))))</f>
      </c>
    </row>
    <row r="93" spans="80:80">
      <c r="CB93" s="131">
        <f>IF($A93="","",_xlfn.LET(_xlpm.sfp,AND($P93&lt;&gt;"",$P93&lt;&gt;"N/A",$P93&lt;&gt;"No Min RQ"),_xlpm.slp,AND($T93&lt;&gt;"",$T93&lt;&gt;"N/A",$T93&lt;&gt;"No Min RQ"),_xlpm.ffp,AND($X93&lt;&gt;"",$X93&lt;&gt;"N/A",$X93&lt;&gt;"No Min RQ"),_xlpm.chp,AND($AB93&lt;&gt;"",$AB93&lt;&gt;"N/A",$AB93&lt;&gt;"No Min RQ"),_xlpm.usp,AND($AF93&lt;&gt;"",$AF93&lt;&gt;"N/A",$AF93&lt;&gt;"No Min RQ"),_xlpm.n,_xlpm.sfp+_xlpm.slp+_xlpm.ffp+_xlpm.chp+_xlpm.usp,_xlpm.sub,(_xlpm.sfp*($P93="Submitted"))+(_xlpm.slp*($T93="Submitted"))+(_xlpm.ffp*($X93="Submitted"))+(_xlpm.chp*($AB93="Submitted"))+(_xlpm.usp*($AF93="Submitted")),_xlpm.term,(_xlpm.sfp*OR($P93="Approved",$P93="Declined"))+(_xlpm.slp*OR($T93="Approved",$T93="Declined"))+(_xlpm.ffp*OR($X93="Approved",$X93="Declined"))+(_xlpm.chp*OR($AB93="Approved",$AB93="Declined"))+(_xlpm.usp*OR($AF93="Approved",$AF93="Declined")),IF(_xlpm.n=0,"No applicable lenders",IF(_xlpm.sub&gt;0,"Stays with Shaw - lender still Submitted",IF(_xlpm.term=_xlpm.n,"Clear - all applicable lenders Approved or Declined","Stays with Shaw - not all lenders Approved or Declined")))))</f>
      </c>
    </row>
    <row r="94" spans="80:80">
      <c r="CB94" s="131">
        <f>IF($A94="","",_xlfn.LET(_xlpm.sfp,AND($P94&lt;&gt;"",$P94&lt;&gt;"N/A",$P94&lt;&gt;"No Min RQ"),_xlpm.slp,AND($T94&lt;&gt;"",$T94&lt;&gt;"N/A",$T94&lt;&gt;"No Min RQ"),_xlpm.ffp,AND($X94&lt;&gt;"",$X94&lt;&gt;"N/A",$X94&lt;&gt;"No Min RQ"),_xlpm.chp,AND($AB94&lt;&gt;"",$AB94&lt;&gt;"N/A",$AB94&lt;&gt;"No Min RQ"),_xlpm.usp,AND($AF94&lt;&gt;"",$AF94&lt;&gt;"N/A",$AF94&lt;&gt;"No Min RQ"),_xlpm.n,_xlpm.sfp+_xlpm.slp+_xlpm.ffp+_xlpm.chp+_xlpm.usp,_xlpm.sub,(_xlpm.sfp*($P94="Submitted"))+(_xlpm.slp*($T94="Submitted"))+(_xlpm.ffp*($X94="Submitted"))+(_xlpm.chp*($AB94="Submitted"))+(_xlpm.usp*($AF94="Submitted")),_xlpm.term,(_xlpm.sfp*OR($P94="Approved",$P94="Declined"))+(_xlpm.slp*OR($T94="Approved",$T94="Declined"))+(_xlpm.ffp*OR($X94="Approved",$X94="Declined"))+(_xlpm.chp*OR($AB94="Approved",$AB94="Declined"))+(_xlpm.usp*OR($AF94="Approved",$AF94="Declined")),IF(_xlpm.n=0,"No applicable lenders",IF(_xlpm.sub&gt;0,"Stays with Shaw - lender still Submitted",IF(_xlpm.term=_xlpm.n,"Clear - all applicable lenders Approved or Declined","Stays with Shaw - not all lenders Approved or Declined")))))</f>
      </c>
    </row>
    <row r="95" spans="80:80">
      <c r="CB95" s="131">
        <f>IF($A95="","",_xlfn.LET(_xlpm.sfp,AND($P95&lt;&gt;"",$P95&lt;&gt;"N/A",$P95&lt;&gt;"No Min RQ"),_xlpm.slp,AND($T95&lt;&gt;"",$T95&lt;&gt;"N/A",$T95&lt;&gt;"No Min RQ"),_xlpm.ffp,AND($X95&lt;&gt;"",$X95&lt;&gt;"N/A",$X95&lt;&gt;"No Min RQ"),_xlpm.chp,AND($AB95&lt;&gt;"",$AB95&lt;&gt;"N/A",$AB95&lt;&gt;"No Min RQ"),_xlpm.usp,AND($AF95&lt;&gt;"",$AF95&lt;&gt;"N/A",$AF95&lt;&gt;"No Min RQ"),_xlpm.n,_xlpm.sfp+_xlpm.slp+_xlpm.ffp+_xlpm.chp+_xlpm.usp,_xlpm.sub,(_xlpm.sfp*($P95="Submitted"))+(_xlpm.slp*($T95="Submitted"))+(_xlpm.ffp*($X95="Submitted"))+(_xlpm.chp*($AB95="Submitted"))+(_xlpm.usp*($AF95="Submitted")),_xlpm.term,(_xlpm.sfp*OR($P95="Approved",$P95="Declined"))+(_xlpm.slp*OR($T95="Approved",$T95="Declined"))+(_xlpm.ffp*OR($X95="Approved",$X95="Declined"))+(_xlpm.chp*OR($AB95="Approved",$AB95="Declined"))+(_xlpm.usp*OR($AF95="Approved",$AF95="Declined")),IF(_xlpm.n=0,"No applicable lenders",IF(_xlpm.sub&gt;0,"Stays with Shaw - lender still Submitted",IF(_xlpm.term=_xlpm.n,"Clear - all applicable lenders Approved or Declined","Stays with Shaw - not all lenders Approved or Declined")))))</f>
      </c>
    </row>
    <row r="96" spans="80:80">
      <c r="CB96" s="131">
        <f>IF($A96="","",_xlfn.LET(_xlpm.sfp,AND($P96&lt;&gt;"",$P96&lt;&gt;"N/A",$P96&lt;&gt;"No Min RQ"),_xlpm.slp,AND($T96&lt;&gt;"",$T96&lt;&gt;"N/A",$T96&lt;&gt;"No Min RQ"),_xlpm.ffp,AND($X96&lt;&gt;"",$X96&lt;&gt;"N/A",$X96&lt;&gt;"No Min RQ"),_xlpm.chp,AND($AB96&lt;&gt;"",$AB96&lt;&gt;"N/A",$AB96&lt;&gt;"No Min RQ"),_xlpm.usp,AND($AF96&lt;&gt;"",$AF96&lt;&gt;"N/A",$AF96&lt;&gt;"No Min RQ"),_xlpm.n,_xlpm.sfp+_xlpm.slp+_xlpm.ffp+_xlpm.chp+_xlpm.usp,_xlpm.sub,(_xlpm.sfp*($P96="Submitted"))+(_xlpm.slp*($T96="Submitted"))+(_xlpm.ffp*($X96="Submitted"))+(_xlpm.chp*($AB96="Submitted"))+(_xlpm.usp*($AF96="Submitted")),_xlpm.term,(_xlpm.sfp*OR($P96="Approved",$P96="Declined"))+(_xlpm.slp*OR($T96="Approved",$T96="Declined"))+(_xlpm.ffp*OR($X96="Approved",$X96="Declined"))+(_xlpm.chp*OR($AB96="Approved",$AB96="Declined"))+(_xlpm.usp*OR($AF96="Approved",$AF96="Declined")),IF(_xlpm.n=0,"No applicable lenders",IF(_xlpm.sub&gt;0,"Stays with Shaw - lender still Submitted",IF(_xlpm.term=_xlpm.n,"Clear - all applicable lenders Approved or Declined","Stays with Shaw - not all lenders Approved or Declined")))))</f>
      </c>
    </row>
    <row r="97" spans="80:80">
      <c r="CB97" s="131">
        <f>IF($A97="","",_xlfn.LET(_xlpm.sfp,AND($P97&lt;&gt;"",$P97&lt;&gt;"N/A",$P97&lt;&gt;"No Min RQ"),_xlpm.slp,AND($T97&lt;&gt;"",$T97&lt;&gt;"N/A",$T97&lt;&gt;"No Min RQ"),_xlpm.ffp,AND($X97&lt;&gt;"",$X97&lt;&gt;"N/A",$X97&lt;&gt;"No Min RQ"),_xlpm.chp,AND($AB97&lt;&gt;"",$AB97&lt;&gt;"N/A",$AB97&lt;&gt;"No Min RQ"),_xlpm.usp,AND($AF97&lt;&gt;"",$AF97&lt;&gt;"N/A",$AF97&lt;&gt;"No Min RQ"),_xlpm.n,_xlpm.sfp+_xlpm.slp+_xlpm.ffp+_xlpm.chp+_xlpm.usp,_xlpm.sub,(_xlpm.sfp*($P97="Submitted"))+(_xlpm.slp*($T97="Submitted"))+(_xlpm.ffp*($X97="Submitted"))+(_xlpm.chp*($AB97="Submitted"))+(_xlpm.usp*($AF97="Submitted")),_xlpm.term,(_xlpm.sfp*OR($P97="Approved",$P97="Declined"))+(_xlpm.slp*OR($T97="Approved",$T97="Declined"))+(_xlpm.ffp*OR($X97="Approved",$X97="Declined"))+(_xlpm.chp*OR($AB97="Approved",$AB97="Declined"))+(_xlpm.usp*OR($AF97="Approved",$AF97="Declined")),IF(_xlpm.n=0,"No applicable lenders",IF(_xlpm.sub&gt;0,"Stays with Shaw - lender still Submitted",IF(_xlpm.term=_xlpm.n,"Clear - all applicable lenders Approved or Declined","Stays with Shaw - not all lenders Approved or Declined")))))</f>
      </c>
    </row>
    <row r="98" spans="80:80">
      <c r="CB98" s="131">
        <f>IF($A98="","",_xlfn.LET(_xlpm.sfp,AND($P98&lt;&gt;"",$P98&lt;&gt;"N/A",$P98&lt;&gt;"No Min RQ"),_xlpm.slp,AND($T98&lt;&gt;"",$T98&lt;&gt;"N/A",$T98&lt;&gt;"No Min RQ"),_xlpm.ffp,AND($X98&lt;&gt;"",$X98&lt;&gt;"N/A",$X98&lt;&gt;"No Min RQ"),_xlpm.chp,AND($AB98&lt;&gt;"",$AB98&lt;&gt;"N/A",$AB98&lt;&gt;"No Min RQ"),_xlpm.usp,AND($AF98&lt;&gt;"",$AF98&lt;&gt;"N/A",$AF98&lt;&gt;"No Min RQ"),_xlpm.n,_xlpm.sfp+_xlpm.slp+_xlpm.ffp+_xlpm.chp+_xlpm.usp,_xlpm.sub,(_xlpm.sfp*($P98="Submitted"))+(_xlpm.slp*($T98="Submitted"))+(_xlpm.ffp*($X98="Submitted"))+(_xlpm.chp*($AB98="Submitted"))+(_xlpm.usp*($AF98="Submitted")),_xlpm.term,(_xlpm.sfp*OR($P98="Approved",$P98="Declined"))+(_xlpm.slp*OR($T98="Approved",$T98="Declined"))+(_xlpm.ffp*OR($X98="Approved",$X98="Declined"))+(_xlpm.chp*OR($AB98="Approved",$AB98="Declined"))+(_xlpm.usp*OR($AF98="Approved",$AF98="Declined")),IF(_xlpm.n=0,"No applicable lenders",IF(_xlpm.sub&gt;0,"Stays with Shaw - lender still Submitted",IF(_xlpm.term=_xlpm.n,"Clear - all applicable lenders Approved or Declined","Stays with Shaw - not all lenders Approved or Declined")))))</f>
      </c>
    </row>
    <row r="99" spans="80:80">
      <c r="CB99" s="131">
        <f>IF($A99="","",_xlfn.LET(_xlpm.sfp,AND($P99&lt;&gt;"",$P99&lt;&gt;"N/A",$P99&lt;&gt;"No Min RQ"),_xlpm.slp,AND($T99&lt;&gt;"",$T99&lt;&gt;"N/A",$T99&lt;&gt;"No Min RQ"),_xlpm.ffp,AND($X99&lt;&gt;"",$X99&lt;&gt;"N/A",$X99&lt;&gt;"No Min RQ"),_xlpm.chp,AND($AB99&lt;&gt;"",$AB99&lt;&gt;"N/A",$AB99&lt;&gt;"No Min RQ"),_xlpm.usp,AND($AF99&lt;&gt;"",$AF99&lt;&gt;"N/A",$AF99&lt;&gt;"No Min RQ"),_xlpm.n,_xlpm.sfp+_xlpm.slp+_xlpm.ffp+_xlpm.chp+_xlpm.usp,_xlpm.sub,(_xlpm.sfp*($P99="Submitted"))+(_xlpm.slp*($T99="Submitted"))+(_xlpm.ffp*($X99="Submitted"))+(_xlpm.chp*($AB99="Submitted"))+(_xlpm.usp*($AF99="Submitted")),_xlpm.term,(_xlpm.sfp*OR($P99="Approved",$P99="Declined"))+(_xlpm.slp*OR($T99="Approved",$T99="Declined"))+(_xlpm.ffp*OR($X99="Approved",$X99="Declined"))+(_xlpm.chp*OR($AB99="Approved",$AB99="Declined"))+(_xlpm.usp*OR($AF99="Approved",$AF99="Declined")),IF(_xlpm.n=0,"No applicable lenders",IF(_xlpm.sub&gt;0,"Stays with Shaw - lender still Submitted",IF(_xlpm.term=_xlpm.n,"Clear - all applicable lenders Approved or Declined","Stays with Shaw - not all lenders Approved or Declined")))))</f>
      </c>
    </row>
    <row r="100" spans="80:80">
      <c r="CB100" s="131">
        <f>IF($A100="","",_xlfn.LET(_xlpm.sfp,AND($P100&lt;&gt;"",$P100&lt;&gt;"N/A",$P100&lt;&gt;"No Min RQ"),_xlpm.slp,AND($T100&lt;&gt;"",$T100&lt;&gt;"N/A",$T100&lt;&gt;"No Min RQ"),_xlpm.ffp,AND($X100&lt;&gt;"",$X100&lt;&gt;"N/A",$X100&lt;&gt;"No Min RQ"),_xlpm.chp,AND($AB100&lt;&gt;"",$AB100&lt;&gt;"N/A",$AB100&lt;&gt;"No Min RQ"),_xlpm.usp,AND($AF100&lt;&gt;"",$AF100&lt;&gt;"N/A",$AF100&lt;&gt;"No Min RQ"),_xlpm.n,_xlpm.sfp+_xlpm.slp+_xlpm.ffp+_xlpm.chp+_xlpm.usp,_xlpm.sub,(_xlpm.sfp*($P100="Submitted"))+(_xlpm.slp*($T100="Submitted"))+(_xlpm.ffp*($X100="Submitted"))+(_xlpm.chp*($AB100="Submitted"))+(_xlpm.usp*($AF100="Submitted")),_xlpm.term,(_xlpm.sfp*OR($P100="Approved",$P100="Declined"))+(_xlpm.slp*OR($T100="Approved",$T100="Declined"))+(_xlpm.ffp*OR($X100="Approved",$X100="Declined"))+(_xlpm.chp*OR($AB100="Approved",$AB100="Declined"))+(_xlpm.usp*OR($AF100="Approved",$AF100="Declined")),IF(_xlpm.n=0,"No applicable lenders",IF(_xlpm.sub&gt;0,"Stays with Shaw - lender still Submitted",IF(_xlpm.term=_xlpm.n,"Clear - all applicable lenders Approved or Declined","Stays with Shaw - not all lenders Approved or Declined")))))</f>
      </c>
    </row>
    <row r="101" spans="80:80">
      <c r="CB101" s="131">
        <f>IF($A101="","",_xlfn.LET(_xlpm.sfp,AND($P101&lt;&gt;"",$P101&lt;&gt;"N/A",$P101&lt;&gt;"No Min RQ"),_xlpm.slp,AND($T101&lt;&gt;"",$T101&lt;&gt;"N/A",$T101&lt;&gt;"No Min RQ"),_xlpm.ffp,AND($X101&lt;&gt;"",$X101&lt;&gt;"N/A",$X101&lt;&gt;"No Min RQ"),_xlpm.chp,AND($AB101&lt;&gt;"",$AB101&lt;&gt;"N/A",$AB101&lt;&gt;"No Min RQ"),_xlpm.usp,AND($AF101&lt;&gt;"",$AF101&lt;&gt;"N/A",$AF101&lt;&gt;"No Min RQ"),_xlpm.n,_xlpm.sfp+_xlpm.slp+_xlpm.ffp+_xlpm.chp+_xlpm.usp,_xlpm.sub,(_xlpm.sfp*($P101="Submitted"))+(_xlpm.slp*($T101="Submitted"))+(_xlpm.ffp*($X101="Submitted"))+(_xlpm.chp*($AB101="Submitted"))+(_xlpm.usp*($AF101="Submitted")),_xlpm.term,(_xlpm.sfp*OR($P101="Approved",$P101="Declined"))+(_xlpm.slp*OR($T101="Approved",$T101="Declined"))+(_xlpm.ffp*OR($X101="Approved",$X101="Declined"))+(_xlpm.chp*OR($AB101="Approved",$AB101="Declined"))+(_xlpm.usp*OR($AF101="Approved",$AF101="Declined")),IF(_xlpm.n=0,"No applicable lenders",IF(_xlpm.sub&gt;0,"Stays with Shaw - lender still Submitted",IF(_xlpm.term=_xlpm.n,"Clear - all applicable lenders Approved or Declined","Stays with Shaw - not all lenders Approved or Declined")))))</f>
      </c>
    </row>
    <row r="102" spans="80:80">
      <c r="CB102" s="131">
        <f>IF($A102="","",_xlfn.LET(_xlpm.sfp,AND($P102&lt;&gt;"",$P102&lt;&gt;"N/A",$P102&lt;&gt;"No Min RQ"),_xlpm.slp,AND($T102&lt;&gt;"",$T102&lt;&gt;"N/A",$T102&lt;&gt;"No Min RQ"),_xlpm.ffp,AND($X102&lt;&gt;"",$X102&lt;&gt;"N/A",$X102&lt;&gt;"No Min RQ"),_xlpm.chp,AND($AB102&lt;&gt;"",$AB102&lt;&gt;"N/A",$AB102&lt;&gt;"No Min RQ"),_xlpm.usp,AND($AF102&lt;&gt;"",$AF102&lt;&gt;"N/A",$AF102&lt;&gt;"No Min RQ"),_xlpm.n,_xlpm.sfp+_xlpm.slp+_xlpm.ffp+_xlpm.chp+_xlpm.usp,_xlpm.sub,(_xlpm.sfp*($P102="Submitted"))+(_xlpm.slp*($T102="Submitted"))+(_xlpm.ffp*($X102="Submitted"))+(_xlpm.chp*($AB102="Submitted"))+(_xlpm.usp*($AF102="Submitted")),_xlpm.term,(_xlpm.sfp*OR($P102="Approved",$P102="Declined"))+(_xlpm.slp*OR($T102="Approved",$T102="Declined"))+(_xlpm.ffp*OR($X102="Approved",$X102="Declined"))+(_xlpm.chp*OR($AB102="Approved",$AB102="Declined"))+(_xlpm.usp*OR($AF102="Approved",$AF102="Declined")),IF(_xlpm.n=0,"No applicable lenders",IF(_xlpm.sub&gt;0,"Stays with Shaw - lender still Submitted",IF(_xlpm.term=_xlpm.n,"Clear - all applicable lenders Approved or Declined","Stays with Shaw - not all lenders Approved or Declined")))))</f>
      </c>
    </row>
    <row r="103" spans="80:80">
      <c r="CB103" s="131">
        <f>IF($A103="","",_xlfn.LET(_xlpm.sfp,AND($P103&lt;&gt;"",$P103&lt;&gt;"N/A",$P103&lt;&gt;"No Min RQ"),_xlpm.slp,AND($T103&lt;&gt;"",$T103&lt;&gt;"N/A",$T103&lt;&gt;"No Min RQ"),_xlpm.ffp,AND($X103&lt;&gt;"",$X103&lt;&gt;"N/A",$X103&lt;&gt;"No Min RQ"),_xlpm.chp,AND($AB103&lt;&gt;"",$AB103&lt;&gt;"N/A",$AB103&lt;&gt;"No Min RQ"),_xlpm.usp,AND($AF103&lt;&gt;"",$AF103&lt;&gt;"N/A",$AF103&lt;&gt;"No Min RQ"),_xlpm.n,_xlpm.sfp+_xlpm.slp+_xlpm.ffp+_xlpm.chp+_xlpm.usp,_xlpm.sub,(_xlpm.sfp*($P103="Submitted"))+(_xlpm.slp*($T103="Submitted"))+(_xlpm.ffp*($X103="Submitted"))+(_xlpm.chp*($AB103="Submitted"))+(_xlpm.usp*($AF103="Submitted")),_xlpm.term,(_xlpm.sfp*OR($P103="Approved",$P103="Declined"))+(_xlpm.slp*OR($T103="Approved",$T103="Declined"))+(_xlpm.ffp*OR($X103="Approved",$X103="Declined"))+(_xlpm.chp*OR($AB103="Approved",$AB103="Declined"))+(_xlpm.usp*OR($AF103="Approved",$AF103="Declined")),IF(_xlpm.n=0,"No applicable lenders",IF(_xlpm.sub&gt;0,"Stays with Shaw - lender still Submitted",IF(_xlpm.term=_xlpm.n,"Clear - all applicable lenders Approved or Declined","Stays with Shaw - not all lenders Approved or Declined")))))</f>
      </c>
    </row>
    <row r="104" spans="80:80">
      <c r="CB104" s="131">
        <f>IF($A104="","",_xlfn.LET(_xlpm.sfp,AND($P104&lt;&gt;"",$P104&lt;&gt;"N/A",$P104&lt;&gt;"No Min RQ"),_xlpm.slp,AND($T104&lt;&gt;"",$T104&lt;&gt;"N/A",$T104&lt;&gt;"No Min RQ"),_xlpm.ffp,AND($X104&lt;&gt;"",$X104&lt;&gt;"N/A",$X104&lt;&gt;"No Min RQ"),_xlpm.chp,AND($AB104&lt;&gt;"",$AB104&lt;&gt;"N/A",$AB104&lt;&gt;"No Min RQ"),_xlpm.usp,AND($AF104&lt;&gt;"",$AF104&lt;&gt;"N/A",$AF104&lt;&gt;"No Min RQ"),_xlpm.n,_xlpm.sfp+_xlpm.slp+_xlpm.ffp+_xlpm.chp+_xlpm.usp,_xlpm.sub,(_xlpm.sfp*($P104="Submitted"))+(_xlpm.slp*($T104="Submitted"))+(_xlpm.ffp*($X104="Submitted"))+(_xlpm.chp*($AB104="Submitted"))+(_xlpm.usp*($AF104="Submitted")),_xlpm.term,(_xlpm.sfp*OR($P104="Approved",$P104="Declined"))+(_xlpm.slp*OR($T104="Approved",$T104="Declined"))+(_xlpm.ffp*OR($X104="Approved",$X104="Declined"))+(_xlpm.chp*OR($AB104="Approved",$AB104="Declined"))+(_xlpm.usp*OR($AF104="Approved",$AF104="Declined")),IF(_xlpm.n=0,"No applicable lenders",IF(_xlpm.sub&gt;0,"Stays with Shaw - lender still Submitted",IF(_xlpm.term=_xlpm.n,"Clear - all applicable lenders Approved or Declined","Stays with Shaw - not all lenders Approved or Declined")))))</f>
      </c>
    </row>
    <row r="105" spans="80:80">
      <c r="CB105" s="131">
        <f>IF($A105="","",_xlfn.LET(_xlpm.sfp,AND($P105&lt;&gt;"",$P105&lt;&gt;"N/A",$P105&lt;&gt;"No Min RQ"),_xlpm.slp,AND($T105&lt;&gt;"",$T105&lt;&gt;"N/A",$T105&lt;&gt;"No Min RQ"),_xlpm.ffp,AND($X105&lt;&gt;"",$X105&lt;&gt;"N/A",$X105&lt;&gt;"No Min RQ"),_xlpm.chp,AND($AB105&lt;&gt;"",$AB105&lt;&gt;"N/A",$AB105&lt;&gt;"No Min RQ"),_xlpm.usp,AND($AF105&lt;&gt;"",$AF105&lt;&gt;"N/A",$AF105&lt;&gt;"No Min RQ"),_xlpm.n,_xlpm.sfp+_xlpm.slp+_xlpm.ffp+_xlpm.chp+_xlpm.usp,_xlpm.sub,(_xlpm.sfp*($P105="Submitted"))+(_xlpm.slp*($T105="Submitted"))+(_xlpm.ffp*($X105="Submitted"))+(_xlpm.chp*($AB105="Submitted"))+(_xlpm.usp*($AF105="Submitted")),_xlpm.term,(_xlpm.sfp*OR($P105="Approved",$P105="Declined"))+(_xlpm.slp*OR($T105="Approved",$T105="Declined"))+(_xlpm.ffp*OR($X105="Approved",$X105="Declined"))+(_xlpm.chp*OR($AB105="Approved",$AB105="Declined"))+(_xlpm.usp*OR($AF105="Approved",$AF105="Declined")),IF(_xlpm.n=0,"No applicable lenders",IF(_xlpm.sub&gt;0,"Stays with Shaw - lender still Submitted",IF(_xlpm.term=_xlpm.n,"Clear - all applicable lenders Approved or Declined","Stays with Shaw - not all lenders Approved or Declined")))))</f>
      </c>
    </row>
    <row r="106" spans="80:80">
      <c r="CB106" s="131">
        <f>IF($A106="","",_xlfn.LET(_xlpm.sfp,AND($P106&lt;&gt;"",$P106&lt;&gt;"N/A",$P106&lt;&gt;"No Min RQ"),_xlpm.slp,AND($T106&lt;&gt;"",$T106&lt;&gt;"N/A",$T106&lt;&gt;"No Min RQ"),_xlpm.ffp,AND($X106&lt;&gt;"",$X106&lt;&gt;"N/A",$X106&lt;&gt;"No Min RQ"),_xlpm.chp,AND($AB106&lt;&gt;"",$AB106&lt;&gt;"N/A",$AB106&lt;&gt;"No Min RQ"),_xlpm.usp,AND($AF106&lt;&gt;"",$AF106&lt;&gt;"N/A",$AF106&lt;&gt;"No Min RQ"),_xlpm.n,_xlpm.sfp+_xlpm.slp+_xlpm.ffp+_xlpm.chp+_xlpm.usp,_xlpm.sub,(_xlpm.sfp*($P106="Submitted"))+(_xlpm.slp*($T106="Submitted"))+(_xlpm.ffp*($X106="Submitted"))+(_xlpm.chp*($AB106="Submitted"))+(_xlpm.usp*($AF106="Submitted")),_xlpm.term,(_xlpm.sfp*OR($P106="Approved",$P106="Declined"))+(_xlpm.slp*OR($T106="Approved",$T106="Declined"))+(_xlpm.ffp*OR($X106="Approved",$X106="Declined"))+(_xlpm.chp*OR($AB106="Approved",$AB106="Declined"))+(_xlpm.usp*OR($AF106="Approved",$AF106="Declined")),IF(_xlpm.n=0,"No applicable lenders",IF(_xlpm.sub&gt;0,"Stays with Shaw - lender still Submitted",IF(_xlpm.term=_xlpm.n,"Clear - all applicable lenders Approved or Declined","Stays with Shaw - not all lenders Approved or Declined")))))</f>
      </c>
    </row>
    <row r="107" spans="80:80">
      <c r="CB107" s="131">
        <f>IF($A107="","",_xlfn.LET(_xlpm.sfp,AND($P107&lt;&gt;"",$P107&lt;&gt;"N/A",$P107&lt;&gt;"No Min RQ"),_xlpm.slp,AND($T107&lt;&gt;"",$T107&lt;&gt;"N/A",$T107&lt;&gt;"No Min RQ"),_xlpm.ffp,AND($X107&lt;&gt;"",$X107&lt;&gt;"N/A",$X107&lt;&gt;"No Min RQ"),_xlpm.chp,AND($AB107&lt;&gt;"",$AB107&lt;&gt;"N/A",$AB107&lt;&gt;"No Min RQ"),_xlpm.usp,AND($AF107&lt;&gt;"",$AF107&lt;&gt;"N/A",$AF107&lt;&gt;"No Min RQ"),_xlpm.n,_xlpm.sfp+_xlpm.slp+_xlpm.ffp+_xlpm.chp+_xlpm.usp,_xlpm.sub,(_xlpm.sfp*($P107="Submitted"))+(_xlpm.slp*($T107="Submitted"))+(_xlpm.ffp*($X107="Submitted"))+(_xlpm.chp*($AB107="Submitted"))+(_xlpm.usp*($AF107="Submitted")),_xlpm.term,(_xlpm.sfp*OR($P107="Approved",$P107="Declined"))+(_xlpm.slp*OR($T107="Approved",$T107="Declined"))+(_xlpm.ffp*OR($X107="Approved",$X107="Declined"))+(_xlpm.chp*OR($AB107="Approved",$AB107="Declined"))+(_xlpm.usp*OR($AF107="Approved",$AF107="Declined")),IF(_xlpm.n=0,"No applicable lenders",IF(_xlpm.sub&gt;0,"Stays with Shaw - lender still Submitted",IF(_xlpm.term=_xlpm.n,"Clear - all applicable lenders Approved or Declined","Stays with Shaw - not all lenders Approved or Declined")))))</f>
      </c>
    </row>
    <row r="108" spans="80:80">
      <c r="CB108" s="131">
        <f>IF($A108="","",_xlfn.LET(_xlpm.sfp,AND($P108&lt;&gt;"",$P108&lt;&gt;"N/A",$P108&lt;&gt;"No Min RQ"),_xlpm.slp,AND($T108&lt;&gt;"",$T108&lt;&gt;"N/A",$T108&lt;&gt;"No Min RQ"),_xlpm.ffp,AND($X108&lt;&gt;"",$X108&lt;&gt;"N/A",$X108&lt;&gt;"No Min RQ"),_xlpm.chp,AND($AB108&lt;&gt;"",$AB108&lt;&gt;"N/A",$AB108&lt;&gt;"No Min RQ"),_xlpm.usp,AND($AF108&lt;&gt;"",$AF108&lt;&gt;"N/A",$AF108&lt;&gt;"No Min RQ"),_xlpm.n,_xlpm.sfp+_xlpm.slp+_xlpm.ffp+_xlpm.chp+_xlpm.usp,_xlpm.sub,(_xlpm.sfp*($P108="Submitted"))+(_xlpm.slp*($T108="Submitted"))+(_xlpm.ffp*($X108="Submitted"))+(_xlpm.chp*($AB108="Submitted"))+(_xlpm.usp*($AF108="Submitted")),_xlpm.term,(_xlpm.sfp*OR($P108="Approved",$P108="Declined"))+(_xlpm.slp*OR($T108="Approved",$T108="Declined"))+(_xlpm.ffp*OR($X108="Approved",$X108="Declined"))+(_xlpm.chp*OR($AB108="Approved",$AB108="Declined"))+(_xlpm.usp*OR($AF108="Approved",$AF108="Declined")),IF(_xlpm.n=0,"No applicable lenders",IF(_xlpm.sub&gt;0,"Stays with Shaw - lender still Submitted",IF(_xlpm.term=_xlpm.n,"Clear - all applicable lenders Approved or Declined","Stays with Shaw - not all lenders Approved or Declined")))))</f>
      </c>
    </row>
    <row r="109" spans="80:80">
      <c r="CB109" s="131">
        <f>IF($A109="","",_xlfn.LET(_xlpm.sfp,AND($P109&lt;&gt;"",$P109&lt;&gt;"N/A",$P109&lt;&gt;"No Min RQ"),_xlpm.slp,AND($T109&lt;&gt;"",$T109&lt;&gt;"N/A",$T109&lt;&gt;"No Min RQ"),_xlpm.ffp,AND($X109&lt;&gt;"",$X109&lt;&gt;"N/A",$X109&lt;&gt;"No Min RQ"),_xlpm.chp,AND($AB109&lt;&gt;"",$AB109&lt;&gt;"N/A",$AB109&lt;&gt;"No Min RQ"),_xlpm.usp,AND($AF109&lt;&gt;"",$AF109&lt;&gt;"N/A",$AF109&lt;&gt;"No Min RQ"),_xlpm.n,_xlpm.sfp+_xlpm.slp+_xlpm.ffp+_xlpm.chp+_xlpm.usp,_xlpm.sub,(_xlpm.sfp*($P109="Submitted"))+(_xlpm.slp*($T109="Submitted"))+(_xlpm.ffp*($X109="Submitted"))+(_xlpm.chp*($AB109="Submitted"))+(_xlpm.usp*($AF109="Submitted")),_xlpm.term,(_xlpm.sfp*OR($P109="Approved",$P109="Declined"))+(_xlpm.slp*OR($T109="Approved",$T109="Declined"))+(_xlpm.ffp*OR($X109="Approved",$X109="Declined"))+(_xlpm.chp*OR($AB109="Approved",$AB109="Declined"))+(_xlpm.usp*OR($AF109="Approved",$AF109="Declined")),IF(_xlpm.n=0,"No applicable lenders",IF(_xlpm.sub&gt;0,"Stays with Shaw - lender still Submitted",IF(_xlpm.term=_xlpm.n,"Clear - all applicable lenders Approved or Declined","Stays with Shaw - not all lenders Approved or Declined")))))</f>
      </c>
    </row>
    <row r="110" spans="80:80">
      <c r="CB110" s="131">
        <f>IF($A110="","",_xlfn.LET(_xlpm.sfp,AND($P110&lt;&gt;"",$P110&lt;&gt;"N/A",$P110&lt;&gt;"No Min RQ"),_xlpm.slp,AND($T110&lt;&gt;"",$T110&lt;&gt;"N/A",$T110&lt;&gt;"No Min RQ"),_xlpm.ffp,AND($X110&lt;&gt;"",$X110&lt;&gt;"N/A",$X110&lt;&gt;"No Min RQ"),_xlpm.chp,AND($AB110&lt;&gt;"",$AB110&lt;&gt;"N/A",$AB110&lt;&gt;"No Min RQ"),_xlpm.usp,AND($AF110&lt;&gt;"",$AF110&lt;&gt;"N/A",$AF110&lt;&gt;"No Min RQ"),_xlpm.n,_xlpm.sfp+_xlpm.slp+_xlpm.ffp+_xlpm.chp+_xlpm.usp,_xlpm.sub,(_xlpm.sfp*($P110="Submitted"))+(_xlpm.slp*($T110="Submitted"))+(_xlpm.ffp*($X110="Submitted"))+(_xlpm.chp*($AB110="Submitted"))+(_xlpm.usp*($AF110="Submitted")),_xlpm.term,(_xlpm.sfp*OR($P110="Approved",$P110="Declined"))+(_xlpm.slp*OR($T110="Approved",$T110="Declined"))+(_xlpm.ffp*OR($X110="Approved",$X110="Declined"))+(_xlpm.chp*OR($AB110="Approved",$AB110="Declined"))+(_xlpm.usp*OR($AF110="Approved",$AF110="Declined")),IF(_xlpm.n=0,"No applicable lenders",IF(_xlpm.sub&gt;0,"Stays with Shaw - lender still Submitted",IF(_xlpm.term=_xlpm.n,"Clear - all applicable lenders Approved or Declined","Stays with Shaw - not all lenders Approved or Declined")))))</f>
      </c>
    </row>
    <row r="111" spans="80:80">
      <c r="CB111" s="131">
        <f>IF($A111="","",_xlfn.LET(_xlpm.sfp,AND($P111&lt;&gt;"",$P111&lt;&gt;"N/A",$P111&lt;&gt;"No Min RQ"),_xlpm.slp,AND($T111&lt;&gt;"",$T111&lt;&gt;"N/A",$T111&lt;&gt;"No Min RQ"),_xlpm.ffp,AND($X111&lt;&gt;"",$X111&lt;&gt;"N/A",$X111&lt;&gt;"No Min RQ"),_xlpm.chp,AND($AB111&lt;&gt;"",$AB111&lt;&gt;"N/A",$AB111&lt;&gt;"No Min RQ"),_xlpm.usp,AND($AF111&lt;&gt;"",$AF111&lt;&gt;"N/A",$AF111&lt;&gt;"No Min RQ"),_xlpm.n,_xlpm.sfp+_xlpm.slp+_xlpm.ffp+_xlpm.chp+_xlpm.usp,_xlpm.sub,(_xlpm.sfp*($P111="Submitted"))+(_xlpm.slp*($T111="Submitted"))+(_xlpm.ffp*($X111="Submitted"))+(_xlpm.chp*($AB111="Submitted"))+(_xlpm.usp*($AF111="Submitted")),_xlpm.term,(_xlpm.sfp*OR($P111="Approved",$P111="Declined"))+(_xlpm.slp*OR($T111="Approved",$T111="Declined"))+(_xlpm.ffp*OR($X111="Approved",$X111="Declined"))+(_xlpm.chp*OR($AB111="Approved",$AB111="Declined"))+(_xlpm.usp*OR($AF111="Approved",$AF111="Declined")),IF(_xlpm.n=0,"No applicable lenders",IF(_xlpm.sub&gt;0,"Stays with Shaw - lender still Submitted",IF(_xlpm.term=_xlpm.n,"Clear - all applicable lenders Approved or Declined","Stays with Shaw - not all lenders Approved or Declined")))))</f>
      </c>
    </row>
    <row r="112" spans="80:80">
      <c r="CB112" s="131">
        <f>IF($A112="","",_xlfn.LET(_xlpm.sfp,AND($P112&lt;&gt;"",$P112&lt;&gt;"N/A",$P112&lt;&gt;"No Min RQ"),_xlpm.slp,AND($T112&lt;&gt;"",$T112&lt;&gt;"N/A",$T112&lt;&gt;"No Min RQ"),_xlpm.ffp,AND($X112&lt;&gt;"",$X112&lt;&gt;"N/A",$X112&lt;&gt;"No Min RQ"),_xlpm.chp,AND($AB112&lt;&gt;"",$AB112&lt;&gt;"N/A",$AB112&lt;&gt;"No Min RQ"),_xlpm.usp,AND($AF112&lt;&gt;"",$AF112&lt;&gt;"N/A",$AF112&lt;&gt;"No Min RQ"),_xlpm.n,_xlpm.sfp+_xlpm.slp+_xlpm.ffp+_xlpm.chp+_xlpm.usp,_xlpm.sub,(_xlpm.sfp*($P112="Submitted"))+(_xlpm.slp*($T112="Submitted"))+(_xlpm.ffp*($X112="Submitted"))+(_xlpm.chp*($AB112="Submitted"))+(_xlpm.usp*($AF112="Submitted")),_xlpm.term,(_xlpm.sfp*OR($P112="Approved",$P112="Declined"))+(_xlpm.slp*OR($T112="Approved",$T112="Declined"))+(_xlpm.ffp*OR($X112="Approved",$X112="Declined"))+(_xlpm.chp*OR($AB112="Approved",$AB112="Declined"))+(_xlpm.usp*OR($AF112="Approved",$AF112="Declined")),IF(_xlpm.n=0,"No applicable lenders",IF(_xlpm.sub&gt;0,"Stays with Shaw - lender still Submitted",IF(_xlpm.term=_xlpm.n,"Clear - all applicable lenders Approved or Declined","Stays with Shaw - not all lenders Approved or Declined")))))</f>
      </c>
    </row>
    <row r="113" spans="80:80">
      <c r="CB113" s="131">
        <f>IF($A113="","",_xlfn.LET(_xlpm.sfp,AND($P113&lt;&gt;"",$P113&lt;&gt;"N/A",$P113&lt;&gt;"No Min RQ"),_xlpm.slp,AND($T113&lt;&gt;"",$T113&lt;&gt;"N/A",$T113&lt;&gt;"No Min RQ"),_xlpm.ffp,AND($X113&lt;&gt;"",$X113&lt;&gt;"N/A",$X113&lt;&gt;"No Min RQ"),_xlpm.chp,AND($AB113&lt;&gt;"",$AB113&lt;&gt;"N/A",$AB113&lt;&gt;"No Min RQ"),_xlpm.usp,AND($AF113&lt;&gt;"",$AF113&lt;&gt;"N/A",$AF113&lt;&gt;"No Min RQ"),_xlpm.n,_xlpm.sfp+_xlpm.slp+_xlpm.ffp+_xlpm.chp+_xlpm.usp,_xlpm.sub,(_xlpm.sfp*($P113="Submitted"))+(_xlpm.slp*($T113="Submitted"))+(_xlpm.ffp*($X113="Submitted"))+(_xlpm.chp*($AB113="Submitted"))+(_xlpm.usp*($AF113="Submitted")),_xlpm.term,(_xlpm.sfp*OR($P113="Approved",$P113="Declined"))+(_xlpm.slp*OR($T113="Approved",$T113="Declined"))+(_xlpm.ffp*OR($X113="Approved",$X113="Declined"))+(_xlpm.chp*OR($AB113="Approved",$AB113="Declined"))+(_xlpm.usp*OR($AF113="Approved",$AF113="Declined")),IF(_xlpm.n=0,"No applicable lenders",IF(_xlpm.sub&gt;0,"Stays with Shaw - lender still Submitted",IF(_xlpm.term=_xlpm.n,"Clear - all applicable lenders Approved or Declined","Stays with Shaw - not all lenders Approved or Declined")))))</f>
      </c>
    </row>
    <row r="114" spans="80:80">
      <c r="CB114" s="131">
        <f>IF($A114="","",_xlfn.LET(_xlpm.sfp,AND($P114&lt;&gt;"",$P114&lt;&gt;"N/A",$P114&lt;&gt;"No Min RQ"),_xlpm.slp,AND($T114&lt;&gt;"",$T114&lt;&gt;"N/A",$T114&lt;&gt;"No Min RQ"),_xlpm.ffp,AND($X114&lt;&gt;"",$X114&lt;&gt;"N/A",$X114&lt;&gt;"No Min RQ"),_xlpm.chp,AND($AB114&lt;&gt;"",$AB114&lt;&gt;"N/A",$AB114&lt;&gt;"No Min RQ"),_xlpm.usp,AND($AF114&lt;&gt;"",$AF114&lt;&gt;"N/A",$AF114&lt;&gt;"No Min RQ"),_xlpm.n,_xlpm.sfp+_xlpm.slp+_xlpm.ffp+_xlpm.chp+_xlpm.usp,_xlpm.sub,(_xlpm.sfp*($P114="Submitted"))+(_xlpm.slp*($T114="Submitted"))+(_xlpm.ffp*($X114="Submitted"))+(_xlpm.chp*($AB114="Submitted"))+(_xlpm.usp*($AF114="Submitted")),_xlpm.term,(_xlpm.sfp*OR($P114="Approved",$P114="Declined"))+(_xlpm.slp*OR($T114="Approved",$T114="Declined"))+(_xlpm.ffp*OR($X114="Approved",$X114="Declined"))+(_xlpm.chp*OR($AB114="Approved",$AB114="Declined"))+(_xlpm.usp*OR($AF114="Approved",$AF114="Declined")),IF(_xlpm.n=0,"No applicable lenders",IF(_xlpm.sub&gt;0,"Stays with Shaw - lender still Submitted",IF(_xlpm.term=_xlpm.n,"Clear - all applicable lenders Approved or Declined","Stays with Shaw - not all lenders Approved or Declined")))))</f>
      </c>
    </row>
    <row r="115" spans="80:80">
      <c r="CB115" s="131">
        <f>IF($A115="","",_xlfn.LET(_xlpm.sfp,AND($P115&lt;&gt;"",$P115&lt;&gt;"N/A",$P115&lt;&gt;"No Min RQ"),_xlpm.slp,AND($T115&lt;&gt;"",$T115&lt;&gt;"N/A",$T115&lt;&gt;"No Min RQ"),_xlpm.ffp,AND($X115&lt;&gt;"",$X115&lt;&gt;"N/A",$X115&lt;&gt;"No Min RQ"),_xlpm.chp,AND($AB115&lt;&gt;"",$AB115&lt;&gt;"N/A",$AB115&lt;&gt;"No Min RQ"),_xlpm.usp,AND($AF115&lt;&gt;"",$AF115&lt;&gt;"N/A",$AF115&lt;&gt;"No Min RQ"),_xlpm.n,_xlpm.sfp+_xlpm.slp+_xlpm.ffp+_xlpm.chp+_xlpm.usp,_xlpm.sub,(_xlpm.sfp*($P115="Submitted"))+(_xlpm.slp*($T115="Submitted"))+(_xlpm.ffp*($X115="Submitted"))+(_xlpm.chp*($AB115="Submitted"))+(_xlpm.usp*($AF115="Submitted")),_xlpm.term,(_xlpm.sfp*OR($P115="Approved",$P115="Declined"))+(_xlpm.slp*OR($T115="Approved",$T115="Declined"))+(_xlpm.ffp*OR($X115="Approved",$X115="Declined"))+(_xlpm.chp*OR($AB115="Approved",$AB115="Declined"))+(_xlpm.usp*OR($AF115="Approved",$AF115="Declined")),IF(_xlpm.n=0,"No applicable lenders",IF(_xlpm.sub&gt;0,"Stays with Shaw - lender still Submitted",IF(_xlpm.term=_xlpm.n,"Clear - all applicable lenders Approved or Declined","Stays with Shaw - not all lenders Approved or Declined")))))</f>
      </c>
    </row>
    <row r="116" spans="80:80">
      <c r="CB116" s="131">
        <f>IF($A116="","",_xlfn.LET(_xlpm.sfp,AND($P116&lt;&gt;"",$P116&lt;&gt;"N/A",$P116&lt;&gt;"No Min RQ"),_xlpm.slp,AND($T116&lt;&gt;"",$T116&lt;&gt;"N/A",$T116&lt;&gt;"No Min RQ"),_xlpm.ffp,AND($X116&lt;&gt;"",$X116&lt;&gt;"N/A",$X116&lt;&gt;"No Min RQ"),_xlpm.chp,AND($AB116&lt;&gt;"",$AB116&lt;&gt;"N/A",$AB116&lt;&gt;"No Min RQ"),_xlpm.usp,AND($AF116&lt;&gt;"",$AF116&lt;&gt;"N/A",$AF116&lt;&gt;"No Min RQ"),_xlpm.n,_xlpm.sfp+_xlpm.slp+_xlpm.ffp+_xlpm.chp+_xlpm.usp,_xlpm.sub,(_xlpm.sfp*($P116="Submitted"))+(_xlpm.slp*($T116="Submitted"))+(_xlpm.ffp*($X116="Submitted"))+(_xlpm.chp*($AB116="Submitted"))+(_xlpm.usp*($AF116="Submitted")),_xlpm.term,(_xlpm.sfp*OR($P116="Approved",$P116="Declined"))+(_xlpm.slp*OR($T116="Approved",$T116="Declined"))+(_xlpm.ffp*OR($X116="Approved",$X116="Declined"))+(_xlpm.chp*OR($AB116="Approved",$AB116="Declined"))+(_xlpm.usp*OR($AF116="Approved",$AF116="Declined")),IF(_xlpm.n=0,"No applicable lenders",IF(_xlpm.sub&gt;0,"Stays with Shaw - lender still Submitted",IF(_xlpm.term=_xlpm.n,"Clear - all applicable lenders Approved or Declined","Stays with Shaw - not all lenders Approved or Declined")))))</f>
      </c>
    </row>
    <row r="117" spans="80:80">
      <c r="CB117" s="131">
        <f>IF($A117="","",_xlfn.LET(_xlpm.sfp,AND($P117&lt;&gt;"",$P117&lt;&gt;"N/A",$P117&lt;&gt;"No Min RQ"),_xlpm.slp,AND($T117&lt;&gt;"",$T117&lt;&gt;"N/A",$T117&lt;&gt;"No Min RQ"),_xlpm.ffp,AND($X117&lt;&gt;"",$X117&lt;&gt;"N/A",$X117&lt;&gt;"No Min RQ"),_xlpm.chp,AND($AB117&lt;&gt;"",$AB117&lt;&gt;"N/A",$AB117&lt;&gt;"No Min RQ"),_xlpm.usp,AND($AF117&lt;&gt;"",$AF117&lt;&gt;"N/A",$AF117&lt;&gt;"No Min RQ"),_xlpm.n,_xlpm.sfp+_xlpm.slp+_xlpm.ffp+_xlpm.chp+_xlpm.usp,_xlpm.sub,(_xlpm.sfp*($P117="Submitted"))+(_xlpm.slp*($T117="Submitted"))+(_xlpm.ffp*($X117="Submitted"))+(_xlpm.chp*($AB117="Submitted"))+(_xlpm.usp*($AF117="Submitted")),_xlpm.term,(_xlpm.sfp*OR($P117="Approved",$P117="Declined"))+(_xlpm.slp*OR($T117="Approved",$T117="Declined"))+(_xlpm.ffp*OR($X117="Approved",$X117="Declined"))+(_xlpm.chp*OR($AB117="Approved",$AB117="Declined"))+(_xlpm.usp*OR($AF117="Approved",$AF117="Declined")),IF(_xlpm.n=0,"No applicable lenders",IF(_xlpm.sub&gt;0,"Stays with Shaw - lender still Submitted",IF(_xlpm.term=_xlpm.n,"Clear - all applicable lenders Approved or Declined","Stays with Shaw - not all lenders Approved or Declined")))))</f>
      </c>
    </row>
    <row r="118" spans="80:80">
      <c r="CB118" s="131">
        <f>IF($A118="","",_xlfn.LET(_xlpm.sfp,AND($P118&lt;&gt;"",$P118&lt;&gt;"N/A",$P118&lt;&gt;"No Min RQ"),_xlpm.slp,AND($T118&lt;&gt;"",$T118&lt;&gt;"N/A",$T118&lt;&gt;"No Min RQ"),_xlpm.ffp,AND($X118&lt;&gt;"",$X118&lt;&gt;"N/A",$X118&lt;&gt;"No Min RQ"),_xlpm.chp,AND($AB118&lt;&gt;"",$AB118&lt;&gt;"N/A",$AB118&lt;&gt;"No Min RQ"),_xlpm.usp,AND($AF118&lt;&gt;"",$AF118&lt;&gt;"N/A",$AF118&lt;&gt;"No Min RQ"),_xlpm.n,_xlpm.sfp+_xlpm.slp+_xlpm.ffp+_xlpm.chp+_xlpm.usp,_xlpm.sub,(_xlpm.sfp*($P118="Submitted"))+(_xlpm.slp*($T118="Submitted"))+(_xlpm.ffp*($X118="Submitted"))+(_xlpm.chp*($AB118="Submitted"))+(_xlpm.usp*($AF118="Submitted")),_xlpm.term,(_xlpm.sfp*OR($P118="Approved",$P118="Declined"))+(_xlpm.slp*OR($T118="Approved",$T118="Declined"))+(_xlpm.ffp*OR($X118="Approved",$X118="Declined"))+(_xlpm.chp*OR($AB118="Approved",$AB118="Declined"))+(_xlpm.usp*OR($AF118="Approved",$AF118="Declined")),IF(_xlpm.n=0,"No applicable lenders",IF(_xlpm.sub&gt;0,"Stays with Shaw - lender still Submitted",IF(_xlpm.term=_xlpm.n,"Clear - all applicable lenders Approved or Declined","Stays with Shaw - not all lenders Approved or Declined")))))</f>
      </c>
    </row>
    <row r="119" spans="80:80">
      <c r="CB119" s="131">
        <f>IF($A119="","",_xlfn.LET(_xlpm.sfp,AND($P119&lt;&gt;"",$P119&lt;&gt;"N/A",$P119&lt;&gt;"No Min RQ"),_xlpm.slp,AND($T119&lt;&gt;"",$T119&lt;&gt;"N/A",$T119&lt;&gt;"No Min RQ"),_xlpm.ffp,AND($X119&lt;&gt;"",$X119&lt;&gt;"N/A",$X119&lt;&gt;"No Min RQ"),_xlpm.chp,AND($AB119&lt;&gt;"",$AB119&lt;&gt;"N/A",$AB119&lt;&gt;"No Min RQ"),_xlpm.usp,AND($AF119&lt;&gt;"",$AF119&lt;&gt;"N/A",$AF119&lt;&gt;"No Min RQ"),_xlpm.n,_xlpm.sfp+_xlpm.slp+_xlpm.ffp+_xlpm.chp+_xlpm.usp,_xlpm.sub,(_xlpm.sfp*($P119="Submitted"))+(_xlpm.slp*($T119="Submitted"))+(_xlpm.ffp*($X119="Submitted"))+(_xlpm.chp*($AB119="Submitted"))+(_xlpm.usp*($AF119="Submitted")),_xlpm.term,(_xlpm.sfp*OR($P119="Approved",$P119="Declined"))+(_xlpm.slp*OR($T119="Approved",$T119="Declined"))+(_xlpm.ffp*OR($X119="Approved",$X119="Declined"))+(_xlpm.chp*OR($AB119="Approved",$AB119="Declined"))+(_xlpm.usp*OR($AF119="Approved",$AF119="Declined")),IF(_xlpm.n=0,"No applicable lenders",IF(_xlpm.sub&gt;0,"Stays with Shaw - lender still Submitted",IF(_xlpm.term=_xlpm.n,"Clear - all applicable lenders Approved or Declined","Stays with Shaw - not all lenders Approved or Declined")))))</f>
      </c>
    </row>
    <row r="120" spans="80:80">
      <c r="CB120" s="131">
        <f>IF($A120="","",_xlfn.LET(_xlpm.sfp,AND($P120&lt;&gt;"",$P120&lt;&gt;"N/A",$P120&lt;&gt;"No Min RQ"),_xlpm.slp,AND($T120&lt;&gt;"",$T120&lt;&gt;"N/A",$T120&lt;&gt;"No Min RQ"),_xlpm.ffp,AND($X120&lt;&gt;"",$X120&lt;&gt;"N/A",$X120&lt;&gt;"No Min RQ"),_xlpm.chp,AND($AB120&lt;&gt;"",$AB120&lt;&gt;"N/A",$AB120&lt;&gt;"No Min RQ"),_xlpm.usp,AND($AF120&lt;&gt;"",$AF120&lt;&gt;"N/A",$AF120&lt;&gt;"No Min RQ"),_xlpm.n,_xlpm.sfp+_xlpm.slp+_xlpm.ffp+_xlpm.chp+_xlpm.usp,_xlpm.sub,(_xlpm.sfp*($P120="Submitted"))+(_xlpm.slp*($T120="Submitted"))+(_xlpm.ffp*($X120="Submitted"))+(_xlpm.chp*($AB120="Submitted"))+(_xlpm.usp*($AF120="Submitted")),_xlpm.term,(_xlpm.sfp*OR($P120="Approved",$P120="Declined"))+(_xlpm.slp*OR($T120="Approved",$T120="Declined"))+(_xlpm.ffp*OR($X120="Approved",$X120="Declined"))+(_xlpm.chp*OR($AB120="Approved",$AB120="Declined"))+(_xlpm.usp*OR($AF120="Approved",$AF120="Declined")),IF(_xlpm.n=0,"No applicable lenders",IF(_xlpm.sub&gt;0,"Stays with Shaw - lender still Submitted",IF(_xlpm.term=_xlpm.n,"Clear - all applicable lenders Approved or Declined","Stays with Shaw - not all lenders Approved or Declined")))))</f>
      </c>
    </row>
    <row r="121" spans="80:80">
      <c r="CB121" s="131">
        <f>IF($A121="","",_xlfn.LET(_xlpm.sfp,AND($P121&lt;&gt;"",$P121&lt;&gt;"N/A",$P121&lt;&gt;"No Min RQ"),_xlpm.slp,AND($T121&lt;&gt;"",$T121&lt;&gt;"N/A",$T121&lt;&gt;"No Min RQ"),_xlpm.ffp,AND($X121&lt;&gt;"",$X121&lt;&gt;"N/A",$X121&lt;&gt;"No Min RQ"),_xlpm.chp,AND($AB121&lt;&gt;"",$AB121&lt;&gt;"N/A",$AB121&lt;&gt;"No Min RQ"),_xlpm.usp,AND($AF121&lt;&gt;"",$AF121&lt;&gt;"N/A",$AF121&lt;&gt;"No Min RQ"),_xlpm.n,_xlpm.sfp+_xlpm.slp+_xlpm.ffp+_xlpm.chp+_xlpm.usp,_xlpm.sub,(_xlpm.sfp*($P121="Submitted"))+(_xlpm.slp*($T121="Submitted"))+(_xlpm.ffp*($X121="Submitted"))+(_xlpm.chp*($AB121="Submitted"))+(_xlpm.usp*($AF121="Submitted")),_xlpm.term,(_xlpm.sfp*OR($P121="Approved",$P121="Declined"))+(_xlpm.slp*OR($T121="Approved",$T121="Declined"))+(_xlpm.ffp*OR($X121="Approved",$X121="Declined"))+(_xlpm.chp*OR($AB121="Approved",$AB121="Declined"))+(_xlpm.usp*OR($AF121="Approved",$AF121="Declined")),IF(_xlpm.n=0,"No applicable lenders",IF(_xlpm.sub&gt;0,"Stays with Shaw - lender still Submitted",IF(_xlpm.term=_xlpm.n,"Clear - all applicable lenders Approved or Declined","Stays with Shaw - not all lenders Approved or Declined")))))</f>
      </c>
    </row>
    <row r="122" spans="80:80">
      <c r="CB122" s="131">
        <f>IF($A122="","",_xlfn.LET(_xlpm.sfp,AND($P122&lt;&gt;"",$P122&lt;&gt;"N/A",$P122&lt;&gt;"No Min RQ"),_xlpm.slp,AND($T122&lt;&gt;"",$T122&lt;&gt;"N/A",$T122&lt;&gt;"No Min RQ"),_xlpm.ffp,AND($X122&lt;&gt;"",$X122&lt;&gt;"N/A",$X122&lt;&gt;"No Min RQ"),_xlpm.chp,AND($AB122&lt;&gt;"",$AB122&lt;&gt;"N/A",$AB122&lt;&gt;"No Min RQ"),_xlpm.usp,AND($AF122&lt;&gt;"",$AF122&lt;&gt;"N/A",$AF122&lt;&gt;"No Min RQ"),_xlpm.n,_xlpm.sfp+_xlpm.slp+_xlpm.ffp+_xlpm.chp+_xlpm.usp,_xlpm.sub,(_xlpm.sfp*($P122="Submitted"))+(_xlpm.slp*($T122="Submitted"))+(_xlpm.ffp*($X122="Submitted"))+(_xlpm.chp*($AB122="Submitted"))+(_xlpm.usp*($AF122="Submitted")),_xlpm.term,(_xlpm.sfp*OR($P122="Approved",$P122="Declined"))+(_xlpm.slp*OR($T122="Approved",$T122="Declined"))+(_xlpm.ffp*OR($X122="Approved",$X122="Declined"))+(_xlpm.chp*OR($AB122="Approved",$AB122="Declined"))+(_xlpm.usp*OR($AF122="Approved",$AF122="Declined")),IF(_xlpm.n=0,"No applicable lenders",IF(_xlpm.sub&gt;0,"Stays with Shaw - lender still Submitted",IF(_xlpm.term=_xlpm.n,"Clear - all applicable lenders Approved or Declined","Stays with Shaw - not all lenders Approved or Declined")))))</f>
      </c>
    </row>
    <row r="123" spans="80:80">
      <c r="CB123" s="131">
        <f>IF($A123="","",_xlfn.LET(_xlpm.sfp,AND($P123&lt;&gt;"",$P123&lt;&gt;"N/A",$P123&lt;&gt;"No Min RQ"),_xlpm.slp,AND($T123&lt;&gt;"",$T123&lt;&gt;"N/A",$T123&lt;&gt;"No Min RQ"),_xlpm.ffp,AND($X123&lt;&gt;"",$X123&lt;&gt;"N/A",$X123&lt;&gt;"No Min RQ"),_xlpm.chp,AND($AB123&lt;&gt;"",$AB123&lt;&gt;"N/A",$AB123&lt;&gt;"No Min RQ"),_xlpm.usp,AND($AF123&lt;&gt;"",$AF123&lt;&gt;"N/A",$AF123&lt;&gt;"No Min RQ"),_xlpm.n,_xlpm.sfp+_xlpm.slp+_xlpm.ffp+_xlpm.chp+_xlpm.usp,_xlpm.sub,(_xlpm.sfp*($P123="Submitted"))+(_xlpm.slp*($T123="Submitted"))+(_xlpm.ffp*($X123="Submitted"))+(_xlpm.chp*($AB123="Submitted"))+(_xlpm.usp*($AF123="Submitted")),_xlpm.term,(_xlpm.sfp*OR($P123="Approved",$P123="Declined"))+(_xlpm.slp*OR($T123="Approved",$T123="Declined"))+(_xlpm.ffp*OR($X123="Approved",$X123="Declined"))+(_xlpm.chp*OR($AB123="Approved",$AB123="Declined"))+(_xlpm.usp*OR($AF123="Approved",$AF123="Declined")),IF(_xlpm.n=0,"No applicable lenders",IF(_xlpm.sub&gt;0,"Stays with Shaw - lender still Submitted",IF(_xlpm.term=_xlpm.n,"Clear - all applicable lenders Approved or Declined","Stays with Shaw - not all lenders Approved or Declined")))))</f>
      </c>
    </row>
    <row r="124" spans="80:80">
      <c r="CB124" s="131">
        <f>IF($A124="","",_xlfn.LET(_xlpm.sfp,AND($P124&lt;&gt;"",$P124&lt;&gt;"N/A",$P124&lt;&gt;"No Min RQ"),_xlpm.slp,AND($T124&lt;&gt;"",$T124&lt;&gt;"N/A",$T124&lt;&gt;"No Min RQ"),_xlpm.ffp,AND($X124&lt;&gt;"",$X124&lt;&gt;"N/A",$X124&lt;&gt;"No Min RQ"),_xlpm.chp,AND($AB124&lt;&gt;"",$AB124&lt;&gt;"N/A",$AB124&lt;&gt;"No Min RQ"),_xlpm.usp,AND($AF124&lt;&gt;"",$AF124&lt;&gt;"N/A",$AF124&lt;&gt;"No Min RQ"),_xlpm.n,_xlpm.sfp+_xlpm.slp+_xlpm.ffp+_xlpm.chp+_xlpm.usp,_xlpm.sub,(_xlpm.sfp*($P124="Submitted"))+(_xlpm.slp*($T124="Submitted"))+(_xlpm.ffp*($X124="Submitted"))+(_xlpm.chp*($AB124="Submitted"))+(_xlpm.usp*($AF124="Submitted")),_xlpm.term,(_xlpm.sfp*OR($P124="Approved",$P124="Declined"))+(_xlpm.slp*OR($T124="Approved",$T124="Declined"))+(_xlpm.ffp*OR($X124="Approved",$X124="Declined"))+(_xlpm.chp*OR($AB124="Approved",$AB124="Declined"))+(_xlpm.usp*OR($AF124="Approved",$AF124="Declined")),IF(_xlpm.n=0,"No applicable lenders",IF(_xlpm.sub&gt;0,"Stays with Shaw - lender still Submitted",IF(_xlpm.term=_xlpm.n,"Clear - all applicable lenders Approved or Declined","Stays with Shaw - not all lenders Approved or Declined")))))</f>
      </c>
    </row>
    <row r="125" spans="80:80">
      <c r="CB125" s="131">
        <f>IF($A125="","",_xlfn.LET(_xlpm.sfp,AND($P125&lt;&gt;"",$P125&lt;&gt;"N/A",$P125&lt;&gt;"No Min RQ"),_xlpm.slp,AND($T125&lt;&gt;"",$T125&lt;&gt;"N/A",$T125&lt;&gt;"No Min RQ"),_xlpm.ffp,AND($X125&lt;&gt;"",$X125&lt;&gt;"N/A",$X125&lt;&gt;"No Min RQ"),_xlpm.chp,AND($AB125&lt;&gt;"",$AB125&lt;&gt;"N/A",$AB125&lt;&gt;"No Min RQ"),_xlpm.usp,AND($AF125&lt;&gt;"",$AF125&lt;&gt;"N/A",$AF125&lt;&gt;"No Min RQ"),_xlpm.n,_xlpm.sfp+_xlpm.slp+_xlpm.ffp+_xlpm.chp+_xlpm.usp,_xlpm.sub,(_xlpm.sfp*($P125="Submitted"))+(_xlpm.slp*($T125="Submitted"))+(_xlpm.ffp*($X125="Submitted"))+(_xlpm.chp*($AB125="Submitted"))+(_xlpm.usp*($AF125="Submitted")),_xlpm.term,(_xlpm.sfp*OR($P125="Approved",$P125="Declined"))+(_xlpm.slp*OR($T125="Approved",$T125="Declined"))+(_xlpm.ffp*OR($X125="Approved",$X125="Declined"))+(_xlpm.chp*OR($AB125="Approved",$AB125="Declined"))+(_xlpm.usp*OR($AF125="Approved",$AF125="Declined")),IF(_xlpm.n=0,"No applicable lenders",IF(_xlpm.sub&gt;0,"Stays with Shaw - lender still Submitted",IF(_xlpm.term=_xlpm.n,"Clear - all applicable lenders Approved or Declined","Stays with Shaw - not all lenders Approved or Declined")))))</f>
      </c>
    </row>
    <row r="126" spans="80:80">
      <c r="CB126" s="131">
        <f>IF($A126="","",_xlfn.LET(_xlpm.sfp,AND($P126&lt;&gt;"",$P126&lt;&gt;"N/A",$P126&lt;&gt;"No Min RQ"),_xlpm.slp,AND($T126&lt;&gt;"",$T126&lt;&gt;"N/A",$T126&lt;&gt;"No Min RQ"),_xlpm.ffp,AND($X126&lt;&gt;"",$X126&lt;&gt;"N/A",$X126&lt;&gt;"No Min RQ"),_xlpm.chp,AND($AB126&lt;&gt;"",$AB126&lt;&gt;"N/A",$AB126&lt;&gt;"No Min RQ"),_xlpm.usp,AND($AF126&lt;&gt;"",$AF126&lt;&gt;"N/A",$AF126&lt;&gt;"No Min RQ"),_xlpm.n,_xlpm.sfp+_xlpm.slp+_xlpm.ffp+_xlpm.chp+_xlpm.usp,_xlpm.sub,(_xlpm.sfp*($P126="Submitted"))+(_xlpm.slp*($T126="Submitted"))+(_xlpm.ffp*($X126="Submitted"))+(_xlpm.chp*($AB126="Submitted"))+(_xlpm.usp*($AF126="Submitted")),_xlpm.term,(_xlpm.sfp*OR($P126="Approved",$P126="Declined"))+(_xlpm.slp*OR($T126="Approved",$T126="Declined"))+(_xlpm.ffp*OR($X126="Approved",$X126="Declined"))+(_xlpm.chp*OR($AB126="Approved",$AB126="Declined"))+(_xlpm.usp*OR($AF126="Approved",$AF126="Declined")),IF(_xlpm.n=0,"No applicable lenders",IF(_xlpm.sub&gt;0,"Stays with Shaw - lender still Submitted",IF(_xlpm.term=_xlpm.n,"Clear - all applicable lenders Approved or Declined","Stays with Shaw - not all lenders Approved or Declined")))))</f>
      </c>
    </row>
    <row r="127" spans="80:80">
      <c r="CB127" s="131">
        <f>IF($A127="","",_xlfn.LET(_xlpm.sfp,AND($P127&lt;&gt;"",$P127&lt;&gt;"N/A",$P127&lt;&gt;"No Min RQ"),_xlpm.slp,AND($T127&lt;&gt;"",$T127&lt;&gt;"N/A",$T127&lt;&gt;"No Min RQ"),_xlpm.ffp,AND($X127&lt;&gt;"",$X127&lt;&gt;"N/A",$X127&lt;&gt;"No Min RQ"),_xlpm.chp,AND($AB127&lt;&gt;"",$AB127&lt;&gt;"N/A",$AB127&lt;&gt;"No Min RQ"),_xlpm.usp,AND($AF127&lt;&gt;"",$AF127&lt;&gt;"N/A",$AF127&lt;&gt;"No Min RQ"),_xlpm.n,_xlpm.sfp+_xlpm.slp+_xlpm.ffp+_xlpm.chp+_xlpm.usp,_xlpm.sub,(_xlpm.sfp*($P127="Submitted"))+(_xlpm.slp*($T127="Submitted"))+(_xlpm.ffp*($X127="Submitted"))+(_xlpm.chp*($AB127="Submitted"))+(_xlpm.usp*($AF127="Submitted")),_xlpm.term,(_xlpm.sfp*OR($P127="Approved",$P127="Declined"))+(_xlpm.slp*OR($T127="Approved",$T127="Declined"))+(_xlpm.ffp*OR($X127="Approved",$X127="Declined"))+(_xlpm.chp*OR($AB127="Approved",$AB127="Declined"))+(_xlpm.usp*OR($AF127="Approved",$AF127="Declined")),IF(_xlpm.n=0,"No applicable lenders",IF(_xlpm.sub&gt;0,"Stays with Shaw - lender still Submitted",IF(_xlpm.term=_xlpm.n,"Clear - all applicable lenders Approved or Declined","Stays with Shaw - not all lenders Approved or Declined")))))</f>
      </c>
    </row>
    <row r="128" spans="80:80">
      <c r="CB128" s="131">
        <f>IF($A128="","",_xlfn.LET(_xlpm.sfp,AND($P128&lt;&gt;"",$P128&lt;&gt;"N/A",$P128&lt;&gt;"No Min RQ"),_xlpm.slp,AND($T128&lt;&gt;"",$T128&lt;&gt;"N/A",$T128&lt;&gt;"No Min RQ"),_xlpm.ffp,AND($X128&lt;&gt;"",$X128&lt;&gt;"N/A",$X128&lt;&gt;"No Min RQ"),_xlpm.chp,AND($AB128&lt;&gt;"",$AB128&lt;&gt;"N/A",$AB128&lt;&gt;"No Min RQ"),_xlpm.usp,AND($AF128&lt;&gt;"",$AF128&lt;&gt;"N/A",$AF128&lt;&gt;"No Min RQ"),_xlpm.n,_xlpm.sfp+_xlpm.slp+_xlpm.ffp+_xlpm.chp+_xlpm.usp,_xlpm.sub,(_xlpm.sfp*($P128="Submitted"))+(_xlpm.slp*($T128="Submitted"))+(_xlpm.ffp*($X128="Submitted"))+(_xlpm.chp*($AB128="Submitted"))+(_xlpm.usp*($AF128="Submitted")),_xlpm.term,(_xlpm.sfp*OR($P128="Approved",$P128="Declined"))+(_xlpm.slp*OR($T128="Approved",$T128="Declined"))+(_xlpm.ffp*OR($X128="Approved",$X128="Declined"))+(_xlpm.chp*OR($AB128="Approved",$AB128="Declined"))+(_xlpm.usp*OR($AF128="Approved",$AF128="Declined")),IF(_xlpm.n=0,"No applicable lenders",IF(_xlpm.sub&gt;0,"Stays with Shaw - lender still Submitted",IF(_xlpm.term=_xlpm.n,"Clear - all applicable lenders Approved or Declined","Stays with Shaw - not all lenders Approved or Declined")))))</f>
      </c>
    </row>
    <row r="129" spans="80:80">
      <c r="CB129" s="131">
        <f>IF($A129="","",_xlfn.LET(_xlpm.sfp,AND($P129&lt;&gt;"",$P129&lt;&gt;"N/A",$P129&lt;&gt;"No Min RQ"),_xlpm.slp,AND($T129&lt;&gt;"",$T129&lt;&gt;"N/A",$T129&lt;&gt;"No Min RQ"),_xlpm.ffp,AND($X129&lt;&gt;"",$X129&lt;&gt;"N/A",$X129&lt;&gt;"No Min RQ"),_xlpm.chp,AND($AB129&lt;&gt;"",$AB129&lt;&gt;"N/A",$AB129&lt;&gt;"No Min RQ"),_xlpm.usp,AND($AF129&lt;&gt;"",$AF129&lt;&gt;"N/A",$AF129&lt;&gt;"No Min RQ"),_xlpm.n,_xlpm.sfp+_xlpm.slp+_xlpm.ffp+_xlpm.chp+_xlpm.usp,_xlpm.sub,(_xlpm.sfp*($P129="Submitted"))+(_xlpm.slp*($T129="Submitted"))+(_xlpm.ffp*($X129="Submitted"))+(_xlpm.chp*($AB129="Submitted"))+(_xlpm.usp*($AF129="Submitted")),_xlpm.term,(_xlpm.sfp*OR($P129="Approved",$P129="Declined"))+(_xlpm.slp*OR($T129="Approved",$T129="Declined"))+(_xlpm.ffp*OR($X129="Approved",$X129="Declined"))+(_xlpm.chp*OR($AB129="Approved",$AB129="Declined"))+(_xlpm.usp*OR($AF129="Approved",$AF129="Declined")),IF(_xlpm.n=0,"No applicable lenders",IF(_xlpm.sub&gt;0,"Stays with Shaw - lender still Submitted",IF(_xlpm.term=_xlpm.n,"Clear - all applicable lenders Approved or Declined","Stays with Shaw - not all lenders Approved or Declined")))))</f>
      </c>
    </row>
    <row r="130" spans="80:80">
      <c r="CB130" s="131">
        <f>IF($A130="","",_xlfn.LET(_xlpm.sfp,AND($P130&lt;&gt;"",$P130&lt;&gt;"N/A",$P130&lt;&gt;"No Min RQ"),_xlpm.slp,AND($T130&lt;&gt;"",$T130&lt;&gt;"N/A",$T130&lt;&gt;"No Min RQ"),_xlpm.ffp,AND($X130&lt;&gt;"",$X130&lt;&gt;"N/A",$X130&lt;&gt;"No Min RQ"),_xlpm.chp,AND($AB130&lt;&gt;"",$AB130&lt;&gt;"N/A",$AB130&lt;&gt;"No Min RQ"),_xlpm.usp,AND($AF130&lt;&gt;"",$AF130&lt;&gt;"N/A",$AF130&lt;&gt;"No Min RQ"),_xlpm.n,_xlpm.sfp+_xlpm.slp+_xlpm.ffp+_xlpm.chp+_xlpm.usp,_xlpm.sub,(_xlpm.sfp*($P130="Submitted"))+(_xlpm.slp*($T130="Submitted"))+(_xlpm.ffp*($X130="Submitted"))+(_xlpm.chp*($AB130="Submitted"))+(_xlpm.usp*($AF130="Submitted")),_xlpm.term,(_xlpm.sfp*OR($P130="Approved",$P130="Declined"))+(_xlpm.slp*OR($T130="Approved",$T130="Declined"))+(_xlpm.ffp*OR($X130="Approved",$X130="Declined"))+(_xlpm.chp*OR($AB130="Approved",$AB130="Declined"))+(_xlpm.usp*OR($AF130="Approved",$AF130="Declined")),IF(_xlpm.n=0,"No applicable lenders",IF(_xlpm.sub&gt;0,"Stays with Shaw - lender still Submitted",IF(_xlpm.term=_xlpm.n,"Clear - all applicable lenders Approved or Declined","Stays with Shaw - not all lenders Approved or Declined")))))</f>
      </c>
    </row>
    <row r="131" spans="80:80">
      <c r="CB131" s="131">
        <f>IF($A131="","",_xlfn.LET(_xlpm.sfp,AND($P131&lt;&gt;"",$P131&lt;&gt;"N/A",$P131&lt;&gt;"No Min RQ"),_xlpm.slp,AND($T131&lt;&gt;"",$T131&lt;&gt;"N/A",$T131&lt;&gt;"No Min RQ"),_xlpm.ffp,AND($X131&lt;&gt;"",$X131&lt;&gt;"N/A",$X131&lt;&gt;"No Min RQ"),_xlpm.chp,AND($AB131&lt;&gt;"",$AB131&lt;&gt;"N/A",$AB131&lt;&gt;"No Min RQ"),_xlpm.usp,AND($AF131&lt;&gt;"",$AF131&lt;&gt;"N/A",$AF131&lt;&gt;"No Min RQ"),_xlpm.n,_xlpm.sfp+_xlpm.slp+_xlpm.ffp+_xlpm.chp+_xlpm.usp,_xlpm.sub,(_xlpm.sfp*($P131="Submitted"))+(_xlpm.slp*($T131="Submitted"))+(_xlpm.ffp*($X131="Submitted"))+(_xlpm.chp*($AB131="Submitted"))+(_xlpm.usp*($AF131="Submitted")),_xlpm.term,(_xlpm.sfp*OR($P131="Approved",$P131="Declined"))+(_xlpm.slp*OR($T131="Approved",$T131="Declined"))+(_xlpm.ffp*OR($X131="Approved",$X131="Declined"))+(_xlpm.chp*OR($AB131="Approved",$AB131="Declined"))+(_xlpm.usp*OR($AF131="Approved",$AF131="Declined")),IF(_xlpm.n=0,"No applicable lenders",IF(_xlpm.sub&gt;0,"Stays with Shaw - lender still Submitted",IF(_xlpm.term=_xlpm.n,"Clear - all applicable lenders Approved or Declined","Stays with Shaw - not all lenders Approved or Declined")))))</f>
      </c>
    </row>
    <row r="132" spans="80:80">
      <c r="CB132" s="131">
        <f>IF($A132="","",_xlfn.LET(_xlpm.sfp,AND($P132&lt;&gt;"",$P132&lt;&gt;"N/A",$P132&lt;&gt;"No Min RQ"),_xlpm.slp,AND($T132&lt;&gt;"",$T132&lt;&gt;"N/A",$T132&lt;&gt;"No Min RQ"),_xlpm.ffp,AND($X132&lt;&gt;"",$X132&lt;&gt;"N/A",$X132&lt;&gt;"No Min RQ"),_xlpm.chp,AND($AB132&lt;&gt;"",$AB132&lt;&gt;"N/A",$AB132&lt;&gt;"No Min RQ"),_xlpm.usp,AND($AF132&lt;&gt;"",$AF132&lt;&gt;"N/A",$AF132&lt;&gt;"No Min RQ"),_xlpm.n,_xlpm.sfp+_xlpm.slp+_xlpm.ffp+_xlpm.chp+_xlpm.usp,_xlpm.sub,(_xlpm.sfp*($P132="Submitted"))+(_xlpm.slp*($T132="Submitted"))+(_xlpm.ffp*($X132="Submitted"))+(_xlpm.chp*($AB132="Submitted"))+(_xlpm.usp*($AF132="Submitted")),_xlpm.term,(_xlpm.sfp*OR($P132="Approved",$P132="Declined"))+(_xlpm.slp*OR($T132="Approved",$T132="Declined"))+(_xlpm.ffp*OR($X132="Approved",$X132="Declined"))+(_xlpm.chp*OR($AB132="Approved",$AB132="Declined"))+(_xlpm.usp*OR($AF132="Approved",$AF132="Declined")),IF(_xlpm.n=0,"No applicable lenders",IF(_xlpm.sub&gt;0,"Stays with Shaw - lender still Submitted",IF(_xlpm.term=_xlpm.n,"Clear - all applicable lenders Approved or Declined","Stays with Shaw - not all lenders Approved or Declined")))))</f>
      </c>
    </row>
    <row r="133" spans="80:80">
      <c r="CB133" s="131">
        <f>IF($A133="","",_xlfn.LET(_xlpm.sfp,AND($P133&lt;&gt;"",$P133&lt;&gt;"N/A",$P133&lt;&gt;"No Min RQ"),_xlpm.slp,AND($T133&lt;&gt;"",$T133&lt;&gt;"N/A",$T133&lt;&gt;"No Min RQ"),_xlpm.ffp,AND($X133&lt;&gt;"",$X133&lt;&gt;"N/A",$X133&lt;&gt;"No Min RQ"),_xlpm.chp,AND($AB133&lt;&gt;"",$AB133&lt;&gt;"N/A",$AB133&lt;&gt;"No Min RQ"),_xlpm.usp,AND($AF133&lt;&gt;"",$AF133&lt;&gt;"N/A",$AF133&lt;&gt;"No Min RQ"),_xlpm.n,_xlpm.sfp+_xlpm.slp+_xlpm.ffp+_xlpm.chp+_xlpm.usp,_xlpm.sub,(_xlpm.sfp*($P133="Submitted"))+(_xlpm.slp*($T133="Submitted"))+(_xlpm.ffp*($X133="Submitted"))+(_xlpm.chp*($AB133="Submitted"))+(_xlpm.usp*($AF133="Submitted")),_xlpm.term,(_xlpm.sfp*OR($P133="Approved",$P133="Declined"))+(_xlpm.slp*OR($T133="Approved",$T133="Declined"))+(_xlpm.ffp*OR($X133="Approved",$X133="Declined"))+(_xlpm.chp*OR($AB133="Approved",$AB133="Declined"))+(_xlpm.usp*OR($AF133="Approved",$AF133="Declined")),IF(_xlpm.n=0,"No applicable lenders",IF(_xlpm.sub&gt;0,"Stays with Shaw - lender still Submitted",IF(_xlpm.term=_xlpm.n,"Clear - all applicable lenders Approved or Declined","Stays with Shaw - not all lenders Approved or Declined")))))</f>
      </c>
    </row>
    <row r="134" spans="80:80">
      <c r="CB134" s="131">
        <f>IF($A134="","",_xlfn.LET(_xlpm.sfp,AND($P134&lt;&gt;"",$P134&lt;&gt;"N/A",$P134&lt;&gt;"No Min RQ"),_xlpm.slp,AND($T134&lt;&gt;"",$T134&lt;&gt;"N/A",$T134&lt;&gt;"No Min RQ"),_xlpm.ffp,AND($X134&lt;&gt;"",$X134&lt;&gt;"N/A",$X134&lt;&gt;"No Min RQ"),_xlpm.chp,AND($AB134&lt;&gt;"",$AB134&lt;&gt;"N/A",$AB134&lt;&gt;"No Min RQ"),_xlpm.usp,AND($AF134&lt;&gt;"",$AF134&lt;&gt;"N/A",$AF134&lt;&gt;"No Min RQ"),_xlpm.n,_xlpm.sfp+_xlpm.slp+_xlpm.ffp+_xlpm.chp+_xlpm.usp,_xlpm.sub,(_xlpm.sfp*($P134="Submitted"))+(_xlpm.slp*($T134="Submitted"))+(_xlpm.ffp*($X134="Submitted"))+(_xlpm.chp*($AB134="Submitted"))+(_xlpm.usp*($AF134="Submitted")),_xlpm.term,(_xlpm.sfp*OR($P134="Approved",$P134="Declined"))+(_xlpm.slp*OR($T134="Approved",$T134="Declined"))+(_xlpm.ffp*OR($X134="Approved",$X134="Declined"))+(_xlpm.chp*OR($AB134="Approved",$AB134="Declined"))+(_xlpm.usp*OR($AF134="Approved",$AF134="Declined")),IF(_xlpm.n=0,"No applicable lenders",IF(_xlpm.sub&gt;0,"Stays with Shaw - lender still Submitted",IF(_xlpm.term=_xlpm.n,"Clear - all applicable lenders Approved or Declined","Stays with Shaw - not all lenders Approved or Declined")))))</f>
      </c>
    </row>
    <row r="135" spans="80:80">
      <c r="CB135" s="131">
        <f>IF($A135="","",_xlfn.LET(_xlpm.sfp,AND($P135&lt;&gt;"",$P135&lt;&gt;"N/A",$P135&lt;&gt;"No Min RQ"),_xlpm.slp,AND($T135&lt;&gt;"",$T135&lt;&gt;"N/A",$T135&lt;&gt;"No Min RQ"),_xlpm.ffp,AND($X135&lt;&gt;"",$X135&lt;&gt;"N/A",$X135&lt;&gt;"No Min RQ"),_xlpm.chp,AND($AB135&lt;&gt;"",$AB135&lt;&gt;"N/A",$AB135&lt;&gt;"No Min RQ"),_xlpm.usp,AND($AF135&lt;&gt;"",$AF135&lt;&gt;"N/A",$AF135&lt;&gt;"No Min RQ"),_xlpm.n,_xlpm.sfp+_xlpm.slp+_xlpm.ffp+_xlpm.chp+_xlpm.usp,_xlpm.sub,(_xlpm.sfp*($P135="Submitted"))+(_xlpm.slp*($T135="Submitted"))+(_xlpm.ffp*($X135="Submitted"))+(_xlpm.chp*($AB135="Submitted"))+(_xlpm.usp*($AF135="Submitted")),_xlpm.term,(_xlpm.sfp*OR($P135="Approved",$P135="Declined"))+(_xlpm.slp*OR($T135="Approved",$T135="Declined"))+(_xlpm.ffp*OR($X135="Approved",$X135="Declined"))+(_xlpm.chp*OR($AB135="Approved",$AB135="Declined"))+(_xlpm.usp*OR($AF135="Approved",$AF135="Declined")),IF(_xlpm.n=0,"No applicable lenders",IF(_xlpm.sub&gt;0,"Stays with Shaw - lender still Submitted",IF(_xlpm.term=_xlpm.n,"Clear - all applicable lenders Approved or Declined","Stays with Shaw - not all lenders Approved or Declined")))))</f>
      </c>
    </row>
    <row r="136" spans="80:80">
      <c r="CB136" s="131">
        <f>IF($A136="","",_xlfn.LET(_xlpm.sfp,AND($P136&lt;&gt;"",$P136&lt;&gt;"N/A",$P136&lt;&gt;"No Min RQ"),_xlpm.slp,AND($T136&lt;&gt;"",$T136&lt;&gt;"N/A",$T136&lt;&gt;"No Min RQ"),_xlpm.ffp,AND($X136&lt;&gt;"",$X136&lt;&gt;"N/A",$X136&lt;&gt;"No Min RQ"),_xlpm.chp,AND($AB136&lt;&gt;"",$AB136&lt;&gt;"N/A",$AB136&lt;&gt;"No Min RQ"),_xlpm.usp,AND($AF136&lt;&gt;"",$AF136&lt;&gt;"N/A",$AF136&lt;&gt;"No Min RQ"),_xlpm.n,_xlpm.sfp+_xlpm.slp+_xlpm.ffp+_xlpm.chp+_xlpm.usp,_xlpm.sub,(_xlpm.sfp*($P136="Submitted"))+(_xlpm.slp*($T136="Submitted"))+(_xlpm.ffp*($X136="Submitted"))+(_xlpm.chp*($AB136="Submitted"))+(_xlpm.usp*($AF136="Submitted")),_xlpm.term,(_xlpm.sfp*OR($P136="Approved",$P136="Declined"))+(_xlpm.slp*OR($T136="Approved",$T136="Declined"))+(_xlpm.ffp*OR($X136="Approved",$X136="Declined"))+(_xlpm.chp*OR($AB136="Approved",$AB136="Declined"))+(_xlpm.usp*OR($AF136="Approved",$AF136="Declined")),IF(_xlpm.n=0,"No applicable lenders",IF(_xlpm.sub&gt;0,"Stays with Shaw - lender still Submitted",IF(_xlpm.term=_xlpm.n,"Clear - all applicable lenders Approved or Declined","Stays with Shaw - not all lenders Approved or Declined")))))</f>
      </c>
    </row>
    <row r="137" spans="80:80">
      <c r="CB137" s="131">
        <f>IF($A137="","",_xlfn.LET(_xlpm.sfp,AND($P137&lt;&gt;"",$P137&lt;&gt;"N/A",$P137&lt;&gt;"No Min RQ"),_xlpm.slp,AND($T137&lt;&gt;"",$T137&lt;&gt;"N/A",$T137&lt;&gt;"No Min RQ"),_xlpm.ffp,AND($X137&lt;&gt;"",$X137&lt;&gt;"N/A",$X137&lt;&gt;"No Min RQ"),_xlpm.chp,AND($AB137&lt;&gt;"",$AB137&lt;&gt;"N/A",$AB137&lt;&gt;"No Min RQ"),_xlpm.usp,AND($AF137&lt;&gt;"",$AF137&lt;&gt;"N/A",$AF137&lt;&gt;"No Min RQ"),_xlpm.n,_xlpm.sfp+_xlpm.slp+_xlpm.ffp+_xlpm.chp+_xlpm.usp,_xlpm.sub,(_xlpm.sfp*($P137="Submitted"))+(_xlpm.slp*($T137="Submitted"))+(_xlpm.ffp*($X137="Submitted"))+(_xlpm.chp*($AB137="Submitted"))+(_xlpm.usp*($AF137="Submitted")),_xlpm.term,(_xlpm.sfp*OR($P137="Approved",$P137="Declined"))+(_xlpm.slp*OR($T137="Approved",$T137="Declined"))+(_xlpm.ffp*OR($X137="Approved",$X137="Declined"))+(_xlpm.chp*OR($AB137="Approved",$AB137="Declined"))+(_xlpm.usp*OR($AF137="Approved",$AF137="Declined")),IF(_xlpm.n=0,"No applicable lenders",IF(_xlpm.sub&gt;0,"Stays with Shaw - lender still Submitted",IF(_xlpm.term=_xlpm.n,"Clear - all applicable lenders Approved or Declined","Stays with Shaw - not all lenders Approved or Declined")))))</f>
      </c>
    </row>
    <row r="138" spans="80:80">
      <c r="CB138" s="131">
        <f>IF($A138="","",_xlfn.LET(_xlpm.sfp,AND($P138&lt;&gt;"",$P138&lt;&gt;"N/A",$P138&lt;&gt;"No Min RQ"),_xlpm.slp,AND($T138&lt;&gt;"",$T138&lt;&gt;"N/A",$T138&lt;&gt;"No Min RQ"),_xlpm.ffp,AND($X138&lt;&gt;"",$X138&lt;&gt;"N/A",$X138&lt;&gt;"No Min RQ"),_xlpm.chp,AND($AB138&lt;&gt;"",$AB138&lt;&gt;"N/A",$AB138&lt;&gt;"No Min RQ"),_xlpm.usp,AND($AF138&lt;&gt;"",$AF138&lt;&gt;"N/A",$AF138&lt;&gt;"No Min RQ"),_xlpm.n,_xlpm.sfp+_xlpm.slp+_xlpm.ffp+_xlpm.chp+_xlpm.usp,_xlpm.sub,(_xlpm.sfp*($P138="Submitted"))+(_xlpm.slp*($T138="Submitted"))+(_xlpm.ffp*($X138="Submitted"))+(_xlpm.chp*($AB138="Submitted"))+(_xlpm.usp*($AF138="Submitted")),_xlpm.term,(_xlpm.sfp*OR($P138="Approved",$P138="Declined"))+(_xlpm.slp*OR($T138="Approved",$T138="Declined"))+(_xlpm.ffp*OR($X138="Approved",$X138="Declined"))+(_xlpm.chp*OR($AB138="Approved",$AB138="Declined"))+(_xlpm.usp*OR($AF138="Approved",$AF138="Declined")),IF(_xlpm.n=0,"No applicable lenders",IF(_xlpm.sub&gt;0,"Stays with Shaw - lender still Submitted",IF(_xlpm.term=_xlpm.n,"Clear - all applicable lenders Approved or Declined","Stays with Shaw - not all lenders Approved or Declined")))))</f>
      </c>
    </row>
    <row r="139" spans="80:80">
      <c r="CB139" s="131">
        <f>IF($A139="","",_xlfn.LET(_xlpm.sfp,AND($P139&lt;&gt;"",$P139&lt;&gt;"N/A",$P139&lt;&gt;"No Min RQ"),_xlpm.slp,AND($T139&lt;&gt;"",$T139&lt;&gt;"N/A",$T139&lt;&gt;"No Min RQ"),_xlpm.ffp,AND($X139&lt;&gt;"",$X139&lt;&gt;"N/A",$X139&lt;&gt;"No Min RQ"),_xlpm.chp,AND($AB139&lt;&gt;"",$AB139&lt;&gt;"N/A",$AB139&lt;&gt;"No Min RQ"),_xlpm.usp,AND($AF139&lt;&gt;"",$AF139&lt;&gt;"N/A",$AF139&lt;&gt;"No Min RQ"),_xlpm.n,_xlpm.sfp+_xlpm.slp+_xlpm.ffp+_xlpm.chp+_xlpm.usp,_xlpm.sub,(_xlpm.sfp*($P139="Submitted"))+(_xlpm.slp*($T139="Submitted"))+(_xlpm.ffp*($X139="Submitted"))+(_xlpm.chp*($AB139="Submitted"))+(_xlpm.usp*($AF139="Submitted")),_xlpm.term,(_xlpm.sfp*OR($P139="Approved",$P139="Declined"))+(_xlpm.slp*OR($T139="Approved",$T139="Declined"))+(_xlpm.ffp*OR($X139="Approved",$X139="Declined"))+(_xlpm.chp*OR($AB139="Approved",$AB139="Declined"))+(_xlpm.usp*OR($AF139="Approved",$AF139="Declined")),IF(_xlpm.n=0,"No applicable lenders",IF(_xlpm.sub&gt;0,"Stays with Shaw - lender still Submitted",IF(_xlpm.term=_xlpm.n,"Clear - all applicable lenders Approved or Declined","Stays with Shaw - not all lenders Approved or Declined")))))</f>
      </c>
    </row>
    <row r="140" spans="80:80">
      <c r="CB140" s="131">
        <f>IF($A140="","",_xlfn.LET(_xlpm.sfp,AND($P140&lt;&gt;"",$P140&lt;&gt;"N/A",$P140&lt;&gt;"No Min RQ"),_xlpm.slp,AND($T140&lt;&gt;"",$T140&lt;&gt;"N/A",$T140&lt;&gt;"No Min RQ"),_xlpm.ffp,AND($X140&lt;&gt;"",$X140&lt;&gt;"N/A",$X140&lt;&gt;"No Min RQ"),_xlpm.chp,AND($AB140&lt;&gt;"",$AB140&lt;&gt;"N/A",$AB140&lt;&gt;"No Min RQ"),_xlpm.usp,AND($AF140&lt;&gt;"",$AF140&lt;&gt;"N/A",$AF140&lt;&gt;"No Min RQ"),_xlpm.n,_xlpm.sfp+_xlpm.slp+_xlpm.ffp+_xlpm.chp+_xlpm.usp,_xlpm.sub,(_xlpm.sfp*($P140="Submitted"))+(_xlpm.slp*($T140="Submitted"))+(_xlpm.ffp*($X140="Submitted"))+(_xlpm.chp*($AB140="Submitted"))+(_xlpm.usp*($AF140="Submitted")),_xlpm.term,(_xlpm.sfp*OR($P140="Approved",$P140="Declined"))+(_xlpm.slp*OR($T140="Approved",$T140="Declined"))+(_xlpm.ffp*OR($X140="Approved",$X140="Declined"))+(_xlpm.chp*OR($AB140="Approved",$AB140="Declined"))+(_xlpm.usp*OR($AF140="Approved",$AF140="Declined")),IF(_xlpm.n=0,"No applicable lenders",IF(_xlpm.sub&gt;0,"Stays with Shaw - lender still Submitted",IF(_xlpm.term=_xlpm.n,"Clear - all applicable lenders Approved or Declined","Stays with Shaw - not all lenders Approved or Declined")))))</f>
      </c>
    </row>
    <row r="141" spans="80:80">
      <c r="CB141" s="131">
        <f>IF($A141="","",_xlfn.LET(_xlpm.sfp,AND($P141&lt;&gt;"",$P141&lt;&gt;"N/A",$P141&lt;&gt;"No Min RQ"),_xlpm.slp,AND($T141&lt;&gt;"",$T141&lt;&gt;"N/A",$T141&lt;&gt;"No Min RQ"),_xlpm.ffp,AND($X141&lt;&gt;"",$X141&lt;&gt;"N/A",$X141&lt;&gt;"No Min RQ"),_xlpm.chp,AND($AB141&lt;&gt;"",$AB141&lt;&gt;"N/A",$AB141&lt;&gt;"No Min RQ"),_xlpm.usp,AND($AF141&lt;&gt;"",$AF141&lt;&gt;"N/A",$AF141&lt;&gt;"No Min RQ"),_xlpm.n,_xlpm.sfp+_xlpm.slp+_xlpm.ffp+_xlpm.chp+_xlpm.usp,_xlpm.sub,(_xlpm.sfp*($P141="Submitted"))+(_xlpm.slp*($T141="Submitted"))+(_xlpm.ffp*($X141="Submitted"))+(_xlpm.chp*($AB141="Submitted"))+(_xlpm.usp*($AF141="Submitted")),_xlpm.term,(_xlpm.sfp*OR($P141="Approved",$P141="Declined"))+(_xlpm.slp*OR($T141="Approved",$T141="Declined"))+(_xlpm.ffp*OR($X141="Approved",$X141="Declined"))+(_xlpm.chp*OR($AB141="Approved",$AB141="Declined"))+(_xlpm.usp*OR($AF141="Approved",$AF141="Declined")),IF(_xlpm.n=0,"No applicable lenders",IF(_xlpm.sub&gt;0,"Stays with Shaw - lender still Submitted",IF(_xlpm.term=_xlpm.n,"Clear - all applicable lenders Approved or Declined","Stays with Shaw - not all lenders Approved or Declined")))))</f>
      </c>
    </row>
    <row r="142" spans="80:80">
      <c r="CB142" s="131">
        <f>IF($A142="","",_xlfn.LET(_xlpm.sfp,AND($P142&lt;&gt;"",$P142&lt;&gt;"N/A",$P142&lt;&gt;"No Min RQ"),_xlpm.slp,AND($T142&lt;&gt;"",$T142&lt;&gt;"N/A",$T142&lt;&gt;"No Min RQ"),_xlpm.ffp,AND($X142&lt;&gt;"",$X142&lt;&gt;"N/A",$X142&lt;&gt;"No Min RQ"),_xlpm.chp,AND($AB142&lt;&gt;"",$AB142&lt;&gt;"N/A",$AB142&lt;&gt;"No Min RQ"),_xlpm.usp,AND($AF142&lt;&gt;"",$AF142&lt;&gt;"N/A",$AF142&lt;&gt;"No Min RQ"),_xlpm.n,_xlpm.sfp+_xlpm.slp+_xlpm.ffp+_xlpm.chp+_xlpm.usp,_xlpm.sub,(_xlpm.sfp*($P142="Submitted"))+(_xlpm.slp*($T142="Submitted"))+(_xlpm.ffp*($X142="Submitted"))+(_xlpm.chp*($AB142="Submitted"))+(_xlpm.usp*($AF142="Submitted")),_xlpm.term,(_xlpm.sfp*OR($P142="Approved",$P142="Declined"))+(_xlpm.slp*OR($T142="Approved",$T142="Declined"))+(_xlpm.ffp*OR($X142="Approved",$X142="Declined"))+(_xlpm.chp*OR($AB142="Approved",$AB142="Declined"))+(_xlpm.usp*OR($AF142="Approved",$AF142="Declined")),IF(_xlpm.n=0,"No applicable lenders",IF(_xlpm.sub&gt;0,"Stays with Shaw - lender still Submitted",IF(_xlpm.term=_xlpm.n,"Clear - all applicable lenders Approved or Declined","Stays with Shaw - not all lenders Approved or Declined")))))</f>
      </c>
    </row>
    <row r="143" spans="80:80">
      <c r="CB143" s="131">
        <f>IF($A143="","",_xlfn.LET(_xlpm.sfp,AND($P143&lt;&gt;"",$P143&lt;&gt;"N/A",$P143&lt;&gt;"No Min RQ"),_xlpm.slp,AND($T143&lt;&gt;"",$T143&lt;&gt;"N/A",$T143&lt;&gt;"No Min RQ"),_xlpm.ffp,AND($X143&lt;&gt;"",$X143&lt;&gt;"N/A",$X143&lt;&gt;"No Min RQ"),_xlpm.chp,AND($AB143&lt;&gt;"",$AB143&lt;&gt;"N/A",$AB143&lt;&gt;"No Min RQ"),_xlpm.usp,AND($AF143&lt;&gt;"",$AF143&lt;&gt;"N/A",$AF143&lt;&gt;"No Min RQ"),_xlpm.n,_xlpm.sfp+_xlpm.slp+_xlpm.ffp+_xlpm.chp+_xlpm.usp,_xlpm.sub,(_xlpm.sfp*($P143="Submitted"))+(_xlpm.slp*($T143="Submitted"))+(_xlpm.ffp*($X143="Submitted"))+(_xlpm.chp*($AB143="Submitted"))+(_xlpm.usp*($AF143="Submitted")),_xlpm.term,(_xlpm.sfp*OR($P143="Approved",$P143="Declined"))+(_xlpm.slp*OR($T143="Approved",$T143="Declined"))+(_xlpm.ffp*OR($X143="Approved",$X143="Declined"))+(_xlpm.chp*OR($AB143="Approved",$AB143="Declined"))+(_xlpm.usp*OR($AF143="Approved",$AF143="Declined")),IF(_xlpm.n=0,"No applicable lenders",IF(_xlpm.sub&gt;0,"Stays with Shaw - lender still Submitted",IF(_xlpm.term=_xlpm.n,"Clear - all applicable lenders Approved or Declined","Stays with Shaw - not all lenders Approved or Declined")))))</f>
      </c>
    </row>
    <row r="144" spans="80:80">
      <c r="CB144" s="131">
        <f>IF($A144="","",_xlfn.LET(_xlpm.sfp,AND($P144&lt;&gt;"",$P144&lt;&gt;"N/A",$P144&lt;&gt;"No Min RQ"),_xlpm.slp,AND($T144&lt;&gt;"",$T144&lt;&gt;"N/A",$T144&lt;&gt;"No Min RQ"),_xlpm.ffp,AND($X144&lt;&gt;"",$X144&lt;&gt;"N/A",$X144&lt;&gt;"No Min RQ"),_xlpm.chp,AND($AB144&lt;&gt;"",$AB144&lt;&gt;"N/A",$AB144&lt;&gt;"No Min RQ"),_xlpm.usp,AND($AF144&lt;&gt;"",$AF144&lt;&gt;"N/A",$AF144&lt;&gt;"No Min RQ"),_xlpm.n,_xlpm.sfp+_xlpm.slp+_xlpm.ffp+_xlpm.chp+_xlpm.usp,_xlpm.sub,(_xlpm.sfp*($P144="Submitted"))+(_xlpm.slp*($T144="Submitted"))+(_xlpm.ffp*($X144="Submitted"))+(_xlpm.chp*($AB144="Submitted"))+(_xlpm.usp*($AF144="Submitted")),_xlpm.term,(_xlpm.sfp*OR($P144="Approved",$P144="Declined"))+(_xlpm.slp*OR($T144="Approved",$T144="Declined"))+(_xlpm.ffp*OR($X144="Approved",$X144="Declined"))+(_xlpm.chp*OR($AB144="Approved",$AB144="Declined"))+(_xlpm.usp*OR($AF144="Approved",$AF144="Declined")),IF(_xlpm.n=0,"No applicable lenders",IF(_xlpm.sub&gt;0,"Stays with Shaw - lender still Submitted",IF(_xlpm.term=_xlpm.n,"Clear - all applicable lenders Approved or Declined","Stays with Shaw - not all lenders Approved or Declined")))))</f>
      </c>
    </row>
    <row r="145" spans="80:80">
      <c r="CB145" s="131">
        <f>IF($A145="","",_xlfn.LET(_xlpm.sfp,AND($P145&lt;&gt;"",$P145&lt;&gt;"N/A",$P145&lt;&gt;"No Min RQ"),_xlpm.slp,AND($T145&lt;&gt;"",$T145&lt;&gt;"N/A",$T145&lt;&gt;"No Min RQ"),_xlpm.ffp,AND($X145&lt;&gt;"",$X145&lt;&gt;"N/A",$X145&lt;&gt;"No Min RQ"),_xlpm.chp,AND($AB145&lt;&gt;"",$AB145&lt;&gt;"N/A",$AB145&lt;&gt;"No Min RQ"),_xlpm.usp,AND($AF145&lt;&gt;"",$AF145&lt;&gt;"N/A",$AF145&lt;&gt;"No Min RQ"),_xlpm.n,_xlpm.sfp+_xlpm.slp+_xlpm.ffp+_xlpm.chp+_xlpm.usp,_xlpm.sub,(_xlpm.sfp*($P145="Submitted"))+(_xlpm.slp*($T145="Submitted"))+(_xlpm.ffp*($X145="Submitted"))+(_xlpm.chp*($AB145="Submitted"))+(_xlpm.usp*($AF145="Submitted")),_xlpm.term,(_xlpm.sfp*OR($P145="Approved",$P145="Declined"))+(_xlpm.slp*OR($T145="Approved",$T145="Declined"))+(_xlpm.ffp*OR($X145="Approved",$X145="Declined"))+(_xlpm.chp*OR($AB145="Approved",$AB145="Declined"))+(_xlpm.usp*OR($AF145="Approved",$AF145="Declined")),IF(_xlpm.n=0,"No applicable lenders",IF(_xlpm.sub&gt;0,"Stays with Shaw - lender still Submitted",IF(_xlpm.term=_xlpm.n,"Clear - all applicable lenders Approved or Declined","Stays with Shaw - not all lenders Approved or Declined")))))</f>
      </c>
    </row>
    <row r="146" spans="80:80">
      <c r="CB146" s="131">
        <f>IF($A146="","",_xlfn.LET(_xlpm.sfp,AND($P146&lt;&gt;"",$P146&lt;&gt;"N/A",$P146&lt;&gt;"No Min RQ"),_xlpm.slp,AND($T146&lt;&gt;"",$T146&lt;&gt;"N/A",$T146&lt;&gt;"No Min RQ"),_xlpm.ffp,AND($X146&lt;&gt;"",$X146&lt;&gt;"N/A",$X146&lt;&gt;"No Min RQ"),_xlpm.chp,AND($AB146&lt;&gt;"",$AB146&lt;&gt;"N/A",$AB146&lt;&gt;"No Min RQ"),_xlpm.usp,AND($AF146&lt;&gt;"",$AF146&lt;&gt;"N/A",$AF146&lt;&gt;"No Min RQ"),_xlpm.n,_xlpm.sfp+_xlpm.slp+_xlpm.ffp+_xlpm.chp+_xlpm.usp,_xlpm.sub,(_xlpm.sfp*($P146="Submitted"))+(_xlpm.slp*($T146="Submitted"))+(_xlpm.ffp*($X146="Submitted"))+(_xlpm.chp*($AB146="Submitted"))+(_xlpm.usp*($AF146="Submitted")),_xlpm.term,(_xlpm.sfp*OR($P146="Approved",$P146="Declined"))+(_xlpm.slp*OR($T146="Approved",$T146="Declined"))+(_xlpm.ffp*OR($X146="Approved",$X146="Declined"))+(_xlpm.chp*OR($AB146="Approved",$AB146="Declined"))+(_xlpm.usp*OR($AF146="Approved",$AF146="Declined")),IF(_xlpm.n=0,"No applicable lenders",IF(_xlpm.sub&gt;0,"Stays with Shaw - lender still Submitted",IF(_xlpm.term=_xlpm.n,"Clear - all applicable lenders Approved or Declined","Stays with Shaw - not all lenders Approved or Declined")))))</f>
      </c>
    </row>
    <row r="147" spans="80:80">
      <c r="CB147" s="131">
        <f>IF($A147="","",_xlfn.LET(_xlpm.sfp,AND($P147&lt;&gt;"",$P147&lt;&gt;"N/A",$P147&lt;&gt;"No Min RQ"),_xlpm.slp,AND($T147&lt;&gt;"",$T147&lt;&gt;"N/A",$T147&lt;&gt;"No Min RQ"),_xlpm.ffp,AND($X147&lt;&gt;"",$X147&lt;&gt;"N/A",$X147&lt;&gt;"No Min RQ"),_xlpm.chp,AND($AB147&lt;&gt;"",$AB147&lt;&gt;"N/A",$AB147&lt;&gt;"No Min RQ"),_xlpm.usp,AND($AF147&lt;&gt;"",$AF147&lt;&gt;"N/A",$AF147&lt;&gt;"No Min RQ"),_xlpm.n,_xlpm.sfp+_xlpm.slp+_xlpm.ffp+_xlpm.chp+_xlpm.usp,_xlpm.sub,(_xlpm.sfp*($P147="Submitted"))+(_xlpm.slp*($T147="Submitted"))+(_xlpm.ffp*($X147="Submitted"))+(_xlpm.chp*($AB147="Submitted"))+(_xlpm.usp*($AF147="Submitted")),_xlpm.term,(_xlpm.sfp*OR($P147="Approved",$P147="Declined"))+(_xlpm.slp*OR($T147="Approved",$T147="Declined"))+(_xlpm.ffp*OR($X147="Approved",$X147="Declined"))+(_xlpm.chp*OR($AB147="Approved",$AB147="Declined"))+(_xlpm.usp*OR($AF147="Approved",$AF147="Declined")),IF(_xlpm.n=0,"No applicable lenders",IF(_xlpm.sub&gt;0,"Stays with Shaw - lender still Submitted",IF(_xlpm.term=_xlpm.n,"Clear - all applicable lenders Approved or Declined","Stays with Shaw - not all lenders Approved or Declined")))))</f>
      </c>
    </row>
    <row r="148" spans="80:80">
      <c r="CB148" s="131">
        <f>IF($A148="","",_xlfn.LET(_xlpm.sfp,AND($P148&lt;&gt;"",$P148&lt;&gt;"N/A",$P148&lt;&gt;"No Min RQ"),_xlpm.slp,AND($T148&lt;&gt;"",$T148&lt;&gt;"N/A",$T148&lt;&gt;"No Min RQ"),_xlpm.ffp,AND($X148&lt;&gt;"",$X148&lt;&gt;"N/A",$X148&lt;&gt;"No Min RQ"),_xlpm.chp,AND($AB148&lt;&gt;"",$AB148&lt;&gt;"N/A",$AB148&lt;&gt;"No Min RQ"),_xlpm.usp,AND($AF148&lt;&gt;"",$AF148&lt;&gt;"N/A",$AF148&lt;&gt;"No Min RQ"),_xlpm.n,_xlpm.sfp+_xlpm.slp+_xlpm.ffp+_xlpm.chp+_xlpm.usp,_xlpm.sub,(_xlpm.sfp*($P148="Submitted"))+(_xlpm.slp*($T148="Submitted"))+(_xlpm.ffp*($X148="Submitted"))+(_xlpm.chp*($AB148="Submitted"))+(_xlpm.usp*($AF148="Submitted")),_xlpm.term,(_xlpm.sfp*OR($P148="Approved",$P148="Declined"))+(_xlpm.slp*OR($T148="Approved",$T148="Declined"))+(_xlpm.ffp*OR($X148="Approved",$X148="Declined"))+(_xlpm.chp*OR($AB148="Approved",$AB148="Declined"))+(_xlpm.usp*OR($AF148="Approved",$AF148="Declined")),IF(_xlpm.n=0,"No applicable lenders",IF(_xlpm.sub&gt;0,"Stays with Shaw - lender still Submitted",IF(_xlpm.term=_xlpm.n,"Clear - all applicable lenders Approved or Declined","Stays with Shaw - not all lenders Approved or Declined")))))</f>
      </c>
    </row>
    <row r="149" spans="80:80">
      <c r="CB149" s="131">
        <f>IF($A149="","",_xlfn.LET(_xlpm.sfp,AND($P149&lt;&gt;"",$P149&lt;&gt;"N/A",$P149&lt;&gt;"No Min RQ"),_xlpm.slp,AND($T149&lt;&gt;"",$T149&lt;&gt;"N/A",$T149&lt;&gt;"No Min RQ"),_xlpm.ffp,AND($X149&lt;&gt;"",$X149&lt;&gt;"N/A",$X149&lt;&gt;"No Min RQ"),_xlpm.chp,AND($AB149&lt;&gt;"",$AB149&lt;&gt;"N/A",$AB149&lt;&gt;"No Min RQ"),_xlpm.usp,AND($AF149&lt;&gt;"",$AF149&lt;&gt;"N/A",$AF149&lt;&gt;"No Min RQ"),_xlpm.n,_xlpm.sfp+_xlpm.slp+_xlpm.ffp+_xlpm.chp+_xlpm.usp,_xlpm.sub,(_xlpm.sfp*($P149="Submitted"))+(_xlpm.slp*($T149="Submitted"))+(_xlpm.ffp*($X149="Submitted"))+(_xlpm.chp*($AB149="Submitted"))+(_xlpm.usp*($AF149="Submitted")),_xlpm.term,(_xlpm.sfp*OR($P149="Approved",$P149="Declined"))+(_xlpm.slp*OR($T149="Approved",$T149="Declined"))+(_xlpm.ffp*OR($X149="Approved",$X149="Declined"))+(_xlpm.chp*OR($AB149="Approved",$AB149="Declined"))+(_xlpm.usp*OR($AF149="Approved",$AF149="Declined")),IF(_xlpm.n=0,"No applicable lenders",IF(_xlpm.sub&gt;0,"Stays with Shaw - lender still Submitted",IF(_xlpm.term=_xlpm.n,"Clear - all applicable lenders Approved or Declined","Stays with Shaw - not all lenders Approved or Declined")))))</f>
      </c>
    </row>
    <row r="150" spans="80:80">
      <c r="CB150" s="131">
        <f>IF($A150="","",_xlfn.LET(_xlpm.sfp,AND($P150&lt;&gt;"",$P150&lt;&gt;"N/A",$P150&lt;&gt;"No Min RQ"),_xlpm.slp,AND($T150&lt;&gt;"",$T150&lt;&gt;"N/A",$T150&lt;&gt;"No Min RQ"),_xlpm.ffp,AND($X150&lt;&gt;"",$X150&lt;&gt;"N/A",$X150&lt;&gt;"No Min RQ"),_xlpm.chp,AND($AB150&lt;&gt;"",$AB150&lt;&gt;"N/A",$AB150&lt;&gt;"No Min RQ"),_xlpm.usp,AND($AF150&lt;&gt;"",$AF150&lt;&gt;"N/A",$AF150&lt;&gt;"No Min RQ"),_xlpm.n,_xlpm.sfp+_xlpm.slp+_xlpm.ffp+_xlpm.chp+_xlpm.usp,_xlpm.sub,(_xlpm.sfp*($P150="Submitted"))+(_xlpm.slp*($T150="Submitted"))+(_xlpm.ffp*($X150="Submitted"))+(_xlpm.chp*($AB150="Submitted"))+(_xlpm.usp*($AF150="Submitted")),_xlpm.term,(_xlpm.sfp*OR($P150="Approved",$P150="Declined"))+(_xlpm.slp*OR($T150="Approved",$T150="Declined"))+(_xlpm.ffp*OR($X150="Approved",$X150="Declined"))+(_xlpm.chp*OR($AB150="Approved",$AB150="Declined"))+(_xlpm.usp*OR($AF150="Approved",$AF150="Declined")),IF(_xlpm.n=0,"No applicable lenders",IF(_xlpm.sub&gt;0,"Stays with Shaw - lender still Submitted",IF(_xlpm.term=_xlpm.n,"Clear - all applicable lenders Approved or Declined","Stays with Shaw - not all lenders Approved or Declined")))))</f>
      </c>
    </row>
    <row r="151" spans="80:80">
      <c r="CB151" s="131">
        <f>IF($A151="","",_xlfn.LET(_xlpm.sfp,AND($P151&lt;&gt;"",$P151&lt;&gt;"N/A",$P151&lt;&gt;"No Min RQ"),_xlpm.slp,AND($T151&lt;&gt;"",$T151&lt;&gt;"N/A",$T151&lt;&gt;"No Min RQ"),_xlpm.ffp,AND($X151&lt;&gt;"",$X151&lt;&gt;"N/A",$X151&lt;&gt;"No Min RQ"),_xlpm.chp,AND($AB151&lt;&gt;"",$AB151&lt;&gt;"N/A",$AB151&lt;&gt;"No Min RQ"),_xlpm.usp,AND($AF151&lt;&gt;"",$AF151&lt;&gt;"N/A",$AF151&lt;&gt;"No Min RQ"),_xlpm.n,_xlpm.sfp+_xlpm.slp+_xlpm.ffp+_xlpm.chp+_xlpm.usp,_xlpm.sub,(_xlpm.sfp*($P151="Submitted"))+(_xlpm.slp*($T151="Submitted"))+(_xlpm.ffp*($X151="Submitted"))+(_xlpm.chp*($AB151="Submitted"))+(_xlpm.usp*($AF151="Submitted")),_xlpm.term,(_xlpm.sfp*OR($P151="Approved",$P151="Declined"))+(_xlpm.slp*OR($T151="Approved",$T151="Declined"))+(_xlpm.ffp*OR($X151="Approved",$X151="Declined"))+(_xlpm.chp*OR($AB151="Approved",$AB151="Declined"))+(_xlpm.usp*OR($AF151="Approved",$AF151="Declined")),IF(_xlpm.n=0,"No applicable lenders",IF(_xlpm.sub&gt;0,"Stays with Shaw - lender still Submitted",IF(_xlpm.term=_xlpm.n,"Clear - all applicable lenders Approved or Declined","Stays with Shaw - not all lenders Approved or Declined")))))</f>
      </c>
    </row>
    <row r="152" spans="80:80">
      <c r="CB152" s="131">
        <f>IF($A152="","",_xlfn.LET(_xlpm.sfp,AND($P152&lt;&gt;"",$P152&lt;&gt;"N/A",$P152&lt;&gt;"No Min RQ"),_xlpm.slp,AND($T152&lt;&gt;"",$T152&lt;&gt;"N/A",$T152&lt;&gt;"No Min RQ"),_xlpm.ffp,AND($X152&lt;&gt;"",$X152&lt;&gt;"N/A",$X152&lt;&gt;"No Min RQ"),_xlpm.chp,AND($AB152&lt;&gt;"",$AB152&lt;&gt;"N/A",$AB152&lt;&gt;"No Min RQ"),_xlpm.usp,AND($AF152&lt;&gt;"",$AF152&lt;&gt;"N/A",$AF152&lt;&gt;"No Min RQ"),_xlpm.n,_xlpm.sfp+_xlpm.slp+_xlpm.ffp+_xlpm.chp+_xlpm.usp,_xlpm.sub,(_xlpm.sfp*($P152="Submitted"))+(_xlpm.slp*($T152="Submitted"))+(_xlpm.ffp*($X152="Submitted"))+(_xlpm.chp*($AB152="Submitted"))+(_xlpm.usp*($AF152="Submitted")),_xlpm.term,(_xlpm.sfp*OR($P152="Approved",$P152="Declined"))+(_xlpm.slp*OR($T152="Approved",$T152="Declined"))+(_xlpm.ffp*OR($X152="Approved",$X152="Declined"))+(_xlpm.chp*OR($AB152="Approved",$AB152="Declined"))+(_xlpm.usp*OR($AF152="Approved",$AF152="Declined")),IF(_xlpm.n=0,"No applicable lenders",IF(_xlpm.sub&gt;0,"Stays with Shaw - lender still Submitted",IF(_xlpm.term=_xlpm.n,"Clear - all applicable lenders Approved or Declined","Stays with Shaw - not all lenders Approved or Declined")))))</f>
      </c>
    </row>
    <row r="153" spans="80:80">
      <c r="CB153" s="131">
        <f>IF($A153="","",_xlfn.LET(_xlpm.sfp,AND($P153&lt;&gt;"",$P153&lt;&gt;"N/A",$P153&lt;&gt;"No Min RQ"),_xlpm.slp,AND($T153&lt;&gt;"",$T153&lt;&gt;"N/A",$T153&lt;&gt;"No Min RQ"),_xlpm.ffp,AND($X153&lt;&gt;"",$X153&lt;&gt;"N/A",$X153&lt;&gt;"No Min RQ"),_xlpm.chp,AND($AB153&lt;&gt;"",$AB153&lt;&gt;"N/A",$AB153&lt;&gt;"No Min RQ"),_xlpm.usp,AND($AF153&lt;&gt;"",$AF153&lt;&gt;"N/A",$AF153&lt;&gt;"No Min RQ"),_xlpm.n,_xlpm.sfp+_xlpm.slp+_xlpm.ffp+_xlpm.chp+_xlpm.usp,_xlpm.sub,(_xlpm.sfp*($P153="Submitted"))+(_xlpm.slp*($T153="Submitted"))+(_xlpm.ffp*($X153="Submitted"))+(_xlpm.chp*($AB153="Submitted"))+(_xlpm.usp*($AF153="Submitted")),_xlpm.term,(_xlpm.sfp*OR($P153="Approved",$P153="Declined"))+(_xlpm.slp*OR($T153="Approved",$T153="Declined"))+(_xlpm.ffp*OR($X153="Approved",$X153="Declined"))+(_xlpm.chp*OR($AB153="Approved",$AB153="Declined"))+(_xlpm.usp*OR($AF153="Approved",$AF153="Declined")),IF(_xlpm.n=0,"No applicable lenders",IF(_xlpm.sub&gt;0,"Stays with Shaw - lender still Submitted",IF(_xlpm.term=_xlpm.n,"Clear - all applicable lenders Approved or Declined","Stays with Shaw - not all lenders Approved or Declined")))))</f>
      </c>
    </row>
    <row r="154" spans="80:80">
      <c r="CB154" s="131">
        <f>IF($A154="","",_xlfn.LET(_xlpm.sfp,AND($P154&lt;&gt;"",$P154&lt;&gt;"N/A",$P154&lt;&gt;"No Min RQ"),_xlpm.slp,AND($T154&lt;&gt;"",$T154&lt;&gt;"N/A",$T154&lt;&gt;"No Min RQ"),_xlpm.ffp,AND($X154&lt;&gt;"",$X154&lt;&gt;"N/A",$X154&lt;&gt;"No Min RQ"),_xlpm.chp,AND($AB154&lt;&gt;"",$AB154&lt;&gt;"N/A",$AB154&lt;&gt;"No Min RQ"),_xlpm.usp,AND($AF154&lt;&gt;"",$AF154&lt;&gt;"N/A",$AF154&lt;&gt;"No Min RQ"),_xlpm.n,_xlpm.sfp+_xlpm.slp+_xlpm.ffp+_xlpm.chp+_xlpm.usp,_xlpm.sub,(_xlpm.sfp*($P154="Submitted"))+(_xlpm.slp*($T154="Submitted"))+(_xlpm.ffp*($X154="Submitted"))+(_xlpm.chp*($AB154="Submitted"))+(_xlpm.usp*($AF154="Submitted")),_xlpm.term,(_xlpm.sfp*OR($P154="Approved",$P154="Declined"))+(_xlpm.slp*OR($T154="Approved",$T154="Declined"))+(_xlpm.ffp*OR($X154="Approved",$X154="Declined"))+(_xlpm.chp*OR($AB154="Approved",$AB154="Declined"))+(_xlpm.usp*OR($AF154="Approved",$AF154="Declined")),IF(_xlpm.n=0,"No applicable lenders",IF(_xlpm.sub&gt;0,"Stays with Shaw - lender still Submitted",IF(_xlpm.term=_xlpm.n,"Clear - all applicable lenders Approved or Declined","Stays with Shaw - not all lenders Approved or Declined")))))</f>
      </c>
    </row>
    <row r="155" spans="80:80">
      <c r="CB155" s="131">
        <f>IF($A155="","",_xlfn.LET(_xlpm.sfp,AND($P155&lt;&gt;"",$P155&lt;&gt;"N/A",$P155&lt;&gt;"No Min RQ"),_xlpm.slp,AND($T155&lt;&gt;"",$T155&lt;&gt;"N/A",$T155&lt;&gt;"No Min RQ"),_xlpm.ffp,AND($X155&lt;&gt;"",$X155&lt;&gt;"N/A",$X155&lt;&gt;"No Min RQ"),_xlpm.chp,AND($AB155&lt;&gt;"",$AB155&lt;&gt;"N/A",$AB155&lt;&gt;"No Min RQ"),_xlpm.usp,AND($AF155&lt;&gt;"",$AF155&lt;&gt;"N/A",$AF155&lt;&gt;"No Min RQ"),_xlpm.n,_xlpm.sfp+_xlpm.slp+_xlpm.ffp+_xlpm.chp+_xlpm.usp,_xlpm.sub,(_xlpm.sfp*($P155="Submitted"))+(_xlpm.slp*($T155="Submitted"))+(_xlpm.ffp*($X155="Submitted"))+(_xlpm.chp*($AB155="Submitted"))+(_xlpm.usp*($AF155="Submitted")),_xlpm.term,(_xlpm.sfp*OR($P155="Approved",$P155="Declined"))+(_xlpm.slp*OR($T155="Approved",$T155="Declined"))+(_xlpm.ffp*OR($X155="Approved",$X155="Declined"))+(_xlpm.chp*OR($AB155="Approved",$AB155="Declined"))+(_xlpm.usp*OR($AF155="Approved",$AF155="Declined")),IF(_xlpm.n=0,"No applicable lenders",IF(_xlpm.sub&gt;0,"Stays with Shaw - lender still Submitted",IF(_xlpm.term=_xlpm.n,"Clear - all applicable lenders Approved or Declined","Stays with Shaw - not all lenders Approved or Declined")))))</f>
      </c>
    </row>
    <row r="156" spans="80:80">
      <c r="CB156" s="131">
        <f>IF($A156="","",_xlfn.LET(_xlpm.sfp,AND($P156&lt;&gt;"",$P156&lt;&gt;"N/A",$P156&lt;&gt;"No Min RQ"),_xlpm.slp,AND($T156&lt;&gt;"",$T156&lt;&gt;"N/A",$T156&lt;&gt;"No Min RQ"),_xlpm.ffp,AND($X156&lt;&gt;"",$X156&lt;&gt;"N/A",$X156&lt;&gt;"No Min RQ"),_xlpm.chp,AND($AB156&lt;&gt;"",$AB156&lt;&gt;"N/A",$AB156&lt;&gt;"No Min RQ"),_xlpm.usp,AND($AF156&lt;&gt;"",$AF156&lt;&gt;"N/A",$AF156&lt;&gt;"No Min RQ"),_xlpm.n,_xlpm.sfp+_xlpm.slp+_xlpm.ffp+_xlpm.chp+_xlpm.usp,_xlpm.sub,(_xlpm.sfp*($P156="Submitted"))+(_xlpm.slp*($T156="Submitted"))+(_xlpm.ffp*($X156="Submitted"))+(_xlpm.chp*($AB156="Submitted"))+(_xlpm.usp*($AF156="Submitted")),_xlpm.term,(_xlpm.sfp*OR($P156="Approved",$P156="Declined"))+(_xlpm.slp*OR($T156="Approved",$T156="Declined"))+(_xlpm.ffp*OR($X156="Approved",$X156="Declined"))+(_xlpm.chp*OR($AB156="Approved",$AB156="Declined"))+(_xlpm.usp*OR($AF156="Approved",$AF156="Declined")),IF(_xlpm.n=0,"No applicable lenders",IF(_xlpm.sub&gt;0,"Stays with Shaw - lender still Submitted",IF(_xlpm.term=_xlpm.n,"Clear - all applicable lenders Approved or Declined","Stays with Shaw - not all lenders Approved or Declined")))))</f>
      </c>
    </row>
    <row r="157" spans="80:80">
      <c r="CB157" s="131">
        <f>IF($A157="","",_xlfn.LET(_xlpm.sfp,AND($P157&lt;&gt;"",$P157&lt;&gt;"N/A",$P157&lt;&gt;"No Min RQ"),_xlpm.slp,AND($T157&lt;&gt;"",$T157&lt;&gt;"N/A",$T157&lt;&gt;"No Min RQ"),_xlpm.ffp,AND($X157&lt;&gt;"",$X157&lt;&gt;"N/A",$X157&lt;&gt;"No Min RQ"),_xlpm.chp,AND($AB157&lt;&gt;"",$AB157&lt;&gt;"N/A",$AB157&lt;&gt;"No Min RQ"),_xlpm.usp,AND($AF157&lt;&gt;"",$AF157&lt;&gt;"N/A",$AF157&lt;&gt;"No Min RQ"),_xlpm.n,_xlpm.sfp+_xlpm.slp+_xlpm.ffp+_xlpm.chp+_xlpm.usp,_xlpm.sub,(_xlpm.sfp*($P157="Submitted"))+(_xlpm.slp*($T157="Submitted"))+(_xlpm.ffp*($X157="Submitted"))+(_xlpm.chp*($AB157="Submitted"))+(_xlpm.usp*($AF157="Submitted")),_xlpm.term,(_xlpm.sfp*OR($P157="Approved",$P157="Declined"))+(_xlpm.slp*OR($T157="Approved",$T157="Declined"))+(_xlpm.ffp*OR($X157="Approved",$X157="Declined"))+(_xlpm.chp*OR($AB157="Approved",$AB157="Declined"))+(_xlpm.usp*OR($AF157="Approved",$AF157="Declined")),IF(_xlpm.n=0,"No applicable lenders",IF(_xlpm.sub&gt;0,"Stays with Shaw - lender still Submitted",IF(_xlpm.term=_xlpm.n,"Clear - all applicable lenders Approved or Declined","Stays with Shaw - not all lenders Approved or Declined")))))</f>
      </c>
    </row>
    <row r="158" spans="80:80">
      <c r="CB158" s="131">
        <f>IF($A158="","",_xlfn.LET(_xlpm.sfp,AND($P158&lt;&gt;"",$P158&lt;&gt;"N/A",$P158&lt;&gt;"No Min RQ"),_xlpm.slp,AND($T158&lt;&gt;"",$T158&lt;&gt;"N/A",$T158&lt;&gt;"No Min RQ"),_xlpm.ffp,AND($X158&lt;&gt;"",$X158&lt;&gt;"N/A",$X158&lt;&gt;"No Min RQ"),_xlpm.chp,AND($AB158&lt;&gt;"",$AB158&lt;&gt;"N/A",$AB158&lt;&gt;"No Min RQ"),_xlpm.usp,AND($AF158&lt;&gt;"",$AF158&lt;&gt;"N/A",$AF158&lt;&gt;"No Min RQ"),_xlpm.n,_xlpm.sfp+_xlpm.slp+_xlpm.ffp+_xlpm.chp+_xlpm.usp,_xlpm.sub,(_xlpm.sfp*($P158="Submitted"))+(_xlpm.slp*($T158="Submitted"))+(_xlpm.ffp*($X158="Submitted"))+(_xlpm.chp*($AB158="Submitted"))+(_xlpm.usp*($AF158="Submitted")),_xlpm.term,(_xlpm.sfp*OR($P158="Approved",$P158="Declined"))+(_xlpm.slp*OR($T158="Approved",$T158="Declined"))+(_xlpm.ffp*OR($X158="Approved",$X158="Declined"))+(_xlpm.chp*OR($AB158="Approved",$AB158="Declined"))+(_xlpm.usp*OR($AF158="Approved",$AF158="Declined")),IF(_xlpm.n=0,"No applicable lenders",IF(_xlpm.sub&gt;0,"Stays with Shaw - lender still Submitted",IF(_xlpm.term=_xlpm.n,"Clear - all applicable lenders Approved or Declined","Stays with Shaw - not all lenders Approved or Declined")))))</f>
      </c>
    </row>
    <row r="159" spans="80:80">
      <c r="CB159" s="131">
        <f>IF($A159="","",_xlfn.LET(_xlpm.sfp,AND($P159&lt;&gt;"",$P159&lt;&gt;"N/A",$P159&lt;&gt;"No Min RQ"),_xlpm.slp,AND($T159&lt;&gt;"",$T159&lt;&gt;"N/A",$T159&lt;&gt;"No Min RQ"),_xlpm.ffp,AND($X159&lt;&gt;"",$X159&lt;&gt;"N/A",$X159&lt;&gt;"No Min RQ"),_xlpm.chp,AND($AB159&lt;&gt;"",$AB159&lt;&gt;"N/A",$AB159&lt;&gt;"No Min RQ"),_xlpm.usp,AND($AF159&lt;&gt;"",$AF159&lt;&gt;"N/A",$AF159&lt;&gt;"No Min RQ"),_xlpm.n,_xlpm.sfp+_xlpm.slp+_xlpm.ffp+_xlpm.chp+_xlpm.usp,_xlpm.sub,(_xlpm.sfp*($P159="Submitted"))+(_xlpm.slp*($T159="Submitted"))+(_xlpm.ffp*($X159="Submitted"))+(_xlpm.chp*($AB159="Submitted"))+(_xlpm.usp*($AF159="Submitted")),_xlpm.term,(_xlpm.sfp*OR($P159="Approved",$P159="Declined"))+(_xlpm.slp*OR($T159="Approved",$T159="Declined"))+(_xlpm.ffp*OR($X159="Approved",$X159="Declined"))+(_xlpm.chp*OR($AB159="Approved",$AB159="Declined"))+(_xlpm.usp*OR($AF159="Approved",$AF159="Declined")),IF(_xlpm.n=0,"No applicable lenders",IF(_xlpm.sub&gt;0,"Stays with Shaw - lender still Submitted",IF(_xlpm.term=_xlpm.n,"Clear - all applicable lenders Approved or Declined","Stays with Shaw - not all lenders Approved or Declined")))))</f>
      </c>
    </row>
    <row r="160" spans="80:80">
      <c r="CB160" s="131">
        <f>IF($A160="","",_xlfn.LET(_xlpm.sfp,AND($P160&lt;&gt;"",$P160&lt;&gt;"N/A",$P160&lt;&gt;"No Min RQ"),_xlpm.slp,AND($T160&lt;&gt;"",$T160&lt;&gt;"N/A",$T160&lt;&gt;"No Min RQ"),_xlpm.ffp,AND($X160&lt;&gt;"",$X160&lt;&gt;"N/A",$X160&lt;&gt;"No Min RQ"),_xlpm.chp,AND($AB160&lt;&gt;"",$AB160&lt;&gt;"N/A",$AB160&lt;&gt;"No Min RQ"),_xlpm.usp,AND($AF160&lt;&gt;"",$AF160&lt;&gt;"N/A",$AF160&lt;&gt;"No Min RQ"),_xlpm.n,_xlpm.sfp+_xlpm.slp+_xlpm.ffp+_xlpm.chp+_xlpm.usp,_xlpm.sub,(_xlpm.sfp*($P160="Submitted"))+(_xlpm.slp*($T160="Submitted"))+(_xlpm.ffp*($X160="Submitted"))+(_xlpm.chp*($AB160="Submitted"))+(_xlpm.usp*($AF160="Submitted")),_xlpm.term,(_xlpm.sfp*OR($P160="Approved",$P160="Declined"))+(_xlpm.slp*OR($T160="Approved",$T160="Declined"))+(_xlpm.ffp*OR($X160="Approved",$X160="Declined"))+(_xlpm.chp*OR($AB160="Approved",$AB160="Declined"))+(_xlpm.usp*OR($AF160="Approved",$AF160="Declined")),IF(_xlpm.n=0,"No applicable lenders",IF(_xlpm.sub&gt;0,"Stays with Shaw - lender still Submitted",IF(_xlpm.term=_xlpm.n,"Clear - all applicable lenders Approved or Declined","Stays with Shaw - not all lenders Approved or Declined")))))</f>
      </c>
    </row>
    <row r="161" spans="80:80">
      <c r="CB161" s="131">
        <f>IF($A161="","",_xlfn.LET(_xlpm.sfp,AND($P161&lt;&gt;"",$P161&lt;&gt;"N/A",$P161&lt;&gt;"No Min RQ"),_xlpm.slp,AND($T161&lt;&gt;"",$T161&lt;&gt;"N/A",$T161&lt;&gt;"No Min RQ"),_xlpm.ffp,AND($X161&lt;&gt;"",$X161&lt;&gt;"N/A",$X161&lt;&gt;"No Min RQ"),_xlpm.chp,AND($AB161&lt;&gt;"",$AB161&lt;&gt;"N/A",$AB161&lt;&gt;"No Min RQ"),_xlpm.usp,AND($AF161&lt;&gt;"",$AF161&lt;&gt;"N/A",$AF161&lt;&gt;"No Min RQ"),_xlpm.n,_xlpm.sfp+_xlpm.slp+_xlpm.ffp+_xlpm.chp+_xlpm.usp,_xlpm.sub,(_xlpm.sfp*($P161="Submitted"))+(_xlpm.slp*($T161="Submitted"))+(_xlpm.ffp*($X161="Submitted"))+(_xlpm.chp*($AB161="Submitted"))+(_xlpm.usp*($AF161="Submitted")),_xlpm.term,(_xlpm.sfp*OR($P161="Approved",$P161="Declined"))+(_xlpm.slp*OR($T161="Approved",$T161="Declined"))+(_xlpm.ffp*OR($X161="Approved",$X161="Declined"))+(_xlpm.chp*OR($AB161="Approved",$AB161="Declined"))+(_xlpm.usp*OR($AF161="Approved",$AF161="Declined")),IF(_xlpm.n=0,"No applicable lenders",IF(_xlpm.sub&gt;0,"Stays with Shaw - lender still Submitted",IF(_xlpm.term=_xlpm.n,"Clear - all applicable lenders Approved or Declined","Stays with Shaw - not all lenders Approved or Declined")))))</f>
      </c>
    </row>
    <row r="162" spans="80:80">
      <c r="CB162" s="131">
        <f>IF($A162="","",_xlfn.LET(_xlpm.sfp,AND($P162&lt;&gt;"",$P162&lt;&gt;"N/A",$P162&lt;&gt;"No Min RQ"),_xlpm.slp,AND($T162&lt;&gt;"",$T162&lt;&gt;"N/A",$T162&lt;&gt;"No Min RQ"),_xlpm.ffp,AND($X162&lt;&gt;"",$X162&lt;&gt;"N/A",$X162&lt;&gt;"No Min RQ"),_xlpm.chp,AND($AB162&lt;&gt;"",$AB162&lt;&gt;"N/A",$AB162&lt;&gt;"No Min RQ"),_xlpm.usp,AND($AF162&lt;&gt;"",$AF162&lt;&gt;"N/A",$AF162&lt;&gt;"No Min RQ"),_xlpm.n,_xlpm.sfp+_xlpm.slp+_xlpm.ffp+_xlpm.chp+_xlpm.usp,_xlpm.sub,(_xlpm.sfp*($P162="Submitted"))+(_xlpm.slp*($T162="Submitted"))+(_xlpm.ffp*($X162="Submitted"))+(_xlpm.chp*($AB162="Submitted"))+(_xlpm.usp*($AF162="Submitted")),_xlpm.term,(_xlpm.sfp*OR($P162="Approved",$P162="Declined"))+(_xlpm.slp*OR($T162="Approved",$T162="Declined"))+(_xlpm.ffp*OR($X162="Approved",$X162="Declined"))+(_xlpm.chp*OR($AB162="Approved",$AB162="Declined"))+(_xlpm.usp*OR($AF162="Approved",$AF162="Declined")),IF(_xlpm.n=0,"No applicable lenders",IF(_xlpm.sub&gt;0,"Stays with Shaw - lender still Submitted",IF(_xlpm.term=_xlpm.n,"Clear - all applicable lenders Approved or Declined","Stays with Shaw - not all lenders Approved or Declined")))))</f>
      </c>
    </row>
    <row r="163" spans="80:80">
      <c r="CB163" s="131">
        <f>IF($A163="","",_xlfn.LET(_xlpm.sfp,AND($P163&lt;&gt;"",$P163&lt;&gt;"N/A",$P163&lt;&gt;"No Min RQ"),_xlpm.slp,AND($T163&lt;&gt;"",$T163&lt;&gt;"N/A",$T163&lt;&gt;"No Min RQ"),_xlpm.ffp,AND($X163&lt;&gt;"",$X163&lt;&gt;"N/A",$X163&lt;&gt;"No Min RQ"),_xlpm.chp,AND($AB163&lt;&gt;"",$AB163&lt;&gt;"N/A",$AB163&lt;&gt;"No Min RQ"),_xlpm.usp,AND($AF163&lt;&gt;"",$AF163&lt;&gt;"N/A",$AF163&lt;&gt;"No Min RQ"),_xlpm.n,_xlpm.sfp+_xlpm.slp+_xlpm.ffp+_xlpm.chp+_xlpm.usp,_xlpm.sub,(_xlpm.sfp*($P163="Submitted"))+(_xlpm.slp*($T163="Submitted"))+(_xlpm.ffp*($X163="Submitted"))+(_xlpm.chp*($AB163="Submitted"))+(_xlpm.usp*($AF163="Submitted")),_xlpm.term,(_xlpm.sfp*OR($P163="Approved",$P163="Declined"))+(_xlpm.slp*OR($T163="Approved",$T163="Declined"))+(_xlpm.ffp*OR($X163="Approved",$X163="Declined"))+(_xlpm.chp*OR($AB163="Approved",$AB163="Declined"))+(_xlpm.usp*OR($AF163="Approved",$AF163="Declined")),IF(_xlpm.n=0,"No applicable lenders",IF(_xlpm.sub&gt;0,"Stays with Shaw - lender still Submitted",IF(_xlpm.term=_xlpm.n,"Clear - all applicable lenders Approved or Declined","Stays with Shaw - not all lenders Approved or Declined")))))</f>
      </c>
    </row>
    <row r="164" spans="80:80">
      <c r="CB164" s="131">
        <f>IF($A164="","",_xlfn.LET(_xlpm.sfp,AND($P164&lt;&gt;"",$P164&lt;&gt;"N/A",$P164&lt;&gt;"No Min RQ"),_xlpm.slp,AND($T164&lt;&gt;"",$T164&lt;&gt;"N/A",$T164&lt;&gt;"No Min RQ"),_xlpm.ffp,AND($X164&lt;&gt;"",$X164&lt;&gt;"N/A",$X164&lt;&gt;"No Min RQ"),_xlpm.chp,AND($AB164&lt;&gt;"",$AB164&lt;&gt;"N/A",$AB164&lt;&gt;"No Min RQ"),_xlpm.usp,AND($AF164&lt;&gt;"",$AF164&lt;&gt;"N/A",$AF164&lt;&gt;"No Min RQ"),_xlpm.n,_xlpm.sfp+_xlpm.slp+_xlpm.ffp+_xlpm.chp+_xlpm.usp,_xlpm.sub,(_xlpm.sfp*($P164="Submitted"))+(_xlpm.slp*($T164="Submitted"))+(_xlpm.ffp*($X164="Submitted"))+(_xlpm.chp*($AB164="Submitted"))+(_xlpm.usp*($AF164="Submitted")),_xlpm.term,(_xlpm.sfp*OR($P164="Approved",$P164="Declined"))+(_xlpm.slp*OR($T164="Approved",$T164="Declined"))+(_xlpm.ffp*OR($X164="Approved",$X164="Declined"))+(_xlpm.chp*OR($AB164="Approved",$AB164="Declined"))+(_xlpm.usp*OR($AF164="Approved",$AF164="Declined")),IF(_xlpm.n=0,"No applicable lenders",IF(_xlpm.sub&gt;0,"Stays with Shaw - lender still Submitted",IF(_xlpm.term=_xlpm.n,"Clear - all applicable lenders Approved or Declined","Stays with Shaw - not all lenders Approved or Declined")))))</f>
      </c>
    </row>
    <row r="165" spans="80:80">
      <c r="CB165" s="131">
        <f>IF($A165="","",_xlfn.LET(_xlpm.sfp,AND($P165&lt;&gt;"",$P165&lt;&gt;"N/A",$P165&lt;&gt;"No Min RQ"),_xlpm.slp,AND($T165&lt;&gt;"",$T165&lt;&gt;"N/A",$T165&lt;&gt;"No Min RQ"),_xlpm.ffp,AND($X165&lt;&gt;"",$X165&lt;&gt;"N/A",$X165&lt;&gt;"No Min RQ"),_xlpm.chp,AND($AB165&lt;&gt;"",$AB165&lt;&gt;"N/A",$AB165&lt;&gt;"No Min RQ"),_xlpm.usp,AND($AF165&lt;&gt;"",$AF165&lt;&gt;"N/A",$AF165&lt;&gt;"No Min RQ"),_xlpm.n,_xlpm.sfp+_xlpm.slp+_xlpm.ffp+_xlpm.chp+_xlpm.usp,_xlpm.sub,(_xlpm.sfp*($P165="Submitted"))+(_xlpm.slp*($T165="Submitted"))+(_xlpm.ffp*($X165="Submitted"))+(_xlpm.chp*($AB165="Submitted"))+(_xlpm.usp*($AF165="Submitted")),_xlpm.term,(_xlpm.sfp*OR($P165="Approved",$P165="Declined"))+(_xlpm.slp*OR($T165="Approved",$T165="Declined"))+(_xlpm.ffp*OR($X165="Approved",$X165="Declined"))+(_xlpm.chp*OR($AB165="Approved",$AB165="Declined"))+(_xlpm.usp*OR($AF165="Approved",$AF165="Declined")),IF(_xlpm.n=0,"No applicable lenders",IF(_xlpm.sub&gt;0,"Stays with Shaw - lender still Submitted",IF(_xlpm.term=_xlpm.n,"Clear - all applicable lenders Approved or Declined","Stays with Shaw - not all lenders Approved or Declined")))))</f>
      </c>
    </row>
    <row r="166" spans="80:80">
      <c r="CB166" s="131">
        <f>IF($A166="","",_xlfn.LET(_xlpm.sfp,AND($P166&lt;&gt;"",$P166&lt;&gt;"N/A",$P166&lt;&gt;"No Min RQ"),_xlpm.slp,AND($T166&lt;&gt;"",$T166&lt;&gt;"N/A",$T166&lt;&gt;"No Min RQ"),_xlpm.ffp,AND($X166&lt;&gt;"",$X166&lt;&gt;"N/A",$X166&lt;&gt;"No Min RQ"),_xlpm.chp,AND($AB166&lt;&gt;"",$AB166&lt;&gt;"N/A",$AB166&lt;&gt;"No Min RQ"),_xlpm.usp,AND($AF166&lt;&gt;"",$AF166&lt;&gt;"N/A",$AF166&lt;&gt;"No Min RQ"),_xlpm.n,_xlpm.sfp+_xlpm.slp+_xlpm.ffp+_xlpm.chp+_xlpm.usp,_xlpm.sub,(_xlpm.sfp*($P166="Submitted"))+(_xlpm.slp*($T166="Submitted"))+(_xlpm.ffp*($X166="Submitted"))+(_xlpm.chp*($AB166="Submitted"))+(_xlpm.usp*($AF166="Submitted")),_xlpm.term,(_xlpm.sfp*OR($P166="Approved",$P166="Declined"))+(_xlpm.slp*OR($T166="Approved",$T166="Declined"))+(_xlpm.ffp*OR($X166="Approved",$X166="Declined"))+(_xlpm.chp*OR($AB166="Approved",$AB166="Declined"))+(_xlpm.usp*OR($AF166="Approved",$AF166="Declined")),IF(_xlpm.n=0,"No applicable lenders",IF(_xlpm.sub&gt;0,"Stays with Shaw - lender still Submitted",IF(_xlpm.term=_xlpm.n,"Clear - all applicable lenders Approved or Declined","Stays with Shaw - not all lenders Approved or Declined")))))</f>
      </c>
    </row>
    <row r="167" spans="80:80">
      <c r="CB167" s="131">
        <f>IF($A167="","",_xlfn.LET(_xlpm.sfp,AND($P167&lt;&gt;"",$P167&lt;&gt;"N/A",$P167&lt;&gt;"No Min RQ"),_xlpm.slp,AND($T167&lt;&gt;"",$T167&lt;&gt;"N/A",$T167&lt;&gt;"No Min RQ"),_xlpm.ffp,AND($X167&lt;&gt;"",$X167&lt;&gt;"N/A",$X167&lt;&gt;"No Min RQ"),_xlpm.chp,AND($AB167&lt;&gt;"",$AB167&lt;&gt;"N/A",$AB167&lt;&gt;"No Min RQ"),_xlpm.usp,AND($AF167&lt;&gt;"",$AF167&lt;&gt;"N/A",$AF167&lt;&gt;"No Min RQ"),_xlpm.n,_xlpm.sfp+_xlpm.slp+_xlpm.ffp+_xlpm.chp+_xlpm.usp,_xlpm.sub,(_xlpm.sfp*($P167="Submitted"))+(_xlpm.slp*($T167="Submitted"))+(_xlpm.ffp*($X167="Submitted"))+(_xlpm.chp*($AB167="Submitted"))+(_xlpm.usp*($AF167="Submitted")),_xlpm.term,(_xlpm.sfp*OR($P167="Approved",$P167="Declined"))+(_xlpm.slp*OR($T167="Approved",$T167="Declined"))+(_xlpm.ffp*OR($X167="Approved",$X167="Declined"))+(_xlpm.chp*OR($AB167="Approved",$AB167="Declined"))+(_xlpm.usp*OR($AF167="Approved",$AF167="Declined")),IF(_xlpm.n=0,"No applicable lenders",IF(_xlpm.sub&gt;0,"Stays with Shaw - lender still Submitted",IF(_xlpm.term=_xlpm.n,"Clear - all applicable lenders Approved or Declined","Stays with Shaw - not all lenders Approved or Declined")))))</f>
      </c>
    </row>
    <row r="168" spans="80:80">
      <c r="CB168" s="131">
        <f>IF($A168="","",_xlfn.LET(_xlpm.sfp,AND($P168&lt;&gt;"",$P168&lt;&gt;"N/A",$P168&lt;&gt;"No Min RQ"),_xlpm.slp,AND($T168&lt;&gt;"",$T168&lt;&gt;"N/A",$T168&lt;&gt;"No Min RQ"),_xlpm.ffp,AND($X168&lt;&gt;"",$X168&lt;&gt;"N/A",$X168&lt;&gt;"No Min RQ"),_xlpm.chp,AND($AB168&lt;&gt;"",$AB168&lt;&gt;"N/A",$AB168&lt;&gt;"No Min RQ"),_xlpm.usp,AND($AF168&lt;&gt;"",$AF168&lt;&gt;"N/A",$AF168&lt;&gt;"No Min RQ"),_xlpm.n,_xlpm.sfp+_xlpm.slp+_xlpm.ffp+_xlpm.chp+_xlpm.usp,_xlpm.sub,(_xlpm.sfp*($P168="Submitted"))+(_xlpm.slp*($T168="Submitted"))+(_xlpm.ffp*($X168="Submitted"))+(_xlpm.chp*($AB168="Submitted"))+(_xlpm.usp*($AF168="Submitted")),_xlpm.term,(_xlpm.sfp*OR($P168="Approved",$P168="Declined"))+(_xlpm.slp*OR($T168="Approved",$T168="Declined"))+(_xlpm.ffp*OR($X168="Approved",$X168="Declined"))+(_xlpm.chp*OR($AB168="Approved",$AB168="Declined"))+(_xlpm.usp*OR($AF168="Approved",$AF168="Declined")),IF(_xlpm.n=0,"No applicable lenders",IF(_xlpm.sub&gt;0,"Stays with Shaw - lender still Submitted",IF(_xlpm.term=_xlpm.n,"Clear - all applicable lenders Approved or Declined","Stays with Shaw - not all lenders Approved or Declined")))))</f>
      </c>
    </row>
    <row r="169" spans="80:80">
      <c r="CB169" s="131">
        <f>IF($A169="","",_xlfn.LET(_xlpm.sfp,AND($P169&lt;&gt;"",$P169&lt;&gt;"N/A",$P169&lt;&gt;"No Min RQ"),_xlpm.slp,AND($T169&lt;&gt;"",$T169&lt;&gt;"N/A",$T169&lt;&gt;"No Min RQ"),_xlpm.ffp,AND($X169&lt;&gt;"",$X169&lt;&gt;"N/A",$X169&lt;&gt;"No Min RQ"),_xlpm.chp,AND($AB169&lt;&gt;"",$AB169&lt;&gt;"N/A",$AB169&lt;&gt;"No Min RQ"),_xlpm.usp,AND($AF169&lt;&gt;"",$AF169&lt;&gt;"N/A",$AF169&lt;&gt;"No Min RQ"),_xlpm.n,_xlpm.sfp+_xlpm.slp+_xlpm.ffp+_xlpm.chp+_xlpm.usp,_xlpm.sub,(_xlpm.sfp*($P169="Submitted"))+(_xlpm.slp*($T169="Submitted"))+(_xlpm.ffp*($X169="Submitted"))+(_xlpm.chp*($AB169="Submitted"))+(_xlpm.usp*($AF169="Submitted")),_xlpm.term,(_xlpm.sfp*OR($P169="Approved",$P169="Declined"))+(_xlpm.slp*OR($T169="Approved",$T169="Declined"))+(_xlpm.ffp*OR($X169="Approved",$X169="Declined"))+(_xlpm.chp*OR($AB169="Approved",$AB169="Declined"))+(_xlpm.usp*OR($AF169="Approved",$AF169="Declined")),IF(_xlpm.n=0,"No applicable lenders",IF(_xlpm.sub&gt;0,"Stays with Shaw - lender still Submitted",IF(_xlpm.term=_xlpm.n,"Clear - all applicable lenders Approved or Declined","Stays with Shaw - not all lenders Approved or Declined")))))</f>
      </c>
    </row>
    <row r="170" spans="80:80">
      <c r="CB170" s="131">
        <f>IF($A170="","",_xlfn.LET(_xlpm.sfp,AND($P170&lt;&gt;"",$P170&lt;&gt;"N/A",$P170&lt;&gt;"No Min RQ"),_xlpm.slp,AND($T170&lt;&gt;"",$T170&lt;&gt;"N/A",$T170&lt;&gt;"No Min RQ"),_xlpm.ffp,AND($X170&lt;&gt;"",$X170&lt;&gt;"N/A",$X170&lt;&gt;"No Min RQ"),_xlpm.chp,AND($AB170&lt;&gt;"",$AB170&lt;&gt;"N/A",$AB170&lt;&gt;"No Min RQ"),_xlpm.usp,AND($AF170&lt;&gt;"",$AF170&lt;&gt;"N/A",$AF170&lt;&gt;"No Min RQ"),_xlpm.n,_xlpm.sfp+_xlpm.slp+_xlpm.ffp+_xlpm.chp+_xlpm.usp,_xlpm.sub,(_xlpm.sfp*($P170="Submitted"))+(_xlpm.slp*($T170="Submitted"))+(_xlpm.ffp*($X170="Submitted"))+(_xlpm.chp*($AB170="Submitted"))+(_xlpm.usp*($AF170="Submitted")),_xlpm.term,(_xlpm.sfp*OR($P170="Approved",$P170="Declined"))+(_xlpm.slp*OR($T170="Approved",$T170="Declined"))+(_xlpm.ffp*OR($X170="Approved",$X170="Declined"))+(_xlpm.chp*OR($AB170="Approved",$AB170="Declined"))+(_xlpm.usp*OR($AF170="Approved",$AF170="Declined")),IF(_xlpm.n=0,"No applicable lenders",IF(_xlpm.sub&gt;0,"Stays with Shaw - lender still Submitted",IF(_xlpm.term=_xlpm.n,"Clear - all applicable lenders Approved or Declined","Stays with Shaw - not all lenders Approved or Declined")))))</f>
      </c>
    </row>
    <row r="171" spans="80:80">
      <c r="CB171" s="131">
        <f>IF($A171="","",_xlfn.LET(_xlpm.sfp,AND($P171&lt;&gt;"",$P171&lt;&gt;"N/A",$P171&lt;&gt;"No Min RQ"),_xlpm.slp,AND($T171&lt;&gt;"",$T171&lt;&gt;"N/A",$T171&lt;&gt;"No Min RQ"),_xlpm.ffp,AND($X171&lt;&gt;"",$X171&lt;&gt;"N/A",$X171&lt;&gt;"No Min RQ"),_xlpm.chp,AND($AB171&lt;&gt;"",$AB171&lt;&gt;"N/A",$AB171&lt;&gt;"No Min RQ"),_xlpm.usp,AND($AF171&lt;&gt;"",$AF171&lt;&gt;"N/A",$AF171&lt;&gt;"No Min RQ"),_xlpm.n,_xlpm.sfp+_xlpm.slp+_xlpm.ffp+_xlpm.chp+_xlpm.usp,_xlpm.sub,(_xlpm.sfp*($P171="Submitted"))+(_xlpm.slp*($T171="Submitted"))+(_xlpm.ffp*($X171="Submitted"))+(_xlpm.chp*($AB171="Submitted"))+(_xlpm.usp*($AF171="Submitted")),_xlpm.term,(_xlpm.sfp*OR($P171="Approved",$P171="Declined"))+(_xlpm.slp*OR($T171="Approved",$T171="Declined"))+(_xlpm.ffp*OR($X171="Approved",$X171="Declined"))+(_xlpm.chp*OR($AB171="Approved",$AB171="Declined"))+(_xlpm.usp*OR($AF171="Approved",$AF171="Declined")),IF(_xlpm.n=0,"No applicable lenders",IF(_xlpm.sub&gt;0,"Stays with Shaw - lender still Submitted",IF(_xlpm.term=_xlpm.n,"Clear - all applicable lenders Approved or Declined","Stays with Shaw - not all lenders Approved or Declined")))))</f>
      </c>
    </row>
    <row r="172" spans="80:80">
      <c r="CB172" s="131">
        <f>IF($A172="","",_xlfn.LET(_xlpm.sfp,AND($P172&lt;&gt;"",$P172&lt;&gt;"N/A",$P172&lt;&gt;"No Min RQ"),_xlpm.slp,AND($T172&lt;&gt;"",$T172&lt;&gt;"N/A",$T172&lt;&gt;"No Min RQ"),_xlpm.ffp,AND($X172&lt;&gt;"",$X172&lt;&gt;"N/A",$X172&lt;&gt;"No Min RQ"),_xlpm.chp,AND($AB172&lt;&gt;"",$AB172&lt;&gt;"N/A",$AB172&lt;&gt;"No Min RQ"),_xlpm.usp,AND($AF172&lt;&gt;"",$AF172&lt;&gt;"N/A",$AF172&lt;&gt;"No Min RQ"),_xlpm.n,_xlpm.sfp+_xlpm.slp+_xlpm.ffp+_xlpm.chp+_xlpm.usp,_xlpm.sub,(_xlpm.sfp*($P172="Submitted"))+(_xlpm.slp*($T172="Submitted"))+(_xlpm.ffp*($X172="Submitted"))+(_xlpm.chp*($AB172="Submitted"))+(_xlpm.usp*($AF172="Submitted")),_xlpm.term,(_xlpm.sfp*OR($P172="Approved",$P172="Declined"))+(_xlpm.slp*OR($T172="Approved",$T172="Declined"))+(_xlpm.ffp*OR($X172="Approved",$X172="Declined"))+(_xlpm.chp*OR($AB172="Approved",$AB172="Declined"))+(_xlpm.usp*OR($AF172="Approved",$AF172="Declined")),IF(_xlpm.n=0,"No applicable lenders",IF(_xlpm.sub&gt;0,"Stays with Shaw - lender still Submitted",IF(_xlpm.term=_xlpm.n,"Clear - all applicable lenders Approved or Declined","Stays with Shaw - not all lenders Approved or Declined")))))</f>
      </c>
    </row>
    <row r="173" spans="80:80">
      <c r="CB173" s="131">
        <f>IF($A173="","",_xlfn.LET(_xlpm.sfp,AND($P173&lt;&gt;"",$P173&lt;&gt;"N/A",$P173&lt;&gt;"No Min RQ"),_xlpm.slp,AND($T173&lt;&gt;"",$T173&lt;&gt;"N/A",$T173&lt;&gt;"No Min RQ"),_xlpm.ffp,AND($X173&lt;&gt;"",$X173&lt;&gt;"N/A",$X173&lt;&gt;"No Min RQ"),_xlpm.chp,AND($AB173&lt;&gt;"",$AB173&lt;&gt;"N/A",$AB173&lt;&gt;"No Min RQ"),_xlpm.usp,AND($AF173&lt;&gt;"",$AF173&lt;&gt;"N/A",$AF173&lt;&gt;"No Min RQ"),_xlpm.n,_xlpm.sfp+_xlpm.slp+_xlpm.ffp+_xlpm.chp+_xlpm.usp,_xlpm.sub,(_xlpm.sfp*($P173="Submitted"))+(_xlpm.slp*($T173="Submitted"))+(_xlpm.ffp*($X173="Submitted"))+(_xlpm.chp*($AB173="Submitted"))+(_xlpm.usp*($AF173="Submitted")),_xlpm.term,(_xlpm.sfp*OR($P173="Approved",$P173="Declined"))+(_xlpm.slp*OR($T173="Approved",$T173="Declined"))+(_xlpm.ffp*OR($X173="Approved",$X173="Declined"))+(_xlpm.chp*OR($AB173="Approved",$AB173="Declined"))+(_xlpm.usp*OR($AF173="Approved",$AF173="Declined")),IF(_xlpm.n=0,"No applicable lenders",IF(_xlpm.sub&gt;0,"Stays with Shaw - lender still Submitted",IF(_xlpm.term=_xlpm.n,"Clear - all applicable lenders Approved or Declined","Stays with Shaw - not all lenders Approved or Declined")))))</f>
      </c>
    </row>
    <row r="174" spans="80:80">
      <c r="CB174" s="131">
        <f>IF($A174="","",_xlfn.LET(_xlpm.sfp,AND($P174&lt;&gt;"",$P174&lt;&gt;"N/A",$P174&lt;&gt;"No Min RQ"),_xlpm.slp,AND($T174&lt;&gt;"",$T174&lt;&gt;"N/A",$T174&lt;&gt;"No Min RQ"),_xlpm.ffp,AND($X174&lt;&gt;"",$X174&lt;&gt;"N/A",$X174&lt;&gt;"No Min RQ"),_xlpm.chp,AND($AB174&lt;&gt;"",$AB174&lt;&gt;"N/A",$AB174&lt;&gt;"No Min RQ"),_xlpm.usp,AND($AF174&lt;&gt;"",$AF174&lt;&gt;"N/A",$AF174&lt;&gt;"No Min RQ"),_xlpm.n,_xlpm.sfp+_xlpm.slp+_xlpm.ffp+_xlpm.chp+_xlpm.usp,_xlpm.sub,(_xlpm.sfp*($P174="Submitted"))+(_xlpm.slp*($T174="Submitted"))+(_xlpm.ffp*($X174="Submitted"))+(_xlpm.chp*($AB174="Submitted"))+(_xlpm.usp*($AF174="Submitted")),_xlpm.term,(_xlpm.sfp*OR($P174="Approved",$P174="Declined"))+(_xlpm.slp*OR($T174="Approved",$T174="Declined"))+(_xlpm.ffp*OR($X174="Approved",$X174="Declined"))+(_xlpm.chp*OR($AB174="Approved",$AB174="Declined"))+(_xlpm.usp*OR($AF174="Approved",$AF174="Declined")),IF(_xlpm.n=0,"No applicable lenders",IF(_xlpm.sub&gt;0,"Stays with Shaw - lender still Submitted",IF(_xlpm.term=_xlpm.n,"Clear - all applicable lenders Approved or Declined","Stays with Shaw - not all lenders Approved or Declined")))))</f>
      </c>
    </row>
    <row r="175" spans="80:80">
      <c r="CB175" s="131">
        <f>IF($A175="","",_xlfn.LET(_xlpm.sfp,AND($P175&lt;&gt;"",$P175&lt;&gt;"N/A",$P175&lt;&gt;"No Min RQ"),_xlpm.slp,AND($T175&lt;&gt;"",$T175&lt;&gt;"N/A",$T175&lt;&gt;"No Min RQ"),_xlpm.ffp,AND($X175&lt;&gt;"",$X175&lt;&gt;"N/A",$X175&lt;&gt;"No Min RQ"),_xlpm.chp,AND($AB175&lt;&gt;"",$AB175&lt;&gt;"N/A",$AB175&lt;&gt;"No Min RQ"),_xlpm.usp,AND($AF175&lt;&gt;"",$AF175&lt;&gt;"N/A",$AF175&lt;&gt;"No Min RQ"),_xlpm.n,_xlpm.sfp+_xlpm.slp+_xlpm.ffp+_xlpm.chp+_xlpm.usp,_xlpm.sub,(_xlpm.sfp*($P175="Submitted"))+(_xlpm.slp*($T175="Submitted"))+(_xlpm.ffp*($X175="Submitted"))+(_xlpm.chp*($AB175="Submitted"))+(_xlpm.usp*($AF175="Submitted")),_xlpm.term,(_xlpm.sfp*OR($P175="Approved",$P175="Declined"))+(_xlpm.slp*OR($T175="Approved",$T175="Declined"))+(_xlpm.ffp*OR($X175="Approved",$X175="Declined"))+(_xlpm.chp*OR($AB175="Approved",$AB175="Declined"))+(_xlpm.usp*OR($AF175="Approved",$AF175="Declined")),IF(_xlpm.n=0,"No applicable lenders",IF(_xlpm.sub&gt;0,"Stays with Shaw - lender still Submitted",IF(_xlpm.term=_xlpm.n,"Clear - all applicable lenders Approved or Declined","Stays with Shaw - not all lenders Approved or Declined")))))</f>
      </c>
    </row>
    <row r="176" spans="80:80">
      <c r="CB176" s="131">
        <f>IF($A176="","",_xlfn.LET(_xlpm.sfp,AND($P176&lt;&gt;"",$P176&lt;&gt;"N/A",$P176&lt;&gt;"No Min RQ"),_xlpm.slp,AND($T176&lt;&gt;"",$T176&lt;&gt;"N/A",$T176&lt;&gt;"No Min RQ"),_xlpm.ffp,AND($X176&lt;&gt;"",$X176&lt;&gt;"N/A",$X176&lt;&gt;"No Min RQ"),_xlpm.chp,AND($AB176&lt;&gt;"",$AB176&lt;&gt;"N/A",$AB176&lt;&gt;"No Min RQ"),_xlpm.usp,AND($AF176&lt;&gt;"",$AF176&lt;&gt;"N/A",$AF176&lt;&gt;"No Min RQ"),_xlpm.n,_xlpm.sfp+_xlpm.slp+_xlpm.ffp+_xlpm.chp+_xlpm.usp,_xlpm.sub,(_xlpm.sfp*($P176="Submitted"))+(_xlpm.slp*($T176="Submitted"))+(_xlpm.ffp*($X176="Submitted"))+(_xlpm.chp*($AB176="Submitted"))+(_xlpm.usp*($AF176="Submitted")),_xlpm.term,(_xlpm.sfp*OR($P176="Approved",$P176="Declined"))+(_xlpm.slp*OR($T176="Approved",$T176="Declined"))+(_xlpm.ffp*OR($X176="Approved",$X176="Declined"))+(_xlpm.chp*OR($AB176="Approved",$AB176="Declined"))+(_xlpm.usp*OR($AF176="Approved",$AF176="Declined")),IF(_xlpm.n=0,"No applicable lenders",IF(_xlpm.sub&gt;0,"Stays with Shaw - lender still Submitted",IF(_xlpm.term=_xlpm.n,"Clear - all applicable lenders Approved or Declined","Stays with Shaw - not all lenders Approved or Declined")))))</f>
      </c>
    </row>
    <row r="177" spans="80:80">
      <c r="CB177" s="131">
        <f>IF($A177="","",_xlfn.LET(_xlpm.sfp,AND($P177&lt;&gt;"",$P177&lt;&gt;"N/A",$P177&lt;&gt;"No Min RQ"),_xlpm.slp,AND($T177&lt;&gt;"",$T177&lt;&gt;"N/A",$T177&lt;&gt;"No Min RQ"),_xlpm.ffp,AND($X177&lt;&gt;"",$X177&lt;&gt;"N/A",$X177&lt;&gt;"No Min RQ"),_xlpm.chp,AND($AB177&lt;&gt;"",$AB177&lt;&gt;"N/A",$AB177&lt;&gt;"No Min RQ"),_xlpm.usp,AND($AF177&lt;&gt;"",$AF177&lt;&gt;"N/A",$AF177&lt;&gt;"No Min RQ"),_xlpm.n,_xlpm.sfp+_xlpm.slp+_xlpm.ffp+_xlpm.chp+_xlpm.usp,_xlpm.sub,(_xlpm.sfp*($P177="Submitted"))+(_xlpm.slp*($T177="Submitted"))+(_xlpm.ffp*($X177="Submitted"))+(_xlpm.chp*($AB177="Submitted"))+(_xlpm.usp*($AF177="Submitted")),_xlpm.term,(_xlpm.sfp*OR($P177="Approved",$P177="Declined"))+(_xlpm.slp*OR($T177="Approved",$T177="Declined"))+(_xlpm.ffp*OR($X177="Approved",$X177="Declined"))+(_xlpm.chp*OR($AB177="Approved",$AB177="Declined"))+(_xlpm.usp*OR($AF177="Approved",$AF177="Declined")),IF(_xlpm.n=0,"No applicable lenders",IF(_xlpm.sub&gt;0,"Stays with Shaw - lender still Submitted",IF(_xlpm.term=_xlpm.n,"Clear - all applicable lenders Approved or Declined","Stays with Shaw - not all lenders Approved or Declined")))))</f>
      </c>
    </row>
    <row r="178" spans="80:80">
      <c r="CB178" s="131">
        <f>IF($A178="","",_xlfn.LET(_xlpm.sfp,AND($P178&lt;&gt;"",$P178&lt;&gt;"N/A",$P178&lt;&gt;"No Min RQ"),_xlpm.slp,AND($T178&lt;&gt;"",$T178&lt;&gt;"N/A",$T178&lt;&gt;"No Min RQ"),_xlpm.ffp,AND($X178&lt;&gt;"",$X178&lt;&gt;"N/A",$X178&lt;&gt;"No Min RQ"),_xlpm.chp,AND($AB178&lt;&gt;"",$AB178&lt;&gt;"N/A",$AB178&lt;&gt;"No Min RQ"),_xlpm.usp,AND($AF178&lt;&gt;"",$AF178&lt;&gt;"N/A",$AF178&lt;&gt;"No Min RQ"),_xlpm.n,_xlpm.sfp+_xlpm.slp+_xlpm.ffp+_xlpm.chp+_xlpm.usp,_xlpm.sub,(_xlpm.sfp*($P178="Submitted"))+(_xlpm.slp*($T178="Submitted"))+(_xlpm.ffp*($X178="Submitted"))+(_xlpm.chp*($AB178="Submitted"))+(_xlpm.usp*($AF178="Submitted")),_xlpm.term,(_xlpm.sfp*OR($P178="Approved",$P178="Declined"))+(_xlpm.slp*OR($T178="Approved",$T178="Declined"))+(_xlpm.ffp*OR($X178="Approved",$X178="Declined"))+(_xlpm.chp*OR($AB178="Approved",$AB178="Declined"))+(_xlpm.usp*OR($AF178="Approved",$AF178="Declined")),IF(_xlpm.n=0,"No applicable lenders",IF(_xlpm.sub&gt;0,"Stays with Shaw - lender still Submitted",IF(_xlpm.term=_xlpm.n,"Clear - all applicable lenders Approved or Declined","Stays with Shaw - not all lenders Approved or Declined")))))</f>
      </c>
    </row>
    <row r="179" spans="80:80">
      <c r="CB179" s="131">
        <f>IF($A179="","",_xlfn.LET(_xlpm.sfp,AND($P179&lt;&gt;"",$P179&lt;&gt;"N/A",$P179&lt;&gt;"No Min RQ"),_xlpm.slp,AND($T179&lt;&gt;"",$T179&lt;&gt;"N/A",$T179&lt;&gt;"No Min RQ"),_xlpm.ffp,AND($X179&lt;&gt;"",$X179&lt;&gt;"N/A",$X179&lt;&gt;"No Min RQ"),_xlpm.chp,AND($AB179&lt;&gt;"",$AB179&lt;&gt;"N/A",$AB179&lt;&gt;"No Min RQ"),_xlpm.usp,AND($AF179&lt;&gt;"",$AF179&lt;&gt;"N/A",$AF179&lt;&gt;"No Min RQ"),_xlpm.n,_xlpm.sfp+_xlpm.slp+_xlpm.ffp+_xlpm.chp+_xlpm.usp,_xlpm.sub,(_xlpm.sfp*($P179="Submitted"))+(_xlpm.slp*($T179="Submitted"))+(_xlpm.ffp*($X179="Submitted"))+(_xlpm.chp*($AB179="Submitted"))+(_xlpm.usp*($AF179="Submitted")),_xlpm.term,(_xlpm.sfp*OR($P179="Approved",$P179="Declined"))+(_xlpm.slp*OR($T179="Approved",$T179="Declined"))+(_xlpm.ffp*OR($X179="Approved",$X179="Declined"))+(_xlpm.chp*OR($AB179="Approved",$AB179="Declined"))+(_xlpm.usp*OR($AF179="Approved",$AF179="Declined")),IF(_xlpm.n=0,"No applicable lenders",IF(_xlpm.sub&gt;0,"Stays with Shaw - lender still Submitted",IF(_xlpm.term=_xlpm.n,"Clear - all applicable lenders Approved or Declined","Stays with Shaw - not all lenders Approved or Declined")))))</f>
      </c>
    </row>
    <row r="180" spans="80:80">
      <c r="CB180" s="131">
        <f>IF($A180="","",_xlfn.LET(_xlpm.sfp,AND($P180&lt;&gt;"",$P180&lt;&gt;"N/A",$P180&lt;&gt;"No Min RQ"),_xlpm.slp,AND($T180&lt;&gt;"",$T180&lt;&gt;"N/A",$T180&lt;&gt;"No Min RQ"),_xlpm.ffp,AND($X180&lt;&gt;"",$X180&lt;&gt;"N/A",$X180&lt;&gt;"No Min RQ"),_xlpm.chp,AND($AB180&lt;&gt;"",$AB180&lt;&gt;"N/A",$AB180&lt;&gt;"No Min RQ"),_xlpm.usp,AND($AF180&lt;&gt;"",$AF180&lt;&gt;"N/A",$AF180&lt;&gt;"No Min RQ"),_xlpm.n,_xlpm.sfp+_xlpm.slp+_xlpm.ffp+_xlpm.chp+_xlpm.usp,_xlpm.sub,(_xlpm.sfp*($P180="Submitted"))+(_xlpm.slp*($T180="Submitted"))+(_xlpm.ffp*($X180="Submitted"))+(_xlpm.chp*($AB180="Submitted"))+(_xlpm.usp*($AF180="Submitted")),_xlpm.term,(_xlpm.sfp*OR($P180="Approved",$P180="Declined"))+(_xlpm.slp*OR($T180="Approved",$T180="Declined"))+(_xlpm.ffp*OR($X180="Approved",$X180="Declined"))+(_xlpm.chp*OR($AB180="Approved",$AB180="Declined"))+(_xlpm.usp*OR($AF180="Approved",$AF180="Declined")),IF(_xlpm.n=0,"No applicable lenders",IF(_xlpm.sub&gt;0,"Stays with Shaw - lender still Submitted",IF(_xlpm.term=_xlpm.n,"Clear - all applicable lenders Approved or Declined","Stays with Shaw - not all lenders Approved or Declined")))))</f>
      </c>
    </row>
    <row r="181" spans="80:80">
      <c r="CB181" s="131">
        <f>IF($A181="","",_xlfn.LET(_xlpm.sfp,AND($P181&lt;&gt;"",$P181&lt;&gt;"N/A",$P181&lt;&gt;"No Min RQ"),_xlpm.slp,AND($T181&lt;&gt;"",$T181&lt;&gt;"N/A",$T181&lt;&gt;"No Min RQ"),_xlpm.ffp,AND($X181&lt;&gt;"",$X181&lt;&gt;"N/A",$X181&lt;&gt;"No Min RQ"),_xlpm.chp,AND($AB181&lt;&gt;"",$AB181&lt;&gt;"N/A",$AB181&lt;&gt;"No Min RQ"),_xlpm.usp,AND($AF181&lt;&gt;"",$AF181&lt;&gt;"N/A",$AF181&lt;&gt;"No Min RQ"),_xlpm.n,_xlpm.sfp+_xlpm.slp+_xlpm.ffp+_xlpm.chp+_xlpm.usp,_xlpm.sub,(_xlpm.sfp*($P181="Submitted"))+(_xlpm.slp*($T181="Submitted"))+(_xlpm.ffp*($X181="Submitted"))+(_xlpm.chp*($AB181="Submitted"))+(_xlpm.usp*($AF181="Submitted")),_xlpm.term,(_xlpm.sfp*OR($P181="Approved",$P181="Declined"))+(_xlpm.slp*OR($T181="Approved",$T181="Declined"))+(_xlpm.ffp*OR($X181="Approved",$X181="Declined"))+(_xlpm.chp*OR($AB181="Approved",$AB181="Declined"))+(_xlpm.usp*OR($AF181="Approved",$AF181="Declined")),IF(_xlpm.n=0,"No applicable lenders",IF(_xlpm.sub&gt;0,"Stays with Shaw - lender still Submitted",IF(_xlpm.term=_xlpm.n,"Clear - all applicable lenders Approved or Declined","Stays with Shaw - not all lenders Approved or Declined")))))</f>
      </c>
    </row>
    <row r="182" spans="80:80">
      <c r="CB182" s="131">
        <f>IF($A182="","",_xlfn.LET(_xlpm.sfp,AND($P182&lt;&gt;"",$P182&lt;&gt;"N/A",$P182&lt;&gt;"No Min RQ"),_xlpm.slp,AND($T182&lt;&gt;"",$T182&lt;&gt;"N/A",$T182&lt;&gt;"No Min RQ"),_xlpm.ffp,AND($X182&lt;&gt;"",$X182&lt;&gt;"N/A",$X182&lt;&gt;"No Min RQ"),_xlpm.chp,AND($AB182&lt;&gt;"",$AB182&lt;&gt;"N/A",$AB182&lt;&gt;"No Min RQ"),_xlpm.usp,AND($AF182&lt;&gt;"",$AF182&lt;&gt;"N/A",$AF182&lt;&gt;"No Min RQ"),_xlpm.n,_xlpm.sfp+_xlpm.slp+_xlpm.ffp+_xlpm.chp+_xlpm.usp,_xlpm.sub,(_xlpm.sfp*($P182="Submitted"))+(_xlpm.slp*($T182="Submitted"))+(_xlpm.ffp*($X182="Submitted"))+(_xlpm.chp*($AB182="Submitted"))+(_xlpm.usp*($AF182="Submitted")),_xlpm.term,(_xlpm.sfp*OR($P182="Approved",$P182="Declined"))+(_xlpm.slp*OR($T182="Approved",$T182="Declined"))+(_xlpm.ffp*OR($X182="Approved",$X182="Declined"))+(_xlpm.chp*OR($AB182="Approved",$AB182="Declined"))+(_xlpm.usp*OR($AF182="Approved",$AF182="Declined")),IF(_xlpm.n=0,"No applicable lenders",IF(_xlpm.sub&gt;0,"Stays with Shaw - lender still Submitted",IF(_xlpm.term=_xlpm.n,"Clear - all applicable lenders Approved or Declined","Stays with Shaw - not all lenders Approved or Declined")))))</f>
      </c>
    </row>
    <row r="183" spans="80:80">
      <c r="CB183" s="131">
        <f>IF($A183="","",_xlfn.LET(_xlpm.sfp,AND($P183&lt;&gt;"",$P183&lt;&gt;"N/A",$P183&lt;&gt;"No Min RQ"),_xlpm.slp,AND($T183&lt;&gt;"",$T183&lt;&gt;"N/A",$T183&lt;&gt;"No Min RQ"),_xlpm.ffp,AND($X183&lt;&gt;"",$X183&lt;&gt;"N/A",$X183&lt;&gt;"No Min RQ"),_xlpm.chp,AND($AB183&lt;&gt;"",$AB183&lt;&gt;"N/A",$AB183&lt;&gt;"No Min RQ"),_xlpm.usp,AND($AF183&lt;&gt;"",$AF183&lt;&gt;"N/A",$AF183&lt;&gt;"No Min RQ"),_xlpm.n,_xlpm.sfp+_xlpm.slp+_xlpm.ffp+_xlpm.chp+_xlpm.usp,_xlpm.sub,(_xlpm.sfp*($P183="Submitted"))+(_xlpm.slp*($T183="Submitted"))+(_xlpm.ffp*($X183="Submitted"))+(_xlpm.chp*($AB183="Submitted"))+(_xlpm.usp*($AF183="Submitted")),_xlpm.term,(_xlpm.sfp*OR($P183="Approved",$P183="Declined"))+(_xlpm.slp*OR($T183="Approved",$T183="Declined"))+(_xlpm.ffp*OR($X183="Approved",$X183="Declined"))+(_xlpm.chp*OR($AB183="Approved",$AB183="Declined"))+(_xlpm.usp*OR($AF183="Approved",$AF183="Declined")),IF(_xlpm.n=0,"No applicable lenders",IF(_xlpm.sub&gt;0,"Stays with Shaw - lender still Submitted",IF(_xlpm.term=_xlpm.n,"Clear - all applicable lenders Approved or Declined","Stays with Shaw - not all lenders Approved or Declined")))))</f>
      </c>
    </row>
    <row r="184" spans="80:80">
      <c r="CB184" s="131">
        <f>IF($A184="","",_xlfn.LET(_xlpm.sfp,AND($P184&lt;&gt;"",$P184&lt;&gt;"N/A",$P184&lt;&gt;"No Min RQ"),_xlpm.slp,AND($T184&lt;&gt;"",$T184&lt;&gt;"N/A",$T184&lt;&gt;"No Min RQ"),_xlpm.ffp,AND($X184&lt;&gt;"",$X184&lt;&gt;"N/A",$X184&lt;&gt;"No Min RQ"),_xlpm.chp,AND($AB184&lt;&gt;"",$AB184&lt;&gt;"N/A",$AB184&lt;&gt;"No Min RQ"),_xlpm.usp,AND($AF184&lt;&gt;"",$AF184&lt;&gt;"N/A",$AF184&lt;&gt;"No Min RQ"),_xlpm.n,_xlpm.sfp+_xlpm.slp+_xlpm.ffp+_xlpm.chp+_xlpm.usp,_xlpm.sub,(_xlpm.sfp*($P184="Submitted"))+(_xlpm.slp*($T184="Submitted"))+(_xlpm.ffp*($X184="Submitted"))+(_xlpm.chp*($AB184="Submitted"))+(_xlpm.usp*($AF184="Submitted")),_xlpm.term,(_xlpm.sfp*OR($P184="Approved",$P184="Declined"))+(_xlpm.slp*OR($T184="Approved",$T184="Declined"))+(_xlpm.ffp*OR($X184="Approved",$X184="Declined"))+(_xlpm.chp*OR($AB184="Approved",$AB184="Declined"))+(_xlpm.usp*OR($AF184="Approved",$AF184="Declined")),IF(_xlpm.n=0,"No applicable lenders",IF(_xlpm.sub&gt;0,"Stays with Shaw - lender still Submitted",IF(_xlpm.term=_xlpm.n,"Clear - all applicable lenders Approved or Declined","Stays with Shaw - not all lenders Approved or Declined")))))</f>
      </c>
    </row>
    <row r="185" spans="80:80">
      <c r="CB185" s="131">
        <f>IF($A185="","",_xlfn.LET(_xlpm.sfp,AND($P185&lt;&gt;"",$P185&lt;&gt;"N/A",$P185&lt;&gt;"No Min RQ"),_xlpm.slp,AND($T185&lt;&gt;"",$T185&lt;&gt;"N/A",$T185&lt;&gt;"No Min RQ"),_xlpm.ffp,AND($X185&lt;&gt;"",$X185&lt;&gt;"N/A",$X185&lt;&gt;"No Min RQ"),_xlpm.chp,AND($AB185&lt;&gt;"",$AB185&lt;&gt;"N/A",$AB185&lt;&gt;"No Min RQ"),_xlpm.usp,AND($AF185&lt;&gt;"",$AF185&lt;&gt;"N/A",$AF185&lt;&gt;"No Min RQ"),_xlpm.n,_xlpm.sfp+_xlpm.slp+_xlpm.ffp+_xlpm.chp+_xlpm.usp,_xlpm.sub,(_xlpm.sfp*($P185="Submitted"))+(_xlpm.slp*($T185="Submitted"))+(_xlpm.ffp*($X185="Submitted"))+(_xlpm.chp*($AB185="Submitted"))+(_xlpm.usp*($AF185="Submitted")),_xlpm.term,(_xlpm.sfp*OR($P185="Approved",$P185="Declined"))+(_xlpm.slp*OR($T185="Approved",$T185="Declined"))+(_xlpm.ffp*OR($X185="Approved",$X185="Declined"))+(_xlpm.chp*OR($AB185="Approved",$AB185="Declined"))+(_xlpm.usp*OR($AF185="Approved",$AF185="Declined")),IF(_xlpm.n=0,"No applicable lenders",IF(_xlpm.sub&gt;0,"Stays with Shaw - lender still Submitted",IF(_xlpm.term=_xlpm.n,"Clear - all applicable lenders Approved or Declined","Stays with Shaw - not all lenders Approved or Declined")))))</f>
      </c>
    </row>
    <row r="186" spans="80:80">
      <c r="CB186" s="131">
        <f>IF($A186="","",_xlfn.LET(_xlpm.sfp,AND($P186&lt;&gt;"",$P186&lt;&gt;"N/A",$P186&lt;&gt;"No Min RQ"),_xlpm.slp,AND($T186&lt;&gt;"",$T186&lt;&gt;"N/A",$T186&lt;&gt;"No Min RQ"),_xlpm.ffp,AND($X186&lt;&gt;"",$X186&lt;&gt;"N/A",$X186&lt;&gt;"No Min RQ"),_xlpm.chp,AND($AB186&lt;&gt;"",$AB186&lt;&gt;"N/A",$AB186&lt;&gt;"No Min RQ"),_xlpm.usp,AND($AF186&lt;&gt;"",$AF186&lt;&gt;"N/A",$AF186&lt;&gt;"No Min RQ"),_xlpm.n,_xlpm.sfp+_xlpm.slp+_xlpm.ffp+_xlpm.chp+_xlpm.usp,_xlpm.sub,(_xlpm.sfp*($P186="Submitted"))+(_xlpm.slp*($T186="Submitted"))+(_xlpm.ffp*($X186="Submitted"))+(_xlpm.chp*($AB186="Submitted"))+(_xlpm.usp*($AF186="Submitted")),_xlpm.term,(_xlpm.sfp*OR($P186="Approved",$P186="Declined"))+(_xlpm.slp*OR($T186="Approved",$T186="Declined"))+(_xlpm.ffp*OR($X186="Approved",$X186="Declined"))+(_xlpm.chp*OR($AB186="Approved",$AB186="Declined"))+(_xlpm.usp*OR($AF186="Approved",$AF186="Declined")),IF(_xlpm.n=0,"No applicable lenders",IF(_xlpm.sub&gt;0,"Stays with Shaw - lender still Submitted",IF(_xlpm.term=_xlpm.n,"Clear - all applicable lenders Approved or Declined","Stays with Shaw - not all lenders Approved or Declined")))))</f>
      </c>
    </row>
    <row r="187" spans="80:80">
      <c r="CB187" s="131">
        <f>IF($A187="","",_xlfn.LET(_xlpm.sfp,AND($P187&lt;&gt;"",$P187&lt;&gt;"N/A",$P187&lt;&gt;"No Min RQ"),_xlpm.slp,AND($T187&lt;&gt;"",$T187&lt;&gt;"N/A",$T187&lt;&gt;"No Min RQ"),_xlpm.ffp,AND($X187&lt;&gt;"",$X187&lt;&gt;"N/A",$X187&lt;&gt;"No Min RQ"),_xlpm.chp,AND($AB187&lt;&gt;"",$AB187&lt;&gt;"N/A",$AB187&lt;&gt;"No Min RQ"),_xlpm.usp,AND($AF187&lt;&gt;"",$AF187&lt;&gt;"N/A",$AF187&lt;&gt;"No Min RQ"),_xlpm.n,_xlpm.sfp+_xlpm.slp+_xlpm.ffp+_xlpm.chp+_xlpm.usp,_xlpm.sub,(_xlpm.sfp*($P187="Submitted"))+(_xlpm.slp*($T187="Submitted"))+(_xlpm.ffp*($X187="Submitted"))+(_xlpm.chp*($AB187="Submitted"))+(_xlpm.usp*($AF187="Submitted")),_xlpm.term,(_xlpm.sfp*OR($P187="Approved",$P187="Declined"))+(_xlpm.slp*OR($T187="Approved",$T187="Declined"))+(_xlpm.ffp*OR($X187="Approved",$X187="Declined"))+(_xlpm.chp*OR($AB187="Approved",$AB187="Declined"))+(_xlpm.usp*OR($AF187="Approved",$AF187="Declined")),IF(_xlpm.n=0,"No applicable lenders",IF(_xlpm.sub&gt;0,"Stays with Shaw - lender still Submitted",IF(_xlpm.term=_xlpm.n,"Clear - all applicable lenders Approved or Declined","Stays with Shaw - not all lenders Approved or Declined")))))</f>
      </c>
    </row>
    <row r="188" spans="80:80">
      <c r="CB188" s="131">
        <f>IF($A188="","",_xlfn.LET(_xlpm.sfp,AND($P188&lt;&gt;"",$P188&lt;&gt;"N/A",$P188&lt;&gt;"No Min RQ"),_xlpm.slp,AND($T188&lt;&gt;"",$T188&lt;&gt;"N/A",$T188&lt;&gt;"No Min RQ"),_xlpm.ffp,AND($X188&lt;&gt;"",$X188&lt;&gt;"N/A",$X188&lt;&gt;"No Min RQ"),_xlpm.chp,AND($AB188&lt;&gt;"",$AB188&lt;&gt;"N/A",$AB188&lt;&gt;"No Min RQ"),_xlpm.usp,AND($AF188&lt;&gt;"",$AF188&lt;&gt;"N/A",$AF188&lt;&gt;"No Min RQ"),_xlpm.n,_xlpm.sfp+_xlpm.slp+_xlpm.ffp+_xlpm.chp+_xlpm.usp,_xlpm.sub,(_xlpm.sfp*($P188="Submitted"))+(_xlpm.slp*($T188="Submitted"))+(_xlpm.ffp*($X188="Submitted"))+(_xlpm.chp*($AB188="Submitted"))+(_xlpm.usp*($AF188="Submitted")),_xlpm.term,(_xlpm.sfp*OR($P188="Approved",$P188="Declined"))+(_xlpm.slp*OR($T188="Approved",$T188="Declined"))+(_xlpm.ffp*OR($X188="Approved",$X188="Declined"))+(_xlpm.chp*OR($AB188="Approved",$AB188="Declined"))+(_xlpm.usp*OR($AF188="Approved",$AF188="Declined")),IF(_xlpm.n=0,"No applicable lenders",IF(_xlpm.sub&gt;0,"Stays with Shaw - lender still Submitted",IF(_xlpm.term=_xlpm.n,"Clear - all applicable lenders Approved or Declined","Stays with Shaw - not all lenders Approved or Declined")))))</f>
      </c>
    </row>
    <row r="189" spans="80:80">
      <c r="CB189" s="131">
        <f>IF($A189="","",_xlfn.LET(_xlpm.sfp,AND($P189&lt;&gt;"",$P189&lt;&gt;"N/A",$P189&lt;&gt;"No Min RQ"),_xlpm.slp,AND($T189&lt;&gt;"",$T189&lt;&gt;"N/A",$T189&lt;&gt;"No Min RQ"),_xlpm.ffp,AND($X189&lt;&gt;"",$X189&lt;&gt;"N/A",$X189&lt;&gt;"No Min RQ"),_xlpm.chp,AND($AB189&lt;&gt;"",$AB189&lt;&gt;"N/A",$AB189&lt;&gt;"No Min RQ"),_xlpm.usp,AND($AF189&lt;&gt;"",$AF189&lt;&gt;"N/A",$AF189&lt;&gt;"No Min RQ"),_xlpm.n,_xlpm.sfp+_xlpm.slp+_xlpm.ffp+_xlpm.chp+_xlpm.usp,_xlpm.sub,(_xlpm.sfp*($P189="Submitted"))+(_xlpm.slp*($T189="Submitted"))+(_xlpm.ffp*($X189="Submitted"))+(_xlpm.chp*($AB189="Submitted"))+(_xlpm.usp*($AF189="Submitted")),_xlpm.term,(_xlpm.sfp*OR($P189="Approved",$P189="Declined"))+(_xlpm.slp*OR($T189="Approved",$T189="Declined"))+(_xlpm.ffp*OR($X189="Approved",$X189="Declined"))+(_xlpm.chp*OR($AB189="Approved",$AB189="Declined"))+(_xlpm.usp*OR($AF189="Approved",$AF189="Declined")),IF(_xlpm.n=0,"No applicable lenders",IF(_xlpm.sub&gt;0,"Stays with Shaw - lender still Submitted",IF(_xlpm.term=_xlpm.n,"Clear - all applicable lenders Approved or Declined","Stays with Shaw - not all lenders Approved or Declined")))))</f>
      </c>
    </row>
    <row r="190" spans="80:80">
      <c r="CB190" s="131">
        <f>IF($A190="","",_xlfn.LET(_xlpm.sfp,AND($P190&lt;&gt;"",$P190&lt;&gt;"N/A",$P190&lt;&gt;"No Min RQ"),_xlpm.slp,AND($T190&lt;&gt;"",$T190&lt;&gt;"N/A",$T190&lt;&gt;"No Min RQ"),_xlpm.ffp,AND($X190&lt;&gt;"",$X190&lt;&gt;"N/A",$X190&lt;&gt;"No Min RQ"),_xlpm.chp,AND($AB190&lt;&gt;"",$AB190&lt;&gt;"N/A",$AB190&lt;&gt;"No Min RQ"),_xlpm.usp,AND($AF190&lt;&gt;"",$AF190&lt;&gt;"N/A",$AF190&lt;&gt;"No Min RQ"),_xlpm.n,_xlpm.sfp+_xlpm.slp+_xlpm.ffp+_xlpm.chp+_xlpm.usp,_xlpm.sub,(_xlpm.sfp*($P190="Submitted"))+(_xlpm.slp*($T190="Submitted"))+(_xlpm.ffp*($X190="Submitted"))+(_xlpm.chp*($AB190="Submitted"))+(_xlpm.usp*($AF190="Submitted")),_xlpm.term,(_xlpm.sfp*OR($P190="Approved",$P190="Declined"))+(_xlpm.slp*OR($T190="Approved",$T190="Declined"))+(_xlpm.ffp*OR($X190="Approved",$X190="Declined"))+(_xlpm.chp*OR($AB190="Approved",$AB190="Declined"))+(_xlpm.usp*OR($AF190="Approved",$AF190="Declined")),IF(_xlpm.n=0,"No applicable lenders",IF(_xlpm.sub&gt;0,"Stays with Shaw - lender still Submitted",IF(_xlpm.term=_xlpm.n,"Clear - all applicable lenders Approved or Declined","Stays with Shaw - not all lenders Approved or Declined")))))</f>
      </c>
    </row>
    <row r="191" spans="80:80">
      <c r="CB191" s="131">
        <f>IF($A191="","",_xlfn.LET(_xlpm.sfp,AND($P191&lt;&gt;"",$P191&lt;&gt;"N/A",$P191&lt;&gt;"No Min RQ"),_xlpm.slp,AND($T191&lt;&gt;"",$T191&lt;&gt;"N/A",$T191&lt;&gt;"No Min RQ"),_xlpm.ffp,AND($X191&lt;&gt;"",$X191&lt;&gt;"N/A",$X191&lt;&gt;"No Min RQ"),_xlpm.chp,AND($AB191&lt;&gt;"",$AB191&lt;&gt;"N/A",$AB191&lt;&gt;"No Min RQ"),_xlpm.usp,AND($AF191&lt;&gt;"",$AF191&lt;&gt;"N/A",$AF191&lt;&gt;"No Min RQ"),_xlpm.n,_xlpm.sfp+_xlpm.slp+_xlpm.ffp+_xlpm.chp+_xlpm.usp,_xlpm.sub,(_xlpm.sfp*($P191="Submitted"))+(_xlpm.slp*($T191="Submitted"))+(_xlpm.ffp*($X191="Submitted"))+(_xlpm.chp*($AB191="Submitted"))+(_xlpm.usp*($AF191="Submitted")),_xlpm.term,(_xlpm.sfp*OR($P191="Approved",$P191="Declined"))+(_xlpm.slp*OR($T191="Approved",$T191="Declined"))+(_xlpm.ffp*OR($X191="Approved",$X191="Declined"))+(_xlpm.chp*OR($AB191="Approved",$AB191="Declined"))+(_xlpm.usp*OR($AF191="Approved",$AF191="Declined")),IF(_xlpm.n=0,"No applicable lenders",IF(_xlpm.sub&gt;0,"Stays with Shaw - lender still Submitted",IF(_xlpm.term=_xlpm.n,"Clear - all applicable lenders Approved or Declined","Stays with Shaw - not all lenders Approved or Declined")))))</f>
      </c>
    </row>
    <row r="192" spans="80:80">
      <c r="CB192" s="131">
        <f>IF($A192="","",_xlfn.LET(_xlpm.sfp,AND($P192&lt;&gt;"",$P192&lt;&gt;"N/A",$P192&lt;&gt;"No Min RQ"),_xlpm.slp,AND($T192&lt;&gt;"",$T192&lt;&gt;"N/A",$T192&lt;&gt;"No Min RQ"),_xlpm.ffp,AND($X192&lt;&gt;"",$X192&lt;&gt;"N/A",$X192&lt;&gt;"No Min RQ"),_xlpm.chp,AND($AB192&lt;&gt;"",$AB192&lt;&gt;"N/A",$AB192&lt;&gt;"No Min RQ"),_xlpm.usp,AND($AF192&lt;&gt;"",$AF192&lt;&gt;"N/A",$AF192&lt;&gt;"No Min RQ"),_xlpm.n,_xlpm.sfp+_xlpm.slp+_xlpm.ffp+_xlpm.chp+_xlpm.usp,_xlpm.sub,(_xlpm.sfp*($P192="Submitted"))+(_xlpm.slp*($T192="Submitted"))+(_xlpm.ffp*($X192="Submitted"))+(_xlpm.chp*($AB192="Submitted"))+(_xlpm.usp*($AF192="Submitted")),_xlpm.term,(_xlpm.sfp*OR($P192="Approved",$P192="Declined"))+(_xlpm.slp*OR($T192="Approved",$T192="Declined"))+(_xlpm.ffp*OR($X192="Approved",$X192="Declined"))+(_xlpm.chp*OR($AB192="Approved",$AB192="Declined"))+(_xlpm.usp*OR($AF192="Approved",$AF192="Declined")),IF(_xlpm.n=0,"No applicable lenders",IF(_xlpm.sub&gt;0,"Stays with Shaw - lender still Submitted",IF(_xlpm.term=_xlpm.n,"Clear - all applicable lenders Approved or Declined","Stays with Shaw - not all lenders Approved or Declined")))))</f>
      </c>
    </row>
    <row r="193" spans="80:80">
      <c r="CB193" s="131">
        <f>IF($A193="","",_xlfn.LET(_xlpm.sfp,AND($P193&lt;&gt;"",$P193&lt;&gt;"N/A",$P193&lt;&gt;"No Min RQ"),_xlpm.slp,AND($T193&lt;&gt;"",$T193&lt;&gt;"N/A",$T193&lt;&gt;"No Min RQ"),_xlpm.ffp,AND($X193&lt;&gt;"",$X193&lt;&gt;"N/A",$X193&lt;&gt;"No Min RQ"),_xlpm.chp,AND($AB193&lt;&gt;"",$AB193&lt;&gt;"N/A",$AB193&lt;&gt;"No Min RQ"),_xlpm.usp,AND($AF193&lt;&gt;"",$AF193&lt;&gt;"N/A",$AF193&lt;&gt;"No Min RQ"),_xlpm.n,_xlpm.sfp+_xlpm.slp+_xlpm.ffp+_xlpm.chp+_xlpm.usp,_xlpm.sub,(_xlpm.sfp*($P193="Submitted"))+(_xlpm.slp*($T193="Submitted"))+(_xlpm.ffp*($X193="Submitted"))+(_xlpm.chp*($AB193="Submitted"))+(_xlpm.usp*($AF193="Submitted")),_xlpm.term,(_xlpm.sfp*OR($P193="Approved",$P193="Declined"))+(_xlpm.slp*OR($T193="Approved",$T193="Declined"))+(_xlpm.ffp*OR($X193="Approved",$X193="Declined"))+(_xlpm.chp*OR($AB193="Approved",$AB193="Declined"))+(_xlpm.usp*OR($AF193="Approved",$AF193="Declined")),IF(_xlpm.n=0,"No applicable lenders",IF(_xlpm.sub&gt;0,"Stays with Shaw - lender still Submitted",IF(_xlpm.term=_xlpm.n,"Clear - all applicable lenders Approved or Declined","Stays with Shaw - not all lenders Approved or Declined")))))</f>
      </c>
    </row>
    <row r="194" spans="80:80">
      <c r="CB194" s="131">
        <f>IF($A194="","",_xlfn.LET(_xlpm.sfp,AND($P194&lt;&gt;"",$P194&lt;&gt;"N/A",$P194&lt;&gt;"No Min RQ"),_xlpm.slp,AND($T194&lt;&gt;"",$T194&lt;&gt;"N/A",$T194&lt;&gt;"No Min RQ"),_xlpm.ffp,AND($X194&lt;&gt;"",$X194&lt;&gt;"N/A",$X194&lt;&gt;"No Min RQ"),_xlpm.chp,AND($AB194&lt;&gt;"",$AB194&lt;&gt;"N/A",$AB194&lt;&gt;"No Min RQ"),_xlpm.usp,AND($AF194&lt;&gt;"",$AF194&lt;&gt;"N/A",$AF194&lt;&gt;"No Min RQ"),_xlpm.n,_xlpm.sfp+_xlpm.slp+_xlpm.ffp+_xlpm.chp+_xlpm.usp,_xlpm.sub,(_xlpm.sfp*($P194="Submitted"))+(_xlpm.slp*($T194="Submitted"))+(_xlpm.ffp*($X194="Submitted"))+(_xlpm.chp*($AB194="Submitted"))+(_xlpm.usp*($AF194="Submitted")),_xlpm.term,(_xlpm.sfp*OR($P194="Approved",$P194="Declined"))+(_xlpm.slp*OR($T194="Approved",$T194="Declined"))+(_xlpm.ffp*OR($X194="Approved",$X194="Declined"))+(_xlpm.chp*OR($AB194="Approved",$AB194="Declined"))+(_xlpm.usp*OR($AF194="Approved",$AF194="Declined")),IF(_xlpm.n=0,"No applicable lenders",IF(_xlpm.sub&gt;0,"Stays with Shaw - lender still Submitted",IF(_xlpm.term=_xlpm.n,"Clear - all applicable lenders Approved or Declined","Stays with Shaw - not all lenders Approved or Declined")))))</f>
      </c>
    </row>
    <row r="195" spans="80:80">
      <c r="CB195" s="131">
        <f>IF($A195="","",_xlfn.LET(_xlpm.sfp,AND($P195&lt;&gt;"",$P195&lt;&gt;"N/A",$P195&lt;&gt;"No Min RQ"),_xlpm.slp,AND($T195&lt;&gt;"",$T195&lt;&gt;"N/A",$T195&lt;&gt;"No Min RQ"),_xlpm.ffp,AND($X195&lt;&gt;"",$X195&lt;&gt;"N/A",$X195&lt;&gt;"No Min RQ"),_xlpm.chp,AND($AB195&lt;&gt;"",$AB195&lt;&gt;"N/A",$AB195&lt;&gt;"No Min RQ"),_xlpm.usp,AND($AF195&lt;&gt;"",$AF195&lt;&gt;"N/A",$AF195&lt;&gt;"No Min RQ"),_xlpm.n,_xlpm.sfp+_xlpm.slp+_xlpm.ffp+_xlpm.chp+_xlpm.usp,_xlpm.sub,(_xlpm.sfp*($P195="Submitted"))+(_xlpm.slp*($T195="Submitted"))+(_xlpm.ffp*($X195="Submitted"))+(_xlpm.chp*($AB195="Submitted"))+(_xlpm.usp*($AF195="Submitted")),_xlpm.term,(_xlpm.sfp*OR($P195="Approved",$P195="Declined"))+(_xlpm.slp*OR($T195="Approved",$T195="Declined"))+(_xlpm.ffp*OR($X195="Approved",$X195="Declined"))+(_xlpm.chp*OR($AB195="Approved",$AB195="Declined"))+(_xlpm.usp*OR($AF195="Approved",$AF195="Declined")),IF(_xlpm.n=0,"No applicable lenders",IF(_xlpm.sub&gt;0,"Stays with Shaw - lender still Submitted",IF(_xlpm.term=_xlpm.n,"Clear - all applicable lenders Approved or Declined","Stays with Shaw - not all lenders Approved or Declined")))))</f>
      </c>
    </row>
    <row r="196" spans="80:80">
      <c r="CB196" s="131">
        <f>IF($A196="","",_xlfn.LET(_xlpm.sfp,AND($P196&lt;&gt;"",$P196&lt;&gt;"N/A",$P196&lt;&gt;"No Min RQ"),_xlpm.slp,AND($T196&lt;&gt;"",$T196&lt;&gt;"N/A",$T196&lt;&gt;"No Min RQ"),_xlpm.ffp,AND($X196&lt;&gt;"",$X196&lt;&gt;"N/A",$X196&lt;&gt;"No Min RQ"),_xlpm.chp,AND($AB196&lt;&gt;"",$AB196&lt;&gt;"N/A",$AB196&lt;&gt;"No Min RQ"),_xlpm.usp,AND($AF196&lt;&gt;"",$AF196&lt;&gt;"N/A",$AF196&lt;&gt;"No Min RQ"),_xlpm.n,_xlpm.sfp+_xlpm.slp+_xlpm.ffp+_xlpm.chp+_xlpm.usp,_xlpm.sub,(_xlpm.sfp*($P196="Submitted"))+(_xlpm.slp*($T196="Submitted"))+(_xlpm.ffp*($X196="Submitted"))+(_xlpm.chp*($AB196="Submitted"))+(_xlpm.usp*($AF196="Submitted")),_xlpm.term,(_xlpm.sfp*OR($P196="Approved",$P196="Declined"))+(_xlpm.slp*OR($T196="Approved",$T196="Declined"))+(_xlpm.ffp*OR($X196="Approved",$X196="Declined"))+(_xlpm.chp*OR($AB196="Approved",$AB196="Declined"))+(_xlpm.usp*OR($AF196="Approved",$AF196="Declined")),IF(_xlpm.n=0,"No applicable lenders",IF(_xlpm.sub&gt;0,"Stays with Shaw - lender still Submitted",IF(_xlpm.term=_xlpm.n,"Clear - all applicable lenders Approved or Declined","Stays with Shaw - not all lenders Approved or Declined")))))</f>
      </c>
    </row>
    <row r="197" spans="80:80">
      <c r="CB197" s="131">
        <f>IF($A197="","",_xlfn.LET(_xlpm.sfp,AND($P197&lt;&gt;"",$P197&lt;&gt;"N/A",$P197&lt;&gt;"No Min RQ"),_xlpm.slp,AND($T197&lt;&gt;"",$T197&lt;&gt;"N/A",$T197&lt;&gt;"No Min RQ"),_xlpm.ffp,AND($X197&lt;&gt;"",$X197&lt;&gt;"N/A",$X197&lt;&gt;"No Min RQ"),_xlpm.chp,AND($AB197&lt;&gt;"",$AB197&lt;&gt;"N/A",$AB197&lt;&gt;"No Min RQ"),_xlpm.usp,AND($AF197&lt;&gt;"",$AF197&lt;&gt;"N/A",$AF197&lt;&gt;"No Min RQ"),_xlpm.n,_xlpm.sfp+_xlpm.slp+_xlpm.ffp+_xlpm.chp+_xlpm.usp,_xlpm.sub,(_xlpm.sfp*($P197="Submitted"))+(_xlpm.slp*($T197="Submitted"))+(_xlpm.ffp*($X197="Submitted"))+(_xlpm.chp*($AB197="Submitted"))+(_xlpm.usp*($AF197="Submitted")),_xlpm.term,(_xlpm.sfp*OR($P197="Approved",$P197="Declined"))+(_xlpm.slp*OR($T197="Approved",$T197="Declined"))+(_xlpm.ffp*OR($X197="Approved",$X197="Declined"))+(_xlpm.chp*OR($AB197="Approved",$AB197="Declined"))+(_xlpm.usp*OR($AF197="Approved",$AF197="Declined")),IF(_xlpm.n=0,"No applicable lenders",IF(_xlpm.sub&gt;0,"Stays with Shaw - lender still Submitted",IF(_xlpm.term=_xlpm.n,"Clear - all applicable lenders Approved or Declined","Stays with Shaw - not all lenders Approved or Declined")))))</f>
      </c>
    </row>
    <row r="198" spans="80:80">
      <c r="CB198" s="131">
        <f>IF($A198="","",_xlfn.LET(_xlpm.sfp,AND($P198&lt;&gt;"",$P198&lt;&gt;"N/A",$P198&lt;&gt;"No Min RQ"),_xlpm.slp,AND($T198&lt;&gt;"",$T198&lt;&gt;"N/A",$T198&lt;&gt;"No Min RQ"),_xlpm.ffp,AND($X198&lt;&gt;"",$X198&lt;&gt;"N/A",$X198&lt;&gt;"No Min RQ"),_xlpm.chp,AND($AB198&lt;&gt;"",$AB198&lt;&gt;"N/A",$AB198&lt;&gt;"No Min RQ"),_xlpm.usp,AND($AF198&lt;&gt;"",$AF198&lt;&gt;"N/A",$AF198&lt;&gt;"No Min RQ"),_xlpm.n,_xlpm.sfp+_xlpm.slp+_xlpm.ffp+_xlpm.chp+_xlpm.usp,_xlpm.sub,(_xlpm.sfp*($P198="Submitted"))+(_xlpm.slp*($T198="Submitted"))+(_xlpm.ffp*($X198="Submitted"))+(_xlpm.chp*($AB198="Submitted"))+(_xlpm.usp*($AF198="Submitted")),_xlpm.term,(_xlpm.sfp*OR($P198="Approved",$P198="Declined"))+(_xlpm.slp*OR($T198="Approved",$T198="Declined"))+(_xlpm.ffp*OR($X198="Approved",$X198="Declined"))+(_xlpm.chp*OR($AB198="Approved",$AB198="Declined"))+(_xlpm.usp*OR($AF198="Approved",$AF198="Declined")),IF(_xlpm.n=0,"No applicable lenders",IF(_xlpm.sub&gt;0,"Stays with Shaw - lender still Submitted",IF(_xlpm.term=_xlpm.n,"Clear - all applicable lenders Approved or Declined","Stays with Shaw - not all lenders Approved or Declined")))))</f>
      </c>
    </row>
    <row r="199" spans="80:80">
      <c r="CB199" s="131">
        <f>IF($A199="","",_xlfn.LET(_xlpm.sfp,AND($P199&lt;&gt;"",$P199&lt;&gt;"N/A",$P199&lt;&gt;"No Min RQ"),_xlpm.slp,AND($T199&lt;&gt;"",$T199&lt;&gt;"N/A",$T199&lt;&gt;"No Min RQ"),_xlpm.ffp,AND($X199&lt;&gt;"",$X199&lt;&gt;"N/A",$X199&lt;&gt;"No Min RQ"),_xlpm.chp,AND($AB199&lt;&gt;"",$AB199&lt;&gt;"N/A",$AB199&lt;&gt;"No Min RQ"),_xlpm.usp,AND($AF199&lt;&gt;"",$AF199&lt;&gt;"N/A",$AF199&lt;&gt;"No Min RQ"),_xlpm.n,_xlpm.sfp+_xlpm.slp+_xlpm.ffp+_xlpm.chp+_xlpm.usp,_xlpm.sub,(_xlpm.sfp*($P199="Submitted"))+(_xlpm.slp*($T199="Submitted"))+(_xlpm.ffp*($X199="Submitted"))+(_xlpm.chp*($AB199="Submitted"))+(_xlpm.usp*($AF199="Submitted")),_xlpm.term,(_xlpm.sfp*OR($P199="Approved",$P199="Declined"))+(_xlpm.slp*OR($T199="Approved",$T199="Declined"))+(_xlpm.ffp*OR($X199="Approved",$X199="Declined"))+(_xlpm.chp*OR($AB199="Approved",$AB199="Declined"))+(_xlpm.usp*OR($AF199="Approved",$AF199="Declined")),IF(_xlpm.n=0,"No applicable lenders",IF(_xlpm.sub&gt;0,"Stays with Shaw - lender still Submitted",IF(_xlpm.term=_xlpm.n,"Clear - all applicable lenders Approved or Declined","Stays with Shaw - not all lenders Approved or Declined")))))</f>
      </c>
    </row>
    <row r="200" spans="80:80">
      <c r="CB200" s="131">
        <f>IF($A200="","",_xlfn.LET(_xlpm.sfp,AND($P200&lt;&gt;"",$P200&lt;&gt;"N/A",$P200&lt;&gt;"No Min RQ"),_xlpm.slp,AND($T200&lt;&gt;"",$T200&lt;&gt;"N/A",$T200&lt;&gt;"No Min RQ"),_xlpm.ffp,AND($X200&lt;&gt;"",$X200&lt;&gt;"N/A",$X200&lt;&gt;"No Min RQ"),_xlpm.chp,AND($AB200&lt;&gt;"",$AB200&lt;&gt;"N/A",$AB200&lt;&gt;"No Min RQ"),_xlpm.usp,AND($AF200&lt;&gt;"",$AF200&lt;&gt;"N/A",$AF200&lt;&gt;"No Min RQ"),_xlpm.n,_xlpm.sfp+_xlpm.slp+_xlpm.ffp+_xlpm.chp+_xlpm.usp,_xlpm.sub,(_xlpm.sfp*($P200="Submitted"))+(_xlpm.slp*($T200="Submitted"))+(_xlpm.ffp*($X200="Submitted"))+(_xlpm.chp*($AB200="Submitted"))+(_xlpm.usp*($AF200="Submitted")),_xlpm.term,(_xlpm.sfp*OR($P200="Approved",$P200="Declined"))+(_xlpm.slp*OR($T200="Approved",$T200="Declined"))+(_xlpm.ffp*OR($X200="Approved",$X200="Declined"))+(_xlpm.chp*OR($AB200="Approved",$AB200="Declined"))+(_xlpm.usp*OR($AF200="Approved",$AF200="Declined")),IF(_xlpm.n=0,"No applicable lenders",IF(_xlpm.sub&gt;0,"Stays with Shaw - lender still Submitted",IF(_xlpm.term=_xlpm.n,"Clear - all applicable lenders Approved or Declined","Stays with Shaw - not all lenders Approved or Declined")))))</f>
      </c>
    </row>
    <row r="201" spans="80:80">
      <c r="CB201" s="131">
        <f>IF($A201="","",_xlfn.LET(_xlpm.sfp,AND($P201&lt;&gt;"",$P201&lt;&gt;"N/A",$P201&lt;&gt;"No Min RQ"),_xlpm.slp,AND($T201&lt;&gt;"",$T201&lt;&gt;"N/A",$T201&lt;&gt;"No Min RQ"),_xlpm.ffp,AND($X201&lt;&gt;"",$X201&lt;&gt;"N/A",$X201&lt;&gt;"No Min RQ"),_xlpm.chp,AND($AB201&lt;&gt;"",$AB201&lt;&gt;"N/A",$AB201&lt;&gt;"No Min RQ"),_xlpm.usp,AND($AF201&lt;&gt;"",$AF201&lt;&gt;"N/A",$AF201&lt;&gt;"No Min RQ"),_xlpm.n,_xlpm.sfp+_xlpm.slp+_xlpm.ffp+_xlpm.chp+_xlpm.usp,_xlpm.sub,(_xlpm.sfp*($P201="Submitted"))+(_xlpm.slp*($T201="Submitted"))+(_xlpm.ffp*($X201="Submitted"))+(_xlpm.chp*($AB201="Submitted"))+(_xlpm.usp*($AF201="Submitted")),_xlpm.term,(_xlpm.sfp*OR($P201="Approved",$P201="Declined"))+(_xlpm.slp*OR($T201="Approved",$T201="Declined"))+(_xlpm.ffp*OR($X201="Approved",$X201="Declined"))+(_xlpm.chp*OR($AB201="Approved",$AB201="Declined"))+(_xlpm.usp*OR($AF201="Approved",$AF201="Declined")),IF(_xlpm.n=0,"No applicable lenders",IF(_xlpm.sub&gt;0,"Stays with Shaw - lender still Submitted",IF(_xlpm.term=_xlpm.n,"Clear - all applicable lenders Approved or Declined","Stays with Shaw - not all lenders Approved or Declined")))))</f>
      </c>
    </row>
    <row r="202" spans="80:80">
      <c r="CB202" s="131">
        <f>IF($A202="","",_xlfn.LET(_xlpm.sfp,AND($P202&lt;&gt;"",$P202&lt;&gt;"N/A",$P202&lt;&gt;"No Min RQ"),_xlpm.slp,AND($T202&lt;&gt;"",$T202&lt;&gt;"N/A",$T202&lt;&gt;"No Min RQ"),_xlpm.ffp,AND($X202&lt;&gt;"",$X202&lt;&gt;"N/A",$X202&lt;&gt;"No Min RQ"),_xlpm.chp,AND($AB202&lt;&gt;"",$AB202&lt;&gt;"N/A",$AB202&lt;&gt;"No Min RQ"),_xlpm.usp,AND($AF202&lt;&gt;"",$AF202&lt;&gt;"N/A",$AF202&lt;&gt;"No Min RQ"),_xlpm.n,_xlpm.sfp+_xlpm.slp+_xlpm.ffp+_xlpm.chp+_xlpm.usp,_xlpm.sub,(_xlpm.sfp*($P202="Submitted"))+(_xlpm.slp*($T202="Submitted"))+(_xlpm.ffp*($X202="Submitted"))+(_xlpm.chp*($AB202="Submitted"))+(_xlpm.usp*($AF202="Submitted")),_xlpm.term,(_xlpm.sfp*OR($P202="Approved",$P202="Declined"))+(_xlpm.slp*OR($T202="Approved",$T202="Declined"))+(_xlpm.ffp*OR($X202="Approved",$X202="Declined"))+(_xlpm.chp*OR($AB202="Approved",$AB202="Declined"))+(_xlpm.usp*OR($AF202="Approved",$AF202="Declined")),IF(_xlpm.n=0,"No applicable lenders",IF(_xlpm.sub&gt;0,"Stays with Shaw - lender still Submitted",IF(_xlpm.term=_xlpm.n,"Clear - all applicable lenders Approved or Declined","Stays with Shaw - not all lenders Approved or Declined")))))</f>
      </c>
    </row>
    <row r="203" spans="80:80">
      <c r="CB203" s="131">
        <f>IF($A203="","",_xlfn.LET(_xlpm.sfp,AND($P203&lt;&gt;"",$P203&lt;&gt;"N/A",$P203&lt;&gt;"No Min RQ"),_xlpm.slp,AND($T203&lt;&gt;"",$T203&lt;&gt;"N/A",$T203&lt;&gt;"No Min RQ"),_xlpm.ffp,AND($X203&lt;&gt;"",$X203&lt;&gt;"N/A",$X203&lt;&gt;"No Min RQ"),_xlpm.chp,AND($AB203&lt;&gt;"",$AB203&lt;&gt;"N/A",$AB203&lt;&gt;"No Min RQ"),_xlpm.usp,AND($AF203&lt;&gt;"",$AF203&lt;&gt;"N/A",$AF203&lt;&gt;"No Min RQ"),_xlpm.n,_xlpm.sfp+_xlpm.slp+_xlpm.ffp+_xlpm.chp+_xlpm.usp,_xlpm.sub,(_xlpm.sfp*($P203="Submitted"))+(_xlpm.slp*($T203="Submitted"))+(_xlpm.ffp*($X203="Submitted"))+(_xlpm.chp*($AB203="Submitted"))+(_xlpm.usp*($AF203="Submitted")),_xlpm.term,(_xlpm.sfp*OR($P203="Approved",$P203="Declined"))+(_xlpm.slp*OR($T203="Approved",$T203="Declined"))+(_xlpm.ffp*OR($X203="Approved",$X203="Declined"))+(_xlpm.chp*OR($AB203="Approved",$AB203="Declined"))+(_xlpm.usp*OR($AF203="Approved",$AF203="Declined")),IF(_xlpm.n=0,"No applicable lenders",IF(_xlpm.sub&gt;0,"Stays with Shaw - lender still Submitted",IF(_xlpm.term=_xlpm.n,"Clear - all applicable lenders Approved or Declined","Stays with Shaw - not all lenders Approved or Declined")))))</f>
      </c>
    </row>
    <row r="204" spans="80:80">
      <c r="CB204" s="131">
        <f>IF($A204="","",_xlfn.LET(_xlpm.sfp,AND($P204&lt;&gt;"",$P204&lt;&gt;"N/A",$P204&lt;&gt;"No Min RQ"),_xlpm.slp,AND($T204&lt;&gt;"",$T204&lt;&gt;"N/A",$T204&lt;&gt;"No Min RQ"),_xlpm.ffp,AND($X204&lt;&gt;"",$X204&lt;&gt;"N/A",$X204&lt;&gt;"No Min RQ"),_xlpm.chp,AND($AB204&lt;&gt;"",$AB204&lt;&gt;"N/A",$AB204&lt;&gt;"No Min RQ"),_xlpm.usp,AND($AF204&lt;&gt;"",$AF204&lt;&gt;"N/A",$AF204&lt;&gt;"No Min RQ"),_xlpm.n,_xlpm.sfp+_xlpm.slp+_xlpm.ffp+_xlpm.chp+_xlpm.usp,_xlpm.sub,(_xlpm.sfp*($P204="Submitted"))+(_xlpm.slp*($T204="Submitted"))+(_xlpm.ffp*($X204="Submitted"))+(_xlpm.chp*($AB204="Submitted"))+(_xlpm.usp*($AF204="Submitted")),_xlpm.term,(_xlpm.sfp*OR($P204="Approved",$P204="Declined"))+(_xlpm.slp*OR($T204="Approved",$T204="Declined"))+(_xlpm.ffp*OR($X204="Approved",$X204="Declined"))+(_xlpm.chp*OR($AB204="Approved",$AB204="Declined"))+(_xlpm.usp*OR($AF204="Approved",$AF204="Declined")),IF(_xlpm.n=0,"No applicable lenders",IF(_xlpm.sub&gt;0,"Stays with Shaw - lender still Submitted",IF(_xlpm.term=_xlpm.n,"Clear - all applicable lenders Approved or Declined","Stays with Shaw - not all lenders Approved or Declined")))))</f>
      </c>
    </row>
    <row r="205" spans="80:80">
      <c r="CB205" s="131">
        <f>IF($A205="","",_xlfn.LET(_xlpm.sfp,AND($P205&lt;&gt;"",$P205&lt;&gt;"N/A",$P205&lt;&gt;"No Min RQ"),_xlpm.slp,AND($T205&lt;&gt;"",$T205&lt;&gt;"N/A",$T205&lt;&gt;"No Min RQ"),_xlpm.ffp,AND($X205&lt;&gt;"",$X205&lt;&gt;"N/A",$X205&lt;&gt;"No Min RQ"),_xlpm.chp,AND($AB205&lt;&gt;"",$AB205&lt;&gt;"N/A",$AB205&lt;&gt;"No Min RQ"),_xlpm.usp,AND($AF205&lt;&gt;"",$AF205&lt;&gt;"N/A",$AF205&lt;&gt;"No Min RQ"),_xlpm.n,_xlpm.sfp+_xlpm.slp+_xlpm.ffp+_xlpm.chp+_xlpm.usp,_xlpm.sub,(_xlpm.sfp*($P205="Submitted"))+(_xlpm.slp*($T205="Submitted"))+(_xlpm.ffp*($X205="Submitted"))+(_xlpm.chp*($AB205="Submitted"))+(_xlpm.usp*($AF205="Submitted")),_xlpm.term,(_xlpm.sfp*OR($P205="Approved",$P205="Declined"))+(_xlpm.slp*OR($T205="Approved",$T205="Declined"))+(_xlpm.ffp*OR($X205="Approved",$X205="Declined"))+(_xlpm.chp*OR($AB205="Approved",$AB205="Declined"))+(_xlpm.usp*OR($AF205="Approved",$AF205="Declined")),IF(_xlpm.n=0,"No applicable lenders",IF(_xlpm.sub&gt;0,"Stays with Shaw - lender still Submitted",IF(_xlpm.term=_xlpm.n,"Clear - all applicable lenders Approved or Declined","Stays with Shaw - not all lenders Approved or Declined")))))</f>
      </c>
    </row>
    <row r="206" spans="80:80">
      <c r="CB206" s="131">
        <f>IF($A206="","",_xlfn.LET(_xlpm.sfp,AND($P206&lt;&gt;"",$P206&lt;&gt;"N/A",$P206&lt;&gt;"No Min RQ"),_xlpm.slp,AND($T206&lt;&gt;"",$T206&lt;&gt;"N/A",$T206&lt;&gt;"No Min RQ"),_xlpm.ffp,AND($X206&lt;&gt;"",$X206&lt;&gt;"N/A",$X206&lt;&gt;"No Min RQ"),_xlpm.chp,AND($AB206&lt;&gt;"",$AB206&lt;&gt;"N/A",$AB206&lt;&gt;"No Min RQ"),_xlpm.usp,AND($AF206&lt;&gt;"",$AF206&lt;&gt;"N/A",$AF206&lt;&gt;"No Min RQ"),_xlpm.n,_xlpm.sfp+_xlpm.slp+_xlpm.ffp+_xlpm.chp+_xlpm.usp,_xlpm.sub,(_xlpm.sfp*($P206="Submitted"))+(_xlpm.slp*($T206="Submitted"))+(_xlpm.ffp*($X206="Submitted"))+(_xlpm.chp*($AB206="Submitted"))+(_xlpm.usp*($AF206="Submitted")),_xlpm.term,(_xlpm.sfp*OR($P206="Approved",$P206="Declined"))+(_xlpm.slp*OR($T206="Approved",$T206="Declined"))+(_xlpm.ffp*OR($X206="Approved",$X206="Declined"))+(_xlpm.chp*OR($AB206="Approved",$AB206="Declined"))+(_xlpm.usp*OR($AF206="Approved",$AF206="Declined")),IF(_xlpm.n=0,"No applicable lenders",IF(_xlpm.sub&gt;0,"Stays with Shaw - lender still Submitted",IF(_xlpm.term=_xlpm.n,"Clear - all applicable lenders Approved or Declined","Stays with Shaw - not all lenders Approved or Declined")))))</f>
      </c>
    </row>
    <row r="207" spans="80:80">
      <c r="CB207" s="131">
        <f>IF($A207="","",_xlfn.LET(_xlpm.sfp,AND($P207&lt;&gt;"",$P207&lt;&gt;"N/A",$P207&lt;&gt;"No Min RQ"),_xlpm.slp,AND($T207&lt;&gt;"",$T207&lt;&gt;"N/A",$T207&lt;&gt;"No Min RQ"),_xlpm.ffp,AND($X207&lt;&gt;"",$X207&lt;&gt;"N/A",$X207&lt;&gt;"No Min RQ"),_xlpm.chp,AND($AB207&lt;&gt;"",$AB207&lt;&gt;"N/A",$AB207&lt;&gt;"No Min RQ"),_xlpm.usp,AND($AF207&lt;&gt;"",$AF207&lt;&gt;"N/A",$AF207&lt;&gt;"No Min RQ"),_xlpm.n,_xlpm.sfp+_xlpm.slp+_xlpm.ffp+_xlpm.chp+_xlpm.usp,_xlpm.sub,(_xlpm.sfp*($P207="Submitted"))+(_xlpm.slp*($T207="Submitted"))+(_xlpm.ffp*($X207="Submitted"))+(_xlpm.chp*($AB207="Submitted"))+(_xlpm.usp*($AF207="Submitted")),_xlpm.term,(_xlpm.sfp*OR($P207="Approved",$P207="Declined"))+(_xlpm.slp*OR($T207="Approved",$T207="Declined"))+(_xlpm.ffp*OR($X207="Approved",$X207="Declined"))+(_xlpm.chp*OR($AB207="Approved",$AB207="Declined"))+(_xlpm.usp*OR($AF207="Approved",$AF207="Declined")),IF(_xlpm.n=0,"No applicable lenders",IF(_xlpm.sub&gt;0,"Stays with Shaw - lender still Submitted",IF(_xlpm.term=_xlpm.n,"Clear - all applicable lenders Approved or Declined","Stays with Shaw - not all lenders Approved or Declined")))))</f>
      </c>
    </row>
    <row r="208" spans="80:80">
      <c r="CB208" s="131">
        <f>IF($A208="","",_xlfn.LET(_xlpm.sfp,AND($P208&lt;&gt;"",$P208&lt;&gt;"N/A",$P208&lt;&gt;"No Min RQ"),_xlpm.slp,AND($T208&lt;&gt;"",$T208&lt;&gt;"N/A",$T208&lt;&gt;"No Min RQ"),_xlpm.ffp,AND($X208&lt;&gt;"",$X208&lt;&gt;"N/A",$X208&lt;&gt;"No Min RQ"),_xlpm.chp,AND($AB208&lt;&gt;"",$AB208&lt;&gt;"N/A",$AB208&lt;&gt;"No Min RQ"),_xlpm.usp,AND($AF208&lt;&gt;"",$AF208&lt;&gt;"N/A",$AF208&lt;&gt;"No Min RQ"),_xlpm.n,_xlpm.sfp+_xlpm.slp+_xlpm.ffp+_xlpm.chp+_xlpm.usp,_xlpm.sub,(_xlpm.sfp*($P208="Submitted"))+(_xlpm.slp*($T208="Submitted"))+(_xlpm.ffp*($X208="Submitted"))+(_xlpm.chp*($AB208="Submitted"))+(_xlpm.usp*($AF208="Submitted")),_xlpm.term,(_xlpm.sfp*OR($P208="Approved",$P208="Declined"))+(_xlpm.slp*OR($T208="Approved",$T208="Declined"))+(_xlpm.ffp*OR($X208="Approved",$X208="Declined"))+(_xlpm.chp*OR($AB208="Approved",$AB208="Declined"))+(_xlpm.usp*OR($AF208="Approved",$AF208="Declined")),IF(_xlpm.n=0,"No applicable lenders",IF(_xlpm.sub&gt;0,"Stays with Shaw - lender still Submitted",IF(_xlpm.term=_xlpm.n,"Clear - all applicable lenders Approved or Declined","Stays with Shaw - not all lenders Approved or Declined")))))</f>
      </c>
    </row>
    <row r="209" spans="80:80">
      <c r="CB209" s="131">
        <f>IF($A209="","",_xlfn.LET(_xlpm.sfp,AND($P209&lt;&gt;"",$P209&lt;&gt;"N/A",$P209&lt;&gt;"No Min RQ"),_xlpm.slp,AND($T209&lt;&gt;"",$T209&lt;&gt;"N/A",$T209&lt;&gt;"No Min RQ"),_xlpm.ffp,AND($X209&lt;&gt;"",$X209&lt;&gt;"N/A",$X209&lt;&gt;"No Min RQ"),_xlpm.chp,AND($AB209&lt;&gt;"",$AB209&lt;&gt;"N/A",$AB209&lt;&gt;"No Min RQ"),_xlpm.usp,AND($AF209&lt;&gt;"",$AF209&lt;&gt;"N/A",$AF209&lt;&gt;"No Min RQ"),_xlpm.n,_xlpm.sfp+_xlpm.slp+_xlpm.ffp+_xlpm.chp+_xlpm.usp,_xlpm.sub,(_xlpm.sfp*($P209="Submitted"))+(_xlpm.slp*($T209="Submitted"))+(_xlpm.ffp*($X209="Submitted"))+(_xlpm.chp*($AB209="Submitted"))+(_xlpm.usp*($AF209="Submitted")),_xlpm.term,(_xlpm.sfp*OR($P209="Approved",$P209="Declined"))+(_xlpm.slp*OR($T209="Approved",$T209="Declined"))+(_xlpm.ffp*OR($X209="Approved",$X209="Declined"))+(_xlpm.chp*OR($AB209="Approved",$AB209="Declined"))+(_xlpm.usp*OR($AF209="Approved",$AF209="Declined")),IF(_xlpm.n=0,"No applicable lenders",IF(_xlpm.sub&gt;0,"Stays with Shaw - lender still Submitted",IF(_xlpm.term=_xlpm.n,"Clear - all applicable lenders Approved or Declined","Stays with Shaw - not all lenders Approved or Declined")))))</f>
      </c>
    </row>
    <row r="210" spans="80:80">
      <c r="CB210" s="131">
        <f>IF($A210="","",_xlfn.LET(_xlpm.sfp,AND($P210&lt;&gt;"",$P210&lt;&gt;"N/A",$P210&lt;&gt;"No Min RQ"),_xlpm.slp,AND($T210&lt;&gt;"",$T210&lt;&gt;"N/A",$T210&lt;&gt;"No Min RQ"),_xlpm.ffp,AND($X210&lt;&gt;"",$X210&lt;&gt;"N/A",$X210&lt;&gt;"No Min RQ"),_xlpm.chp,AND($AB210&lt;&gt;"",$AB210&lt;&gt;"N/A",$AB210&lt;&gt;"No Min RQ"),_xlpm.usp,AND($AF210&lt;&gt;"",$AF210&lt;&gt;"N/A",$AF210&lt;&gt;"No Min RQ"),_xlpm.n,_xlpm.sfp+_xlpm.slp+_xlpm.ffp+_xlpm.chp+_xlpm.usp,_xlpm.sub,(_xlpm.sfp*($P210="Submitted"))+(_xlpm.slp*($T210="Submitted"))+(_xlpm.ffp*($X210="Submitted"))+(_xlpm.chp*($AB210="Submitted"))+(_xlpm.usp*($AF210="Submitted")),_xlpm.term,(_xlpm.sfp*OR($P210="Approved",$P210="Declined"))+(_xlpm.slp*OR($T210="Approved",$T210="Declined"))+(_xlpm.ffp*OR($X210="Approved",$X210="Declined"))+(_xlpm.chp*OR($AB210="Approved",$AB210="Declined"))+(_xlpm.usp*OR($AF210="Approved",$AF210="Declined")),IF(_xlpm.n=0,"No applicable lenders",IF(_xlpm.sub&gt;0,"Stays with Shaw - lender still Submitted",IF(_xlpm.term=_xlpm.n,"Clear - all applicable lenders Approved or Declined","Stays with Shaw - not all lenders Approved or Declined")))))</f>
      </c>
    </row>
    <row r="211" spans="80:80">
      <c r="CB211" s="131">
        <f>IF($A211="","",_xlfn.LET(_xlpm.sfp,AND($P211&lt;&gt;"",$P211&lt;&gt;"N/A",$P211&lt;&gt;"No Min RQ"),_xlpm.slp,AND($T211&lt;&gt;"",$T211&lt;&gt;"N/A",$T211&lt;&gt;"No Min RQ"),_xlpm.ffp,AND($X211&lt;&gt;"",$X211&lt;&gt;"N/A",$X211&lt;&gt;"No Min RQ"),_xlpm.chp,AND($AB211&lt;&gt;"",$AB211&lt;&gt;"N/A",$AB211&lt;&gt;"No Min RQ"),_xlpm.usp,AND($AF211&lt;&gt;"",$AF211&lt;&gt;"N/A",$AF211&lt;&gt;"No Min RQ"),_xlpm.n,_xlpm.sfp+_xlpm.slp+_xlpm.ffp+_xlpm.chp+_xlpm.usp,_xlpm.sub,(_xlpm.sfp*($P211="Submitted"))+(_xlpm.slp*($T211="Submitted"))+(_xlpm.ffp*($X211="Submitted"))+(_xlpm.chp*($AB211="Submitted"))+(_xlpm.usp*($AF211="Submitted")),_xlpm.term,(_xlpm.sfp*OR($P211="Approved",$P211="Declined"))+(_xlpm.slp*OR($T211="Approved",$T211="Declined"))+(_xlpm.ffp*OR($X211="Approved",$X211="Declined"))+(_xlpm.chp*OR($AB211="Approved",$AB211="Declined"))+(_xlpm.usp*OR($AF211="Approved",$AF211="Declined")),IF(_xlpm.n=0,"No applicable lenders",IF(_xlpm.sub&gt;0,"Stays with Shaw - lender still Submitted",IF(_xlpm.term=_xlpm.n,"Clear - all applicable lenders Approved or Declined","Stays with Shaw - not all lenders Approved or Declined")))))</f>
      </c>
    </row>
    <row r="212" spans="80:80">
      <c r="CB212" s="131">
        <f>IF($A212="","",_xlfn.LET(_xlpm.sfp,AND($P212&lt;&gt;"",$P212&lt;&gt;"N/A",$P212&lt;&gt;"No Min RQ"),_xlpm.slp,AND($T212&lt;&gt;"",$T212&lt;&gt;"N/A",$T212&lt;&gt;"No Min RQ"),_xlpm.ffp,AND($X212&lt;&gt;"",$X212&lt;&gt;"N/A",$X212&lt;&gt;"No Min RQ"),_xlpm.chp,AND($AB212&lt;&gt;"",$AB212&lt;&gt;"N/A",$AB212&lt;&gt;"No Min RQ"),_xlpm.usp,AND($AF212&lt;&gt;"",$AF212&lt;&gt;"N/A",$AF212&lt;&gt;"No Min RQ"),_xlpm.n,_xlpm.sfp+_xlpm.slp+_xlpm.ffp+_xlpm.chp+_xlpm.usp,_xlpm.sub,(_xlpm.sfp*($P212="Submitted"))+(_xlpm.slp*($T212="Submitted"))+(_xlpm.ffp*($X212="Submitted"))+(_xlpm.chp*($AB212="Submitted"))+(_xlpm.usp*($AF212="Submitted")),_xlpm.term,(_xlpm.sfp*OR($P212="Approved",$P212="Declined"))+(_xlpm.slp*OR($T212="Approved",$T212="Declined"))+(_xlpm.ffp*OR($X212="Approved",$X212="Declined"))+(_xlpm.chp*OR($AB212="Approved",$AB212="Declined"))+(_xlpm.usp*OR($AF212="Approved",$AF212="Declined")),IF(_xlpm.n=0,"No applicable lenders",IF(_xlpm.sub&gt;0,"Stays with Shaw - lender still Submitted",IF(_xlpm.term=_xlpm.n,"Clear - all applicable lenders Approved or Declined","Stays with Shaw - not all lenders Approved or Declined")))))</f>
      </c>
    </row>
    <row r="213" spans="80:80">
      <c r="CB213" s="131">
        <f>IF($A213="","",_xlfn.LET(_xlpm.sfp,AND($P213&lt;&gt;"",$P213&lt;&gt;"N/A",$P213&lt;&gt;"No Min RQ"),_xlpm.slp,AND($T213&lt;&gt;"",$T213&lt;&gt;"N/A",$T213&lt;&gt;"No Min RQ"),_xlpm.ffp,AND($X213&lt;&gt;"",$X213&lt;&gt;"N/A",$X213&lt;&gt;"No Min RQ"),_xlpm.chp,AND($AB213&lt;&gt;"",$AB213&lt;&gt;"N/A",$AB213&lt;&gt;"No Min RQ"),_xlpm.usp,AND($AF213&lt;&gt;"",$AF213&lt;&gt;"N/A",$AF213&lt;&gt;"No Min RQ"),_xlpm.n,_xlpm.sfp+_xlpm.slp+_xlpm.ffp+_xlpm.chp+_xlpm.usp,_xlpm.sub,(_xlpm.sfp*($P213="Submitted"))+(_xlpm.slp*($T213="Submitted"))+(_xlpm.ffp*($X213="Submitted"))+(_xlpm.chp*($AB213="Submitted"))+(_xlpm.usp*($AF213="Submitted")),_xlpm.term,(_xlpm.sfp*OR($P213="Approved",$P213="Declined"))+(_xlpm.slp*OR($T213="Approved",$T213="Declined"))+(_xlpm.ffp*OR($X213="Approved",$X213="Declined"))+(_xlpm.chp*OR($AB213="Approved",$AB213="Declined"))+(_xlpm.usp*OR($AF213="Approved",$AF213="Declined")),IF(_xlpm.n=0,"No applicable lenders",IF(_xlpm.sub&gt;0,"Stays with Shaw - lender still Submitted",IF(_xlpm.term=_xlpm.n,"Clear - all applicable lenders Approved or Declined","Stays with Shaw - not all lenders Approved or Declined")))))</f>
      </c>
    </row>
    <row r="214" spans="80:80">
      <c r="CB214" s="131">
        <f>IF($A214="","",_xlfn.LET(_xlpm.sfp,AND($P214&lt;&gt;"",$P214&lt;&gt;"N/A",$P214&lt;&gt;"No Min RQ"),_xlpm.slp,AND($T214&lt;&gt;"",$T214&lt;&gt;"N/A",$T214&lt;&gt;"No Min RQ"),_xlpm.ffp,AND($X214&lt;&gt;"",$X214&lt;&gt;"N/A",$X214&lt;&gt;"No Min RQ"),_xlpm.chp,AND($AB214&lt;&gt;"",$AB214&lt;&gt;"N/A",$AB214&lt;&gt;"No Min RQ"),_xlpm.usp,AND($AF214&lt;&gt;"",$AF214&lt;&gt;"N/A",$AF214&lt;&gt;"No Min RQ"),_xlpm.n,_xlpm.sfp+_xlpm.slp+_xlpm.ffp+_xlpm.chp+_xlpm.usp,_xlpm.sub,(_xlpm.sfp*($P214="Submitted"))+(_xlpm.slp*($T214="Submitted"))+(_xlpm.ffp*($X214="Submitted"))+(_xlpm.chp*($AB214="Submitted"))+(_xlpm.usp*($AF214="Submitted")),_xlpm.term,(_xlpm.sfp*OR($P214="Approved",$P214="Declined"))+(_xlpm.slp*OR($T214="Approved",$T214="Declined"))+(_xlpm.ffp*OR($X214="Approved",$X214="Declined"))+(_xlpm.chp*OR($AB214="Approved",$AB214="Declined"))+(_xlpm.usp*OR($AF214="Approved",$AF214="Declined")),IF(_xlpm.n=0,"No applicable lenders",IF(_xlpm.sub&gt;0,"Stays with Shaw - lender still Submitted",IF(_xlpm.term=_xlpm.n,"Clear - all applicable lenders Approved or Declined","Stays with Shaw - not all lenders Approved or Declined")))))</f>
      </c>
    </row>
    <row r="215" spans="80:80">
      <c r="CB215" s="131">
        <f>IF($A215="","",_xlfn.LET(_xlpm.sfp,AND($P215&lt;&gt;"",$P215&lt;&gt;"N/A",$P215&lt;&gt;"No Min RQ"),_xlpm.slp,AND($T215&lt;&gt;"",$T215&lt;&gt;"N/A",$T215&lt;&gt;"No Min RQ"),_xlpm.ffp,AND($X215&lt;&gt;"",$X215&lt;&gt;"N/A",$X215&lt;&gt;"No Min RQ"),_xlpm.chp,AND($AB215&lt;&gt;"",$AB215&lt;&gt;"N/A",$AB215&lt;&gt;"No Min RQ"),_xlpm.usp,AND($AF215&lt;&gt;"",$AF215&lt;&gt;"N/A",$AF215&lt;&gt;"No Min RQ"),_xlpm.n,_xlpm.sfp+_xlpm.slp+_xlpm.ffp+_xlpm.chp+_xlpm.usp,_xlpm.sub,(_xlpm.sfp*($P215="Submitted"))+(_xlpm.slp*($T215="Submitted"))+(_xlpm.ffp*($X215="Submitted"))+(_xlpm.chp*($AB215="Submitted"))+(_xlpm.usp*($AF215="Submitted")),_xlpm.term,(_xlpm.sfp*OR($P215="Approved",$P215="Declined"))+(_xlpm.slp*OR($T215="Approved",$T215="Declined"))+(_xlpm.ffp*OR($X215="Approved",$X215="Declined"))+(_xlpm.chp*OR($AB215="Approved",$AB215="Declined"))+(_xlpm.usp*OR($AF215="Approved",$AF215="Declined")),IF(_xlpm.n=0,"No applicable lenders",IF(_xlpm.sub&gt;0,"Stays with Shaw - lender still Submitted",IF(_xlpm.term=_xlpm.n,"Clear - all applicable lenders Approved or Declined","Stays with Shaw - not all lenders Approved or Declined")))))</f>
      </c>
    </row>
    <row r="216" spans="80:80">
      <c r="CB216" s="131">
        <f>IF($A216="","",_xlfn.LET(_xlpm.sfp,AND($P216&lt;&gt;"",$P216&lt;&gt;"N/A",$P216&lt;&gt;"No Min RQ"),_xlpm.slp,AND($T216&lt;&gt;"",$T216&lt;&gt;"N/A",$T216&lt;&gt;"No Min RQ"),_xlpm.ffp,AND($X216&lt;&gt;"",$X216&lt;&gt;"N/A",$X216&lt;&gt;"No Min RQ"),_xlpm.chp,AND($AB216&lt;&gt;"",$AB216&lt;&gt;"N/A",$AB216&lt;&gt;"No Min RQ"),_xlpm.usp,AND($AF216&lt;&gt;"",$AF216&lt;&gt;"N/A",$AF216&lt;&gt;"No Min RQ"),_xlpm.n,_xlpm.sfp+_xlpm.slp+_xlpm.ffp+_xlpm.chp+_xlpm.usp,_xlpm.sub,(_xlpm.sfp*($P216="Submitted"))+(_xlpm.slp*($T216="Submitted"))+(_xlpm.ffp*($X216="Submitted"))+(_xlpm.chp*($AB216="Submitted"))+(_xlpm.usp*($AF216="Submitted")),_xlpm.term,(_xlpm.sfp*OR($P216="Approved",$P216="Declined"))+(_xlpm.slp*OR($T216="Approved",$T216="Declined"))+(_xlpm.ffp*OR($X216="Approved",$X216="Declined"))+(_xlpm.chp*OR($AB216="Approved",$AB216="Declined"))+(_xlpm.usp*OR($AF216="Approved",$AF216="Declined")),IF(_xlpm.n=0,"No applicable lenders",IF(_xlpm.sub&gt;0,"Stays with Shaw - lender still Submitted",IF(_xlpm.term=_xlpm.n,"Clear - all applicable lenders Approved or Declined","Stays with Shaw - not all lenders Approved or Declined")))))</f>
      </c>
    </row>
    <row r="217" spans="80:80">
      <c r="CB217" s="131">
        <f>IF($A217="","",_xlfn.LET(_xlpm.sfp,AND($P217&lt;&gt;"",$P217&lt;&gt;"N/A",$P217&lt;&gt;"No Min RQ"),_xlpm.slp,AND($T217&lt;&gt;"",$T217&lt;&gt;"N/A",$T217&lt;&gt;"No Min RQ"),_xlpm.ffp,AND($X217&lt;&gt;"",$X217&lt;&gt;"N/A",$X217&lt;&gt;"No Min RQ"),_xlpm.chp,AND($AB217&lt;&gt;"",$AB217&lt;&gt;"N/A",$AB217&lt;&gt;"No Min RQ"),_xlpm.usp,AND($AF217&lt;&gt;"",$AF217&lt;&gt;"N/A",$AF217&lt;&gt;"No Min RQ"),_xlpm.n,_xlpm.sfp+_xlpm.slp+_xlpm.ffp+_xlpm.chp+_xlpm.usp,_xlpm.sub,(_xlpm.sfp*($P217="Submitted"))+(_xlpm.slp*($T217="Submitted"))+(_xlpm.ffp*($X217="Submitted"))+(_xlpm.chp*($AB217="Submitted"))+(_xlpm.usp*($AF217="Submitted")),_xlpm.term,(_xlpm.sfp*OR($P217="Approved",$P217="Declined"))+(_xlpm.slp*OR($T217="Approved",$T217="Declined"))+(_xlpm.ffp*OR($X217="Approved",$X217="Declined"))+(_xlpm.chp*OR($AB217="Approved",$AB217="Declined"))+(_xlpm.usp*OR($AF217="Approved",$AF217="Declined")),IF(_xlpm.n=0,"No applicable lenders",IF(_xlpm.sub&gt;0,"Stays with Shaw - lender still Submitted",IF(_xlpm.term=_xlpm.n,"Clear - all applicable lenders Approved or Declined","Stays with Shaw - not all lenders Approved or Declined")))))</f>
      </c>
    </row>
    <row r="218" spans="80:80">
      <c r="CB218" s="131">
        <f>IF($A218="","",_xlfn.LET(_xlpm.sfp,AND($P218&lt;&gt;"",$P218&lt;&gt;"N/A",$P218&lt;&gt;"No Min RQ"),_xlpm.slp,AND($T218&lt;&gt;"",$T218&lt;&gt;"N/A",$T218&lt;&gt;"No Min RQ"),_xlpm.ffp,AND($X218&lt;&gt;"",$X218&lt;&gt;"N/A",$X218&lt;&gt;"No Min RQ"),_xlpm.chp,AND($AB218&lt;&gt;"",$AB218&lt;&gt;"N/A",$AB218&lt;&gt;"No Min RQ"),_xlpm.usp,AND($AF218&lt;&gt;"",$AF218&lt;&gt;"N/A",$AF218&lt;&gt;"No Min RQ"),_xlpm.n,_xlpm.sfp+_xlpm.slp+_xlpm.ffp+_xlpm.chp+_xlpm.usp,_xlpm.sub,(_xlpm.sfp*($P218="Submitted"))+(_xlpm.slp*($T218="Submitted"))+(_xlpm.ffp*($X218="Submitted"))+(_xlpm.chp*($AB218="Submitted"))+(_xlpm.usp*($AF218="Submitted")),_xlpm.term,(_xlpm.sfp*OR($P218="Approved",$P218="Declined"))+(_xlpm.slp*OR($T218="Approved",$T218="Declined"))+(_xlpm.ffp*OR($X218="Approved",$X218="Declined"))+(_xlpm.chp*OR($AB218="Approved",$AB218="Declined"))+(_xlpm.usp*OR($AF218="Approved",$AF218="Declined")),IF(_xlpm.n=0,"No applicable lenders",IF(_xlpm.sub&gt;0,"Stays with Shaw - lender still Submitted",IF(_xlpm.term=_xlpm.n,"Clear - all applicable lenders Approved or Declined","Stays with Shaw - not all lenders Approved or Declined")))))</f>
      </c>
    </row>
    <row r="219" spans="80:80">
      <c r="CB219" s="131">
        <f>IF($A219="","",_xlfn.LET(_xlpm.sfp,AND($P219&lt;&gt;"",$P219&lt;&gt;"N/A",$P219&lt;&gt;"No Min RQ"),_xlpm.slp,AND($T219&lt;&gt;"",$T219&lt;&gt;"N/A",$T219&lt;&gt;"No Min RQ"),_xlpm.ffp,AND($X219&lt;&gt;"",$X219&lt;&gt;"N/A",$X219&lt;&gt;"No Min RQ"),_xlpm.chp,AND($AB219&lt;&gt;"",$AB219&lt;&gt;"N/A",$AB219&lt;&gt;"No Min RQ"),_xlpm.usp,AND($AF219&lt;&gt;"",$AF219&lt;&gt;"N/A",$AF219&lt;&gt;"No Min RQ"),_xlpm.n,_xlpm.sfp+_xlpm.slp+_xlpm.ffp+_xlpm.chp+_xlpm.usp,_xlpm.sub,(_xlpm.sfp*($P219="Submitted"))+(_xlpm.slp*($T219="Submitted"))+(_xlpm.ffp*($X219="Submitted"))+(_xlpm.chp*($AB219="Submitted"))+(_xlpm.usp*($AF219="Submitted")),_xlpm.term,(_xlpm.sfp*OR($P219="Approved",$P219="Declined"))+(_xlpm.slp*OR($T219="Approved",$T219="Declined"))+(_xlpm.ffp*OR($X219="Approved",$X219="Declined"))+(_xlpm.chp*OR($AB219="Approved",$AB219="Declined"))+(_xlpm.usp*OR($AF219="Approved",$AF219="Declined")),IF(_xlpm.n=0,"No applicable lenders",IF(_xlpm.sub&gt;0,"Stays with Shaw - lender still Submitted",IF(_xlpm.term=_xlpm.n,"Clear - all applicable lenders Approved or Declined","Stays with Shaw - not all lenders Approved or Declined")))))</f>
      </c>
    </row>
    <row r="220" spans="80:80">
      <c r="CB220" s="131">
        <f>IF($A220="","",_xlfn.LET(_xlpm.sfp,AND($P220&lt;&gt;"",$P220&lt;&gt;"N/A",$P220&lt;&gt;"No Min RQ"),_xlpm.slp,AND($T220&lt;&gt;"",$T220&lt;&gt;"N/A",$T220&lt;&gt;"No Min RQ"),_xlpm.ffp,AND($X220&lt;&gt;"",$X220&lt;&gt;"N/A",$X220&lt;&gt;"No Min RQ"),_xlpm.chp,AND($AB220&lt;&gt;"",$AB220&lt;&gt;"N/A",$AB220&lt;&gt;"No Min RQ"),_xlpm.usp,AND($AF220&lt;&gt;"",$AF220&lt;&gt;"N/A",$AF220&lt;&gt;"No Min RQ"),_xlpm.n,_xlpm.sfp+_xlpm.slp+_xlpm.ffp+_xlpm.chp+_xlpm.usp,_xlpm.sub,(_xlpm.sfp*($P220="Submitted"))+(_xlpm.slp*($T220="Submitted"))+(_xlpm.ffp*($X220="Submitted"))+(_xlpm.chp*($AB220="Submitted"))+(_xlpm.usp*($AF220="Submitted")),_xlpm.term,(_xlpm.sfp*OR($P220="Approved",$P220="Declined"))+(_xlpm.slp*OR($T220="Approved",$T220="Declined"))+(_xlpm.ffp*OR($X220="Approved",$X220="Declined"))+(_xlpm.chp*OR($AB220="Approved",$AB220="Declined"))+(_xlpm.usp*OR($AF220="Approved",$AF220="Declined")),IF(_xlpm.n=0,"No applicable lenders",IF(_xlpm.sub&gt;0,"Stays with Shaw - lender still Submitted",IF(_xlpm.term=_xlpm.n,"Clear - all applicable lenders Approved or Declined","Stays with Shaw - not all lenders Approved or Declined")))))</f>
      </c>
    </row>
    <row r="221" spans="80:80">
      <c r="CB221" s="131">
        <f>IF($A221="","",_xlfn.LET(_xlpm.sfp,AND($P221&lt;&gt;"",$P221&lt;&gt;"N/A",$P221&lt;&gt;"No Min RQ"),_xlpm.slp,AND($T221&lt;&gt;"",$T221&lt;&gt;"N/A",$T221&lt;&gt;"No Min RQ"),_xlpm.ffp,AND($X221&lt;&gt;"",$X221&lt;&gt;"N/A",$X221&lt;&gt;"No Min RQ"),_xlpm.chp,AND($AB221&lt;&gt;"",$AB221&lt;&gt;"N/A",$AB221&lt;&gt;"No Min RQ"),_xlpm.usp,AND($AF221&lt;&gt;"",$AF221&lt;&gt;"N/A",$AF221&lt;&gt;"No Min RQ"),_xlpm.n,_xlpm.sfp+_xlpm.slp+_xlpm.ffp+_xlpm.chp+_xlpm.usp,_xlpm.sub,(_xlpm.sfp*($P221="Submitted"))+(_xlpm.slp*($T221="Submitted"))+(_xlpm.ffp*($X221="Submitted"))+(_xlpm.chp*($AB221="Submitted"))+(_xlpm.usp*($AF221="Submitted")),_xlpm.term,(_xlpm.sfp*OR($P221="Approved",$P221="Declined"))+(_xlpm.slp*OR($T221="Approved",$T221="Declined"))+(_xlpm.ffp*OR($X221="Approved",$X221="Declined"))+(_xlpm.chp*OR($AB221="Approved",$AB221="Declined"))+(_xlpm.usp*OR($AF221="Approved",$AF221="Declined")),IF(_xlpm.n=0,"No applicable lenders",IF(_xlpm.sub&gt;0,"Stays with Shaw - lender still Submitted",IF(_xlpm.term=_xlpm.n,"Clear - all applicable lenders Approved or Declined","Stays with Shaw - not all lenders Approved or Declined")))))</f>
      </c>
    </row>
    <row r="222" spans="80:80">
      <c r="CB222" s="131">
        <f>IF($A222="","",_xlfn.LET(_xlpm.sfp,AND($P222&lt;&gt;"",$P222&lt;&gt;"N/A",$P222&lt;&gt;"No Min RQ"),_xlpm.slp,AND($T222&lt;&gt;"",$T222&lt;&gt;"N/A",$T222&lt;&gt;"No Min RQ"),_xlpm.ffp,AND($X222&lt;&gt;"",$X222&lt;&gt;"N/A",$X222&lt;&gt;"No Min RQ"),_xlpm.chp,AND($AB222&lt;&gt;"",$AB222&lt;&gt;"N/A",$AB222&lt;&gt;"No Min RQ"),_xlpm.usp,AND($AF222&lt;&gt;"",$AF222&lt;&gt;"N/A",$AF222&lt;&gt;"No Min RQ"),_xlpm.n,_xlpm.sfp+_xlpm.slp+_xlpm.ffp+_xlpm.chp+_xlpm.usp,_xlpm.sub,(_xlpm.sfp*($P222="Submitted"))+(_xlpm.slp*($T222="Submitted"))+(_xlpm.ffp*($X222="Submitted"))+(_xlpm.chp*($AB222="Submitted"))+(_xlpm.usp*($AF222="Submitted")),_xlpm.term,(_xlpm.sfp*OR($P222="Approved",$P222="Declined"))+(_xlpm.slp*OR($T222="Approved",$T222="Declined"))+(_xlpm.ffp*OR($X222="Approved",$X222="Declined"))+(_xlpm.chp*OR($AB222="Approved",$AB222="Declined"))+(_xlpm.usp*OR($AF222="Approved",$AF222="Declined")),IF(_xlpm.n=0,"No applicable lenders",IF(_xlpm.sub&gt;0,"Stays with Shaw - lender still Submitted",IF(_xlpm.term=_xlpm.n,"Clear - all applicable lenders Approved or Declined","Stays with Shaw - not all lenders Approved or Declined")))))</f>
      </c>
    </row>
    <row r="223" spans="80:80">
      <c r="CB223" s="131">
        <f>IF($A223="","",_xlfn.LET(_xlpm.sfp,AND($P223&lt;&gt;"",$P223&lt;&gt;"N/A",$P223&lt;&gt;"No Min RQ"),_xlpm.slp,AND($T223&lt;&gt;"",$T223&lt;&gt;"N/A",$T223&lt;&gt;"No Min RQ"),_xlpm.ffp,AND($X223&lt;&gt;"",$X223&lt;&gt;"N/A",$X223&lt;&gt;"No Min RQ"),_xlpm.chp,AND($AB223&lt;&gt;"",$AB223&lt;&gt;"N/A",$AB223&lt;&gt;"No Min RQ"),_xlpm.usp,AND($AF223&lt;&gt;"",$AF223&lt;&gt;"N/A",$AF223&lt;&gt;"No Min RQ"),_xlpm.n,_xlpm.sfp+_xlpm.slp+_xlpm.ffp+_xlpm.chp+_xlpm.usp,_xlpm.sub,(_xlpm.sfp*($P223="Submitted"))+(_xlpm.slp*($T223="Submitted"))+(_xlpm.ffp*($X223="Submitted"))+(_xlpm.chp*($AB223="Submitted"))+(_xlpm.usp*($AF223="Submitted")),_xlpm.term,(_xlpm.sfp*OR($P223="Approved",$P223="Declined"))+(_xlpm.slp*OR($T223="Approved",$T223="Declined"))+(_xlpm.ffp*OR($X223="Approved",$X223="Declined"))+(_xlpm.chp*OR($AB223="Approved",$AB223="Declined"))+(_xlpm.usp*OR($AF223="Approved",$AF223="Declined")),IF(_xlpm.n=0,"No applicable lenders",IF(_xlpm.sub&gt;0,"Stays with Shaw - lender still Submitted",IF(_xlpm.term=_xlpm.n,"Clear - all applicable lenders Approved or Declined","Stays with Shaw - not all lenders Approved or Declined")))))</f>
      </c>
    </row>
    <row r="224" spans="80:80">
      <c r="CB224" s="131">
        <f>IF($A224="","",_xlfn.LET(_xlpm.sfp,AND($P224&lt;&gt;"",$P224&lt;&gt;"N/A",$P224&lt;&gt;"No Min RQ"),_xlpm.slp,AND($T224&lt;&gt;"",$T224&lt;&gt;"N/A",$T224&lt;&gt;"No Min RQ"),_xlpm.ffp,AND($X224&lt;&gt;"",$X224&lt;&gt;"N/A",$X224&lt;&gt;"No Min RQ"),_xlpm.chp,AND($AB224&lt;&gt;"",$AB224&lt;&gt;"N/A",$AB224&lt;&gt;"No Min RQ"),_xlpm.usp,AND($AF224&lt;&gt;"",$AF224&lt;&gt;"N/A",$AF224&lt;&gt;"No Min RQ"),_xlpm.n,_xlpm.sfp+_xlpm.slp+_xlpm.ffp+_xlpm.chp+_xlpm.usp,_xlpm.sub,(_xlpm.sfp*($P224="Submitted"))+(_xlpm.slp*($T224="Submitted"))+(_xlpm.ffp*($X224="Submitted"))+(_xlpm.chp*($AB224="Submitted"))+(_xlpm.usp*($AF224="Submitted")),_xlpm.term,(_xlpm.sfp*OR($P224="Approved",$P224="Declined"))+(_xlpm.slp*OR($T224="Approved",$T224="Declined"))+(_xlpm.ffp*OR($X224="Approved",$X224="Declined"))+(_xlpm.chp*OR($AB224="Approved",$AB224="Declined"))+(_xlpm.usp*OR($AF224="Approved",$AF224="Declined")),IF(_xlpm.n=0,"No applicable lenders",IF(_xlpm.sub&gt;0,"Stays with Shaw - lender still Submitted",IF(_xlpm.term=_xlpm.n,"Clear - all applicable lenders Approved or Declined","Stays with Shaw - not all lenders Approved or Declined")))))</f>
      </c>
    </row>
    <row r="225" spans="80:80">
      <c r="CB225" s="131">
        <f>IF($A225="","",_xlfn.LET(_xlpm.sfp,AND($P225&lt;&gt;"",$P225&lt;&gt;"N/A",$P225&lt;&gt;"No Min RQ"),_xlpm.slp,AND($T225&lt;&gt;"",$T225&lt;&gt;"N/A",$T225&lt;&gt;"No Min RQ"),_xlpm.ffp,AND($X225&lt;&gt;"",$X225&lt;&gt;"N/A",$X225&lt;&gt;"No Min RQ"),_xlpm.chp,AND($AB225&lt;&gt;"",$AB225&lt;&gt;"N/A",$AB225&lt;&gt;"No Min RQ"),_xlpm.usp,AND($AF225&lt;&gt;"",$AF225&lt;&gt;"N/A",$AF225&lt;&gt;"No Min RQ"),_xlpm.n,_xlpm.sfp+_xlpm.slp+_xlpm.ffp+_xlpm.chp+_xlpm.usp,_xlpm.sub,(_xlpm.sfp*($P225="Submitted"))+(_xlpm.slp*($T225="Submitted"))+(_xlpm.ffp*($X225="Submitted"))+(_xlpm.chp*($AB225="Submitted"))+(_xlpm.usp*($AF225="Submitted")),_xlpm.term,(_xlpm.sfp*OR($P225="Approved",$P225="Declined"))+(_xlpm.slp*OR($T225="Approved",$T225="Declined"))+(_xlpm.ffp*OR($X225="Approved",$X225="Declined"))+(_xlpm.chp*OR($AB225="Approved",$AB225="Declined"))+(_xlpm.usp*OR($AF225="Approved",$AF225="Declined")),IF(_xlpm.n=0,"No applicable lenders",IF(_xlpm.sub&gt;0,"Stays with Shaw - lender still Submitted",IF(_xlpm.term=_xlpm.n,"Clear - all applicable lenders Approved or Declined","Stays with Shaw - not all lenders Approved or Declined")))))</f>
      </c>
    </row>
    <row r="226" spans="80:80">
      <c r="CB226" s="131">
        <f>IF($A226="","",_xlfn.LET(_xlpm.sfp,AND($P226&lt;&gt;"",$P226&lt;&gt;"N/A",$P226&lt;&gt;"No Min RQ"),_xlpm.slp,AND($T226&lt;&gt;"",$T226&lt;&gt;"N/A",$T226&lt;&gt;"No Min RQ"),_xlpm.ffp,AND($X226&lt;&gt;"",$X226&lt;&gt;"N/A",$X226&lt;&gt;"No Min RQ"),_xlpm.chp,AND($AB226&lt;&gt;"",$AB226&lt;&gt;"N/A",$AB226&lt;&gt;"No Min RQ"),_xlpm.usp,AND($AF226&lt;&gt;"",$AF226&lt;&gt;"N/A",$AF226&lt;&gt;"No Min RQ"),_xlpm.n,_xlpm.sfp+_xlpm.slp+_xlpm.ffp+_xlpm.chp+_xlpm.usp,_xlpm.sub,(_xlpm.sfp*($P226="Submitted"))+(_xlpm.slp*($T226="Submitted"))+(_xlpm.ffp*($X226="Submitted"))+(_xlpm.chp*($AB226="Submitted"))+(_xlpm.usp*($AF226="Submitted")),_xlpm.term,(_xlpm.sfp*OR($P226="Approved",$P226="Declined"))+(_xlpm.slp*OR($T226="Approved",$T226="Declined"))+(_xlpm.ffp*OR($X226="Approved",$X226="Declined"))+(_xlpm.chp*OR($AB226="Approved",$AB226="Declined"))+(_xlpm.usp*OR($AF226="Approved",$AF226="Declined")),IF(_xlpm.n=0,"No applicable lenders",IF(_xlpm.sub&gt;0,"Stays with Shaw - lender still Submitted",IF(_xlpm.term=_xlpm.n,"Clear - all applicable lenders Approved or Declined","Stays with Shaw - not all lenders Approved or Declined")))))</f>
      </c>
    </row>
    <row r="227" spans="80:80">
      <c r="CB227" s="131">
        <f>IF($A227="","",_xlfn.LET(_xlpm.sfp,AND($P227&lt;&gt;"",$P227&lt;&gt;"N/A",$P227&lt;&gt;"No Min RQ"),_xlpm.slp,AND($T227&lt;&gt;"",$T227&lt;&gt;"N/A",$T227&lt;&gt;"No Min RQ"),_xlpm.ffp,AND($X227&lt;&gt;"",$X227&lt;&gt;"N/A",$X227&lt;&gt;"No Min RQ"),_xlpm.chp,AND($AB227&lt;&gt;"",$AB227&lt;&gt;"N/A",$AB227&lt;&gt;"No Min RQ"),_xlpm.usp,AND($AF227&lt;&gt;"",$AF227&lt;&gt;"N/A",$AF227&lt;&gt;"No Min RQ"),_xlpm.n,_xlpm.sfp+_xlpm.slp+_xlpm.ffp+_xlpm.chp+_xlpm.usp,_xlpm.sub,(_xlpm.sfp*($P227="Submitted"))+(_xlpm.slp*($T227="Submitted"))+(_xlpm.ffp*($X227="Submitted"))+(_xlpm.chp*($AB227="Submitted"))+(_xlpm.usp*($AF227="Submitted")),_xlpm.term,(_xlpm.sfp*OR($P227="Approved",$P227="Declined"))+(_xlpm.slp*OR($T227="Approved",$T227="Declined"))+(_xlpm.ffp*OR($X227="Approved",$X227="Declined"))+(_xlpm.chp*OR($AB227="Approved",$AB227="Declined"))+(_xlpm.usp*OR($AF227="Approved",$AF227="Declined")),IF(_xlpm.n=0,"No applicable lenders",IF(_xlpm.sub&gt;0,"Stays with Shaw - lender still Submitted",IF(_xlpm.term=_xlpm.n,"Clear - all applicable lenders Approved or Declined","Stays with Shaw - not all lenders Approved or Declined")))))</f>
      </c>
    </row>
    <row r="228" spans="80:80">
      <c r="CB228" s="131">
        <f>IF($A228="","",_xlfn.LET(_xlpm.sfp,AND($P228&lt;&gt;"",$P228&lt;&gt;"N/A",$P228&lt;&gt;"No Min RQ"),_xlpm.slp,AND($T228&lt;&gt;"",$T228&lt;&gt;"N/A",$T228&lt;&gt;"No Min RQ"),_xlpm.ffp,AND($X228&lt;&gt;"",$X228&lt;&gt;"N/A",$X228&lt;&gt;"No Min RQ"),_xlpm.chp,AND($AB228&lt;&gt;"",$AB228&lt;&gt;"N/A",$AB228&lt;&gt;"No Min RQ"),_xlpm.usp,AND($AF228&lt;&gt;"",$AF228&lt;&gt;"N/A",$AF228&lt;&gt;"No Min RQ"),_xlpm.n,_xlpm.sfp+_xlpm.slp+_xlpm.ffp+_xlpm.chp+_xlpm.usp,_xlpm.sub,(_xlpm.sfp*($P228="Submitted"))+(_xlpm.slp*($T228="Submitted"))+(_xlpm.ffp*($X228="Submitted"))+(_xlpm.chp*($AB228="Submitted"))+(_xlpm.usp*($AF228="Submitted")),_xlpm.term,(_xlpm.sfp*OR($P228="Approved",$P228="Declined"))+(_xlpm.slp*OR($T228="Approved",$T228="Declined"))+(_xlpm.ffp*OR($X228="Approved",$X228="Declined"))+(_xlpm.chp*OR($AB228="Approved",$AB228="Declined"))+(_xlpm.usp*OR($AF228="Approved",$AF228="Declined")),IF(_xlpm.n=0,"No applicable lenders",IF(_xlpm.sub&gt;0,"Stays with Shaw - lender still Submitted",IF(_xlpm.term=_xlpm.n,"Clear - all applicable lenders Approved or Declined","Stays with Shaw - not all lenders Approved or Declined")))))</f>
      </c>
    </row>
    <row r="229" spans="80:80">
      <c r="CB229" s="131">
        <f>IF($A229="","",_xlfn.LET(_xlpm.sfp,AND($P229&lt;&gt;"",$P229&lt;&gt;"N/A",$P229&lt;&gt;"No Min RQ"),_xlpm.slp,AND($T229&lt;&gt;"",$T229&lt;&gt;"N/A",$T229&lt;&gt;"No Min RQ"),_xlpm.ffp,AND($X229&lt;&gt;"",$X229&lt;&gt;"N/A",$X229&lt;&gt;"No Min RQ"),_xlpm.chp,AND($AB229&lt;&gt;"",$AB229&lt;&gt;"N/A",$AB229&lt;&gt;"No Min RQ"),_xlpm.usp,AND($AF229&lt;&gt;"",$AF229&lt;&gt;"N/A",$AF229&lt;&gt;"No Min RQ"),_xlpm.n,_xlpm.sfp+_xlpm.slp+_xlpm.ffp+_xlpm.chp+_xlpm.usp,_xlpm.sub,(_xlpm.sfp*($P229="Submitted"))+(_xlpm.slp*($T229="Submitted"))+(_xlpm.ffp*($X229="Submitted"))+(_xlpm.chp*($AB229="Submitted"))+(_xlpm.usp*($AF229="Submitted")),_xlpm.term,(_xlpm.sfp*OR($P229="Approved",$P229="Declined"))+(_xlpm.slp*OR($T229="Approved",$T229="Declined"))+(_xlpm.ffp*OR($X229="Approved",$X229="Declined"))+(_xlpm.chp*OR($AB229="Approved",$AB229="Declined"))+(_xlpm.usp*OR($AF229="Approved",$AF229="Declined")),IF(_xlpm.n=0,"No applicable lenders",IF(_xlpm.sub&gt;0,"Stays with Shaw - lender still Submitted",IF(_xlpm.term=_xlpm.n,"Clear - all applicable lenders Approved or Declined","Stays with Shaw - not all lenders Approved or Declined")))))</f>
      </c>
    </row>
    <row r="230" spans="80:80">
      <c r="CB230" s="131">
        <f>IF($A230="","",_xlfn.LET(_xlpm.sfp,AND($P230&lt;&gt;"",$P230&lt;&gt;"N/A",$P230&lt;&gt;"No Min RQ"),_xlpm.slp,AND($T230&lt;&gt;"",$T230&lt;&gt;"N/A",$T230&lt;&gt;"No Min RQ"),_xlpm.ffp,AND($X230&lt;&gt;"",$X230&lt;&gt;"N/A",$X230&lt;&gt;"No Min RQ"),_xlpm.chp,AND($AB230&lt;&gt;"",$AB230&lt;&gt;"N/A",$AB230&lt;&gt;"No Min RQ"),_xlpm.usp,AND($AF230&lt;&gt;"",$AF230&lt;&gt;"N/A",$AF230&lt;&gt;"No Min RQ"),_xlpm.n,_xlpm.sfp+_xlpm.slp+_xlpm.ffp+_xlpm.chp+_xlpm.usp,_xlpm.sub,(_xlpm.sfp*($P230="Submitted"))+(_xlpm.slp*($T230="Submitted"))+(_xlpm.ffp*($X230="Submitted"))+(_xlpm.chp*($AB230="Submitted"))+(_xlpm.usp*($AF230="Submitted")),_xlpm.term,(_xlpm.sfp*OR($P230="Approved",$P230="Declined"))+(_xlpm.slp*OR($T230="Approved",$T230="Declined"))+(_xlpm.ffp*OR($X230="Approved",$X230="Declined"))+(_xlpm.chp*OR($AB230="Approved",$AB230="Declined"))+(_xlpm.usp*OR($AF230="Approved",$AF230="Declined")),IF(_xlpm.n=0,"No applicable lenders",IF(_xlpm.sub&gt;0,"Stays with Shaw - lender still Submitted",IF(_xlpm.term=_xlpm.n,"Clear - all applicable lenders Approved or Declined","Stays with Shaw - not all lenders Approved or Declined")))))</f>
      </c>
    </row>
    <row r="231" spans="80:80">
      <c r="CB231" s="131">
        <f>IF($A231="","",_xlfn.LET(_xlpm.sfp,AND($P231&lt;&gt;"",$P231&lt;&gt;"N/A",$P231&lt;&gt;"No Min RQ"),_xlpm.slp,AND($T231&lt;&gt;"",$T231&lt;&gt;"N/A",$T231&lt;&gt;"No Min RQ"),_xlpm.ffp,AND($X231&lt;&gt;"",$X231&lt;&gt;"N/A",$X231&lt;&gt;"No Min RQ"),_xlpm.chp,AND($AB231&lt;&gt;"",$AB231&lt;&gt;"N/A",$AB231&lt;&gt;"No Min RQ"),_xlpm.usp,AND($AF231&lt;&gt;"",$AF231&lt;&gt;"N/A",$AF231&lt;&gt;"No Min RQ"),_xlpm.n,_xlpm.sfp+_xlpm.slp+_xlpm.ffp+_xlpm.chp+_xlpm.usp,_xlpm.sub,(_xlpm.sfp*($P231="Submitted"))+(_xlpm.slp*($T231="Submitted"))+(_xlpm.ffp*($X231="Submitted"))+(_xlpm.chp*($AB231="Submitted"))+(_xlpm.usp*($AF231="Submitted")),_xlpm.term,(_xlpm.sfp*OR($P231="Approved",$P231="Declined"))+(_xlpm.slp*OR($T231="Approved",$T231="Declined"))+(_xlpm.ffp*OR($X231="Approved",$X231="Declined"))+(_xlpm.chp*OR($AB231="Approved",$AB231="Declined"))+(_xlpm.usp*OR($AF231="Approved",$AF231="Declined")),IF(_xlpm.n=0,"No applicable lenders",IF(_xlpm.sub&gt;0,"Stays with Shaw - lender still Submitted",IF(_xlpm.term=_xlpm.n,"Clear - all applicable lenders Approved or Declined","Stays with Shaw - not all lenders Approved or Declined")))))</f>
      </c>
    </row>
    <row r="232" spans="80:80">
      <c r="CB232" s="131">
        <f>IF($A232="","",_xlfn.LET(_xlpm.sfp,AND($P232&lt;&gt;"",$P232&lt;&gt;"N/A",$P232&lt;&gt;"No Min RQ"),_xlpm.slp,AND($T232&lt;&gt;"",$T232&lt;&gt;"N/A",$T232&lt;&gt;"No Min RQ"),_xlpm.ffp,AND($X232&lt;&gt;"",$X232&lt;&gt;"N/A",$X232&lt;&gt;"No Min RQ"),_xlpm.chp,AND($AB232&lt;&gt;"",$AB232&lt;&gt;"N/A",$AB232&lt;&gt;"No Min RQ"),_xlpm.usp,AND($AF232&lt;&gt;"",$AF232&lt;&gt;"N/A",$AF232&lt;&gt;"No Min RQ"),_xlpm.n,_xlpm.sfp+_xlpm.slp+_xlpm.ffp+_xlpm.chp+_xlpm.usp,_xlpm.sub,(_xlpm.sfp*($P232="Submitted"))+(_xlpm.slp*($T232="Submitted"))+(_xlpm.ffp*($X232="Submitted"))+(_xlpm.chp*($AB232="Submitted"))+(_xlpm.usp*($AF232="Submitted")),_xlpm.term,(_xlpm.sfp*OR($P232="Approved",$P232="Declined"))+(_xlpm.slp*OR($T232="Approved",$T232="Declined"))+(_xlpm.ffp*OR($X232="Approved",$X232="Declined"))+(_xlpm.chp*OR($AB232="Approved",$AB232="Declined"))+(_xlpm.usp*OR($AF232="Approved",$AF232="Declined")),IF(_xlpm.n=0,"No applicable lenders",IF(_xlpm.sub&gt;0,"Stays with Shaw - lender still Submitted",IF(_xlpm.term=_xlpm.n,"Clear - all applicable lenders Approved or Declined","Stays with Shaw - not all lenders Approved or Declined")))))</f>
      </c>
    </row>
    <row r="233" spans="80:80">
      <c r="CB233" s="131">
        <f>IF($A233="","",_xlfn.LET(_xlpm.sfp,AND($P233&lt;&gt;"",$P233&lt;&gt;"N/A",$P233&lt;&gt;"No Min RQ"),_xlpm.slp,AND($T233&lt;&gt;"",$T233&lt;&gt;"N/A",$T233&lt;&gt;"No Min RQ"),_xlpm.ffp,AND($X233&lt;&gt;"",$X233&lt;&gt;"N/A",$X233&lt;&gt;"No Min RQ"),_xlpm.chp,AND($AB233&lt;&gt;"",$AB233&lt;&gt;"N/A",$AB233&lt;&gt;"No Min RQ"),_xlpm.usp,AND($AF233&lt;&gt;"",$AF233&lt;&gt;"N/A",$AF233&lt;&gt;"No Min RQ"),_xlpm.n,_xlpm.sfp+_xlpm.slp+_xlpm.ffp+_xlpm.chp+_xlpm.usp,_xlpm.sub,(_xlpm.sfp*($P233="Submitted"))+(_xlpm.slp*($T233="Submitted"))+(_xlpm.ffp*($X233="Submitted"))+(_xlpm.chp*($AB233="Submitted"))+(_xlpm.usp*($AF233="Submitted")),_xlpm.term,(_xlpm.sfp*OR($P233="Approved",$P233="Declined"))+(_xlpm.slp*OR($T233="Approved",$T233="Declined"))+(_xlpm.ffp*OR($X233="Approved",$X233="Declined"))+(_xlpm.chp*OR($AB233="Approved",$AB233="Declined"))+(_xlpm.usp*OR($AF233="Approved",$AF233="Declined")),IF(_xlpm.n=0,"No applicable lenders",IF(_xlpm.sub&gt;0,"Stays with Shaw - lender still Submitted",IF(_xlpm.term=_xlpm.n,"Clear - all applicable lenders Approved or Declined","Stays with Shaw - not all lenders Approved or Declined")))))</f>
      </c>
    </row>
    <row r="234" spans="80:80">
      <c r="CB234" s="131">
        <f>IF($A234="","",_xlfn.LET(_xlpm.sfp,AND($P234&lt;&gt;"",$P234&lt;&gt;"N/A",$P234&lt;&gt;"No Min RQ"),_xlpm.slp,AND($T234&lt;&gt;"",$T234&lt;&gt;"N/A",$T234&lt;&gt;"No Min RQ"),_xlpm.ffp,AND($X234&lt;&gt;"",$X234&lt;&gt;"N/A",$X234&lt;&gt;"No Min RQ"),_xlpm.chp,AND($AB234&lt;&gt;"",$AB234&lt;&gt;"N/A",$AB234&lt;&gt;"No Min RQ"),_xlpm.usp,AND($AF234&lt;&gt;"",$AF234&lt;&gt;"N/A",$AF234&lt;&gt;"No Min RQ"),_xlpm.n,_xlpm.sfp+_xlpm.slp+_xlpm.ffp+_xlpm.chp+_xlpm.usp,_xlpm.sub,(_xlpm.sfp*($P234="Submitted"))+(_xlpm.slp*($T234="Submitted"))+(_xlpm.ffp*($X234="Submitted"))+(_xlpm.chp*($AB234="Submitted"))+(_xlpm.usp*($AF234="Submitted")),_xlpm.term,(_xlpm.sfp*OR($P234="Approved",$P234="Declined"))+(_xlpm.slp*OR($T234="Approved",$T234="Declined"))+(_xlpm.ffp*OR($X234="Approved",$X234="Declined"))+(_xlpm.chp*OR($AB234="Approved",$AB234="Declined"))+(_xlpm.usp*OR($AF234="Approved",$AF234="Declined")),IF(_xlpm.n=0,"No applicable lenders",IF(_xlpm.sub&gt;0,"Stays with Shaw - lender still Submitted",IF(_xlpm.term=_xlpm.n,"Clear - all applicable lenders Approved or Declined","Stays with Shaw - not all lenders Approved or Declined")))))</f>
      </c>
    </row>
    <row r="235" spans="80:80">
      <c r="CB235" s="131">
        <f>IF($A235="","",_xlfn.LET(_xlpm.sfp,AND($P235&lt;&gt;"",$P235&lt;&gt;"N/A",$P235&lt;&gt;"No Min RQ"),_xlpm.slp,AND($T235&lt;&gt;"",$T235&lt;&gt;"N/A",$T235&lt;&gt;"No Min RQ"),_xlpm.ffp,AND($X235&lt;&gt;"",$X235&lt;&gt;"N/A",$X235&lt;&gt;"No Min RQ"),_xlpm.chp,AND($AB235&lt;&gt;"",$AB235&lt;&gt;"N/A",$AB235&lt;&gt;"No Min RQ"),_xlpm.usp,AND($AF235&lt;&gt;"",$AF235&lt;&gt;"N/A",$AF235&lt;&gt;"No Min RQ"),_xlpm.n,_xlpm.sfp+_xlpm.slp+_xlpm.ffp+_xlpm.chp+_xlpm.usp,_xlpm.sub,(_xlpm.sfp*($P235="Submitted"))+(_xlpm.slp*($T235="Submitted"))+(_xlpm.ffp*($X235="Submitted"))+(_xlpm.chp*($AB235="Submitted"))+(_xlpm.usp*($AF235="Submitted")),_xlpm.term,(_xlpm.sfp*OR($P235="Approved",$P235="Declined"))+(_xlpm.slp*OR($T235="Approved",$T235="Declined"))+(_xlpm.ffp*OR($X235="Approved",$X235="Declined"))+(_xlpm.chp*OR($AB235="Approved",$AB235="Declined"))+(_xlpm.usp*OR($AF235="Approved",$AF235="Declined")),IF(_xlpm.n=0,"No applicable lenders",IF(_xlpm.sub&gt;0,"Stays with Shaw - lender still Submitted",IF(_xlpm.term=_xlpm.n,"Clear - all applicable lenders Approved or Declined","Stays with Shaw - not all lenders Approved or Declined")))))</f>
      </c>
    </row>
    <row r="236" spans="80:80">
      <c r="CB236" s="131">
        <f>IF($A236="","",_xlfn.LET(_xlpm.sfp,AND($P236&lt;&gt;"",$P236&lt;&gt;"N/A",$P236&lt;&gt;"No Min RQ"),_xlpm.slp,AND($T236&lt;&gt;"",$T236&lt;&gt;"N/A",$T236&lt;&gt;"No Min RQ"),_xlpm.ffp,AND($X236&lt;&gt;"",$X236&lt;&gt;"N/A",$X236&lt;&gt;"No Min RQ"),_xlpm.chp,AND($AB236&lt;&gt;"",$AB236&lt;&gt;"N/A",$AB236&lt;&gt;"No Min RQ"),_xlpm.usp,AND($AF236&lt;&gt;"",$AF236&lt;&gt;"N/A",$AF236&lt;&gt;"No Min RQ"),_xlpm.n,_xlpm.sfp+_xlpm.slp+_xlpm.ffp+_xlpm.chp+_xlpm.usp,_xlpm.sub,(_xlpm.sfp*($P236="Submitted"))+(_xlpm.slp*($T236="Submitted"))+(_xlpm.ffp*($X236="Submitted"))+(_xlpm.chp*($AB236="Submitted"))+(_xlpm.usp*($AF236="Submitted")),_xlpm.term,(_xlpm.sfp*OR($P236="Approved",$P236="Declined"))+(_xlpm.slp*OR($T236="Approved",$T236="Declined"))+(_xlpm.ffp*OR($X236="Approved",$X236="Declined"))+(_xlpm.chp*OR($AB236="Approved",$AB236="Declined"))+(_xlpm.usp*OR($AF236="Approved",$AF236="Declined")),IF(_xlpm.n=0,"No applicable lenders",IF(_xlpm.sub&gt;0,"Stays with Shaw - lender still Submitted",IF(_xlpm.term=_xlpm.n,"Clear - all applicable lenders Approved or Declined","Stays with Shaw - not all lenders Approved or Declined")))))</f>
      </c>
    </row>
    <row r="237" spans="80:80">
      <c r="CB237" s="131">
        <f>IF($A237="","",_xlfn.LET(_xlpm.sfp,AND($P237&lt;&gt;"",$P237&lt;&gt;"N/A",$P237&lt;&gt;"No Min RQ"),_xlpm.slp,AND($T237&lt;&gt;"",$T237&lt;&gt;"N/A",$T237&lt;&gt;"No Min RQ"),_xlpm.ffp,AND($X237&lt;&gt;"",$X237&lt;&gt;"N/A",$X237&lt;&gt;"No Min RQ"),_xlpm.chp,AND($AB237&lt;&gt;"",$AB237&lt;&gt;"N/A",$AB237&lt;&gt;"No Min RQ"),_xlpm.usp,AND($AF237&lt;&gt;"",$AF237&lt;&gt;"N/A",$AF237&lt;&gt;"No Min RQ"),_xlpm.n,_xlpm.sfp+_xlpm.slp+_xlpm.ffp+_xlpm.chp+_xlpm.usp,_xlpm.sub,(_xlpm.sfp*($P237="Submitted"))+(_xlpm.slp*($T237="Submitted"))+(_xlpm.ffp*($X237="Submitted"))+(_xlpm.chp*($AB237="Submitted"))+(_xlpm.usp*($AF237="Submitted")),_xlpm.term,(_xlpm.sfp*OR($P237="Approved",$P237="Declined"))+(_xlpm.slp*OR($T237="Approved",$T237="Declined"))+(_xlpm.ffp*OR($X237="Approved",$X237="Declined"))+(_xlpm.chp*OR($AB237="Approved",$AB237="Declined"))+(_xlpm.usp*OR($AF237="Approved",$AF237="Declined")),IF(_xlpm.n=0,"No applicable lenders",IF(_xlpm.sub&gt;0,"Stays with Shaw - lender still Submitted",IF(_xlpm.term=_xlpm.n,"Clear - all applicable lenders Approved or Declined","Stays with Shaw - not all lenders Approved or Declined")))))</f>
      </c>
    </row>
    <row r="238" spans="80:80">
      <c r="CB238" s="131">
        <f>IF($A238="","",_xlfn.LET(_xlpm.sfp,AND($P238&lt;&gt;"",$P238&lt;&gt;"N/A",$P238&lt;&gt;"No Min RQ"),_xlpm.slp,AND($T238&lt;&gt;"",$T238&lt;&gt;"N/A",$T238&lt;&gt;"No Min RQ"),_xlpm.ffp,AND($X238&lt;&gt;"",$X238&lt;&gt;"N/A",$X238&lt;&gt;"No Min RQ"),_xlpm.chp,AND($AB238&lt;&gt;"",$AB238&lt;&gt;"N/A",$AB238&lt;&gt;"No Min RQ"),_xlpm.usp,AND($AF238&lt;&gt;"",$AF238&lt;&gt;"N/A",$AF238&lt;&gt;"No Min RQ"),_xlpm.n,_xlpm.sfp+_xlpm.slp+_xlpm.ffp+_xlpm.chp+_xlpm.usp,_xlpm.sub,(_xlpm.sfp*($P238="Submitted"))+(_xlpm.slp*($T238="Submitted"))+(_xlpm.ffp*($X238="Submitted"))+(_xlpm.chp*($AB238="Submitted"))+(_xlpm.usp*($AF238="Submitted")),_xlpm.term,(_xlpm.sfp*OR($P238="Approved",$P238="Declined"))+(_xlpm.slp*OR($T238="Approved",$T238="Declined"))+(_xlpm.ffp*OR($X238="Approved",$X238="Declined"))+(_xlpm.chp*OR($AB238="Approved",$AB238="Declined"))+(_xlpm.usp*OR($AF238="Approved",$AF238="Declined")),IF(_xlpm.n=0,"No applicable lenders",IF(_xlpm.sub&gt;0,"Stays with Shaw - lender still Submitted",IF(_xlpm.term=_xlpm.n,"Clear - all applicable lenders Approved or Declined","Stays with Shaw - not all lenders Approved or Declined")))))</f>
      </c>
    </row>
    <row r="239" spans="80:80">
      <c r="CB239" s="131">
        <f>IF($A239="","",_xlfn.LET(_xlpm.sfp,AND($P239&lt;&gt;"",$P239&lt;&gt;"N/A",$P239&lt;&gt;"No Min RQ"),_xlpm.slp,AND($T239&lt;&gt;"",$T239&lt;&gt;"N/A",$T239&lt;&gt;"No Min RQ"),_xlpm.ffp,AND($X239&lt;&gt;"",$X239&lt;&gt;"N/A",$X239&lt;&gt;"No Min RQ"),_xlpm.chp,AND($AB239&lt;&gt;"",$AB239&lt;&gt;"N/A",$AB239&lt;&gt;"No Min RQ"),_xlpm.usp,AND($AF239&lt;&gt;"",$AF239&lt;&gt;"N/A",$AF239&lt;&gt;"No Min RQ"),_xlpm.n,_xlpm.sfp+_xlpm.slp+_xlpm.ffp+_xlpm.chp+_xlpm.usp,_xlpm.sub,(_xlpm.sfp*($P239="Submitted"))+(_xlpm.slp*($T239="Submitted"))+(_xlpm.ffp*($X239="Submitted"))+(_xlpm.chp*($AB239="Submitted"))+(_xlpm.usp*($AF239="Submitted")),_xlpm.term,(_xlpm.sfp*OR($P239="Approved",$P239="Declined"))+(_xlpm.slp*OR($T239="Approved",$T239="Declined"))+(_xlpm.ffp*OR($X239="Approved",$X239="Declined"))+(_xlpm.chp*OR($AB239="Approved",$AB239="Declined"))+(_xlpm.usp*OR($AF239="Approved",$AF239="Declined")),IF(_xlpm.n=0,"No applicable lenders",IF(_xlpm.sub&gt;0,"Stays with Shaw - lender still Submitted",IF(_xlpm.term=_xlpm.n,"Clear - all applicable lenders Approved or Declined","Stays with Shaw - not all lenders Approved or Declined")))))</f>
      </c>
    </row>
    <row r="240" spans="80:80">
      <c r="CB240" s="131">
        <f>IF($A240="","",_xlfn.LET(_xlpm.sfp,AND($P240&lt;&gt;"",$P240&lt;&gt;"N/A",$P240&lt;&gt;"No Min RQ"),_xlpm.slp,AND($T240&lt;&gt;"",$T240&lt;&gt;"N/A",$T240&lt;&gt;"No Min RQ"),_xlpm.ffp,AND($X240&lt;&gt;"",$X240&lt;&gt;"N/A",$X240&lt;&gt;"No Min RQ"),_xlpm.chp,AND($AB240&lt;&gt;"",$AB240&lt;&gt;"N/A",$AB240&lt;&gt;"No Min RQ"),_xlpm.usp,AND($AF240&lt;&gt;"",$AF240&lt;&gt;"N/A",$AF240&lt;&gt;"No Min RQ"),_xlpm.n,_xlpm.sfp+_xlpm.slp+_xlpm.ffp+_xlpm.chp+_xlpm.usp,_xlpm.sub,(_xlpm.sfp*($P240="Submitted"))+(_xlpm.slp*($T240="Submitted"))+(_xlpm.ffp*($X240="Submitted"))+(_xlpm.chp*($AB240="Submitted"))+(_xlpm.usp*($AF240="Submitted")),_xlpm.term,(_xlpm.sfp*OR($P240="Approved",$P240="Declined"))+(_xlpm.slp*OR($T240="Approved",$T240="Declined"))+(_xlpm.ffp*OR($X240="Approved",$X240="Declined"))+(_xlpm.chp*OR($AB240="Approved",$AB240="Declined"))+(_xlpm.usp*OR($AF240="Approved",$AF240="Declined")),IF(_xlpm.n=0,"No applicable lenders",IF(_xlpm.sub&gt;0,"Stays with Shaw - lender still Submitted",IF(_xlpm.term=_xlpm.n,"Clear - all applicable lenders Approved or Declined","Stays with Shaw - not all lenders Approved or Declined")))))</f>
      </c>
    </row>
    <row r="241" spans="80:80">
      <c r="CB241" s="131">
        <f>IF($A241="","",_xlfn.LET(_xlpm.sfp,AND($P241&lt;&gt;"",$P241&lt;&gt;"N/A",$P241&lt;&gt;"No Min RQ"),_xlpm.slp,AND($T241&lt;&gt;"",$T241&lt;&gt;"N/A",$T241&lt;&gt;"No Min RQ"),_xlpm.ffp,AND($X241&lt;&gt;"",$X241&lt;&gt;"N/A",$X241&lt;&gt;"No Min RQ"),_xlpm.chp,AND($AB241&lt;&gt;"",$AB241&lt;&gt;"N/A",$AB241&lt;&gt;"No Min RQ"),_xlpm.usp,AND($AF241&lt;&gt;"",$AF241&lt;&gt;"N/A",$AF241&lt;&gt;"No Min RQ"),_xlpm.n,_xlpm.sfp+_xlpm.slp+_xlpm.ffp+_xlpm.chp+_xlpm.usp,_xlpm.sub,(_xlpm.sfp*($P241="Submitted"))+(_xlpm.slp*($T241="Submitted"))+(_xlpm.ffp*($X241="Submitted"))+(_xlpm.chp*($AB241="Submitted"))+(_xlpm.usp*($AF241="Submitted")),_xlpm.term,(_xlpm.sfp*OR($P241="Approved",$P241="Declined"))+(_xlpm.slp*OR($T241="Approved",$T241="Declined"))+(_xlpm.ffp*OR($X241="Approved",$X241="Declined"))+(_xlpm.chp*OR($AB241="Approved",$AB241="Declined"))+(_xlpm.usp*OR($AF241="Approved",$AF241="Declined")),IF(_xlpm.n=0,"No applicable lenders",IF(_xlpm.sub&gt;0,"Stays with Shaw - lender still Submitted",IF(_xlpm.term=_xlpm.n,"Clear - all applicable lenders Approved or Declined","Stays with Shaw - not all lenders Approved or Declined")))))</f>
      </c>
    </row>
    <row r="242" spans="80:80">
      <c r="CB242" s="131">
        <f>IF($A242="","",_xlfn.LET(_xlpm.sfp,AND($P242&lt;&gt;"",$P242&lt;&gt;"N/A",$P242&lt;&gt;"No Min RQ"),_xlpm.slp,AND($T242&lt;&gt;"",$T242&lt;&gt;"N/A",$T242&lt;&gt;"No Min RQ"),_xlpm.ffp,AND($X242&lt;&gt;"",$X242&lt;&gt;"N/A",$X242&lt;&gt;"No Min RQ"),_xlpm.chp,AND($AB242&lt;&gt;"",$AB242&lt;&gt;"N/A",$AB242&lt;&gt;"No Min RQ"),_xlpm.usp,AND($AF242&lt;&gt;"",$AF242&lt;&gt;"N/A",$AF242&lt;&gt;"No Min RQ"),_xlpm.n,_xlpm.sfp+_xlpm.slp+_xlpm.ffp+_xlpm.chp+_xlpm.usp,_xlpm.sub,(_xlpm.sfp*($P242="Submitted"))+(_xlpm.slp*($T242="Submitted"))+(_xlpm.ffp*($X242="Submitted"))+(_xlpm.chp*($AB242="Submitted"))+(_xlpm.usp*($AF242="Submitted")),_xlpm.term,(_xlpm.sfp*OR($P242="Approved",$P242="Declined"))+(_xlpm.slp*OR($T242="Approved",$T242="Declined"))+(_xlpm.ffp*OR($X242="Approved",$X242="Declined"))+(_xlpm.chp*OR($AB242="Approved",$AB242="Declined"))+(_xlpm.usp*OR($AF242="Approved",$AF242="Declined")),IF(_xlpm.n=0,"No applicable lenders",IF(_xlpm.sub&gt;0,"Stays with Shaw - lender still Submitted",IF(_xlpm.term=_xlpm.n,"Clear - all applicable lenders Approved or Declined","Stays with Shaw - not all lenders Approved or Declined")))))</f>
      </c>
    </row>
    <row r="243" spans="80:80">
      <c r="CB243" s="131">
        <f>IF($A243="","",_xlfn.LET(_xlpm.sfp,AND($P243&lt;&gt;"",$P243&lt;&gt;"N/A",$P243&lt;&gt;"No Min RQ"),_xlpm.slp,AND($T243&lt;&gt;"",$T243&lt;&gt;"N/A",$T243&lt;&gt;"No Min RQ"),_xlpm.ffp,AND($X243&lt;&gt;"",$X243&lt;&gt;"N/A",$X243&lt;&gt;"No Min RQ"),_xlpm.chp,AND($AB243&lt;&gt;"",$AB243&lt;&gt;"N/A",$AB243&lt;&gt;"No Min RQ"),_xlpm.usp,AND($AF243&lt;&gt;"",$AF243&lt;&gt;"N/A",$AF243&lt;&gt;"No Min RQ"),_xlpm.n,_xlpm.sfp+_xlpm.slp+_xlpm.ffp+_xlpm.chp+_xlpm.usp,_xlpm.sub,(_xlpm.sfp*($P243="Submitted"))+(_xlpm.slp*($T243="Submitted"))+(_xlpm.ffp*($X243="Submitted"))+(_xlpm.chp*($AB243="Submitted"))+(_xlpm.usp*($AF243="Submitted")),_xlpm.term,(_xlpm.sfp*OR($P243="Approved",$P243="Declined"))+(_xlpm.slp*OR($T243="Approved",$T243="Declined"))+(_xlpm.ffp*OR($X243="Approved",$X243="Declined"))+(_xlpm.chp*OR($AB243="Approved",$AB243="Declined"))+(_xlpm.usp*OR($AF243="Approved",$AF243="Declined")),IF(_xlpm.n=0,"No applicable lenders",IF(_xlpm.sub&gt;0,"Stays with Shaw - lender still Submitted",IF(_xlpm.term=_xlpm.n,"Clear - all applicable lenders Approved or Declined","Stays with Shaw - not all lenders Approved or Declined")))))</f>
      </c>
    </row>
    <row r="244" spans="80:80">
      <c r="CB244" s="131">
        <f>IF($A244="","",_xlfn.LET(_xlpm.sfp,AND($P244&lt;&gt;"",$P244&lt;&gt;"N/A",$P244&lt;&gt;"No Min RQ"),_xlpm.slp,AND($T244&lt;&gt;"",$T244&lt;&gt;"N/A",$T244&lt;&gt;"No Min RQ"),_xlpm.ffp,AND($X244&lt;&gt;"",$X244&lt;&gt;"N/A",$X244&lt;&gt;"No Min RQ"),_xlpm.chp,AND($AB244&lt;&gt;"",$AB244&lt;&gt;"N/A",$AB244&lt;&gt;"No Min RQ"),_xlpm.usp,AND($AF244&lt;&gt;"",$AF244&lt;&gt;"N/A",$AF244&lt;&gt;"No Min RQ"),_xlpm.n,_xlpm.sfp+_xlpm.slp+_xlpm.ffp+_xlpm.chp+_xlpm.usp,_xlpm.sub,(_xlpm.sfp*($P244="Submitted"))+(_xlpm.slp*($T244="Submitted"))+(_xlpm.ffp*($X244="Submitted"))+(_xlpm.chp*($AB244="Submitted"))+(_xlpm.usp*($AF244="Submitted")),_xlpm.term,(_xlpm.sfp*OR($P244="Approved",$P244="Declined"))+(_xlpm.slp*OR($T244="Approved",$T244="Declined"))+(_xlpm.ffp*OR($X244="Approved",$X244="Declined"))+(_xlpm.chp*OR($AB244="Approved",$AB244="Declined"))+(_xlpm.usp*OR($AF244="Approved",$AF244="Declined")),IF(_xlpm.n=0,"No applicable lenders",IF(_xlpm.sub&gt;0,"Stays with Shaw - lender still Submitted",IF(_xlpm.term=_xlpm.n,"Clear - all applicable lenders Approved or Declined","Stays with Shaw - not all lenders Approved or Declined")))))</f>
      </c>
    </row>
    <row r="245" spans="80:80">
      <c r="CB245" s="131">
        <f>IF($A245="","",_xlfn.LET(_xlpm.sfp,AND($P245&lt;&gt;"",$P245&lt;&gt;"N/A",$P245&lt;&gt;"No Min RQ"),_xlpm.slp,AND($T245&lt;&gt;"",$T245&lt;&gt;"N/A",$T245&lt;&gt;"No Min RQ"),_xlpm.ffp,AND($X245&lt;&gt;"",$X245&lt;&gt;"N/A",$X245&lt;&gt;"No Min RQ"),_xlpm.chp,AND($AB245&lt;&gt;"",$AB245&lt;&gt;"N/A",$AB245&lt;&gt;"No Min RQ"),_xlpm.usp,AND($AF245&lt;&gt;"",$AF245&lt;&gt;"N/A",$AF245&lt;&gt;"No Min RQ"),_xlpm.n,_xlpm.sfp+_xlpm.slp+_xlpm.ffp+_xlpm.chp+_xlpm.usp,_xlpm.sub,(_xlpm.sfp*($P245="Submitted"))+(_xlpm.slp*($T245="Submitted"))+(_xlpm.ffp*($X245="Submitted"))+(_xlpm.chp*($AB245="Submitted"))+(_xlpm.usp*($AF245="Submitted")),_xlpm.term,(_xlpm.sfp*OR($P245="Approved",$P245="Declined"))+(_xlpm.slp*OR($T245="Approved",$T245="Declined"))+(_xlpm.ffp*OR($X245="Approved",$X245="Declined"))+(_xlpm.chp*OR($AB245="Approved",$AB245="Declined"))+(_xlpm.usp*OR($AF245="Approved",$AF245="Declined")),IF(_xlpm.n=0,"No applicable lenders",IF(_xlpm.sub&gt;0,"Stays with Shaw - lender still Submitted",IF(_xlpm.term=_xlpm.n,"Clear - all applicable lenders Approved or Declined","Stays with Shaw - not all lenders Approved or Declined")))))</f>
      </c>
    </row>
    <row r="246" spans="80:80">
      <c r="CB246" s="131">
        <f>IF($A246="","",_xlfn.LET(_xlpm.sfp,AND($P246&lt;&gt;"",$P246&lt;&gt;"N/A",$P246&lt;&gt;"No Min RQ"),_xlpm.slp,AND($T246&lt;&gt;"",$T246&lt;&gt;"N/A",$T246&lt;&gt;"No Min RQ"),_xlpm.ffp,AND($X246&lt;&gt;"",$X246&lt;&gt;"N/A",$X246&lt;&gt;"No Min RQ"),_xlpm.chp,AND($AB246&lt;&gt;"",$AB246&lt;&gt;"N/A",$AB246&lt;&gt;"No Min RQ"),_xlpm.usp,AND($AF246&lt;&gt;"",$AF246&lt;&gt;"N/A",$AF246&lt;&gt;"No Min RQ"),_xlpm.n,_xlpm.sfp+_xlpm.slp+_xlpm.ffp+_xlpm.chp+_xlpm.usp,_xlpm.sub,(_xlpm.sfp*($P246="Submitted"))+(_xlpm.slp*($T246="Submitted"))+(_xlpm.ffp*($X246="Submitted"))+(_xlpm.chp*($AB246="Submitted"))+(_xlpm.usp*($AF246="Submitted")),_xlpm.term,(_xlpm.sfp*OR($P246="Approved",$P246="Declined"))+(_xlpm.slp*OR($T246="Approved",$T246="Declined"))+(_xlpm.ffp*OR($X246="Approved",$X246="Declined"))+(_xlpm.chp*OR($AB246="Approved",$AB246="Declined"))+(_xlpm.usp*OR($AF246="Approved",$AF246="Declined")),IF(_xlpm.n=0,"No applicable lenders",IF(_xlpm.sub&gt;0,"Stays with Shaw - lender still Submitted",IF(_xlpm.term=_xlpm.n,"Clear - all applicable lenders Approved or Declined","Stays with Shaw - not all lenders Approved or Declined")))))</f>
      </c>
    </row>
    <row r="247" spans="80:80">
      <c r="CB247" s="131">
        <f>IF($A247="","",_xlfn.LET(_xlpm.sfp,AND($P247&lt;&gt;"",$P247&lt;&gt;"N/A",$P247&lt;&gt;"No Min RQ"),_xlpm.slp,AND($T247&lt;&gt;"",$T247&lt;&gt;"N/A",$T247&lt;&gt;"No Min RQ"),_xlpm.ffp,AND($X247&lt;&gt;"",$X247&lt;&gt;"N/A",$X247&lt;&gt;"No Min RQ"),_xlpm.chp,AND($AB247&lt;&gt;"",$AB247&lt;&gt;"N/A",$AB247&lt;&gt;"No Min RQ"),_xlpm.usp,AND($AF247&lt;&gt;"",$AF247&lt;&gt;"N/A",$AF247&lt;&gt;"No Min RQ"),_xlpm.n,_xlpm.sfp+_xlpm.slp+_xlpm.ffp+_xlpm.chp+_xlpm.usp,_xlpm.sub,(_xlpm.sfp*($P247="Submitted"))+(_xlpm.slp*($T247="Submitted"))+(_xlpm.ffp*($X247="Submitted"))+(_xlpm.chp*($AB247="Submitted"))+(_xlpm.usp*($AF247="Submitted")),_xlpm.term,(_xlpm.sfp*OR($P247="Approved",$P247="Declined"))+(_xlpm.slp*OR($T247="Approved",$T247="Declined"))+(_xlpm.ffp*OR($X247="Approved",$X247="Declined"))+(_xlpm.chp*OR($AB247="Approved",$AB247="Declined"))+(_xlpm.usp*OR($AF247="Approved",$AF247="Declined")),IF(_xlpm.n=0,"No applicable lenders",IF(_xlpm.sub&gt;0,"Stays with Shaw - lender still Submitted",IF(_xlpm.term=_xlpm.n,"Clear - all applicable lenders Approved or Declined","Stays with Shaw - not all lenders Approved or Declined")))))</f>
      </c>
    </row>
    <row r="248" spans="80:80">
      <c r="CB248" s="131">
        <f>IF($A248="","",_xlfn.LET(_xlpm.sfp,AND($P248&lt;&gt;"",$P248&lt;&gt;"N/A",$P248&lt;&gt;"No Min RQ"),_xlpm.slp,AND($T248&lt;&gt;"",$T248&lt;&gt;"N/A",$T248&lt;&gt;"No Min RQ"),_xlpm.ffp,AND($X248&lt;&gt;"",$X248&lt;&gt;"N/A",$X248&lt;&gt;"No Min RQ"),_xlpm.chp,AND($AB248&lt;&gt;"",$AB248&lt;&gt;"N/A",$AB248&lt;&gt;"No Min RQ"),_xlpm.usp,AND($AF248&lt;&gt;"",$AF248&lt;&gt;"N/A",$AF248&lt;&gt;"No Min RQ"),_xlpm.n,_xlpm.sfp+_xlpm.slp+_xlpm.ffp+_xlpm.chp+_xlpm.usp,_xlpm.sub,(_xlpm.sfp*($P248="Submitted"))+(_xlpm.slp*($T248="Submitted"))+(_xlpm.ffp*($X248="Submitted"))+(_xlpm.chp*($AB248="Submitted"))+(_xlpm.usp*($AF248="Submitted")),_xlpm.term,(_xlpm.sfp*OR($P248="Approved",$P248="Declined"))+(_xlpm.slp*OR($T248="Approved",$T248="Declined"))+(_xlpm.ffp*OR($X248="Approved",$X248="Declined"))+(_xlpm.chp*OR($AB248="Approved",$AB248="Declined"))+(_xlpm.usp*OR($AF248="Approved",$AF248="Declined")),IF(_xlpm.n=0,"No applicable lenders",IF(_xlpm.sub&gt;0,"Stays with Shaw - lender still Submitted",IF(_xlpm.term=_xlpm.n,"Clear - all applicable lenders Approved or Declined","Stays with Shaw - not all lenders Approved or Declined")))))</f>
      </c>
    </row>
    <row r="249" spans="80:80">
      <c r="CB249" s="131">
        <f>IF($A249="","",_xlfn.LET(_xlpm.sfp,AND($P249&lt;&gt;"",$P249&lt;&gt;"N/A",$P249&lt;&gt;"No Min RQ"),_xlpm.slp,AND($T249&lt;&gt;"",$T249&lt;&gt;"N/A",$T249&lt;&gt;"No Min RQ"),_xlpm.ffp,AND($X249&lt;&gt;"",$X249&lt;&gt;"N/A",$X249&lt;&gt;"No Min RQ"),_xlpm.chp,AND($AB249&lt;&gt;"",$AB249&lt;&gt;"N/A",$AB249&lt;&gt;"No Min RQ"),_xlpm.usp,AND($AF249&lt;&gt;"",$AF249&lt;&gt;"N/A",$AF249&lt;&gt;"No Min RQ"),_xlpm.n,_xlpm.sfp+_xlpm.slp+_xlpm.ffp+_xlpm.chp+_xlpm.usp,_xlpm.sub,(_xlpm.sfp*($P249="Submitted"))+(_xlpm.slp*($T249="Submitted"))+(_xlpm.ffp*($X249="Submitted"))+(_xlpm.chp*($AB249="Submitted"))+(_xlpm.usp*($AF249="Submitted")),_xlpm.term,(_xlpm.sfp*OR($P249="Approved",$P249="Declined"))+(_xlpm.slp*OR($T249="Approved",$T249="Declined"))+(_xlpm.ffp*OR($X249="Approved",$X249="Declined"))+(_xlpm.chp*OR($AB249="Approved",$AB249="Declined"))+(_xlpm.usp*OR($AF249="Approved",$AF249="Declined")),IF(_xlpm.n=0,"No applicable lenders",IF(_xlpm.sub&gt;0,"Stays with Shaw - lender still Submitted",IF(_xlpm.term=_xlpm.n,"Clear - all applicable lenders Approved or Declined","Stays with Shaw - not all lenders Approved or Declined")))))</f>
      </c>
    </row>
    <row r="250" spans="80:80">
      <c r="CB250" s="131">
        <f>IF($A250="","",_xlfn.LET(_xlpm.sfp,AND($P250&lt;&gt;"",$P250&lt;&gt;"N/A",$P250&lt;&gt;"No Min RQ"),_xlpm.slp,AND($T250&lt;&gt;"",$T250&lt;&gt;"N/A",$T250&lt;&gt;"No Min RQ"),_xlpm.ffp,AND($X250&lt;&gt;"",$X250&lt;&gt;"N/A",$X250&lt;&gt;"No Min RQ"),_xlpm.chp,AND($AB250&lt;&gt;"",$AB250&lt;&gt;"N/A",$AB250&lt;&gt;"No Min RQ"),_xlpm.usp,AND($AF250&lt;&gt;"",$AF250&lt;&gt;"N/A",$AF250&lt;&gt;"No Min RQ"),_xlpm.n,_xlpm.sfp+_xlpm.slp+_xlpm.ffp+_xlpm.chp+_xlpm.usp,_xlpm.sub,(_xlpm.sfp*($P250="Submitted"))+(_xlpm.slp*($T250="Submitted"))+(_xlpm.ffp*($X250="Submitted"))+(_xlpm.chp*($AB250="Submitted"))+(_xlpm.usp*($AF250="Submitted")),_xlpm.term,(_xlpm.sfp*OR($P250="Approved",$P250="Declined"))+(_xlpm.slp*OR($T250="Approved",$T250="Declined"))+(_xlpm.ffp*OR($X250="Approved",$X250="Declined"))+(_xlpm.chp*OR($AB250="Approved",$AB250="Declined"))+(_xlpm.usp*OR($AF250="Approved",$AF250="Declined")),IF(_xlpm.n=0,"No applicable lenders",IF(_xlpm.sub&gt;0,"Stays with Shaw - lender still Submitted",IF(_xlpm.term=_xlpm.n,"Clear - all applicable lenders Approved or Declined","Stays with Shaw - not all lenders Approved or Declined")))))</f>
      </c>
    </row>
    <row r="251" spans="80:80">
      <c r="CB251" s="131">
        <f>IF($A251="","",_xlfn.LET(_xlpm.sfp,AND($P251&lt;&gt;"",$P251&lt;&gt;"N/A",$P251&lt;&gt;"No Min RQ"),_xlpm.slp,AND($T251&lt;&gt;"",$T251&lt;&gt;"N/A",$T251&lt;&gt;"No Min RQ"),_xlpm.ffp,AND($X251&lt;&gt;"",$X251&lt;&gt;"N/A",$X251&lt;&gt;"No Min RQ"),_xlpm.chp,AND($AB251&lt;&gt;"",$AB251&lt;&gt;"N/A",$AB251&lt;&gt;"No Min RQ"),_xlpm.usp,AND($AF251&lt;&gt;"",$AF251&lt;&gt;"N/A",$AF251&lt;&gt;"No Min RQ"),_xlpm.n,_xlpm.sfp+_xlpm.slp+_xlpm.ffp+_xlpm.chp+_xlpm.usp,_xlpm.sub,(_xlpm.sfp*($P251="Submitted"))+(_xlpm.slp*($T251="Submitted"))+(_xlpm.ffp*($X251="Submitted"))+(_xlpm.chp*($AB251="Submitted"))+(_xlpm.usp*($AF251="Submitted")),_xlpm.term,(_xlpm.sfp*OR($P251="Approved",$P251="Declined"))+(_xlpm.slp*OR($T251="Approved",$T251="Declined"))+(_xlpm.ffp*OR($X251="Approved",$X251="Declined"))+(_xlpm.chp*OR($AB251="Approved",$AB251="Declined"))+(_xlpm.usp*OR($AF251="Approved",$AF251="Declined")),IF(_xlpm.n=0,"No applicable lenders",IF(_xlpm.sub&gt;0,"Stays with Shaw - lender still Submitted",IF(_xlpm.term=_xlpm.n,"Clear - all applicable lenders Approved or Declined","Stays with Shaw - not all lenders Approved or Declined")))))</f>
      </c>
    </row>
    <row r="252" spans="80:80">
      <c r="CB252" s="131">
        <f>IF($A252="","",_xlfn.LET(_xlpm.sfp,AND($P252&lt;&gt;"",$P252&lt;&gt;"N/A",$P252&lt;&gt;"No Min RQ"),_xlpm.slp,AND($T252&lt;&gt;"",$T252&lt;&gt;"N/A",$T252&lt;&gt;"No Min RQ"),_xlpm.ffp,AND($X252&lt;&gt;"",$X252&lt;&gt;"N/A",$X252&lt;&gt;"No Min RQ"),_xlpm.chp,AND($AB252&lt;&gt;"",$AB252&lt;&gt;"N/A",$AB252&lt;&gt;"No Min RQ"),_xlpm.usp,AND($AF252&lt;&gt;"",$AF252&lt;&gt;"N/A",$AF252&lt;&gt;"No Min RQ"),_xlpm.n,_xlpm.sfp+_xlpm.slp+_xlpm.ffp+_xlpm.chp+_xlpm.usp,_xlpm.sub,(_xlpm.sfp*($P252="Submitted"))+(_xlpm.slp*($T252="Submitted"))+(_xlpm.ffp*($X252="Submitted"))+(_xlpm.chp*($AB252="Submitted"))+(_xlpm.usp*($AF252="Submitted")),_xlpm.term,(_xlpm.sfp*OR($P252="Approved",$P252="Declined"))+(_xlpm.slp*OR($T252="Approved",$T252="Declined"))+(_xlpm.ffp*OR($X252="Approved",$X252="Declined"))+(_xlpm.chp*OR($AB252="Approved",$AB252="Declined"))+(_xlpm.usp*OR($AF252="Approved",$AF252="Declined")),IF(_xlpm.n=0,"No applicable lenders",IF(_xlpm.sub&gt;0,"Stays with Shaw - lender still Submitted",IF(_xlpm.term=_xlpm.n,"Clear - all applicable lenders Approved or Declined","Stays with Shaw - not all lenders Approved or Declined")))))</f>
      </c>
    </row>
    <row r="253" spans="80:80">
      <c r="CB253" s="131">
        <f>IF($A253="","",_xlfn.LET(_xlpm.sfp,AND($P253&lt;&gt;"",$P253&lt;&gt;"N/A",$P253&lt;&gt;"No Min RQ"),_xlpm.slp,AND($T253&lt;&gt;"",$T253&lt;&gt;"N/A",$T253&lt;&gt;"No Min RQ"),_xlpm.ffp,AND($X253&lt;&gt;"",$X253&lt;&gt;"N/A",$X253&lt;&gt;"No Min RQ"),_xlpm.chp,AND($AB253&lt;&gt;"",$AB253&lt;&gt;"N/A",$AB253&lt;&gt;"No Min RQ"),_xlpm.usp,AND($AF253&lt;&gt;"",$AF253&lt;&gt;"N/A",$AF253&lt;&gt;"No Min RQ"),_xlpm.n,_xlpm.sfp+_xlpm.slp+_xlpm.ffp+_xlpm.chp+_xlpm.usp,_xlpm.sub,(_xlpm.sfp*($P253="Submitted"))+(_xlpm.slp*($T253="Submitted"))+(_xlpm.ffp*($X253="Submitted"))+(_xlpm.chp*($AB253="Submitted"))+(_xlpm.usp*($AF253="Submitted")),_xlpm.term,(_xlpm.sfp*OR($P253="Approved",$P253="Declined"))+(_xlpm.slp*OR($T253="Approved",$T253="Declined"))+(_xlpm.ffp*OR($X253="Approved",$X253="Declined"))+(_xlpm.chp*OR($AB253="Approved",$AB253="Declined"))+(_xlpm.usp*OR($AF253="Approved",$AF253="Declined")),IF(_xlpm.n=0,"No applicable lenders",IF(_xlpm.sub&gt;0,"Stays with Shaw - lender still Submitted",IF(_xlpm.term=_xlpm.n,"Clear - all applicable lenders Approved or Declined","Stays with Shaw - not all lenders Approved or Declined")))))</f>
      </c>
    </row>
    <row r="254" spans="80:80">
      <c r="CB254" s="131">
        <f>IF($A254="","",_xlfn.LET(_xlpm.sfp,AND($P254&lt;&gt;"",$P254&lt;&gt;"N/A",$P254&lt;&gt;"No Min RQ"),_xlpm.slp,AND($T254&lt;&gt;"",$T254&lt;&gt;"N/A",$T254&lt;&gt;"No Min RQ"),_xlpm.ffp,AND($X254&lt;&gt;"",$X254&lt;&gt;"N/A",$X254&lt;&gt;"No Min RQ"),_xlpm.chp,AND($AB254&lt;&gt;"",$AB254&lt;&gt;"N/A",$AB254&lt;&gt;"No Min RQ"),_xlpm.usp,AND($AF254&lt;&gt;"",$AF254&lt;&gt;"N/A",$AF254&lt;&gt;"No Min RQ"),_xlpm.n,_xlpm.sfp+_xlpm.slp+_xlpm.ffp+_xlpm.chp+_xlpm.usp,_xlpm.sub,(_xlpm.sfp*($P254="Submitted"))+(_xlpm.slp*($T254="Submitted"))+(_xlpm.ffp*($X254="Submitted"))+(_xlpm.chp*($AB254="Submitted"))+(_xlpm.usp*($AF254="Submitted")),_xlpm.term,(_xlpm.sfp*OR($P254="Approved",$P254="Declined"))+(_xlpm.slp*OR($T254="Approved",$T254="Declined"))+(_xlpm.ffp*OR($X254="Approved",$X254="Declined"))+(_xlpm.chp*OR($AB254="Approved",$AB254="Declined"))+(_xlpm.usp*OR($AF254="Approved",$AF254="Declined")),IF(_xlpm.n=0,"No applicable lenders",IF(_xlpm.sub&gt;0,"Stays with Shaw - lender still Submitted",IF(_xlpm.term=_xlpm.n,"Clear - all applicable lenders Approved or Declined","Stays with Shaw - not all lenders Approved or Declined")))))</f>
      </c>
    </row>
    <row r="255" spans="80:80">
      <c r="CB255" s="131">
        <f>IF($A255="","",_xlfn.LET(_xlpm.sfp,AND($P255&lt;&gt;"",$P255&lt;&gt;"N/A",$P255&lt;&gt;"No Min RQ"),_xlpm.slp,AND($T255&lt;&gt;"",$T255&lt;&gt;"N/A",$T255&lt;&gt;"No Min RQ"),_xlpm.ffp,AND($X255&lt;&gt;"",$X255&lt;&gt;"N/A",$X255&lt;&gt;"No Min RQ"),_xlpm.chp,AND($AB255&lt;&gt;"",$AB255&lt;&gt;"N/A",$AB255&lt;&gt;"No Min RQ"),_xlpm.usp,AND($AF255&lt;&gt;"",$AF255&lt;&gt;"N/A",$AF255&lt;&gt;"No Min RQ"),_xlpm.n,_xlpm.sfp+_xlpm.slp+_xlpm.ffp+_xlpm.chp+_xlpm.usp,_xlpm.sub,(_xlpm.sfp*($P255="Submitted"))+(_xlpm.slp*($T255="Submitted"))+(_xlpm.ffp*($X255="Submitted"))+(_xlpm.chp*($AB255="Submitted"))+(_xlpm.usp*($AF255="Submitted")),_xlpm.term,(_xlpm.sfp*OR($P255="Approved",$P255="Declined"))+(_xlpm.slp*OR($T255="Approved",$T255="Declined"))+(_xlpm.ffp*OR($X255="Approved",$X255="Declined"))+(_xlpm.chp*OR($AB255="Approved",$AB255="Declined"))+(_xlpm.usp*OR($AF255="Approved",$AF255="Declined")),IF(_xlpm.n=0,"No applicable lenders",IF(_xlpm.sub&gt;0,"Stays with Shaw - lender still Submitted",IF(_xlpm.term=_xlpm.n,"Clear - all applicable lenders Approved or Declined","Stays with Shaw - not all lenders Approved or Declined")))))</f>
      </c>
    </row>
    <row r="256" spans="80:80">
      <c r="CB256" s="131">
        <f>IF($A256="","",_xlfn.LET(_xlpm.sfp,AND($P256&lt;&gt;"",$P256&lt;&gt;"N/A",$P256&lt;&gt;"No Min RQ"),_xlpm.slp,AND($T256&lt;&gt;"",$T256&lt;&gt;"N/A",$T256&lt;&gt;"No Min RQ"),_xlpm.ffp,AND($X256&lt;&gt;"",$X256&lt;&gt;"N/A",$X256&lt;&gt;"No Min RQ"),_xlpm.chp,AND($AB256&lt;&gt;"",$AB256&lt;&gt;"N/A",$AB256&lt;&gt;"No Min RQ"),_xlpm.usp,AND($AF256&lt;&gt;"",$AF256&lt;&gt;"N/A",$AF256&lt;&gt;"No Min RQ"),_xlpm.n,_xlpm.sfp+_xlpm.slp+_xlpm.ffp+_xlpm.chp+_xlpm.usp,_xlpm.sub,(_xlpm.sfp*($P256="Submitted"))+(_xlpm.slp*($T256="Submitted"))+(_xlpm.ffp*($X256="Submitted"))+(_xlpm.chp*($AB256="Submitted"))+(_xlpm.usp*($AF256="Submitted")),_xlpm.term,(_xlpm.sfp*OR($P256="Approved",$P256="Declined"))+(_xlpm.slp*OR($T256="Approved",$T256="Declined"))+(_xlpm.ffp*OR($X256="Approved",$X256="Declined"))+(_xlpm.chp*OR($AB256="Approved",$AB256="Declined"))+(_xlpm.usp*OR($AF256="Approved",$AF256="Declined")),IF(_xlpm.n=0,"No applicable lenders",IF(_xlpm.sub&gt;0,"Stays with Shaw - lender still Submitted",IF(_xlpm.term=_xlpm.n,"Clear - all applicable lenders Approved or Declined","Stays with Shaw - not all lenders Approved or Declined")))))</f>
      </c>
    </row>
    <row r="257" spans="80:80">
      <c r="CB257" s="131">
        <f>IF($A257="","",_xlfn.LET(_xlpm.sfp,AND($P257&lt;&gt;"",$P257&lt;&gt;"N/A",$P257&lt;&gt;"No Min RQ"),_xlpm.slp,AND($T257&lt;&gt;"",$T257&lt;&gt;"N/A",$T257&lt;&gt;"No Min RQ"),_xlpm.ffp,AND($X257&lt;&gt;"",$X257&lt;&gt;"N/A",$X257&lt;&gt;"No Min RQ"),_xlpm.chp,AND($AB257&lt;&gt;"",$AB257&lt;&gt;"N/A",$AB257&lt;&gt;"No Min RQ"),_xlpm.usp,AND($AF257&lt;&gt;"",$AF257&lt;&gt;"N/A",$AF257&lt;&gt;"No Min RQ"),_xlpm.n,_xlpm.sfp+_xlpm.slp+_xlpm.ffp+_xlpm.chp+_xlpm.usp,_xlpm.sub,(_xlpm.sfp*($P257="Submitted"))+(_xlpm.slp*($T257="Submitted"))+(_xlpm.ffp*($X257="Submitted"))+(_xlpm.chp*($AB257="Submitted"))+(_xlpm.usp*($AF257="Submitted")),_xlpm.term,(_xlpm.sfp*OR($P257="Approved",$P257="Declined"))+(_xlpm.slp*OR($T257="Approved",$T257="Declined"))+(_xlpm.ffp*OR($X257="Approved",$X257="Declined"))+(_xlpm.chp*OR($AB257="Approved",$AB257="Declined"))+(_xlpm.usp*OR($AF257="Approved",$AF257="Declined")),IF(_xlpm.n=0,"No applicable lenders",IF(_xlpm.sub&gt;0,"Stays with Shaw - lender still Submitted",IF(_xlpm.term=_xlpm.n,"Clear - all applicable lenders Approved or Declined","Stays with Shaw - not all lenders Approved or Declined")))))</f>
      </c>
    </row>
    <row r="258" spans="80:80">
      <c r="CB258" s="131">
        <f>IF($A258="","",_xlfn.LET(_xlpm.sfp,AND($P258&lt;&gt;"",$P258&lt;&gt;"N/A",$P258&lt;&gt;"No Min RQ"),_xlpm.slp,AND($T258&lt;&gt;"",$T258&lt;&gt;"N/A",$T258&lt;&gt;"No Min RQ"),_xlpm.ffp,AND($X258&lt;&gt;"",$X258&lt;&gt;"N/A",$X258&lt;&gt;"No Min RQ"),_xlpm.chp,AND($AB258&lt;&gt;"",$AB258&lt;&gt;"N/A",$AB258&lt;&gt;"No Min RQ"),_xlpm.usp,AND($AF258&lt;&gt;"",$AF258&lt;&gt;"N/A",$AF258&lt;&gt;"No Min RQ"),_xlpm.n,_xlpm.sfp+_xlpm.slp+_xlpm.ffp+_xlpm.chp+_xlpm.usp,_xlpm.sub,(_xlpm.sfp*($P258="Submitted"))+(_xlpm.slp*($T258="Submitted"))+(_xlpm.ffp*($X258="Submitted"))+(_xlpm.chp*($AB258="Submitted"))+(_xlpm.usp*($AF258="Submitted")),_xlpm.term,(_xlpm.sfp*OR($P258="Approved",$P258="Declined"))+(_xlpm.slp*OR($T258="Approved",$T258="Declined"))+(_xlpm.ffp*OR($X258="Approved",$X258="Declined"))+(_xlpm.chp*OR($AB258="Approved",$AB258="Declined"))+(_xlpm.usp*OR($AF258="Approved",$AF258="Declined")),IF(_xlpm.n=0,"No applicable lenders",IF(_xlpm.sub&gt;0,"Stays with Shaw - lender still Submitted",IF(_xlpm.term=_xlpm.n,"Clear - all applicable lenders Approved or Declined","Stays with Shaw - not all lenders Approved or Declined")))))</f>
      </c>
    </row>
    <row r="259" spans="80:80">
      <c r="CB259" s="131">
        <f>IF($A259="","",_xlfn.LET(_xlpm.sfp,AND($P259&lt;&gt;"",$P259&lt;&gt;"N/A",$P259&lt;&gt;"No Min RQ"),_xlpm.slp,AND($T259&lt;&gt;"",$T259&lt;&gt;"N/A",$T259&lt;&gt;"No Min RQ"),_xlpm.ffp,AND($X259&lt;&gt;"",$X259&lt;&gt;"N/A",$X259&lt;&gt;"No Min RQ"),_xlpm.chp,AND($AB259&lt;&gt;"",$AB259&lt;&gt;"N/A",$AB259&lt;&gt;"No Min RQ"),_xlpm.usp,AND($AF259&lt;&gt;"",$AF259&lt;&gt;"N/A",$AF259&lt;&gt;"No Min RQ"),_xlpm.n,_xlpm.sfp+_xlpm.slp+_xlpm.ffp+_xlpm.chp+_xlpm.usp,_xlpm.sub,(_xlpm.sfp*($P259="Submitted"))+(_xlpm.slp*($T259="Submitted"))+(_xlpm.ffp*($X259="Submitted"))+(_xlpm.chp*($AB259="Submitted"))+(_xlpm.usp*($AF259="Submitted")),_xlpm.term,(_xlpm.sfp*OR($P259="Approved",$P259="Declined"))+(_xlpm.slp*OR($T259="Approved",$T259="Declined"))+(_xlpm.ffp*OR($X259="Approved",$X259="Declined"))+(_xlpm.chp*OR($AB259="Approved",$AB259="Declined"))+(_xlpm.usp*OR($AF259="Approved",$AF259="Declined")),IF(_xlpm.n=0,"No applicable lenders",IF(_xlpm.sub&gt;0,"Stays with Shaw - lender still Submitted",IF(_xlpm.term=_xlpm.n,"Clear - all applicable lenders Approved or Declined","Stays with Shaw - not all lenders Approved or Declined")))))</f>
      </c>
    </row>
    <row r="260" spans="80:80">
      <c r="CB260" s="131">
        <f>IF($A260="","",_xlfn.LET(_xlpm.sfp,AND($P260&lt;&gt;"",$P260&lt;&gt;"N/A",$P260&lt;&gt;"No Min RQ"),_xlpm.slp,AND($T260&lt;&gt;"",$T260&lt;&gt;"N/A",$T260&lt;&gt;"No Min RQ"),_xlpm.ffp,AND($X260&lt;&gt;"",$X260&lt;&gt;"N/A",$X260&lt;&gt;"No Min RQ"),_xlpm.chp,AND($AB260&lt;&gt;"",$AB260&lt;&gt;"N/A",$AB260&lt;&gt;"No Min RQ"),_xlpm.usp,AND($AF260&lt;&gt;"",$AF260&lt;&gt;"N/A",$AF260&lt;&gt;"No Min RQ"),_xlpm.n,_xlpm.sfp+_xlpm.slp+_xlpm.ffp+_xlpm.chp+_xlpm.usp,_xlpm.sub,(_xlpm.sfp*($P260="Submitted"))+(_xlpm.slp*($T260="Submitted"))+(_xlpm.ffp*($X260="Submitted"))+(_xlpm.chp*($AB260="Submitted"))+(_xlpm.usp*($AF260="Submitted")),_xlpm.term,(_xlpm.sfp*OR($P260="Approved",$P260="Declined"))+(_xlpm.slp*OR($T260="Approved",$T260="Declined"))+(_xlpm.ffp*OR($X260="Approved",$X260="Declined"))+(_xlpm.chp*OR($AB260="Approved",$AB260="Declined"))+(_xlpm.usp*OR($AF260="Approved",$AF260="Declined")),IF(_xlpm.n=0,"No applicable lenders",IF(_xlpm.sub&gt;0,"Stays with Shaw - lender still Submitted",IF(_xlpm.term=_xlpm.n,"Clear - all applicable lenders Approved or Declined","Stays with Shaw - not all lenders Approved or Declined")))))</f>
      </c>
    </row>
    <row r="261" spans="80:80">
      <c r="CB261" s="131">
        <f>IF($A261="","",_xlfn.LET(_xlpm.sfp,AND($P261&lt;&gt;"",$P261&lt;&gt;"N/A",$P261&lt;&gt;"No Min RQ"),_xlpm.slp,AND($T261&lt;&gt;"",$T261&lt;&gt;"N/A",$T261&lt;&gt;"No Min RQ"),_xlpm.ffp,AND($X261&lt;&gt;"",$X261&lt;&gt;"N/A",$X261&lt;&gt;"No Min RQ"),_xlpm.chp,AND($AB261&lt;&gt;"",$AB261&lt;&gt;"N/A",$AB261&lt;&gt;"No Min RQ"),_xlpm.usp,AND($AF261&lt;&gt;"",$AF261&lt;&gt;"N/A",$AF261&lt;&gt;"No Min RQ"),_xlpm.n,_xlpm.sfp+_xlpm.slp+_xlpm.ffp+_xlpm.chp+_xlpm.usp,_xlpm.sub,(_xlpm.sfp*($P261="Submitted"))+(_xlpm.slp*($T261="Submitted"))+(_xlpm.ffp*($X261="Submitted"))+(_xlpm.chp*($AB261="Submitted"))+(_xlpm.usp*($AF261="Submitted")),_xlpm.term,(_xlpm.sfp*OR($P261="Approved",$P261="Declined"))+(_xlpm.slp*OR($T261="Approved",$T261="Declined"))+(_xlpm.ffp*OR($X261="Approved",$X261="Declined"))+(_xlpm.chp*OR($AB261="Approved",$AB261="Declined"))+(_xlpm.usp*OR($AF261="Approved",$AF261="Declined")),IF(_xlpm.n=0,"No applicable lenders",IF(_xlpm.sub&gt;0,"Stays with Shaw - lender still Submitted",IF(_xlpm.term=_xlpm.n,"Clear - all applicable lenders Approved or Declined","Stays with Shaw - not all lenders Approved or Declined")))))</f>
      </c>
    </row>
    <row r="262" spans="80:80">
      <c r="CB262" s="131">
        <f>IF($A262="","",_xlfn.LET(_xlpm.sfp,AND($P262&lt;&gt;"",$P262&lt;&gt;"N/A",$P262&lt;&gt;"No Min RQ"),_xlpm.slp,AND($T262&lt;&gt;"",$T262&lt;&gt;"N/A",$T262&lt;&gt;"No Min RQ"),_xlpm.ffp,AND($X262&lt;&gt;"",$X262&lt;&gt;"N/A",$X262&lt;&gt;"No Min RQ"),_xlpm.chp,AND($AB262&lt;&gt;"",$AB262&lt;&gt;"N/A",$AB262&lt;&gt;"No Min RQ"),_xlpm.usp,AND($AF262&lt;&gt;"",$AF262&lt;&gt;"N/A",$AF262&lt;&gt;"No Min RQ"),_xlpm.n,_xlpm.sfp+_xlpm.slp+_xlpm.ffp+_xlpm.chp+_xlpm.usp,_xlpm.sub,(_xlpm.sfp*($P262="Submitted"))+(_xlpm.slp*($T262="Submitted"))+(_xlpm.ffp*($X262="Submitted"))+(_xlpm.chp*($AB262="Submitted"))+(_xlpm.usp*($AF262="Submitted")),_xlpm.term,(_xlpm.sfp*OR($P262="Approved",$P262="Declined"))+(_xlpm.slp*OR($T262="Approved",$T262="Declined"))+(_xlpm.ffp*OR($X262="Approved",$X262="Declined"))+(_xlpm.chp*OR($AB262="Approved",$AB262="Declined"))+(_xlpm.usp*OR($AF262="Approved",$AF262="Declined")),IF(_xlpm.n=0,"No applicable lenders",IF(_xlpm.sub&gt;0,"Stays with Shaw - lender still Submitted",IF(_xlpm.term=_xlpm.n,"Clear - all applicable lenders Approved or Declined","Stays with Shaw - not all lenders Approved or Declined")))))</f>
      </c>
    </row>
    <row r="263" spans="80:80">
      <c r="CB263" s="131">
        <f>IF($A263="","",_xlfn.LET(_xlpm.sfp,AND($P263&lt;&gt;"",$P263&lt;&gt;"N/A",$P263&lt;&gt;"No Min RQ"),_xlpm.slp,AND($T263&lt;&gt;"",$T263&lt;&gt;"N/A",$T263&lt;&gt;"No Min RQ"),_xlpm.ffp,AND($X263&lt;&gt;"",$X263&lt;&gt;"N/A",$X263&lt;&gt;"No Min RQ"),_xlpm.chp,AND($AB263&lt;&gt;"",$AB263&lt;&gt;"N/A",$AB263&lt;&gt;"No Min RQ"),_xlpm.usp,AND($AF263&lt;&gt;"",$AF263&lt;&gt;"N/A",$AF263&lt;&gt;"No Min RQ"),_xlpm.n,_xlpm.sfp+_xlpm.slp+_xlpm.ffp+_xlpm.chp+_xlpm.usp,_xlpm.sub,(_xlpm.sfp*($P263="Submitted"))+(_xlpm.slp*($T263="Submitted"))+(_xlpm.ffp*($X263="Submitted"))+(_xlpm.chp*($AB263="Submitted"))+(_xlpm.usp*($AF263="Submitted")),_xlpm.term,(_xlpm.sfp*OR($P263="Approved",$P263="Declined"))+(_xlpm.slp*OR($T263="Approved",$T263="Declined"))+(_xlpm.ffp*OR($X263="Approved",$X263="Declined"))+(_xlpm.chp*OR($AB263="Approved",$AB263="Declined"))+(_xlpm.usp*OR($AF263="Approved",$AF263="Declined")),IF(_xlpm.n=0,"No applicable lenders",IF(_xlpm.sub&gt;0,"Stays with Shaw - lender still Submitted",IF(_xlpm.term=_xlpm.n,"Clear - all applicable lenders Approved or Declined","Stays with Shaw - not all lenders Approved or Declined")))))</f>
      </c>
    </row>
    <row r="264" spans="80:80">
      <c r="CB264" s="131">
        <f>IF($A264="","",_xlfn.LET(_xlpm.sfp,AND($P264&lt;&gt;"",$P264&lt;&gt;"N/A",$P264&lt;&gt;"No Min RQ"),_xlpm.slp,AND($T264&lt;&gt;"",$T264&lt;&gt;"N/A",$T264&lt;&gt;"No Min RQ"),_xlpm.ffp,AND($X264&lt;&gt;"",$X264&lt;&gt;"N/A",$X264&lt;&gt;"No Min RQ"),_xlpm.chp,AND($AB264&lt;&gt;"",$AB264&lt;&gt;"N/A",$AB264&lt;&gt;"No Min RQ"),_xlpm.usp,AND($AF264&lt;&gt;"",$AF264&lt;&gt;"N/A",$AF264&lt;&gt;"No Min RQ"),_xlpm.n,_xlpm.sfp+_xlpm.slp+_xlpm.ffp+_xlpm.chp+_xlpm.usp,_xlpm.sub,(_xlpm.sfp*($P264="Submitted"))+(_xlpm.slp*($T264="Submitted"))+(_xlpm.ffp*($X264="Submitted"))+(_xlpm.chp*($AB264="Submitted"))+(_xlpm.usp*($AF264="Submitted")),_xlpm.term,(_xlpm.sfp*OR($P264="Approved",$P264="Declined"))+(_xlpm.slp*OR($T264="Approved",$T264="Declined"))+(_xlpm.ffp*OR($X264="Approved",$X264="Declined"))+(_xlpm.chp*OR($AB264="Approved",$AB264="Declined"))+(_xlpm.usp*OR($AF264="Approved",$AF264="Declined")),IF(_xlpm.n=0,"No applicable lenders",IF(_xlpm.sub&gt;0,"Stays with Shaw - lender still Submitted",IF(_xlpm.term=_xlpm.n,"Clear - all applicable lenders Approved or Declined","Stays with Shaw - not all lenders Approved or Declined")))))</f>
      </c>
    </row>
    <row r="265" spans="80:80">
      <c r="CB265" s="131">
        <f>IF($A265="","",_xlfn.LET(_xlpm.sfp,AND($P265&lt;&gt;"",$P265&lt;&gt;"N/A",$P265&lt;&gt;"No Min RQ"),_xlpm.slp,AND($T265&lt;&gt;"",$T265&lt;&gt;"N/A",$T265&lt;&gt;"No Min RQ"),_xlpm.ffp,AND($X265&lt;&gt;"",$X265&lt;&gt;"N/A",$X265&lt;&gt;"No Min RQ"),_xlpm.chp,AND($AB265&lt;&gt;"",$AB265&lt;&gt;"N/A",$AB265&lt;&gt;"No Min RQ"),_xlpm.usp,AND($AF265&lt;&gt;"",$AF265&lt;&gt;"N/A",$AF265&lt;&gt;"No Min RQ"),_xlpm.n,_xlpm.sfp+_xlpm.slp+_xlpm.ffp+_xlpm.chp+_xlpm.usp,_xlpm.sub,(_xlpm.sfp*($P265="Submitted"))+(_xlpm.slp*($T265="Submitted"))+(_xlpm.ffp*($X265="Submitted"))+(_xlpm.chp*($AB265="Submitted"))+(_xlpm.usp*($AF265="Submitted")),_xlpm.term,(_xlpm.sfp*OR($P265="Approved",$P265="Declined"))+(_xlpm.slp*OR($T265="Approved",$T265="Declined"))+(_xlpm.ffp*OR($X265="Approved",$X265="Declined"))+(_xlpm.chp*OR($AB265="Approved",$AB265="Declined"))+(_xlpm.usp*OR($AF265="Approved",$AF265="Declined")),IF(_xlpm.n=0,"No applicable lenders",IF(_xlpm.sub&gt;0,"Stays with Shaw - lender still Submitted",IF(_xlpm.term=_xlpm.n,"Clear - all applicable lenders Approved or Declined","Stays with Shaw - not all lenders Approved or Declined")))))</f>
      </c>
    </row>
    <row r="266" spans="80:80">
      <c r="CB266" s="131">
        <f>IF($A266="","",_xlfn.LET(_xlpm.sfp,AND($P266&lt;&gt;"",$P266&lt;&gt;"N/A",$P266&lt;&gt;"No Min RQ"),_xlpm.slp,AND($T266&lt;&gt;"",$T266&lt;&gt;"N/A",$T266&lt;&gt;"No Min RQ"),_xlpm.ffp,AND($X266&lt;&gt;"",$X266&lt;&gt;"N/A",$X266&lt;&gt;"No Min RQ"),_xlpm.chp,AND($AB266&lt;&gt;"",$AB266&lt;&gt;"N/A",$AB266&lt;&gt;"No Min RQ"),_xlpm.usp,AND($AF266&lt;&gt;"",$AF266&lt;&gt;"N/A",$AF266&lt;&gt;"No Min RQ"),_xlpm.n,_xlpm.sfp+_xlpm.slp+_xlpm.ffp+_xlpm.chp+_xlpm.usp,_xlpm.sub,(_xlpm.sfp*($P266="Submitted"))+(_xlpm.slp*($T266="Submitted"))+(_xlpm.ffp*($X266="Submitted"))+(_xlpm.chp*($AB266="Submitted"))+(_xlpm.usp*($AF266="Submitted")),_xlpm.term,(_xlpm.sfp*OR($P266="Approved",$P266="Declined"))+(_xlpm.slp*OR($T266="Approved",$T266="Declined"))+(_xlpm.ffp*OR($X266="Approved",$X266="Declined"))+(_xlpm.chp*OR($AB266="Approved",$AB266="Declined"))+(_xlpm.usp*OR($AF266="Approved",$AF266="Declined")),IF(_xlpm.n=0,"No applicable lenders",IF(_xlpm.sub&gt;0,"Stays with Shaw - lender still Submitted",IF(_xlpm.term=_xlpm.n,"Clear - all applicable lenders Approved or Declined","Stays with Shaw - not all lenders Approved or Declined")))))</f>
      </c>
    </row>
    <row r="267" spans="80:80">
      <c r="CB267" s="131">
        <f>IF($A267="","",_xlfn.LET(_xlpm.sfp,AND($P267&lt;&gt;"",$P267&lt;&gt;"N/A",$P267&lt;&gt;"No Min RQ"),_xlpm.slp,AND($T267&lt;&gt;"",$T267&lt;&gt;"N/A",$T267&lt;&gt;"No Min RQ"),_xlpm.ffp,AND($X267&lt;&gt;"",$X267&lt;&gt;"N/A",$X267&lt;&gt;"No Min RQ"),_xlpm.chp,AND($AB267&lt;&gt;"",$AB267&lt;&gt;"N/A",$AB267&lt;&gt;"No Min RQ"),_xlpm.usp,AND($AF267&lt;&gt;"",$AF267&lt;&gt;"N/A",$AF267&lt;&gt;"No Min RQ"),_xlpm.n,_xlpm.sfp+_xlpm.slp+_xlpm.ffp+_xlpm.chp+_xlpm.usp,_xlpm.sub,(_xlpm.sfp*($P267="Submitted"))+(_xlpm.slp*($T267="Submitted"))+(_xlpm.ffp*($X267="Submitted"))+(_xlpm.chp*($AB267="Submitted"))+(_xlpm.usp*($AF267="Submitted")),_xlpm.term,(_xlpm.sfp*OR($P267="Approved",$P267="Declined"))+(_xlpm.slp*OR($T267="Approved",$T267="Declined"))+(_xlpm.ffp*OR($X267="Approved",$X267="Declined"))+(_xlpm.chp*OR($AB267="Approved",$AB267="Declined"))+(_xlpm.usp*OR($AF267="Approved",$AF267="Declined")),IF(_xlpm.n=0,"No applicable lenders",IF(_xlpm.sub&gt;0,"Stays with Shaw - lender still Submitted",IF(_xlpm.term=_xlpm.n,"Clear - all applicable lenders Approved or Declined","Stays with Shaw - not all lenders Approved or Declined")))))</f>
      </c>
    </row>
    <row r="268" spans="80:80">
      <c r="CB268" s="131">
        <f>IF($A268="","",_xlfn.LET(_xlpm.sfp,AND($P268&lt;&gt;"",$P268&lt;&gt;"N/A",$P268&lt;&gt;"No Min RQ"),_xlpm.slp,AND($T268&lt;&gt;"",$T268&lt;&gt;"N/A",$T268&lt;&gt;"No Min RQ"),_xlpm.ffp,AND($X268&lt;&gt;"",$X268&lt;&gt;"N/A",$X268&lt;&gt;"No Min RQ"),_xlpm.chp,AND($AB268&lt;&gt;"",$AB268&lt;&gt;"N/A",$AB268&lt;&gt;"No Min RQ"),_xlpm.usp,AND($AF268&lt;&gt;"",$AF268&lt;&gt;"N/A",$AF268&lt;&gt;"No Min RQ"),_xlpm.n,_xlpm.sfp+_xlpm.slp+_xlpm.ffp+_xlpm.chp+_xlpm.usp,_xlpm.sub,(_xlpm.sfp*($P268="Submitted"))+(_xlpm.slp*($T268="Submitted"))+(_xlpm.ffp*($X268="Submitted"))+(_xlpm.chp*($AB268="Submitted"))+(_xlpm.usp*($AF268="Submitted")),_xlpm.term,(_xlpm.sfp*OR($P268="Approved",$P268="Declined"))+(_xlpm.slp*OR($T268="Approved",$T268="Declined"))+(_xlpm.ffp*OR($X268="Approved",$X268="Declined"))+(_xlpm.chp*OR($AB268="Approved",$AB268="Declined"))+(_xlpm.usp*OR($AF268="Approved",$AF268="Declined")),IF(_xlpm.n=0,"No applicable lenders",IF(_xlpm.sub&gt;0,"Stays with Shaw - lender still Submitted",IF(_xlpm.term=_xlpm.n,"Clear - all applicable lenders Approved or Declined","Stays with Shaw - not all lenders Approved or Declined")))))</f>
      </c>
    </row>
    <row r="269" spans="80:80">
      <c r="CB269" s="131">
        <f>IF($A269="","",_xlfn.LET(_xlpm.sfp,AND($P269&lt;&gt;"",$P269&lt;&gt;"N/A",$P269&lt;&gt;"No Min RQ"),_xlpm.slp,AND($T269&lt;&gt;"",$T269&lt;&gt;"N/A",$T269&lt;&gt;"No Min RQ"),_xlpm.ffp,AND($X269&lt;&gt;"",$X269&lt;&gt;"N/A",$X269&lt;&gt;"No Min RQ"),_xlpm.chp,AND($AB269&lt;&gt;"",$AB269&lt;&gt;"N/A",$AB269&lt;&gt;"No Min RQ"),_xlpm.usp,AND($AF269&lt;&gt;"",$AF269&lt;&gt;"N/A",$AF269&lt;&gt;"No Min RQ"),_xlpm.n,_xlpm.sfp+_xlpm.slp+_xlpm.ffp+_xlpm.chp+_xlpm.usp,_xlpm.sub,(_xlpm.sfp*($P269="Submitted"))+(_xlpm.slp*($T269="Submitted"))+(_xlpm.ffp*($X269="Submitted"))+(_xlpm.chp*($AB269="Submitted"))+(_xlpm.usp*($AF269="Submitted")),_xlpm.term,(_xlpm.sfp*OR($P269="Approved",$P269="Declined"))+(_xlpm.slp*OR($T269="Approved",$T269="Declined"))+(_xlpm.ffp*OR($X269="Approved",$X269="Declined"))+(_xlpm.chp*OR($AB269="Approved",$AB269="Declined"))+(_xlpm.usp*OR($AF269="Approved",$AF269="Declined")),IF(_xlpm.n=0,"No applicable lenders",IF(_xlpm.sub&gt;0,"Stays with Shaw - lender still Submitted",IF(_xlpm.term=_xlpm.n,"Clear - all applicable lenders Approved or Declined","Stays with Shaw - not all lenders Approved or Declined")))))</f>
      </c>
    </row>
    <row r="270" spans="80:80">
      <c r="CB270" s="131">
        <f>IF($A270="","",_xlfn.LET(_xlpm.sfp,AND($P270&lt;&gt;"",$P270&lt;&gt;"N/A",$P270&lt;&gt;"No Min RQ"),_xlpm.slp,AND($T270&lt;&gt;"",$T270&lt;&gt;"N/A",$T270&lt;&gt;"No Min RQ"),_xlpm.ffp,AND($X270&lt;&gt;"",$X270&lt;&gt;"N/A",$X270&lt;&gt;"No Min RQ"),_xlpm.chp,AND($AB270&lt;&gt;"",$AB270&lt;&gt;"N/A",$AB270&lt;&gt;"No Min RQ"),_xlpm.usp,AND($AF270&lt;&gt;"",$AF270&lt;&gt;"N/A",$AF270&lt;&gt;"No Min RQ"),_xlpm.n,_xlpm.sfp+_xlpm.slp+_xlpm.ffp+_xlpm.chp+_xlpm.usp,_xlpm.sub,(_xlpm.sfp*($P270="Submitted"))+(_xlpm.slp*($T270="Submitted"))+(_xlpm.ffp*($X270="Submitted"))+(_xlpm.chp*($AB270="Submitted"))+(_xlpm.usp*($AF270="Submitted")),_xlpm.term,(_xlpm.sfp*OR($P270="Approved",$P270="Declined"))+(_xlpm.slp*OR($T270="Approved",$T270="Declined"))+(_xlpm.ffp*OR($X270="Approved",$X270="Declined"))+(_xlpm.chp*OR($AB270="Approved",$AB270="Declined"))+(_xlpm.usp*OR($AF270="Approved",$AF270="Declined")),IF(_xlpm.n=0,"No applicable lenders",IF(_xlpm.sub&gt;0,"Stays with Shaw - lender still Submitted",IF(_xlpm.term=_xlpm.n,"Clear - all applicable lenders Approved or Declined","Stays with Shaw - not all lenders Approved or Declined")))))</f>
      </c>
    </row>
    <row r="271" spans="80:80">
      <c r="CB271" s="131">
        <f>IF($A271="","",_xlfn.LET(_xlpm.sfp,AND($P271&lt;&gt;"",$P271&lt;&gt;"N/A",$P271&lt;&gt;"No Min RQ"),_xlpm.slp,AND($T271&lt;&gt;"",$T271&lt;&gt;"N/A",$T271&lt;&gt;"No Min RQ"),_xlpm.ffp,AND($X271&lt;&gt;"",$X271&lt;&gt;"N/A",$X271&lt;&gt;"No Min RQ"),_xlpm.chp,AND($AB271&lt;&gt;"",$AB271&lt;&gt;"N/A",$AB271&lt;&gt;"No Min RQ"),_xlpm.usp,AND($AF271&lt;&gt;"",$AF271&lt;&gt;"N/A",$AF271&lt;&gt;"No Min RQ"),_xlpm.n,_xlpm.sfp+_xlpm.slp+_xlpm.ffp+_xlpm.chp+_xlpm.usp,_xlpm.sub,(_xlpm.sfp*($P271="Submitted"))+(_xlpm.slp*($T271="Submitted"))+(_xlpm.ffp*($X271="Submitted"))+(_xlpm.chp*($AB271="Submitted"))+(_xlpm.usp*($AF271="Submitted")),_xlpm.term,(_xlpm.sfp*OR($P271="Approved",$P271="Declined"))+(_xlpm.slp*OR($T271="Approved",$T271="Declined"))+(_xlpm.ffp*OR($X271="Approved",$X271="Declined"))+(_xlpm.chp*OR($AB271="Approved",$AB271="Declined"))+(_xlpm.usp*OR($AF271="Approved",$AF271="Declined")),IF(_xlpm.n=0,"No applicable lenders",IF(_xlpm.sub&gt;0,"Stays with Shaw - lender still Submitted",IF(_xlpm.term=_xlpm.n,"Clear - all applicable lenders Approved or Declined","Stays with Shaw - not all lenders Approved or Declined")))))</f>
      </c>
    </row>
    <row r="272" spans="80:80">
      <c r="CB272" s="131">
        <f>IF($A272="","",_xlfn.LET(_xlpm.sfp,AND($P272&lt;&gt;"",$P272&lt;&gt;"N/A",$P272&lt;&gt;"No Min RQ"),_xlpm.slp,AND($T272&lt;&gt;"",$T272&lt;&gt;"N/A",$T272&lt;&gt;"No Min RQ"),_xlpm.ffp,AND($X272&lt;&gt;"",$X272&lt;&gt;"N/A",$X272&lt;&gt;"No Min RQ"),_xlpm.chp,AND($AB272&lt;&gt;"",$AB272&lt;&gt;"N/A",$AB272&lt;&gt;"No Min RQ"),_xlpm.usp,AND($AF272&lt;&gt;"",$AF272&lt;&gt;"N/A",$AF272&lt;&gt;"No Min RQ"),_xlpm.n,_xlpm.sfp+_xlpm.slp+_xlpm.ffp+_xlpm.chp+_xlpm.usp,_xlpm.sub,(_xlpm.sfp*($P272="Submitted"))+(_xlpm.slp*($T272="Submitted"))+(_xlpm.ffp*($X272="Submitted"))+(_xlpm.chp*($AB272="Submitted"))+(_xlpm.usp*($AF272="Submitted")),_xlpm.term,(_xlpm.sfp*OR($P272="Approved",$P272="Declined"))+(_xlpm.slp*OR($T272="Approved",$T272="Declined"))+(_xlpm.ffp*OR($X272="Approved",$X272="Declined"))+(_xlpm.chp*OR($AB272="Approved",$AB272="Declined"))+(_xlpm.usp*OR($AF272="Approved",$AF272="Declined")),IF(_xlpm.n=0,"No applicable lenders",IF(_xlpm.sub&gt;0,"Stays with Shaw - lender still Submitted",IF(_xlpm.term=_xlpm.n,"Clear - all applicable lenders Approved or Declined","Stays with Shaw - not all lenders Approved or Declined")))))</f>
      </c>
    </row>
    <row r="273" spans="80:80">
      <c r="CB273" s="131">
        <f>IF($A273="","",_xlfn.LET(_xlpm.sfp,AND($P273&lt;&gt;"",$P273&lt;&gt;"N/A",$P273&lt;&gt;"No Min RQ"),_xlpm.slp,AND($T273&lt;&gt;"",$T273&lt;&gt;"N/A",$T273&lt;&gt;"No Min RQ"),_xlpm.ffp,AND($X273&lt;&gt;"",$X273&lt;&gt;"N/A",$X273&lt;&gt;"No Min RQ"),_xlpm.chp,AND($AB273&lt;&gt;"",$AB273&lt;&gt;"N/A",$AB273&lt;&gt;"No Min RQ"),_xlpm.usp,AND($AF273&lt;&gt;"",$AF273&lt;&gt;"N/A",$AF273&lt;&gt;"No Min RQ"),_xlpm.n,_xlpm.sfp+_xlpm.slp+_xlpm.ffp+_xlpm.chp+_xlpm.usp,_xlpm.sub,(_xlpm.sfp*($P273="Submitted"))+(_xlpm.slp*($T273="Submitted"))+(_xlpm.ffp*($X273="Submitted"))+(_xlpm.chp*($AB273="Submitted"))+(_xlpm.usp*($AF273="Submitted")),_xlpm.term,(_xlpm.sfp*OR($P273="Approved",$P273="Declined"))+(_xlpm.slp*OR($T273="Approved",$T273="Declined"))+(_xlpm.ffp*OR($X273="Approved",$X273="Declined"))+(_xlpm.chp*OR($AB273="Approved",$AB273="Declined"))+(_xlpm.usp*OR($AF273="Approved",$AF273="Declined")),IF(_xlpm.n=0,"No applicable lenders",IF(_xlpm.sub&gt;0,"Stays with Shaw - lender still Submitted",IF(_xlpm.term=_xlpm.n,"Clear - all applicable lenders Approved or Declined","Stays with Shaw - not all lenders Approved or Declined")))))</f>
      </c>
    </row>
    <row r="274" spans="80:80">
      <c r="CB274" s="131">
        <f>IF($A274="","",_xlfn.LET(_xlpm.sfp,AND($P274&lt;&gt;"",$P274&lt;&gt;"N/A",$P274&lt;&gt;"No Min RQ"),_xlpm.slp,AND($T274&lt;&gt;"",$T274&lt;&gt;"N/A",$T274&lt;&gt;"No Min RQ"),_xlpm.ffp,AND($X274&lt;&gt;"",$X274&lt;&gt;"N/A",$X274&lt;&gt;"No Min RQ"),_xlpm.chp,AND($AB274&lt;&gt;"",$AB274&lt;&gt;"N/A",$AB274&lt;&gt;"No Min RQ"),_xlpm.usp,AND($AF274&lt;&gt;"",$AF274&lt;&gt;"N/A",$AF274&lt;&gt;"No Min RQ"),_xlpm.n,_xlpm.sfp+_xlpm.slp+_xlpm.ffp+_xlpm.chp+_xlpm.usp,_xlpm.sub,(_xlpm.sfp*($P274="Submitted"))+(_xlpm.slp*($T274="Submitted"))+(_xlpm.ffp*($X274="Submitted"))+(_xlpm.chp*($AB274="Submitted"))+(_xlpm.usp*($AF274="Submitted")),_xlpm.term,(_xlpm.sfp*OR($P274="Approved",$P274="Declined"))+(_xlpm.slp*OR($T274="Approved",$T274="Declined"))+(_xlpm.ffp*OR($X274="Approved",$X274="Declined"))+(_xlpm.chp*OR($AB274="Approved",$AB274="Declined"))+(_xlpm.usp*OR($AF274="Approved",$AF274="Declined")),IF(_xlpm.n=0,"No applicable lenders",IF(_xlpm.sub&gt;0,"Stays with Shaw - lender still Submitted",IF(_xlpm.term=_xlpm.n,"Clear - all applicable lenders Approved or Declined","Stays with Shaw - not all lenders Approved or Declined")))))</f>
      </c>
    </row>
    <row r="275" spans="80:80">
      <c r="CB275" s="131">
        <f>IF($A275="","",_xlfn.LET(_xlpm.sfp,AND($P275&lt;&gt;"",$P275&lt;&gt;"N/A",$P275&lt;&gt;"No Min RQ"),_xlpm.slp,AND($T275&lt;&gt;"",$T275&lt;&gt;"N/A",$T275&lt;&gt;"No Min RQ"),_xlpm.ffp,AND($X275&lt;&gt;"",$X275&lt;&gt;"N/A",$X275&lt;&gt;"No Min RQ"),_xlpm.chp,AND($AB275&lt;&gt;"",$AB275&lt;&gt;"N/A",$AB275&lt;&gt;"No Min RQ"),_xlpm.usp,AND($AF275&lt;&gt;"",$AF275&lt;&gt;"N/A",$AF275&lt;&gt;"No Min RQ"),_xlpm.n,_xlpm.sfp+_xlpm.slp+_xlpm.ffp+_xlpm.chp+_xlpm.usp,_xlpm.sub,(_xlpm.sfp*($P275="Submitted"))+(_xlpm.slp*($T275="Submitted"))+(_xlpm.ffp*($X275="Submitted"))+(_xlpm.chp*($AB275="Submitted"))+(_xlpm.usp*($AF275="Submitted")),_xlpm.term,(_xlpm.sfp*OR($P275="Approved",$P275="Declined"))+(_xlpm.slp*OR($T275="Approved",$T275="Declined"))+(_xlpm.ffp*OR($X275="Approved",$X275="Declined"))+(_xlpm.chp*OR($AB275="Approved",$AB275="Declined"))+(_xlpm.usp*OR($AF275="Approved",$AF275="Declined")),IF(_xlpm.n=0,"No applicable lenders",IF(_xlpm.sub&gt;0,"Stays with Shaw - lender still Submitted",IF(_xlpm.term=_xlpm.n,"Clear - all applicable lenders Approved or Declined","Stays with Shaw - not all lenders Approved or Declined")))))</f>
      </c>
    </row>
    <row r="276" spans="80:80">
      <c r="CB276" s="131">
        <f>IF($A276="","",_xlfn.LET(_xlpm.sfp,AND($P276&lt;&gt;"",$P276&lt;&gt;"N/A",$P276&lt;&gt;"No Min RQ"),_xlpm.slp,AND($T276&lt;&gt;"",$T276&lt;&gt;"N/A",$T276&lt;&gt;"No Min RQ"),_xlpm.ffp,AND($X276&lt;&gt;"",$X276&lt;&gt;"N/A",$X276&lt;&gt;"No Min RQ"),_xlpm.chp,AND($AB276&lt;&gt;"",$AB276&lt;&gt;"N/A",$AB276&lt;&gt;"No Min RQ"),_xlpm.usp,AND($AF276&lt;&gt;"",$AF276&lt;&gt;"N/A",$AF276&lt;&gt;"No Min RQ"),_xlpm.n,_xlpm.sfp+_xlpm.slp+_xlpm.ffp+_xlpm.chp+_xlpm.usp,_xlpm.sub,(_xlpm.sfp*($P276="Submitted"))+(_xlpm.slp*($T276="Submitted"))+(_xlpm.ffp*($X276="Submitted"))+(_xlpm.chp*($AB276="Submitted"))+(_xlpm.usp*($AF276="Submitted")),_xlpm.term,(_xlpm.sfp*OR($P276="Approved",$P276="Declined"))+(_xlpm.slp*OR($T276="Approved",$T276="Declined"))+(_xlpm.ffp*OR($X276="Approved",$X276="Declined"))+(_xlpm.chp*OR($AB276="Approved",$AB276="Declined"))+(_xlpm.usp*OR($AF276="Approved",$AF276="Declined")),IF(_xlpm.n=0,"No applicable lenders",IF(_xlpm.sub&gt;0,"Stays with Shaw - lender still Submitted",IF(_xlpm.term=_xlpm.n,"Clear - all applicable lenders Approved or Declined","Stays with Shaw - not all lenders Approved or Declined")))))</f>
      </c>
    </row>
    <row r="277" spans="80:80">
      <c r="CB277" s="131">
        <f>IF($A277="","",_xlfn.LET(_xlpm.sfp,AND($P277&lt;&gt;"",$P277&lt;&gt;"N/A",$P277&lt;&gt;"No Min RQ"),_xlpm.slp,AND($T277&lt;&gt;"",$T277&lt;&gt;"N/A",$T277&lt;&gt;"No Min RQ"),_xlpm.ffp,AND($X277&lt;&gt;"",$X277&lt;&gt;"N/A",$X277&lt;&gt;"No Min RQ"),_xlpm.chp,AND($AB277&lt;&gt;"",$AB277&lt;&gt;"N/A",$AB277&lt;&gt;"No Min RQ"),_xlpm.usp,AND($AF277&lt;&gt;"",$AF277&lt;&gt;"N/A",$AF277&lt;&gt;"No Min RQ"),_xlpm.n,_xlpm.sfp+_xlpm.slp+_xlpm.ffp+_xlpm.chp+_xlpm.usp,_xlpm.sub,(_xlpm.sfp*($P277="Submitted"))+(_xlpm.slp*($T277="Submitted"))+(_xlpm.ffp*($X277="Submitted"))+(_xlpm.chp*($AB277="Submitted"))+(_xlpm.usp*($AF277="Submitted")),_xlpm.term,(_xlpm.sfp*OR($P277="Approved",$P277="Declined"))+(_xlpm.slp*OR($T277="Approved",$T277="Declined"))+(_xlpm.ffp*OR($X277="Approved",$X277="Declined"))+(_xlpm.chp*OR($AB277="Approved",$AB277="Declined"))+(_xlpm.usp*OR($AF277="Approved",$AF277="Declined")),IF(_xlpm.n=0,"No applicable lenders",IF(_xlpm.sub&gt;0,"Stays with Shaw - lender still Submitted",IF(_xlpm.term=_xlpm.n,"Clear - all applicable lenders Approved or Declined","Stays with Shaw - not all lenders Approved or Declined")))))</f>
      </c>
    </row>
    <row r="278" spans="80:80">
      <c r="CB278" s="131">
        <f>IF($A278="","",_xlfn.LET(_xlpm.sfp,AND($P278&lt;&gt;"",$P278&lt;&gt;"N/A",$P278&lt;&gt;"No Min RQ"),_xlpm.slp,AND($T278&lt;&gt;"",$T278&lt;&gt;"N/A",$T278&lt;&gt;"No Min RQ"),_xlpm.ffp,AND($X278&lt;&gt;"",$X278&lt;&gt;"N/A",$X278&lt;&gt;"No Min RQ"),_xlpm.chp,AND($AB278&lt;&gt;"",$AB278&lt;&gt;"N/A",$AB278&lt;&gt;"No Min RQ"),_xlpm.usp,AND($AF278&lt;&gt;"",$AF278&lt;&gt;"N/A",$AF278&lt;&gt;"No Min RQ"),_xlpm.n,_xlpm.sfp+_xlpm.slp+_xlpm.ffp+_xlpm.chp+_xlpm.usp,_xlpm.sub,(_xlpm.sfp*($P278="Submitted"))+(_xlpm.slp*($T278="Submitted"))+(_xlpm.ffp*($X278="Submitted"))+(_xlpm.chp*($AB278="Submitted"))+(_xlpm.usp*($AF278="Submitted")),_xlpm.term,(_xlpm.sfp*OR($P278="Approved",$P278="Declined"))+(_xlpm.slp*OR($T278="Approved",$T278="Declined"))+(_xlpm.ffp*OR($X278="Approved",$X278="Declined"))+(_xlpm.chp*OR($AB278="Approved",$AB278="Declined"))+(_xlpm.usp*OR($AF278="Approved",$AF278="Declined")),IF(_xlpm.n=0,"No applicable lenders",IF(_xlpm.sub&gt;0,"Stays with Shaw - lender still Submitted",IF(_xlpm.term=_xlpm.n,"Clear - all applicable lenders Approved or Declined","Stays with Shaw - not all lenders Approved or Declined")))))</f>
      </c>
    </row>
    <row r="279" spans="80:80">
      <c r="CB279" s="131">
        <f>IF($A279="","",_xlfn.LET(_xlpm.sfp,AND($P279&lt;&gt;"",$P279&lt;&gt;"N/A",$P279&lt;&gt;"No Min RQ"),_xlpm.slp,AND($T279&lt;&gt;"",$T279&lt;&gt;"N/A",$T279&lt;&gt;"No Min RQ"),_xlpm.ffp,AND($X279&lt;&gt;"",$X279&lt;&gt;"N/A",$X279&lt;&gt;"No Min RQ"),_xlpm.chp,AND($AB279&lt;&gt;"",$AB279&lt;&gt;"N/A",$AB279&lt;&gt;"No Min RQ"),_xlpm.usp,AND($AF279&lt;&gt;"",$AF279&lt;&gt;"N/A",$AF279&lt;&gt;"No Min RQ"),_xlpm.n,_xlpm.sfp+_xlpm.slp+_xlpm.ffp+_xlpm.chp+_xlpm.usp,_xlpm.sub,(_xlpm.sfp*($P279="Submitted"))+(_xlpm.slp*($T279="Submitted"))+(_xlpm.ffp*($X279="Submitted"))+(_xlpm.chp*($AB279="Submitted"))+(_xlpm.usp*($AF279="Submitted")),_xlpm.term,(_xlpm.sfp*OR($P279="Approved",$P279="Declined"))+(_xlpm.slp*OR($T279="Approved",$T279="Declined"))+(_xlpm.ffp*OR($X279="Approved",$X279="Declined"))+(_xlpm.chp*OR($AB279="Approved",$AB279="Declined"))+(_xlpm.usp*OR($AF279="Approved",$AF279="Declined")),IF(_xlpm.n=0,"No applicable lenders",IF(_xlpm.sub&gt;0,"Stays with Shaw - lender still Submitted",IF(_xlpm.term=_xlpm.n,"Clear - all applicable lenders Approved or Declined","Stays with Shaw - not all lenders Approved or Declined")))))</f>
      </c>
    </row>
    <row r="280" spans="80:80">
      <c r="CB280" s="131">
        <f>IF($A280="","",_xlfn.LET(_xlpm.sfp,AND($P280&lt;&gt;"",$P280&lt;&gt;"N/A",$P280&lt;&gt;"No Min RQ"),_xlpm.slp,AND($T280&lt;&gt;"",$T280&lt;&gt;"N/A",$T280&lt;&gt;"No Min RQ"),_xlpm.ffp,AND($X280&lt;&gt;"",$X280&lt;&gt;"N/A",$X280&lt;&gt;"No Min RQ"),_xlpm.chp,AND($AB280&lt;&gt;"",$AB280&lt;&gt;"N/A",$AB280&lt;&gt;"No Min RQ"),_xlpm.usp,AND($AF280&lt;&gt;"",$AF280&lt;&gt;"N/A",$AF280&lt;&gt;"No Min RQ"),_xlpm.n,_xlpm.sfp+_xlpm.slp+_xlpm.ffp+_xlpm.chp+_xlpm.usp,_xlpm.sub,(_xlpm.sfp*($P280="Submitted"))+(_xlpm.slp*($T280="Submitted"))+(_xlpm.ffp*($X280="Submitted"))+(_xlpm.chp*($AB280="Submitted"))+(_xlpm.usp*($AF280="Submitted")),_xlpm.term,(_xlpm.sfp*OR($P280="Approved",$P280="Declined"))+(_xlpm.slp*OR($T280="Approved",$T280="Declined"))+(_xlpm.ffp*OR($X280="Approved",$X280="Declined"))+(_xlpm.chp*OR($AB280="Approved",$AB280="Declined"))+(_xlpm.usp*OR($AF280="Approved",$AF280="Declined")),IF(_xlpm.n=0,"No applicable lenders",IF(_xlpm.sub&gt;0,"Stays with Shaw - lender still Submitted",IF(_xlpm.term=_xlpm.n,"Clear - all applicable lenders Approved or Declined","Stays with Shaw - not all lenders Approved or Declined")))))</f>
      </c>
    </row>
    <row r="281" spans="80:80">
      <c r="CB281" s="131">
        <f>IF($A281="","",_xlfn.LET(_xlpm.sfp,AND($P281&lt;&gt;"",$P281&lt;&gt;"N/A",$P281&lt;&gt;"No Min RQ"),_xlpm.slp,AND($T281&lt;&gt;"",$T281&lt;&gt;"N/A",$T281&lt;&gt;"No Min RQ"),_xlpm.ffp,AND($X281&lt;&gt;"",$X281&lt;&gt;"N/A",$X281&lt;&gt;"No Min RQ"),_xlpm.chp,AND($AB281&lt;&gt;"",$AB281&lt;&gt;"N/A",$AB281&lt;&gt;"No Min RQ"),_xlpm.usp,AND($AF281&lt;&gt;"",$AF281&lt;&gt;"N/A",$AF281&lt;&gt;"No Min RQ"),_xlpm.n,_xlpm.sfp+_xlpm.slp+_xlpm.ffp+_xlpm.chp+_xlpm.usp,_xlpm.sub,(_xlpm.sfp*($P281="Submitted"))+(_xlpm.slp*($T281="Submitted"))+(_xlpm.ffp*($X281="Submitted"))+(_xlpm.chp*($AB281="Submitted"))+(_xlpm.usp*($AF281="Submitted")),_xlpm.term,(_xlpm.sfp*OR($P281="Approved",$P281="Declined"))+(_xlpm.slp*OR($T281="Approved",$T281="Declined"))+(_xlpm.ffp*OR($X281="Approved",$X281="Declined"))+(_xlpm.chp*OR($AB281="Approved",$AB281="Declined"))+(_xlpm.usp*OR($AF281="Approved",$AF281="Declined")),IF(_xlpm.n=0,"No applicable lenders",IF(_xlpm.sub&gt;0,"Stays with Shaw - lender still Submitted",IF(_xlpm.term=_xlpm.n,"Clear - all applicable lenders Approved or Declined","Stays with Shaw - not all lenders Approved or Declined")))))</f>
      </c>
    </row>
    <row r="282" spans="80:80">
      <c r="CB282" s="131">
        <f>IF($A282="","",_xlfn.LET(_xlpm.sfp,AND($P282&lt;&gt;"",$P282&lt;&gt;"N/A",$P282&lt;&gt;"No Min RQ"),_xlpm.slp,AND($T282&lt;&gt;"",$T282&lt;&gt;"N/A",$T282&lt;&gt;"No Min RQ"),_xlpm.ffp,AND($X282&lt;&gt;"",$X282&lt;&gt;"N/A",$X282&lt;&gt;"No Min RQ"),_xlpm.chp,AND($AB282&lt;&gt;"",$AB282&lt;&gt;"N/A",$AB282&lt;&gt;"No Min RQ"),_xlpm.usp,AND($AF282&lt;&gt;"",$AF282&lt;&gt;"N/A",$AF282&lt;&gt;"No Min RQ"),_xlpm.n,_xlpm.sfp+_xlpm.slp+_xlpm.ffp+_xlpm.chp+_xlpm.usp,_xlpm.sub,(_xlpm.sfp*($P282="Submitted"))+(_xlpm.slp*($T282="Submitted"))+(_xlpm.ffp*($X282="Submitted"))+(_xlpm.chp*($AB282="Submitted"))+(_xlpm.usp*($AF282="Submitted")),_xlpm.term,(_xlpm.sfp*OR($P282="Approved",$P282="Declined"))+(_xlpm.slp*OR($T282="Approved",$T282="Declined"))+(_xlpm.ffp*OR($X282="Approved",$X282="Declined"))+(_xlpm.chp*OR($AB282="Approved",$AB282="Declined"))+(_xlpm.usp*OR($AF282="Approved",$AF282="Declined")),IF(_xlpm.n=0,"No applicable lenders",IF(_xlpm.sub&gt;0,"Stays with Shaw - lender still Submitted",IF(_xlpm.term=_xlpm.n,"Clear - all applicable lenders Approved or Declined","Stays with Shaw - not all lenders Approved or Declined")))))</f>
      </c>
    </row>
    <row r="283" spans="80:80">
      <c r="CB283" s="131">
        <f>IF($A283="","",_xlfn.LET(_xlpm.sfp,AND($P283&lt;&gt;"",$P283&lt;&gt;"N/A",$P283&lt;&gt;"No Min RQ"),_xlpm.slp,AND($T283&lt;&gt;"",$T283&lt;&gt;"N/A",$T283&lt;&gt;"No Min RQ"),_xlpm.ffp,AND($X283&lt;&gt;"",$X283&lt;&gt;"N/A",$X283&lt;&gt;"No Min RQ"),_xlpm.chp,AND($AB283&lt;&gt;"",$AB283&lt;&gt;"N/A",$AB283&lt;&gt;"No Min RQ"),_xlpm.usp,AND($AF283&lt;&gt;"",$AF283&lt;&gt;"N/A",$AF283&lt;&gt;"No Min RQ"),_xlpm.n,_xlpm.sfp+_xlpm.slp+_xlpm.ffp+_xlpm.chp+_xlpm.usp,_xlpm.sub,(_xlpm.sfp*($P283="Submitted"))+(_xlpm.slp*($T283="Submitted"))+(_xlpm.ffp*($X283="Submitted"))+(_xlpm.chp*($AB283="Submitted"))+(_xlpm.usp*($AF283="Submitted")),_xlpm.term,(_xlpm.sfp*OR($P283="Approved",$P283="Declined"))+(_xlpm.slp*OR($T283="Approved",$T283="Declined"))+(_xlpm.ffp*OR($X283="Approved",$X283="Declined"))+(_xlpm.chp*OR($AB283="Approved",$AB283="Declined"))+(_xlpm.usp*OR($AF283="Approved",$AF283="Declined")),IF(_xlpm.n=0,"No applicable lenders",IF(_xlpm.sub&gt;0,"Stays with Shaw - lender still Submitted",IF(_xlpm.term=_xlpm.n,"Clear - all applicable lenders Approved or Declined","Stays with Shaw - not all lenders Approved or Declined")))))</f>
      </c>
    </row>
    <row r="284" spans="80:80">
      <c r="CB284" s="131">
        <f>IF($A284="","",_xlfn.LET(_xlpm.sfp,AND($P284&lt;&gt;"",$P284&lt;&gt;"N/A",$P284&lt;&gt;"No Min RQ"),_xlpm.slp,AND($T284&lt;&gt;"",$T284&lt;&gt;"N/A",$T284&lt;&gt;"No Min RQ"),_xlpm.ffp,AND($X284&lt;&gt;"",$X284&lt;&gt;"N/A",$X284&lt;&gt;"No Min RQ"),_xlpm.chp,AND($AB284&lt;&gt;"",$AB284&lt;&gt;"N/A",$AB284&lt;&gt;"No Min RQ"),_xlpm.usp,AND($AF284&lt;&gt;"",$AF284&lt;&gt;"N/A",$AF284&lt;&gt;"No Min RQ"),_xlpm.n,_xlpm.sfp+_xlpm.slp+_xlpm.ffp+_xlpm.chp+_xlpm.usp,_xlpm.sub,(_xlpm.sfp*($P284="Submitted"))+(_xlpm.slp*($T284="Submitted"))+(_xlpm.ffp*($X284="Submitted"))+(_xlpm.chp*($AB284="Submitted"))+(_xlpm.usp*($AF284="Submitted")),_xlpm.term,(_xlpm.sfp*OR($P284="Approved",$P284="Declined"))+(_xlpm.slp*OR($T284="Approved",$T284="Declined"))+(_xlpm.ffp*OR($X284="Approved",$X284="Declined"))+(_xlpm.chp*OR($AB284="Approved",$AB284="Declined"))+(_xlpm.usp*OR($AF284="Approved",$AF284="Declined")),IF(_xlpm.n=0,"No applicable lenders",IF(_xlpm.sub&gt;0,"Stays with Shaw - lender still Submitted",IF(_xlpm.term=_xlpm.n,"Clear - all applicable lenders Approved or Declined","Stays with Shaw - not all lenders Approved or Declined")))))</f>
      </c>
    </row>
    <row r="285" spans="80:80">
      <c r="CB285" s="131">
        <f>IF($A285="","",_xlfn.LET(_xlpm.sfp,AND($P285&lt;&gt;"",$P285&lt;&gt;"N/A",$P285&lt;&gt;"No Min RQ"),_xlpm.slp,AND($T285&lt;&gt;"",$T285&lt;&gt;"N/A",$T285&lt;&gt;"No Min RQ"),_xlpm.ffp,AND($X285&lt;&gt;"",$X285&lt;&gt;"N/A",$X285&lt;&gt;"No Min RQ"),_xlpm.chp,AND($AB285&lt;&gt;"",$AB285&lt;&gt;"N/A",$AB285&lt;&gt;"No Min RQ"),_xlpm.usp,AND($AF285&lt;&gt;"",$AF285&lt;&gt;"N/A",$AF285&lt;&gt;"No Min RQ"),_xlpm.n,_xlpm.sfp+_xlpm.slp+_xlpm.ffp+_xlpm.chp+_xlpm.usp,_xlpm.sub,(_xlpm.sfp*($P285="Submitted"))+(_xlpm.slp*($T285="Submitted"))+(_xlpm.ffp*($X285="Submitted"))+(_xlpm.chp*($AB285="Submitted"))+(_xlpm.usp*($AF285="Submitted")),_xlpm.term,(_xlpm.sfp*OR($P285="Approved",$P285="Declined"))+(_xlpm.slp*OR($T285="Approved",$T285="Declined"))+(_xlpm.ffp*OR($X285="Approved",$X285="Declined"))+(_xlpm.chp*OR($AB285="Approved",$AB285="Declined"))+(_xlpm.usp*OR($AF285="Approved",$AF285="Declined")),IF(_xlpm.n=0,"No applicable lenders",IF(_xlpm.sub&gt;0,"Stays with Shaw - lender still Submitted",IF(_xlpm.term=_xlpm.n,"Clear - all applicable lenders Approved or Declined","Stays with Shaw - not all lenders Approved or Declined")))))</f>
      </c>
    </row>
    <row r="286" spans="80:80">
      <c r="CB286" s="131">
        <f>IF($A286="","",_xlfn.LET(_xlpm.sfp,AND($P286&lt;&gt;"",$P286&lt;&gt;"N/A",$P286&lt;&gt;"No Min RQ"),_xlpm.slp,AND($T286&lt;&gt;"",$T286&lt;&gt;"N/A",$T286&lt;&gt;"No Min RQ"),_xlpm.ffp,AND($X286&lt;&gt;"",$X286&lt;&gt;"N/A",$X286&lt;&gt;"No Min RQ"),_xlpm.chp,AND($AB286&lt;&gt;"",$AB286&lt;&gt;"N/A",$AB286&lt;&gt;"No Min RQ"),_xlpm.usp,AND($AF286&lt;&gt;"",$AF286&lt;&gt;"N/A",$AF286&lt;&gt;"No Min RQ"),_xlpm.n,_xlpm.sfp+_xlpm.slp+_xlpm.ffp+_xlpm.chp+_xlpm.usp,_xlpm.sub,(_xlpm.sfp*($P286="Submitted"))+(_xlpm.slp*($T286="Submitted"))+(_xlpm.ffp*($X286="Submitted"))+(_xlpm.chp*($AB286="Submitted"))+(_xlpm.usp*($AF286="Submitted")),_xlpm.term,(_xlpm.sfp*OR($P286="Approved",$P286="Declined"))+(_xlpm.slp*OR($T286="Approved",$T286="Declined"))+(_xlpm.ffp*OR($X286="Approved",$X286="Declined"))+(_xlpm.chp*OR($AB286="Approved",$AB286="Declined"))+(_xlpm.usp*OR($AF286="Approved",$AF286="Declined")),IF(_xlpm.n=0,"No applicable lenders",IF(_xlpm.sub&gt;0,"Stays with Shaw - lender still Submitted",IF(_xlpm.term=_xlpm.n,"Clear - all applicable lenders Approved or Declined","Stays with Shaw - not all lenders Approved or Declined")))))</f>
      </c>
    </row>
    <row r="287" spans="80:80">
      <c r="CB287" s="131">
        <f>IF($A287="","",_xlfn.LET(_xlpm.sfp,AND($P287&lt;&gt;"",$P287&lt;&gt;"N/A",$P287&lt;&gt;"No Min RQ"),_xlpm.slp,AND($T287&lt;&gt;"",$T287&lt;&gt;"N/A",$T287&lt;&gt;"No Min RQ"),_xlpm.ffp,AND($X287&lt;&gt;"",$X287&lt;&gt;"N/A",$X287&lt;&gt;"No Min RQ"),_xlpm.chp,AND($AB287&lt;&gt;"",$AB287&lt;&gt;"N/A",$AB287&lt;&gt;"No Min RQ"),_xlpm.usp,AND($AF287&lt;&gt;"",$AF287&lt;&gt;"N/A",$AF287&lt;&gt;"No Min RQ"),_xlpm.n,_xlpm.sfp+_xlpm.slp+_xlpm.ffp+_xlpm.chp+_xlpm.usp,_xlpm.sub,(_xlpm.sfp*($P287="Submitted"))+(_xlpm.slp*($T287="Submitted"))+(_xlpm.ffp*($X287="Submitted"))+(_xlpm.chp*($AB287="Submitted"))+(_xlpm.usp*($AF287="Submitted")),_xlpm.term,(_xlpm.sfp*OR($P287="Approved",$P287="Declined"))+(_xlpm.slp*OR($T287="Approved",$T287="Declined"))+(_xlpm.ffp*OR($X287="Approved",$X287="Declined"))+(_xlpm.chp*OR($AB287="Approved",$AB287="Declined"))+(_xlpm.usp*OR($AF287="Approved",$AF287="Declined")),IF(_xlpm.n=0,"No applicable lenders",IF(_xlpm.sub&gt;0,"Stays with Shaw - lender still Submitted",IF(_xlpm.term=_xlpm.n,"Clear - all applicable lenders Approved or Declined","Stays with Shaw - not all lenders Approved or Declined")))))</f>
      </c>
    </row>
    <row r="288" spans="80:80">
      <c r="CB288" s="131">
        <f>IF($A288="","",_xlfn.LET(_xlpm.sfp,AND($P288&lt;&gt;"",$P288&lt;&gt;"N/A",$P288&lt;&gt;"No Min RQ"),_xlpm.slp,AND($T288&lt;&gt;"",$T288&lt;&gt;"N/A",$T288&lt;&gt;"No Min RQ"),_xlpm.ffp,AND($X288&lt;&gt;"",$X288&lt;&gt;"N/A",$X288&lt;&gt;"No Min RQ"),_xlpm.chp,AND($AB288&lt;&gt;"",$AB288&lt;&gt;"N/A",$AB288&lt;&gt;"No Min RQ"),_xlpm.usp,AND($AF288&lt;&gt;"",$AF288&lt;&gt;"N/A",$AF288&lt;&gt;"No Min RQ"),_xlpm.n,_xlpm.sfp+_xlpm.slp+_xlpm.ffp+_xlpm.chp+_xlpm.usp,_xlpm.sub,(_xlpm.sfp*($P288="Submitted"))+(_xlpm.slp*($T288="Submitted"))+(_xlpm.ffp*($X288="Submitted"))+(_xlpm.chp*($AB288="Submitted"))+(_xlpm.usp*($AF288="Submitted")),_xlpm.term,(_xlpm.sfp*OR($P288="Approved",$P288="Declined"))+(_xlpm.slp*OR($T288="Approved",$T288="Declined"))+(_xlpm.ffp*OR($X288="Approved",$X288="Declined"))+(_xlpm.chp*OR($AB288="Approved",$AB288="Declined"))+(_xlpm.usp*OR($AF288="Approved",$AF288="Declined")),IF(_xlpm.n=0,"No applicable lenders",IF(_xlpm.sub&gt;0,"Stays with Shaw - lender still Submitted",IF(_xlpm.term=_xlpm.n,"Clear - all applicable lenders Approved or Declined","Stays with Shaw - not all lenders Approved or Declined")))))</f>
      </c>
    </row>
    <row r="289" spans="80:80">
      <c r="CB289" s="131">
        <f>IF($A289="","",_xlfn.LET(_xlpm.sfp,AND($P289&lt;&gt;"",$P289&lt;&gt;"N/A",$P289&lt;&gt;"No Min RQ"),_xlpm.slp,AND($T289&lt;&gt;"",$T289&lt;&gt;"N/A",$T289&lt;&gt;"No Min RQ"),_xlpm.ffp,AND($X289&lt;&gt;"",$X289&lt;&gt;"N/A",$X289&lt;&gt;"No Min RQ"),_xlpm.chp,AND($AB289&lt;&gt;"",$AB289&lt;&gt;"N/A",$AB289&lt;&gt;"No Min RQ"),_xlpm.usp,AND($AF289&lt;&gt;"",$AF289&lt;&gt;"N/A",$AF289&lt;&gt;"No Min RQ"),_xlpm.n,_xlpm.sfp+_xlpm.slp+_xlpm.ffp+_xlpm.chp+_xlpm.usp,_xlpm.sub,(_xlpm.sfp*($P289="Submitted"))+(_xlpm.slp*($T289="Submitted"))+(_xlpm.ffp*($X289="Submitted"))+(_xlpm.chp*($AB289="Submitted"))+(_xlpm.usp*($AF289="Submitted")),_xlpm.term,(_xlpm.sfp*OR($P289="Approved",$P289="Declined"))+(_xlpm.slp*OR($T289="Approved",$T289="Declined"))+(_xlpm.ffp*OR($X289="Approved",$X289="Declined"))+(_xlpm.chp*OR($AB289="Approved",$AB289="Declined"))+(_xlpm.usp*OR($AF289="Approved",$AF289="Declined")),IF(_xlpm.n=0,"No applicable lenders",IF(_xlpm.sub&gt;0,"Stays with Shaw - lender still Submitted",IF(_xlpm.term=_xlpm.n,"Clear - all applicable lenders Approved or Declined","Stays with Shaw - not all lenders Approved or Declined")))))</f>
      </c>
    </row>
    <row r="290" spans="80:80">
      <c r="CB290" s="131">
        <f>IF($A290="","",_xlfn.LET(_xlpm.sfp,AND($P290&lt;&gt;"",$P290&lt;&gt;"N/A",$P290&lt;&gt;"No Min RQ"),_xlpm.slp,AND($T290&lt;&gt;"",$T290&lt;&gt;"N/A",$T290&lt;&gt;"No Min RQ"),_xlpm.ffp,AND($X290&lt;&gt;"",$X290&lt;&gt;"N/A",$X290&lt;&gt;"No Min RQ"),_xlpm.chp,AND($AB290&lt;&gt;"",$AB290&lt;&gt;"N/A",$AB290&lt;&gt;"No Min RQ"),_xlpm.usp,AND($AF290&lt;&gt;"",$AF290&lt;&gt;"N/A",$AF290&lt;&gt;"No Min RQ"),_xlpm.n,_xlpm.sfp+_xlpm.slp+_xlpm.ffp+_xlpm.chp+_xlpm.usp,_xlpm.sub,(_xlpm.sfp*($P290="Submitted"))+(_xlpm.slp*($T290="Submitted"))+(_xlpm.ffp*($X290="Submitted"))+(_xlpm.chp*($AB290="Submitted"))+(_xlpm.usp*($AF290="Submitted")),_xlpm.term,(_xlpm.sfp*OR($P290="Approved",$P290="Declined"))+(_xlpm.slp*OR($T290="Approved",$T290="Declined"))+(_xlpm.ffp*OR($X290="Approved",$X290="Declined"))+(_xlpm.chp*OR($AB290="Approved",$AB290="Declined"))+(_xlpm.usp*OR($AF290="Approved",$AF290="Declined")),IF(_xlpm.n=0,"No applicable lenders",IF(_xlpm.sub&gt;0,"Stays with Shaw - lender still Submitted",IF(_xlpm.term=_xlpm.n,"Clear - all applicable lenders Approved or Declined","Stays with Shaw - not all lenders Approved or Declined")))))</f>
      </c>
    </row>
    <row r="291" spans="80:80">
      <c r="CB291" s="131">
        <f>IF($A291="","",_xlfn.LET(_xlpm.sfp,AND($P291&lt;&gt;"",$P291&lt;&gt;"N/A",$P291&lt;&gt;"No Min RQ"),_xlpm.slp,AND($T291&lt;&gt;"",$T291&lt;&gt;"N/A",$T291&lt;&gt;"No Min RQ"),_xlpm.ffp,AND($X291&lt;&gt;"",$X291&lt;&gt;"N/A",$X291&lt;&gt;"No Min RQ"),_xlpm.chp,AND($AB291&lt;&gt;"",$AB291&lt;&gt;"N/A",$AB291&lt;&gt;"No Min RQ"),_xlpm.usp,AND($AF291&lt;&gt;"",$AF291&lt;&gt;"N/A",$AF291&lt;&gt;"No Min RQ"),_xlpm.n,_xlpm.sfp+_xlpm.slp+_xlpm.ffp+_xlpm.chp+_xlpm.usp,_xlpm.sub,(_xlpm.sfp*($P291="Submitted"))+(_xlpm.slp*($T291="Submitted"))+(_xlpm.ffp*($X291="Submitted"))+(_xlpm.chp*($AB291="Submitted"))+(_xlpm.usp*($AF291="Submitted")),_xlpm.term,(_xlpm.sfp*OR($P291="Approved",$P291="Declined"))+(_xlpm.slp*OR($T291="Approved",$T291="Declined"))+(_xlpm.ffp*OR($X291="Approved",$X291="Declined"))+(_xlpm.chp*OR($AB291="Approved",$AB291="Declined"))+(_xlpm.usp*OR($AF291="Approved",$AF291="Declined")),IF(_xlpm.n=0,"No applicable lenders",IF(_xlpm.sub&gt;0,"Stays with Shaw - lender still Submitted",IF(_xlpm.term=_xlpm.n,"Clear - all applicable lenders Approved or Declined","Stays with Shaw - not all lenders Approved or Declined")))))</f>
      </c>
    </row>
    <row r="292" spans="80:80">
      <c r="CB292" s="131">
        <f>IF($A292="","",_xlfn.LET(_xlpm.sfp,AND($P292&lt;&gt;"",$P292&lt;&gt;"N/A",$P292&lt;&gt;"No Min RQ"),_xlpm.slp,AND($T292&lt;&gt;"",$T292&lt;&gt;"N/A",$T292&lt;&gt;"No Min RQ"),_xlpm.ffp,AND($X292&lt;&gt;"",$X292&lt;&gt;"N/A",$X292&lt;&gt;"No Min RQ"),_xlpm.chp,AND($AB292&lt;&gt;"",$AB292&lt;&gt;"N/A",$AB292&lt;&gt;"No Min RQ"),_xlpm.usp,AND($AF292&lt;&gt;"",$AF292&lt;&gt;"N/A",$AF292&lt;&gt;"No Min RQ"),_xlpm.n,_xlpm.sfp+_xlpm.slp+_xlpm.ffp+_xlpm.chp+_xlpm.usp,_xlpm.sub,(_xlpm.sfp*($P292="Submitted"))+(_xlpm.slp*($T292="Submitted"))+(_xlpm.ffp*($X292="Submitted"))+(_xlpm.chp*($AB292="Submitted"))+(_xlpm.usp*($AF292="Submitted")),_xlpm.term,(_xlpm.sfp*OR($P292="Approved",$P292="Declined"))+(_xlpm.slp*OR($T292="Approved",$T292="Declined"))+(_xlpm.ffp*OR($X292="Approved",$X292="Declined"))+(_xlpm.chp*OR($AB292="Approved",$AB292="Declined"))+(_xlpm.usp*OR($AF292="Approved",$AF292="Declined")),IF(_xlpm.n=0,"No applicable lenders",IF(_xlpm.sub&gt;0,"Stays with Shaw - lender still Submitted",IF(_xlpm.term=_xlpm.n,"Clear - all applicable lenders Approved or Declined","Stays with Shaw - not all lenders Approved or Declined")))))</f>
      </c>
    </row>
    <row r="293" spans="80:80">
      <c r="CB293" s="131">
        <f>IF($A293="","",_xlfn.LET(_xlpm.sfp,AND($P293&lt;&gt;"",$P293&lt;&gt;"N/A",$P293&lt;&gt;"No Min RQ"),_xlpm.slp,AND($T293&lt;&gt;"",$T293&lt;&gt;"N/A",$T293&lt;&gt;"No Min RQ"),_xlpm.ffp,AND($X293&lt;&gt;"",$X293&lt;&gt;"N/A",$X293&lt;&gt;"No Min RQ"),_xlpm.chp,AND($AB293&lt;&gt;"",$AB293&lt;&gt;"N/A",$AB293&lt;&gt;"No Min RQ"),_xlpm.usp,AND($AF293&lt;&gt;"",$AF293&lt;&gt;"N/A",$AF293&lt;&gt;"No Min RQ"),_xlpm.n,_xlpm.sfp+_xlpm.slp+_xlpm.ffp+_xlpm.chp+_xlpm.usp,_xlpm.sub,(_xlpm.sfp*($P293="Submitted"))+(_xlpm.slp*($T293="Submitted"))+(_xlpm.ffp*($X293="Submitted"))+(_xlpm.chp*($AB293="Submitted"))+(_xlpm.usp*($AF293="Submitted")),_xlpm.term,(_xlpm.sfp*OR($P293="Approved",$P293="Declined"))+(_xlpm.slp*OR($T293="Approved",$T293="Declined"))+(_xlpm.ffp*OR($X293="Approved",$X293="Declined"))+(_xlpm.chp*OR($AB293="Approved",$AB293="Declined"))+(_xlpm.usp*OR($AF293="Approved",$AF293="Declined")),IF(_xlpm.n=0,"No applicable lenders",IF(_xlpm.sub&gt;0,"Stays with Shaw - lender still Submitted",IF(_xlpm.term=_xlpm.n,"Clear - all applicable lenders Approved or Declined","Stays with Shaw - not all lenders Approved or Declined")))))</f>
      </c>
    </row>
    <row r="294" spans="80:80">
      <c r="CB294" s="131">
        <f>IF($A294="","",_xlfn.LET(_xlpm.sfp,AND($P294&lt;&gt;"",$P294&lt;&gt;"N/A",$P294&lt;&gt;"No Min RQ"),_xlpm.slp,AND($T294&lt;&gt;"",$T294&lt;&gt;"N/A",$T294&lt;&gt;"No Min RQ"),_xlpm.ffp,AND($X294&lt;&gt;"",$X294&lt;&gt;"N/A",$X294&lt;&gt;"No Min RQ"),_xlpm.chp,AND($AB294&lt;&gt;"",$AB294&lt;&gt;"N/A",$AB294&lt;&gt;"No Min RQ"),_xlpm.usp,AND($AF294&lt;&gt;"",$AF294&lt;&gt;"N/A",$AF294&lt;&gt;"No Min RQ"),_xlpm.n,_xlpm.sfp+_xlpm.slp+_xlpm.ffp+_xlpm.chp+_xlpm.usp,_xlpm.sub,(_xlpm.sfp*($P294="Submitted"))+(_xlpm.slp*($T294="Submitted"))+(_xlpm.ffp*($X294="Submitted"))+(_xlpm.chp*($AB294="Submitted"))+(_xlpm.usp*($AF294="Submitted")),_xlpm.term,(_xlpm.sfp*OR($P294="Approved",$P294="Declined"))+(_xlpm.slp*OR($T294="Approved",$T294="Declined"))+(_xlpm.ffp*OR($X294="Approved",$X294="Declined"))+(_xlpm.chp*OR($AB294="Approved",$AB294="Declined"))+(_xlpm.usp*OR($AF294="Approved",$AF294="Declined")),IF(_xlpm.n=0,"No applicable lenders",IF(_xlpm.sub&gt;0,"Stays with Shaw - lender still Submitted",IF(_xlpm.term=_xlpm.n,"Clear - all applicable lenders Approved or Declined","Stays with Shaw - not all lenders Approved or Declined")))))</f>
      </c>
    </row>
    <row r="295" spans="80:80">
      <c r="CB295" s="131">
        <f>IF($A295="","",_xlfn.LET(_xlpm.sfp,AND($P295&lt;&gt;"",$P295&lt;&gt;"N/A",$P295&lt;&gt;"No Min RQ"),_xlpm.slp,AND($T295&lt;&gt;"",$T295&lt;&gt;"N/A",$T295&lt;&gt;"No Min RQ"),_xlpm.ffp,AND($X295&lt;&gt;"",$X295&lt;&gt;"N/A",$X295&lt;&gt;"No Min RQ"),_xlpm.chp,AND($AB295&lt;&gt;"",$AB295&lt;&gt;"N/A",$AB295&lt;&gt;"No Min RQ"),_xlpm.usp,AND($AF295&lt;&gt;"",$AF295&lt;&gt;"N/A",$AF295&lt;&gt;"No Min RQ"),_xlpm.n,_xlpm.sfp+_xlpm.slp+_xlpm.ffp+_xlpm.chp+_xlpm.usp,_xlpm.sub,(_xlpm.sfp*($P295="Submitted"))+(_xlpm.slp*($T295="Submitted"))+(_xlpm.ffp*($X295="Submitted"))+(_xlpm.chp*($AB295="Submitted"))+(_xlpm.usp*($AF295="Submitted")),_xlpm.term,(_xlpm.sfp*OR($P295="Approved",$P295="Declined"))+(_xlpm.slp*OR($T295="Approved",$T295="Declined"))+(_xlpm.ffp*OR($X295="Approved",$X295="Declined"))+(_xlpm.chp*OR($AB295="Approved",$AB295="Declined"))+(_xlpm.usp*OR($AF295="Approved",$AF295="Declined")),IF(_xlpm.n=0,"No applicable lenders",IF(_xlpm.sub&gt;0,"Stays with Shaw - lender still Submitted",IF(_xlpm.term=_xlpm.n,"Clear - all applicable lenders Approved or Declined","Stays with Shaw - not all lenders Approved or Declined")))))</f>
      </c>
    </row>
    <row r="296" spans="80:80">
      <c r="CB296" s="131">
        <f>IF($A296="","",_xlfn.LET(_xlpm.sfp,AND($P296&lt;&gt;"",$P296&lt;&gt;"N/A",$P296&lt;&gt;"No Min RQ"),_xlpm.slp,AND($T296&lt;&gt;"",$T296&lt;&gt;"N/A",$T296&lt;&gt;"No Min RQ"),_xlpm.ffp,AND($X296&lt;&gt;"",$X296&lt;&gt;"N/A",$X296&lt;&gt;"No Min RQ"),_xlpm.chp,AND($AB296&lt;&gt;"",$AB296&lt;&gt;"N/A",$AB296&lt;&gt;"No Min RQ"),_xlpm.usp,AND($AF296&lt;&gt;"",$AF296&lt;&gt;"N/A",$AF296&lt;&gt;"No Min RQ"),_xlpm.n,_xlpm.sfp+_xlpm.slp+_xlpm.ffp+_xlpm.chp+_xlpm.usp,_xlpm.sub,(_xlpm.sfp*($P296="Submitted"))+(_xlpm.slp*($T296="Submitted"))+(_xlpm.ffp*($X296="Submitted"))+(_xlpm.chp*($AB296="Submitted"))+(_xlpm.usp*($AF296="Submitted")),_xlpm.term,(_xlpm.sfp*OR($P296="Approved",$P296="Declined"))+(_xlpm.slp*OR($T296="Approved",$T296="Declined"))+(_xlpm.ffp*OR($X296="Approved",$X296="Declined"))+(_xlpm.chp*OR($AB296="Approved",$AB296="Declined"))+(_xlpm.usp*OR($AF296="Approved",$AF296="Declined")),IF(_xlpm.n=0,"No applicable lenders",IF(_xlpm.sub&gt;0,"Stays with Shaw - lender still Submitted",IF(_xlpm.term=_xlpm.n,"Clear - all applicable lenders Approved or Declined","Stays with Shaw - not all lenders Approved or Declined")))))</f>
      </c>
    </row>
    <row r="297" spans="80:80">
      <c r="CB297" s="131">
        <f>IF($A297="","",_xlfn.LET(_xlpm.sfp,AND($P297&lt;&gt;"",$P297&lt;&gt;"N/A",$P297&lt;&gt;"No Min RQ"),_xlpm.slp,AND($T297&lt;&gt;"",$T297&lt;&gt;"N/A",$T297&lt;&gt;"No Min RQ"),_xlpm.ffp,AND($X297&lt;&gt;"",$X297&lt;&gt;"N/A",$X297&lt;&gt;"No Min RQ"),_xlpm.chp,AND($AB297&lt;&gt;"",$AB297&lt;&gt;"N/A",$AB297&lt;&gt;"No Min RQ"),_xlpm.usp,AND($AF297&lt;&gt;"",$AF297&lt;&gt;"N/A",$AF297&lt;&gt;"No Min RQ"),_xlpm.n,_xlpm.sfp+_xlpm.slp+_xlpm.ffp+_xlpm.chp+_xlpm.usp,_xlpm.sub,(_xlpm.sfp*($P297="Submitted"))+(_xlpm.slp*($T297="Submitted"))+(_xlpm.ffp*($X297="Submitted"))+(_xlpm.chp*($AB297="Submitted"))+(_xlpm.usp*($AF297="Submitted")),_xlpm.term,(_xlpm.sfp*OR($P297="Approved",$P297="Declined"))+(_xlpm.slp*OR($T297="Approved",$T297="Declined"))+(_xlpm.ffp*OR($X297="Approved",$X297="Declined"))+(_xlpm.chp*OR($AB297="Approved",$AB297="Declined"))+(_xlpm.usp*OR($AF297="Approved",$AF297="Declined")),IF(_xlpm.n=0,"No applicable lenders",IF(_xlpm.sub&gt;0,"Stays with Shaw - lender still Submitted",IF(_xlpm.term=_xlpm.n,"Clear - all applicable lenders Approved or Declined","Stays with Shaw - not all lenders Approved or Declined")))))</f>
      </c>
    </row>
    <row r="298" spans="80:80">
      <c r="CB298" s="131">
        <f>IF($A298="","",_xlfn.LET(_xlpm.sfp,AND($P298&lt;&gt;"",$P298&lt;&gt;"N/A",$P298&lt;&gt;"No Min RQ"),_xlpm.slp,AND($T298&lt;&gt;"",$T298&lt;&gt;"N/A",$T298&lt;&gt;"No Min RQ"),_xlpm.ffp,AND($X298&lt;&gt;"",$X298&lt;&gt;"N/A",$X298&lt;&gt;"No Min RQ"),_xlpm.chp,AND($AB298&lt;&gt;"",$AB298&lt;&gt;"N/A",$AB298&lt;&gt;"No Min RQ"),_xlpm.usp,AND($AF298&lt;&gt;"",$AF298&lt;&gt;"N/A",$AF298&lt;&gt;"No Min RQ"),_xlpm.n,_xlpm.sfp+_xlpm.slp+_xlpm.ffp+_xlpm.chp+_xlpm.usp,_xlpm.sub,(_xlpm.sfp*($P298="Submitted"))+(_xlpm.slp*($T298="Submitted"))+(_xlpm.ffp*($X298="Submitted"))+(_xlpm.chp*($AB298="Submitted"))+(_xlpm.usp*($AF298="Submitted")),_xlpm.term,(_xlpm.sfp*OR($P298="Approved",$P298="Declined"))+(_xlpm.slp*OR($T298="Approved",$T298="Declined"))+(_xlpm.ffp*OR($X298="Approved",$X298="Declined"))+(_xlpm.chp*OR($AB298="Approved",$AB298="Declined"))+(_xlpm.usp*OR($AF298="Approved",$AF298="Declined")),IF(_xlpm.n=0,"No applicable lenders",IF(_xlpm.sub&gt;0,"Stays with Shaw - lender still Submitted",IF(_xlpm.term=_xlpm.n,"Clear - all applicable lenders Approved or Declined","Stays with Shaw - not all lenders Approved or Declined")))))</f>
      </c>
    </row>
    <row r="299" spans="80:80">
      <c r="CB299" s="131">
        <f>IF($A299="","",_xlfn.LET(_xlpm.sfp,AND($P299&lt;&gt;"",$P299&lt;&gt;"N/A",$P299&lt;&gt;"No Min RQ"),_xlpm.slp,AND($T299&lt;&gt;"",$T299&lt;&gt;"N/A",$T299&lt;&gt;"No Min RQ"),_xlpm.ffp,AND($X299&lt;&gt;"",$X299&lt;&gt;"N/A",$X299&lt;&gt;"No Min RQ"),_xlpm.chp,AND($AB299&lt;&gt;"",$AB299&lt;&gt;"N/A",$AB299&lt;&gt;"No Min RQ"),_xlpm.usp,AND($AF299&lt;&gt;"",$AF299&lt;&gt;"N/A",$AF299&lt;&gt;"No Min RQ"),_xlpm.n,_xlpm.sfp+_xlpm.slp+_xlpm.ffp+_xlpm.chp+_xlpm.usp,_xlpm.sub,(_xlpm.sfp*($P299="Submitted"))+(_xlpm.slp*($T299="Submitted"))+(_xlpm.ffp*($X299="Submitted"))+(_xlpm.chp*($AB299="Submitted"))+(_xlpm.usp*($AF299="Submitted")),_xlpm.term,(_xlpm.sfp*OR($P299="Approved",$P299="Declined"))+(_xlpm.slp*OR($T299="Approved",$T299="Declined"))+(_xlpm.ffp*OR($X299="Approved",$X299="Declined"))+(_xlpm.chp*OR($AB299="Approved",$AB299="Declined"))+(_xlpm.usp*OR($AF299="Approved",$AF299="Declined")),IF(_xlpm.n=0,"No applicable lenders",IF(_xlpm.sub&gt;0,"Stays with Shaw - lender still Submitted",IF(_xlpm.term=_xlpm.n,"Clear - all applicable lenders Approved or Declined","Stays with Shaw - not all lenders Approved or Declined")))))</f>
      </c>
    </row>
    <row r="300" spans="80:80">
      <c r="CB300" s="131">
        <f>IF($A300="","",_xlfn.LET(_xlpm.sfp,AND($P300&lt;&gt;"",$P300&lt;&gt;"N/A",$P300&lt;&gt;"No Min RQ"),_xlpm.slp,AND($T300&lt;&gt;"",$T300&lt;&gt;"N/A",$T300&lt;&gt;"No Min RQ"),_xlpm.ffp,AND($X300&lt;&gt;"",$X300&lt;&gt;"N/A",$X300&lt;&gt;"No Min RQ"),_xlpm.chp,AND($AB300&lt;&gt;"",$AB300&lt;&gt;"N/A",$AB300&lt;&gt;"No Min RQ"),_xlpm.usp,AND($AF300&lt;&gt;"",$AF300&lt;&gt;"N/A",$AF300&lt;&gt;"No Min RQ"),_xlpm.n,_xlpm.sfp+_xlpm.slp+_xlpm.ffp+_xlpm.chp+_xlpm.usp,_xlpm.sub,(_xlpm.sfp*($P300="Submitted"))+(_xlpm.slp*($T300="Submitted"))+(_xlpm.ffp*($X300="Submitted"))+(_xlpm.chp*($AB300="Submitted"))+(_xlpm.usp*($AF300="Submitted")),_xlpm.term,(_xlpm.sfp*OR($P300="Approved",$P300="Declined"))+(_xlpm.slp*OR($T300="Approved",$T300="Declined"))+(_xlpm.ffp*OR($X300="Approved",$X300="Declined"))+(_xlpm.chp*OR($AB300="Approved",$AB300="Declined"))+(_xlpm.usp*OR($AF300="Approved",$AF300="Declined")),IF(_xlpm.n=0,"No applicable lenders",IF(_xlpm.sub&gt;0,"Stays with Shaw - lender still Submitted",IF(_xlpm.term=_xlpm.n,"Clear - all applicable lenders Approved or Declined","Stays with Shaw - not all lenders Approved or Declined")))))</f>
      </c>
    </row>
    <row r="301" spans="80:80">
      <c r="CB301" s="131">
        <f>IF($A301="","",_xlfn.LET(_xlpm.sfp,AND($P301&lt;&gt;"",$P301&lt;&gt;"N/A",$P301&lt;&gt;"No Min RQ"),_xlpm.slp,AND($T301&lt;&gt;"",$T301&lt;&gt;"N/A",$T301&lt;&gt;"No Min RQ"),_xlpm.ffp,AND($X301&lt;&gt;"",$X301&lt;&gt;"N/A",$X301&lt;&gt;"No Min RQ"),_xlpm.chp,AND($AB301&lt;&gt;"",$AB301&lt;&gt;"N/A",$AB301&lt;&gt;"No Min RQ"),_xlpm.usp,AND($AF301&lt;&gt;"",$AF301&lt;&gt;"N/A",$AF301&lt;&gt;"No Min RQ"),_xlpm.n,_xlpm.sfp+_xlpm.slp+_xlpm.ffp+_xlpm.chp+_xlpm.usp,_xlpm.sub,(_xlpm.sfp*($P301="Submitted"))+(_xlpm.slp*($T301="Submitted"))+(_xlpm.ffp*($X301="Submitted"))+(_xlpm.chp*($AB301="Submitted"))+(_xlpm.usp*($AF301="Submitted")),_xlpm.term,(_xlpm.sfp*OR($P301="Approved",$P301="Declined"))+(_xlpm.slp*OR($T301="Approved",$T301="Declined"))+(_xlpm.ffp*OR($X301="Approved",$X301="Declined"))+(_xlpm.chp*OR($AB301="Approved",$AB301="Declined"))+(_xlpm.usp*OR($AF301="Approved",$AF301="Declined")),IF(_xlpm.n=0,"No applicable lenders",IF(_xlpm.sub&gt;0,"Stays with Shaw - lender still Submitted",IF(_xlpm.term=_xlpm.n,"Clear - all applicable lenders Approved or Declined","Stays with Shaw - not all lenders Approved or Declined")))))</f>
      </c>
    </row>
    <row r="302" spans="80:80">
      <c r="CB302" s="131">
        <f>IF($A302="","",_xlfn.LET(_xlpm.sfp,AND($P302&lt;&gt;"",$P302&lt;&gt;"N/A",$P302&lt;&gt;"No Min RQ"),_xlpm.slp,AND($T302&lt;&gt;"",$T302&lt;&gt;"N/A",$T302&lt;&gt;"No Min RQ"),_xlpm.ffp,AND($X302&lt;&gt;"",$X302&lt;&gt;"N/A",$X302&lt;&gt;"No Min RQ"),_xlpm.chp,AND($AB302&lt;&gt;"",$AB302&lt;&gt;"N/A",$AB302&lt;&gt;"No Min RQ"),_xlpm.usp,AND($AF302&lt;&gt;"",$AF302&lt;&gt;"N/A",$AF302&lt;&gt;"No Min RQ"),_xlpm.n,_xlpm.sfp+_xlpm.slp+_xlpm.ffp+_xlpm.chp+_xlpm.usp,_xlpm.sub,(_xlpm.sfp*($P302="Submitted"))+(_xlpm.slp*($T302="Submitted"))+(_xlpm.ffp*($X302="Submitted"))+(_xlpm.chp*($AB302="Submitted"))+(_xlpm.usp*($AF302="Submitted")),_xlpm.term,(_xlpm.sfp*OR($P302="Approved",$P302="Declined"))+(_xlpm.slp*OR($T302="Approved",$T302="Declined"))+(_xlpm.ffp*OR($X302="Approved",$X302="Declined"))+(_xlpm.chp*OR($AB302="Approved",$AB302="Declined"))+(_xlpm.usp*OR($AF302="Approved",$AF302="Declined")),IF(_xlpm.n=0,"No applicable lenders",IF(_xlpm.sub&gt;0,"Stays with Shaw - lender still Submitted",IF(_xlpm.term=_xlpm.n,"Clear - all applicable lenders Approved or Declined","Stays with Shaw - not all lenders Approved or Declined")))))</f>
      </c>
    </row>
    <row r="303" spans="80:80">
      <c r="CB303" s="131">
        <f>IF($A303="","",_xlfn.LET(_xlpm.sfp,AND($P303&lt;&gt;"",$P303&lt;&gt;"N/A",$P303&lt;&gt;"No Min RQ"),_xlpm.slp,AND($T303&lt;&gt;"",$T303&lt;&gt;"N/A",$T303&lt;&gt;"No Min RQ"),_xlpm.ffp,AND($X303&lt;&gt;"",$X303&lt;&gt;"N/A",$X303&lt;&gt;"No Min RQ"),_xlpm.chp,AND($AB303&lt;&gt;"",$AB303&lt;&gt;"N/A",$AB303&lt;&gt;"No Min RQ"),_xlpm.usp,AND($AF303&lt;&gt;"",$AF303&lt;&gt;"N/A",$AF303&lt;&gt;"No Min RQ"),_xlpm.n,_xlpm.sfp+_xlpm.slp+_xlpm.ffp+_xlpm.chp+_xlpm.usp,_xlpm.sub,(_xlpm.sfp*($P303="Submitted"))+(_xlpm.slp*($T303="Submitted"))+(_xlpm.ffp*($X303="Submitted"))+(_xlpm.chp*($AB303="Submitted"))+(_xlpm.usp*($AF303="Submitted")),_xlpm.term,(_xlpm.sfp*OR($P303="Approved",$P303="Declined"))+(_xlpm.slp*OR($T303="Approved",$T303="Declined"))+(_xlpm.ffp*OR($X303="Approved",$X303="Declined"))+(_xlpm.chp*OR($AB303="Approved",$AB303="Declined"))+(_xlpm.usp*OR($AF303="Approved",$AF303="Declined")),IF(_xlpm.n=0,"No applicable lenders",IF(_xlpm.sub&gt;0,"Stays with Shaw - lender still Submitted",IF(_xlpm.term=_xlpm.n,"Clear - all applicable lenders Approved or Declined","Stays with Shaw - not all lenders Approved or Declined")))))</f>
      </c>
    </row>
    <row r="304" spans="80:80">
      <c r="CB304" s="131">
        <f>IF($A304="","",_xlfn.LET(_xlpm.sfp,AND($P304&lt;&gt;"",$P304&lt;&gt;"N/A",$P304&lt;&gt;"No Min RQ"),_xlpm.slp,AND($T304&lt;&gt;"",$T304&lt;&gt;"N/A",$T304&lt;&gt;"No Min RQ"),_xlpm.ffp,AND($X304&lt;&gt;"",$X304&lt;&gt;"N/A",$X304&lt;&gt;"No Min RQ"),_xlpm.chp,AND($AB304&lt;&gt;"",$AB304&lt;&gt;"N/A",$AB304&lt;&gt;"No Min RQ"),_xlpm.usp,AND($AF304&lt;&gt;"",$AF304&lt;&gt;"N/A",$AF304&lt;&gt;"No Min RQ"),_xlpm.n,_xlpm.sfp+_xlpm.slp+_xlpm.ffp+_xlpm.chp+_xlpm.usp,_xlpm.sub,(_xlpm.sfp*($P304="Submitted"))+(_xlpm.slp*($T304="Submitted"))+(_xlpm.ffp*($X304="Submitted"))+(_xlpm.chp*($AB304="Submitted"))+(_xlpm.usp*($AF304="Submitted")),_xlpm.term,(_xlpm.sfp*OR($P304="Approved",$P304="Declined"))+(_xlpm.slp*OR($T304="Approved",$T304="Declined"))+(_xlpm.ffp*OR($X304="Approved",$X304="Declined"))+(_xlpm.chp*OR($AB304="Approved",$AB304="Declined"))+(_xlpm.usp*OR($AF304="Approved",$AF304="Declined")),IF(_xlpm.n=0,"No applicable lenders",IF(_xlpm.sub&gt;0,"Stays with Shaw - lender still Submitted",IF(_xlpm.term=_xlpm.n,"Clear - all applicable lenders Approved or Declined","Stays with Shaw - not all lenders Approved or Declined")))))</f>
      </c>
    </row>
    <row r="305" spans="80:80">
      <c r="CB305" s="131">
        <f>IF($A305="","",_xlfn.LET(_xlpm.sfp,AND($P305&lt;&gt;"",$P305&lt;&gt;"N/A",$P305&lt;&gt;"No Min RQ"),_xlpm.slp,AND($T305&lt;&gt;"",$T305&lt;&gt;"N/A",$T305&lt;&gt;"No Min RQ"),_xlpm.ffp,AND($X305&lt;&gt;"",$X305&lt;&gt;"N/A",$X305&lt;&gt;"No Min RQ"),_xlpm.chp,AND($AB305&lt;&gt;"",$AB305&lt;&gt;"N/A",$AB305&lt;&gt;"No Min RQ"),_xlpm.usp,AND($AF305&lt;&gt;"",$AF305&lt;&gt;"N/A",$AF305&lt;&gt;"No Min RQ"),_xlpm.n,_xlpm.sfp+_xlpm.slp+_xlpm.ffp+_xlpm.chp+_xlpm.usp,_xlpm.sub,(_xlpm.sfp*($P305="Submitted"))+(_xlpm.slp*($T305="Submitted"))+(_xlpm.ffp*($X305="Submitted"))+(_xlpm.chp*($AB305="Submitted"))+(_xlpm.usp*($AF305="Submitted")),_xlpm.term,(_xlpm.sfp*OR($P305="Approved",$P305="Declined"))+(_xlpm.slp*OR($T305="Approved",$T305="Declined"))+(_xlpm.ffp*OR($X305="Approved",$X305="Declined"))+(_xlpm.chp*OR($AB305="Approved",$AB305="Declined"))+(_xlpm.usp*OR($AF305="Approved",$AF305="Declined")),IF(_xlpm.n=0,"No applicable lenders",IF(_xlpm.sub&gt;0,"Stays with Shaw - lender still Submitted",IF(_xlpm.term=_xlpm.n,"Clear - all applicable lenders Approved or Declined","Stays with Shaw - not all lenders Approved or Declined")))))</f>
      </c>
    </row>
    <row r="306" spans="80:80">
      <c r="CB306" s="131">
        <f>IF($A306="","",_xlfn.LET(_xlpm.sfp,AND($P306&lt;&gt;"",$P306&lt;&gt;"N/A",$P306&lt;&gt;"No Min RQ"),_xlpm.slp,AND($T306&lt;&gt;"",$T306&lt;&gt;"N/A",$T306&lt;&gt;"No Min RQ"),_xlpm.ffp,AND($X306&lt;&gt;"",$X306&lt;&gt;"N/A",$X306&lt;&gt;"No Min RQ"),_xlpm.chp,AND($AB306&lt;&gt;"",$AB306&lt;&gt;"N/A",$AB306&lt;&gt;"No Min RQ"),_xlpm.usp,AND($AF306&lt;&gt;"",$AF306&lt;&gt;"N/A",$AF306&lt;&gt;"No Min RQ"),_xlpm.n,_xlpm.sfp+_xlpm.slp+_xlpm.ffp+_xlpm.chp+_xlpm.usp,_xlpm.sub,(_xlpm.sfp*($P306="Submitted"))+(_xlpm.slp*($T306="Submitted"))+(_xlpm.ffp*($X306="Submitted"))+(_xlpm.chp*($AB306="Submitted"))+(_xlpm.usp*($AF306="Submitted")),_xlpm.term,(_xlpm.sfp*OR($P306="Approved",$P306="Declined"))+(_xlpm.slp*OR($T306="Approved",$T306="Declined"))+(_xlpm.ffp*OR($X306="Approved",$X306="Declined"))+(_xlpm.chp*OR($AB306="Approved",$AB306="Declined"))+(_xlpm.usp*OR($AF306="Approved",$AF306="Declined")),IF(_xlpm.n=0,"No applicable lenders",IF(_xlpm.sub&gt;0,"Stays with Shaw - lender still Submitted",IF(_xlpm.term=_xlpm.n,"Clear - all applicable lenders Approved or Declined","Stays with Shaw - not all lenders Approved or Declined")))))</f>
      </c>
    </row>
    <row r="307" spans="80:80">
      <c r="CB307" s="131">
        <f>IF($A307="","",_xlfn.LET(_xlpm.sfp,AND($P307&lt;&gt;"",$P307&lt;&gt;"N/A",$P307&lt;&gt;"No Min RQ"),_xlpm.slp,AND($T307&lt;&gt;"",$T307&lt;&gt;"N/A",$T307&lt;&gt;"No Min RQ"),_xlpm.ffp,AND($X307&lt;&gt;"",$X307&lt;&gt;"N/A",$X307&lt;&gt;"No Min RQ"),_xlpm.chp,AND($AB307&lt;&gt;"",$AB307&lt;&gt;"N/A",$AB307&lt;&gt;"No Min RQ"),_xlpm.usp,AND($AF307&lt;&gt;"",$AF307&lt;&gt;"N/A",$AF307&lt;&gt;"No Min RQ"),_xlpm.n,_xlpm.sfp+_xlpm.slp+_xlpm.ffp+_xlpm.chp+_xlpm.usp,_xlpm.sub,(_xlpm.sfp*($P307="Submitted"))+(_xlpm.slp*($T307="Submitted"))+(_xlpm.ffp*($X307="Submitted"))+(_xlpm.chp*($AB307="Submitted"))+(_xlpm.usp*($AF307="Submitted")),_xlpm.term,(_xlpm.sfp*OR($P307="Approved",$P307="Declined"))+(_xlpm.slp*OR($T307="Approved",$T307="Declined"))+(_xlpm.ffp*OR($X307="Approved",$X307="Declined"))+(_xlpm.chp*OR($AB307="Approved",$AB307="Declined"))+(_xlpm.usp*OR($AF307="Approved",$AF307="Declined")),IF(_xlpm.n=0,"No applicable lenders",IF(_xlpm.sub&gt;0,"Stays with Shaw - lender still Submitted",IF(_xlpm.term=_xlpm.n,"Clear - all applicable lenders Approved or Declined","Stays with Shaw - not all lenders Approved or Declined")))))</f>
      </c>
    </row>
    <row r="308" spans="80:80">
      <c r="CB308" s="131">
        <f>IF($A308="","",_xlfn.LET(_xlpm.sfp,AND($P308&lt;&gt;"",$P308&lt;&gt;"N/A",$P308&lt;&gt;"No Min RQ"),_xlpm.slp,AND($T308&lt;&gt;"",$T308&lt;&gt;"N/A",$T308&lt;&gt;"No Min RQ"),_xlpm.ffp,AND($X308&lt;&gt;"",$X308&lt;&gt;"N/A",$X308&lt;&gt;"No Min RQ"),_xlpm.chp,AND($AB308&lt;&gt;"",$AB308&lt;&gt;"N/A",$AB308&lt;&gt;"No Min RQ"),_xlpm.usp,AND($AF308&lt;&gt;"",$AF308&lt;&gt;"N/A",$AF308&lt;&gt;"No Min RQ"),_xlpm.n,_xlpm.sfp+_xlpm.slp+_xlpm.ffp+_xlpm.chp+_xlpm.usp,_xlpm.sub,(_xlpm.sfp*($P308="Submitted"))+(_xlpm.slp*($T308="Submitted"))+(_xlpm.ffp*($X308="Submitted"))+(_xlpm.chp*($AB308="Submitted"))+(_xlpm.usp*($AF308="Submitted")),_xlpm.term,(_xlpm.sfp*OR($P308="Approved",$P308="Declined"))+(_xlpm.slp*OR($T308="Approved",$T308="Declined"))+(_xlpm.ffp*OR($X308="Approved",$X308="Declined"))+(_xlpm.chp*OR($AB308="Approved",$AB308="Declined"))+(_xlpm.usp*OR($AF308="Approved",$AF308="Declined")),IF(_xlpm.n=0,"No applicable lenders",IF(_xlpm.sub&gt;0,"Stays with Shaw - lender still Submitted",IF(_xlpm.term=_xlpm.n,"Clear - all applicable lenders Approved or Declined","Stays with Shaw - not all lenders Approved or Declined")))))</f>
      </c>
    </row>
    <row r="309" spans="80:80">
      <c r="CB309" s="131">
        <f>IF($A309="","",_xlfn.LET(_xlpm.sfp,AND($P309&lt;&gt;"",$P309&lt;&gt;"N/A",$P309&lt;&gt;"No Min RQ"),_xlpm.slp,AND($T309&lt;&gt;"",$T309&lt;&gt;"N/A",$T309&lt;&gt;"No Min RQ"),_xlpm.ffp,AND($X309&lt;&gt;"",$X309&lt;&gt;"N/A",$X309&lt;&gt;"No Min RQ"),_xlpm.chp,AND($AB309&lt;&gt;"",$AB309&lt;&gt;"N/A",$AB309&lt;&gt;"No Min RQ"),_xlpm.usp,AND($AF309&lt;&gt;"",$AF309&lt;&gt;"N/A",$AF309&lt;&gt;"No Min RQ"),_xlpm.n,_xlpm.sfp+_xlpm.slp+_xlpm.ffp+_xlpm.chp+_xlpm.usp,_xlpm.sub,(_xlpm.sfp*($P309="Submitted"))+(_xlpm.slp*($T309="Submitted"))+(_xlpm.ffp*($X309="Submitted"))+(_xlpm.chp*($AB309="Submitted"))+(_xlpm.usp*($AF309="Submitted")),_xlpm.term,(_xlpm.sfp*OR($P309="Approved",$P309="Declined"))+(_xlpm.slp*OR($T309="Approved",$T309="Declined"))+(_xlpm.ffp*OR($X309="Approved",$X309="Declined"))+(_xlpm.chp*OR($AB309="Approved",$AB309="Declined"))+(_xlpm.usp*OR($AF309="Approved",$AF309="Declined")),IF(_xlpm.n=0,"No applicable lenders",IF(_xlpm.sub&gt;0,"Stays with Shaw - lender still Submitted",IF(_xlpm.term=_xlpm.n,"Clear - all applicable lenders Approved or Declined","Stays with Shaw - not all lenders Approved or Declined")))))</f>
      </c>
    </row>
    <row r="310" spans="80:80">
      <c r="CB310" s="131">
        <f>IF($A310="","",_xlfn.LET(_xlpm.sfp,AND($P310&lt;&gt;"",$P310&lt;&gt;"N/A",$P310&lt;&gt;"No Min RQ"),_xlpm.slp,AND($T310&lt;&gt;"",$T310&lt;&gt;"N/A",$T310&lt;&gt;"No Min RQ"),_xlpm.ffp,AND($X310&lt;&gt;"",$X310&lt;&gt;"N/A",$X310&lt;&gt;"No Min RQ"),_xlpm.chp,AND($AB310&lt;&gt;"",$AB310&lt;&gt;"N/A",$AB310&lt;&gt;"No Min RQ"),_xlpm.usp,AND($AF310&lt;&gt;"",$AF310&lt;&gt;"N/A",$AF310&lt;&gt;"No Min RQ"),_xlpm.n,_xlpm.sfp+_xlpm.slp+_xlpm.ffp+_xlpm.chp+_xlpm.usp,_xlpm.sub,(_xlpm.sfp*($P310="Submitted"))+(_xlpm.slp*($T310="Submitted"))+(_xlpm.ffp*($X310="Submitted"))+(_xlpm.chp*($AB310="Submitted"))+(_xlpm.usp*($AF310="Submitted")),_xlpm.term,(_xlpm.sfp*OR($P310="Approved",$P310="Declined"))+(_xlpm.slp*OR($T310="Approved",$T310="Declined"))+(_xlpm.ffp*OR($X310="Approved",$X310="Declined"))+(_xlpm.chp*OR($AB310="Approved",$AB310="Declined"))+(_xlpm.usp*OR($AF310="Approved",$AF310="Declined")),IF(_xlpm.n=0,"No applicable lenders",IF(_xlpm.sub&gt;0,"Stays with Shaw - lender still Submitted",IF(_xlpm.term=_xlpm.n,"Clear - all applicable lenders Approved or Declined","Stays with Shaw - not all lenders Approved or Declined")))))</f>
      </c>
    </row>
    <row r="311" spans="80:80">
      <c r="CB311" s="131">
        <f>IF($A311="","",_xlfn.LET(_xlpm.sfp,AND($P311&lt;&gt;"",$P311&lt;&gt;"N/A",$P311&lt;&gt;"No Min RQ"),_xlpm.slp,AND($T311&lt;&gt;"",$T311&lt;&gt;"N/A",$T311&lt;&gt;"No Min RQ"),_xlpm.ffp,AND($X311&lt;&gt;"",$X311&lt;&gt;"N/A",$X311&lt;&gt;"No Min RQ"),_xlpm.chp,AND($AB311&lt;&gt;"",$AB311&lt;&gt;"N/A",$AB311&lt;&gt;"No Min RQ"),_xlpm.usp,AND($AF311&lt;&gt;"",$AF311&lt;&gt;"N/A",$AF311&lt;&gt;"No Min RQ"),_xlpm.n,_xlpm.sfp+_xlpm.slp+_xlpm.ffp+_xlpm.chp+_xlpm.usp,_xlpm.sub,(_xlpm.sfp*($P311="Submitted"))+(_xlpm.slp*($T311="Submitted"))+(_xlpm.ffp*($X311="Submitted"))+(_xlpm.chp*($AB311="Submitted"))+(_xlpm.usp*($AF311="Submitted")),_xlpm.term,(_xlpm.sfp*OR($P311="Approved",$P311="Declined"))+(_xlpm.slp*OR($T311="Approved",$T311="Declined"))+(_xlpm.ffp*OR($X311="Approved",$X311="Declined"))+(_xlpm.chp*OR($AB311="Approved",$AB311="Declined"))+(_xlpm.usp*OR($AF311="Approved",$AF311="Declined")),IF(_xlpm.n=0,"No applicable lenders",IF(_xlpm.sub&gt;0,"Stays with Shaw - lender still Submitted",IF(_xlpm.term=_xlpm.n,"Clear - all applicable lenders Approved or Declined","Stays with Shaw - not all lenders Approved or Declined")))))</f>
      </c>
    </row>
    <row r="312" spans="80:80">
      <c r="CB312" s="131">
        <f>IF($A312="","",_xlfn.LET(_xlpm.sfp,AND($P312&lt;&gt;"",$P312&lt;&gt;"N/A",$P312&lt;&gt;"No Min RQ"),_xlpm.slp,AND($T312&lt;&gt;"",$T312&lt;&gt;"N/A",$T312&lt;&gt;"No Min RQ"),_xlpm.ffp,AND($X312&lt;&gt;"",$X312&lt;&gt;"N/A",$X312&lt;&gt;"No Min RQ"),_xlpm.chp,AND($AB312&lt;&gt;"",$AB312&lt;&gt;"N/A",$AB312&lt;&gt;"No Min RQ"),_xlpm.usp,AND($AF312&lt;&gt;"",$AF312&lt;&gt;"N/A",$AF312&lt;&gt;"No Min RQ"),_xlpm.n,_xlpm.sfp+_xlpm.slp+_xlpm.ffp+_xlpm.chp+_xlpm.usp,_xlpm.sub,(_xlpm.sfp*($P312="Submitted"))+(_xlpm.slp*($T312="Submitted"))+(_xlpm.ffp*($X312="Submitted"))+(_xlpm.chp*($AB312="Submitted"))+(_xlpm.usp*($AF312="Submitted")),_xlpm.term,(_xlpm.sfp*OR($P312="Approved",$P312="Declined"))+(_xlpm.slp*OR($T312="Approved",$T312="Declined"))+(_xlpm.ffp*OR($X312="Approved",$X312="Declined"))+(_xlpm.chp*OR($AB312="Approved",$AB312="Declined"))+(_xlpm.usp*OR($AF312="Approved",$AF312="Declined")),IF(_xlpm.n=0,"No applicable lenders",IF(_xlpm.sub&gt;0,"Stays with Shaw - lender still Submitted",IF(_xlpm.term=_xlpm.n,"Clear - all applicable lenders Approved or Declined","Stays with Shaw - not all lenders Approved or Declined")))))</f>
      </c>
    </row>
    <row r="313" spans="80:80">
      <c r="CB313" s="131">
        <f>IF($A313="","",_xlfn.LET(_xlpm.sfp,AND($P313&lt;&gt;"",$P313&lt;&gt;"N/A",$P313&lt;&gt;"No Min RQ"),_xlpm.slp,AND($T313&lt;&gt;"",$T313&lt;&gt;"N/A",$T313&lt;&gt;"No Min RQ"),_xlpm.ffp,AND($X313&lt;&gt;"",$X313&lt;&gt;"N/A",$X313&lt;&gt;"No Min RQ"),_xlpm.chp,AND($AB313&lt;&gt;"",$AB313&lt;&gt;"N/A",$AB313&lt;&gt;"No Min RQ"),_xlpm.usp,AND($AF313&lt;&gt;"",$AF313&lt;&gt;"N/A",$AF313&lt;&gt;"No Min RQ"),_xlpm.n,_xlpm.sfp+_xlpm.slp+_xlpm.ffp+_xlpm.chp+_xlpm.usp,_xlpm.sub,(_xlpm.sfp*($P313="Submitted"))+(_xlpm.slp*($T313="Submitted"))+(_xlpm.ffp*($X313="Submitted"))+(_xlpm.chp*($AB313="Submitted"))+(_xlpm.usp*($AF313="Submitted")),_xlpm.term,(_xlpm.sfp*OR($P313="Approved",$P313="Declined"))+(_xlpm.slp*OR($T313="Approved",$T313="Declined"))+(_xlpm.ffp*OR($X313="Approved",$X313="Declined"))+(_xlpm.chp*OR($AB313="Approved",$AB313="Declined"))+(_xlpm.usp*OR($AF313="Approved",$AF313="Declined")),IF(_xlpm.n=0,"No applicable lenders",IF(_xlpm.sub&gt;0,"Stays with Shaw - lender still Submitted",IF(_xlpm.term=_xlpm.n,"Clear - all applicable lenders Approved or Declined","Stays with Shaw - not all lenders Approved or Declined")))))</f>
      </c>
    </row>
    <row r="314" spans="80:80">
      <c r="CB314" s="131">
        <f>IF($A314="","",_xlfn.LET(_xlpm.sfp,AND($P314&lt;&gt;"",$P314&lt;&gt;"N/A",$P314&lt;&gt;"No Min RQ"),_xlpm.slp,AND($T314&lt;&gt;"",$T314&lt;&gt;"N/A",$T314&lt;&gt;"No Min RQ"),_xlpm.ffp,AND($X314&lt;&gt;"",$X314&lt;&gt;"N/A",$X314&lt;&gt;"No Min RQ"),_xlpm.chp,AND($AB314&lt;&gt;"",$AB314&lt;&gt;"N/A",$AB314&lt;&gt;"No Min RQ"),_xlpm.usp,AND($AF314&lt;&gt;"",$AF314&lt;&gt;"N/A",$AF314&lt;&gt;"No Min RQ"),_xlpm.n,_xlpm.sfp+_xlpm.slp+_xlpm.ffp+_xlpm.chp+_xlpm.usp,_xlpm.sub,(_xlpm.sfp*($P314="Submitted"))+(_xlpm.slp*($T314="Submitted"))+(_xlpm.ffp*($X314="Submitted"))+(_xlpm.chp*($AB314="Submitted"))+(_xlpm.usp*($AF314="Submitted")),_xlpm.term,(_xlpm.sfp*OR($P314="Approved",$P314="Declined"))+(_xlpm.slp*OR($T314="Approved",$T314="Declined"))+(_xlpm.ffp*OR($X314="Approved",$X314="Declined"))+(_xlpm.chp*OR($AB314="Approved",$AB314="Declined"))+(_xlpm.usp*OR($AF314="Approved",$AF314="Declined")),IF(_xlpm.n=0,"No applicable lenders",IF(_xlpm.sub&gt;0,"Stays with Shaw - lender still Submitted",IF(_xlpm.term=_xlpm.n,"Clear - all applicable lenders Approved or Declined","Stays with Shaw - not all lenders Approved or Declined")))))</f>
      </c>
    </row>
    <row r="315" spans="80:80">
      <c r="CB315" s="131">
        <f>IF($A315="","",_xlfn.LET(_xlpm.sfp,AND($P315&lt;&gt;"",$P315&lt;&gt;"N/A",$P315&lt;&gt;"No Min RQ"),_xlpm.slp,AND($T315&lt;&gt;"",$T315&lt;&gt;"N/A",$T315&lt;&gt;"No Min RQ"),_xlpm.ffp,AND($X315&lt;&gt;"",$X315&lt;&gt;"N/A",$X315&lt;&gt;"No Min RQ"),_xlpm.chp,AND($AB315&lt;&gt;"",$AB315&lt;&gt;"N/A",$AB315&lt;&gt;"No Min RQ"),_xlpm.usp,AND($AF315&lt;&gt;"",$AF315&lt;&gt;"N/A",$AF315&lt;&gt;"No Min RQ"),_xlpm.n,_xlpm.sfp+_xlpm.slp+_xlpm.ffp+_xlpm.chp+_xlpm.usp,_xlpm.sub,(_xlpm.sfp*($P315="Submitted"))+(_xlpm.slp*($T315="Submitted"))+(_xlpm.ffp*($X315="Submitted"))+(_xlpm.chp*($AB315="Submitted"))+(_xlpm.usp*($AF315="Submitted")),_xlpm.term,(_xlpm.sfp*OR($P315="Approved",$P315="Declined"))+(_xlpm.slp*OR($T315="Approved",$T315="Declined"))+(_xlpm.ffp*OR($X315="Approved",$X315="Declined"))+(_xlpm.chp*OR($AB315="Approved",$AB315="Declined"))+(_xlpm.usp*OR($AF315="Approved",$AF315="Declined")),IF(_xlpm.n=0,"No applicable lenders",IF(_xlpm.sub&gt;0,"Stays with Shaw - lender still Submitted",IF(_xlpm.term=_xlpm.n,"Clear - all applicable lenders Approved or Declined","Stays with Shaw - not all lenders Approved or Declined")))))</f>
      </c>
    </row>
    <row r="316" spans="80:80">
      <c r="CB316" s="131">
        <f>IF($A316="","",_xlfn.LET(_xlpm.sfp,AND($P316&lt;&gt;"",$P316&lt;&gt;"N/A",$P316&lt;&gt;"No Min RQ"),_xlpm.slp,AND($T316&lt;&gt;"",$T316&lt;&gt;"N/A",$T316&lt;&gt;"No Min RQ"),_xlpm.ffp,AND($X316&lt;&gt;"",$X316&lt;&gt;"N/A",$X316&lt;&gt;"No Min RQ"),_xlpm.chp,AND($AB316&lt;&gt;"",$AB316&lt;&gt;"N/A",$AB316&lt;&gt;"No Min RQ"),_xlpm.usp,AND($AF316&lt;&gt;"",$AF316&lt;&gt;"N/A",$AF316&lt;&gt;"No Min RQ"),_xlpm.n,_xlpm.sfp+_xlpm.slp+_xlpm.ffp+_xlpm.chp+_xlpm.usp,_xlpm.sub,(_xlpm.sfp*($P316="Submitted"))+(_xlpm.slp*($T316="Submitted"))+(_xlpm.ffp*($X316="Submitted"))+(_xlpm.chp*($AB316="Submitted"))+(_xlpm.usp*($AF316="Submitted")),_xlpm.term,(_xlpm.sfp*OR($P316="Approved",$P316="Declined"))+(_xlpm.slp*OR($T316="Approved",$T316="Declined"))+(_xlpm.ffp*OR($X316="Approved",$X316="Declined"))+(_xlpm.chp*OR($AB316="Approved",$AB316="Declined"))+(_xlpm.usp*OR($AF316="Approved",$AF316="Declined")),IF(_xlpm.n=0,"No applicable lenders",IF(_xlpm.sub&gt;0,"Stays with Shaw - lender still Submitted",IF(_xlpm.term=_xlpm.n,"Clear - all applicable lenders Approved or Declined","Stays with Shaw - not all lenders Approved or Declined")))))</f>
      </c>
    </row>
    <row r="317" spans="80:80">
      <c r="CB317" s="131">
        <f>IF($A317="","",_xlfn.LET(_xlpm.sfp,AND($P317&lt;&gt;"",$P317&lt;&gt;"N/A",$P317&lt;&gt;"No Min RQ"),_xlpm.slp,AND($T317&lt;&gt;"",$T317&lt;&gt;"N/A",$T317&lt;&gt;"No Min RQ"),_xlpm.ffp,AND($X317&lt;&gt;"",$X317&lt;&gt;"N/A",$X317&lt;&gt;"No Min RQ"),_xlpm.chp,AND($AB317&lt;&gt;"",$AB317&lt;&gt;"N/A",$AB317&lt;&gt;"No Min RQ"),_xlpm.usp,AND($AF317&lt;&gt;"",$AF317&lt;&gt;"N/A",$AF317&lt;&gt;"No Min RQ"),_xlpm.n,_xlpm.sfp+_xlpm.slp+_xlpm.ffp+_xlpm.chp+_xlpm.usp,_xlpm.sub,(_xlpm.sfp*($P317="Submitted"))+(_xlpm.slp*($T317="Submitted"))+(_xlpm.ffp*($X317="Submitted"))+(_xlpm.chp*($AB317="Submitted"))+(_xlpm.usp*($AF317="Submitted")),_xlpm.term,(_xlpm.sfp*OR($P317="Approved",$P317="Declined"))+(_xlpm.slp*OR($T317="Approved",$T317="Declined"))+(_xlpm.ffp*OR($X317="Approved",$X317="Declined"))+(_xlpm.chp*OR($AB317="Approved",$AB317="Declined"))+(_xlpm.usp*OR($AF317="Approved",$AF317="Declined")),IF(_xlpm.n=0,"No applicable lenders",IF(_xlpm.sub&gt;0,"Stays with Shaw - lender still Submitted",IF(_xlpm.term=_xlpm.n,"Clear - all applicable lenders Approved or Declined","Stays with Shaw - not all lenders Approved or Declined")))))</f>
      </c>
    </row>
    <row r="318" spans="80:80">
      <c r="CB318" s="131">
        <f>IF($A318="","",_xlfn.LET(_xlpm.sfp,AND($P318&lt;&gt;"",$P318&lt;&gt;"N/A",$P318&lt;&gt;"No Min RQ"),_xlpm.slp,AND($T318&lt;&gt;"",$T318&lt;&gt;"N/A",$T318&lt;&gt;"No Min RQ"),_xlpm.ffp,AND($X318&lt;&gt;"",$X318&lt;&gt;"N/A",$X318&lt;&gt;"No Min RQ"),_xlpm.chp,AND($AB318&lt;&gt;"",$AB318&lt;&gt;"N/A",$AB318&lt;&gt;"No Min RQ"),_xlpm.usp,AND($AF318&lt;&gt;"",$AF318&lt;&gt;"N/A",$AF318&lt;&gt;"No Min RQ"),_xlpm.n,_xlpm.sfp+_xlpm.slp+_xlpm.ffp+_xlpm.chp+_xlpm.usp,_xlpm.sub,(_xlpm.sfp*($P318="Submitted"))+(_xlpm.slp*($T318="Submitted"))+(_xlpm.ffp*($X318="Submitted"))+(_xlpm.chp*($AB318="Submitted"))+(_xlpm.usp*($AF318="Submitted")),_xlpm.term,(_xlpm.sfp*OR($P318="Approved",$P318="Declined"))+(_xlpm.slp*OR($T318="Approved",$T318="Declined"))+(_xlpm.ffp*OR($X318="Approved",$X318="Declined"))+(_xlpm.chp*OR($AB318="Approved",$AB318="Declined"))+(_xlpm.usp*OR($AF318="Approved",$AF318="Declined")),IF(_xlpm.n=0,"No applicable lenders",IF(_xlpm.sub&gt;0,"Stays with Shaw - lender still Submitted",IF(_xlpm.term=_xlpm.n,"Clear - all applicable lenders Approved or Declined","Stays with Shaw - not all lenders Approved or Declined")))))</f>
      </c>
    </row>
    <row r="319" spans="80:80">
      <c r="CB319" s="131">
        <f>IF($A319="","",_xlfn.LET(_xlpm.sfp,AND($P319&lt;&gt;"",$P319&lt;&gt;"N/A",$P319&lt;&gt;"No Min RQ"),_xlpm.slp,AND($T319&lt;&gt;"",$T319&lt;&gt;"N/A",$T319&lt;&gt;"No Min RQ"),_xlpm.ffp,AND($X319&lt;&gt;"",$X319&lt;&gt;"N/A",$X319&lt;&gt;"No Min RQ"),_xlpm.chp,AND($AB319&lt;&gt;"",$AB319&lt;&gt;"N/A",$AB319&lt;&gt;"No Min RQ"),_xlpm.usp,AND($AF319&lt;&gt;"",$AF319&lt;&gt;"N/A",$AF319&lt;&gt;"No Min RQ"),_xlpm.n,_xlpm.sfp+_xlpm.slp+_xlpm.ffp+_xlpm.chp+_xlpm.usp,_xlpm.sub,(_xlpm.sfp*($P319="Submitted"))+(_xlpm.slp*($T319="Submitted"))+(_xlpm.ffp*($X319="Submitted"))+(_xlpm.chp*($AB319="Submitted"))+(_xlpm.usp*($AF319="Submitted")),_xlpm.term,(_xlpm.sfp*OR($P319="Approved",$P319="Declined"))+(_xlpm.slp*OR($T319="Approved",$T319="Declined"))+(_xlpm.ffp*OR($X319="Approved",$X319="Declined"))+(_xlpm.chp*OR($AB319="Approved",$AB319="Declined"))+(_xlpm.usp*OR($AF319="Approved",$AF319="Declined")),IF(_xlpm.n=0,"No applicable lenders",IF(_xlpm.sub&gt;0,"Stays with Shaw - lender still Submitted",IF(_xlpm.term=_xlpm.n,"Clear - all applicable lenders Approved or Declined","Stays with Shaw - not all lenders Approved or Declined")))))</f>
      </c>
    </row>
    <row r="320" spans="80:80">
      <c r="CB320" s="131">
        <f>IF($A320="","",_xlfn.LET(_xlpm.sfp,AND($P320&lt;&gt;"",$P320&lt;&gt;"N/A",$P320&lt;&gt;"No Min RQ"),_xlpm.slp,AND($T320&lt;&gt;"",$T320&lt;&gt;"N/A",$T320&lt;&gt;"No Min RQ"),_xlpm.ffp,AND($X320&lt;&gt;"",$X320&lt;&gt;"N/A",$X320&lt;&gt;"No Min RQ"),_xlpm.chp,AND($AB320&lt;&gt;"",$AB320&lt;&gt;"N/A",$AB320&lt;&gt;"No Min RQ"),_xlpm.usp,AND($AF320&lt;&gt;"",$AF320&lt;&gt;"N/A",$AF320&lt;&gt;"No Min RQ"),_xlpm.n,_xlpm.sfp+_xlpm.slp+_xlpm.ffp+_xlpm.chp+_xlpm.usp,_xlpm.sub,(_xlpm.sfp*($P320="Submitted"))+(_xlpm.slp*($T320="Submitted"))+(_xlpm.ffp*($X320="Submitted"))+(_xlpm.chp*($AB320="Submitted"))+(_xlpm.usp*($AF320="Submitted")),_xlpm.term,(_xlpm.sfp*OR($P320="Approved",$P320="Declined"))+(_xlpm.slp*OR($T320="Approved",$T320="Declined"))+(_xlpm.ffp*OR($X320="Approved",$X320="Declined"))+(_xlpm.chp*OR($AB320="Approved",$AB320="Declined"))+(_xlpm.usp*OR($AF320="Approved",$AF320="Declined")),IF(_xlpm.n=0,"No applicable lenders",IF(_xlpm.sub&gt;0,"Stays with Shaw - lender still Submitted",IF(_xlpm.term=_xlpm.n,"Clear - all applicable lenders Approved or Declined","Stays with Shaw - not all lenders Approved or Declined")))))</f>
      </c>
    </row>
    <row r="321" spans="80:80">
      <c r="CB321" s="131">
        <f>IF($A321="","",_xlfn.LET(_xlpm.sfp,AND($P321&lt;&gt;"",$P321&lt;&gt;"N/A",$P321&lt;&gt;"No Min RQ"),_xlpm.slp,AND($T321&lt;&gt;"",$T321&lt;&gt;"N/A",$T321&lt;&gt;"No Min RQ"),_xlpm.ffp,AND($X321&lt;&gt;"",$X321&lt;&gt;"N/A",$X321&lt;&gt;"No Min RQ"),_xlpm.chp,AND($AB321&lt;&gt;"",$AB321&lt;&gt;"N/A",$AB321&lt;&gt;"No Min RQ"),_xlpm.usp,AND($AF321&lt;&gt;"",$AF321&lt;&gt;"N/A",$AF321&lt;&gt;"No Min RQ"),_xlpm.n,_xlpm.sfp+_xlpm.slp+_xlpm.ffp+_xlpm.chp+_xlpm.usp,_xlpm.sub,(_xlpm.sfp*($P321="Submitted"))+(_xlpm.slp*($T321="Submitted"))+(_xlpm.ffp*($X321="Submitted"))+(_xlpm.chp*($AB321="Submitted"))+(_xlpm.usp*($AF321="Submitted")),_xlpm.term,(_xlpm.sfp*OR($P321="Approved",$P321="Declined"))+(_xlpm.slp*OR($T321="Approved",$T321="Declined"))+(_xlpm.ffp*OR($X321="Approved",$X321="Declined"))+(_xlpm.chp*OR($AB321="Approved",$AB321="Declined"))+(_xlpm.usp*OR($AF321="Approved",$AF321="Declined")),IF(_xlpm.n=0,"No applicable lenders",IF(_xlpm.sub&gt;0,"Stays with Shaw - lender still Submitted",IF(_xlpm.term=_xlpm.n,"Clear - all applicable lenders Approved or Declined","Stays with Shaw - not all lenders Approved or Declined")))))</f>
      </c>
    </row>
    <row r="322" spans="80:80">
      <c r="CB322" s="131">
        <f>IF($A322="","",_xlfn.LET(_xlpm.sfp,AND($P322&lt;&gt;"",$P322&lt;&gt;"N/A",$P322&lt;&gt;"No Min RQ"),_xlpm.slp,AND($T322&lt;&gt;"",$T322&lt;&gt;"N/A",$T322&lt;&gt;"No Min RQ"),_xlpm.ffp,AND($X322&lt;&gt;"",$X322&lt;&gt;"N/A",$X322&lt;&gt;"No Min RQ"),_xlpm.chp,AND($AB322&lt;&gt;"",$AB322&lt;&gt;"N/A",$AB322&lt;&gt;"No Min RQ"),_xlpm.usp,AND($AF322&lt;&gt;"",$AF322&lt;&gt;"N/A",$AF322&lt;&gt;"No Min RQ"),_xlpm.n,_xlpm.sfp+_xlpm.slp+_xlpm.ffp+_xlpm.chp+_xlpm.usp,_xlpm.sub,(_xlpm.sfp*($P322="Submitted"))+(_xlpm.slp*($T322="Submitted"))+(_xlpm.ffp*($X322="Submitted"))+(_xlpm.chp*($AB322="Submitted"))+(_xlpm.usp*($AF322="Submitted")),_xlpm.term,(_xlpm.sfp*OR($P322="Approved",$P322="Declined"))+(_xlpm.slp*OR($T322="Approved",$T322="Declined"))+(_xlpm.ffp*OR($X322="Approved",$X322="Declined"))+(_xlpm.chp*OR($AB322="Approved",$AB322="Declined"))+(_xlpm.usp*OR($AF322="Approved",$AF322="Declined")),IF(_xlpm.n=0,"No applicable lenders",IF(_xlpm.sub&gt;0,"Stays with Shaw - lender still Submitted",IF(_xlpm.term=_xlpm.n,"Clear - all applicable lenders Approved or Declined","Stays with Shaw - not all lenders Approved or Declined")))))</f>
      </c>
    </row>
    <row r="323" spans="80:80">
      <c r="CB323" s="131">
        <f>IF($A323="","",_xlfn.LET(_xlpm.sfp,AND($P323&lt;&gt;"",$P323&lt;&gt;"N/A",$P323&lt;&gt;"No Min RQ"),_xlpm.slp,AND($T323&lt;&gt;"",$T323&lt;&gt;"N/A",$T323&lt;&gt;"No Min RQ"),_xlpm.ffp,AND($X323&lt;&gt;"",$X323&lt;&gt;"N/A",$X323&lt;&gt;"No Min RQ"),_xlpm.chp,AND($AB323&lt;&gt;"",$AB323&lt;&gt;"N/A",$AB323&lt;&gt;"No Min RQ"),_xlpm.usp,AND($AF323&lt;&gt;"",$AF323&lt;&gt;"N/A",$AF323&lt;&gt;"No Min RQ"),_xlpm.n,_xlpm.sfp+_xlpm.slp+_xlpm.ffp+_xlpm.chp+_xlpm.usp,_xlpm.sub,(_xlpm.sfp*($P323="Submitted"))+(_xlpm.slp*($T323="Submitted"))+(_xlpm.ffp*($X323="Submitted"))+(_xlpm.chp*($AB323="Submitted"))+(_xlpm.usp*($AF323="Submitted")),_xlpm.term,(_xlpm.sfp*OR($P323="Approved",$P323="Declined"))+(_xlpm.slp*OR($T323="Approved",$T323="Declined"))+(_xlpm.ffp*OR($X323="Approved",$X323="Declined"))+(_xlpm.chp*OR($AB323="Approved",$AB323="Declined"))+(_xlpm.usp*OR($AF323="Approved",$AF323="Declined")),IF(_xlpm.n=0,"No applicable lenders",IF(_xlpm.sub&gt;0,"Stays with Shaw - lender still Submitted",IF(_xlpm.term=_xlpm.n,"Clear - all applicable lenders Approved or Declined","Stays with Shaw - not all lenders Approved or Declined")))))</f>
      </c>
    </row>
    <row r="324" spans="80:80">
      <c r="CB324" s="131">
        <f>IF($A324="","",_xlfn.LET(_xlpm.sfp,AND($P324&lt;&gt;"",$P324&lt;&gt;"N/A",$P324&lt;&gt;"No Min RQ"),_xlpm.slp,AND($T324&lt;&gt;"",$T324&lt;&gt;"N/A",$T324&lt;&gt;"No Min RQ"),_xlpm.ffp,AND($X324&lt;&gt;"",$X324&lt;&gt;"N/A",$X324&lt;&gt;"No Min RQ"),_xlpm.chp,AND($AB324&lt;&gt;"",$AB324&lt;&gt;"N/A",$AB324&lt;&gt;"No Min RQ"),_xlpm.usp,AND($AF324&lt;&gt;"",$AF324&lt;&gt;"N/A",$AF324&lt;&gt;"No Min RQ"),_xlpm.n,_xlpm.sfp+_xlpm.slp+_xlpm.ffp+_xlpm.chp+_xlpm.usp,_xlpm.sub,(_xlpm.sfp*($P324="Submitted"))+(_xlpm.slp*($T324="Submitted"))+(_xlpm.ffp*($X324="Submitted"))+(_xlpm.chp*($AB324="Submitted"))+(_xlpm.usp*($AF324="Submitted")),_xlpm.term,(_xlpm.sfp*OR($P324="Approved",$P324="Declined"))+(_xlpm.slp*OR($T324="Approved",$T324="Declined"))+(_xlpm.ffp*OR($X324="Approved",$X324="Declined"))+(_xlpm.chp*OR($AB324="Approved",$AB324="Declined"))+(_xlpm.usp*OR($AF324="Approved",$AF324="Declined")),IF(_xlpm.n=0,"No applicable lenders",IF(_xlpm.sub&gt;0,"Stays with Shaw - lender still Submitted",IF(_xlpm.term=_xlpm.n,"Clear - all applicable lenders Approved or Declined","Stays with Shaw - not all lenders Approved or Declined")))))</f>
      </c>
    </row>
    <row r="325" spans="80:80">
      <c r="CB325" s="131">
        <f>IF($A325="","",_xlfn.LET(_xlpm.sfp,AND($P325&lt;&gt;"",$P325&lt;&gt;"N/A",$P325&lt;&gt;"No Min RQ"),_xlpm.slp,AND($T325&lt;&gt;"",$T325&lt;&gt;"N/A",$T325&lt;&gt;"No Min RQ"),_xlpm.ffp,AND($X325&lt;&gt;"",$X325&lt;&gt;"N/A",$X325&lt;&gt;"No Min RQ"),_xlpm.chp,AND($AB325&lt;&gt;"",$AB325&lt;&gt;"N/A",$AB325&lt;&gt;"No Min RQ"),_xlpm.usp,AND($AF325&lt;&gt;"",$AF325&lt;&gt;"N/A",$AF325&lt;&gt;"No Min RQ"),_xlpm.n,_xlpm.sfp+_xlpm.slp+_xlpm.ffp+_xlpm.chp+_xlpm.usp,_xlpm.sub,(_xlpm.sfp*($P325="Submitted"))+(_xlpm.slp*($T325="Submitted"))+(_xlpm.ffp*($X325="Submitted"))+(_xlpm.chp*($AB325="Submitted"))+(_xlpm.usp*($AF325="Submitted")),_xlpm.term,(_xlpm.sfp*OR($P325="Approved",$P325="Declined"))+(_xlpm.slp*OR($T325="Approved",$T325="Declined"))+(_xlpm.ffp*OR($X325="Approved",$X325="Declined"))+(_xlpm.chp*OR($AB325="Approved",$AB325="Declined"))+(_xlpm.usp*OR($AF325="Approved",$AF325="Declined")),IF(_xlpm.n=0,"No applicable lenders",IF(_xlpm.sub&gt;0,"Stays with Shaw - lender still Submitted",IF(_xlpm.term=_xlpm.n,"Clear - all applicable lenders Approved or Declined","Stays with Shaw - not all lenders Approved or Declined")))))</f>
      </c>
    </row>
    <row r="326" spans="80:80">
      <c r="CB326" s="131">
        <f>IF($A326="","",_xlfn.LET(_xlpm.sfp,AND($P326&lt;&gt;"",$P326&lt;&gt;"N/A",$P326&lt;&gt;"No Min RQ"),_xlpm.slp,AND($T326&lt;&gt;"",$T326&lt;&gt;"N/A",$T326&lt;&gt;"No Min RQ"),_xlpm.ffp,AND($X326&lt;&gt;"",$X326&lt;&gt;"N/A",$X326&lt;&gt;"No Min RQ"),_xlpm.chp,AND($AB326&lt;&gt;"",$AB326&lt;&gt;"N/A",$AB326&lt;&gt;"No Min RQ"),_xlpm.usp,AND($AF326&lt;&gt;"",$AF326&lt;&gt;"N/A",$AF326&lt;&gt;"No Min RQ"),_xlpm.n,_xlpm.sfp+_xlpm.slp+_xlpm.ffp+_xlpm.chp+_xlpm.usp,_xlpm.sub,(_xlpm.sfp*($P326="Submitted"))+(_xlpm.slp*($T326="Submitted"))+(_xlpm.ffp*($X326="Submitted"))+(_xlpm.chp*($AB326="Submitted"))+(_xlpm.usp*($AF326="Submitted")),_xlpm.term,(_xlpm.sfp*OR($P326="Approved",$P326="Declined"))+(_xlpm.slp*OR($T326="Approved",$T326="Declined"))+(_xlpm.ffp*OR($X326="Approved",$X326="Declined"))+(_xlpm.chp*OR($AB326="Approved",$AB326="Declined"))+(_xlpm.usp*OR($AF326="Approved",$AF326="Declined")),IF(_xlpm.n=0,"No applicable lenders",IF(_xlpm.sub&gt;0,"Stays with Shaw - lender still Submitted",IF(_xlpm.term=_xlpm.n,"Clear - all applicable lenders Approved or Declined","Stays with Shaw - not all lenders Approved or Declined")))))</f>
      </c>
    </row>
    <row r="327" spans="80:80">
      <c r="CB327" s="131">
        <f>IF($A327="","",_xlfn.LET(_xlpm.sfp,AND($P327&lt;&gt;"",$P327&lt;&gt;"N/A",$P327&lt;&gt;"No Min RQ"),_xlpm.slp,AND($T327&lt;&gt;"",$T327&lt;&gt;"N/A",$T327&lt;&gt;"No Min RQ"),_xlpm.ffp,AND($X327&lt;&gt;"",$X327&lt;&gt;"N/A",$X327&lt;&gt;"No Min RQ"),_xlpm.chp,AND($AB327&lt;&gt;"",$AB327&lt;&gt;"N/A",$AB327&lt;&gt;"No Min RQ"),_xlpm.usp,AND($AF327&lt;&gt;"",$AF327&lt;&gt;"N/A",$AF327&lt;&gt;"No Min RQ"),_xlpm.n,_xlpm.sfp+_xlpm.slp+_xlpm.ffp+_xlpm.chp+_xlpm.usp,_xlpm.sub,(_xlpm.sfp*($P327="Submitted"))+(_xlpm.slp*($T327="Submitted"))+(_xlpm.ffp*($X327="Submitted"))+(_xlpm.chp*($AB327="Submitted"))+(_xlpm.usp*($AF327="Submitted")),_xlpm.term,(_xlpm.sfp*OR($P327="Approved",$P327="Declined"))+(_xlpm.slp*OR($T327="Approved",$T327="Declined"))+(_xlpm.ffp*OR($X327="Approved",$X327="Declined"))+(_xlpm.chp*OR($AB327="Approved",$AB327="Declined"))+(_xlpm.usp*OR($AF327="Approved",$AF327="Declined")),IF(_xlpm.n=0,"No applicable lenders",IF(_xlpm.sub&gt;0,"Stays with Shaw - lender still Submitted",IF(_xlpm.term=_xlpm.n,"Clear - all applicable lenders Approved or Declined","Stays with Shaw - not all lenders Approved or Declined")))))</f>
      </c>
    </row>
    <row r="328" spans="80:80">
      <c r="CB328" s="131">
        <f>IF($A328="","",_xlfn.LET(_xlpm.sfp,AND($P328&lt;&gt;"",$P328&lt;&gt;"N/A",$P328&lt;&gt;"No Min RQ"),_xlpm.slp,AND($T328&lt;&gt;"",$T328&lt;&gt;"N/A",$T328&lt;&gt;"No Min RQ"),_xlpm.ffp,AND($X328&lt;&gt;"",$X328&lt;&gt;"N/A",$X328&lt;&gt;"No Min RQ"),_xlpm.chp,AND($AB328&lt;&gt;"",$AB328&lt;&gt;"N/A",$AB328&lt;&gt;"No Min RQ"),_xlpm.usp,AND($AF328&lt;&gt;"",$AF328&lt;&gt;"N/A",$AF328&lt;&gt;"No Min RQ"),_xlpm.n,_xlpm.sfp+_xlpm.slp+_xlpm.ffp+_xlpm.chp+_xlpm.usp,_xlpm.sub,(_xlpm.sfp*($P328="Submitted"))+(_xlpm.slp*($T328="Submitted"))+(_xlpm.ffp*($X328="Submitted"))+(_xlpm.chp*($AB328="Submitted"))+(_xlpm.usp*($AF328="Submitted")),_xlpm.term,(_xlpm.sfp*OR($P328="Approved",$P328="Declined"))+(_xlpm.slp*OR($T328="Approved",$T328="Declined"))+(_xlpm.ffp*OR($X328="Approved",$X328="Declined"))+(_xlpm.chp*OR($AB328="Approved",$AB328="Declined"))+(_xlpm.usp*OR($AF328="Approved",$AF328="Declined")),IF(_xlpm.n=0,"No applicable lenders",IF(_xlpm.sub&gt;0,"Stays with Shaw - lender still Submitted",IF(_xlpm.term=_xlpm.n,"Clear - all applicable lenders Approved or Declined","Stays with Shaw - not all lenders Approved or Declined")))))</f>
      </c>
    </row>
    <row r="329" spans="80:80">
      <c r="CB329" s="131">
        <f>IF($A329="","",_xlfn.LET(_xlpm.sfp,AND($P329&lt;&gt;"",$P329&lt;&gt;"N/A",$P329&lt;&gt;"No Min RQ"),_xlpm.slp,AND($T329&lt;&gt;"",$T329&lt;&gt;"N/A",$T329&lt;&gt;"No Min RQ"),_xlpm.ffp,AND($X329&lt;&gt;"",$X329&lt;&gt;"N/A",$X329&lt;&gt;"No Min RQ"),_xlpm.chp,AND($AB329&lt;&gt;"",$AB329&lt;&gt;"N/A",$AB329&lt;&gt;"No Min RQ"),_xlpm.usp,AND($AF329&lt;&gt;"",$AF329&lt;&gt;"N/A",$AF329&lt;&gt;"No Min RQ"),_xlpm.n,_xlpm.sfp+_xlpm.slp+_xlpm.ffp+_xlpm.chp+_xlpm.usp,_xlpm.sub,(_xlpm.sfp*($P329="Submitted"))+(_xlpm.slp*($T329="Submitted"))+(_xlpm.ffp*($X329="Submitted"))+(_xlpm.chp*($AB329="Submitted"))+(_xlpm.usp*($AF329="Submitted")),_xlpm.term,(_xlpm.sfp*OR($P329="Approved",$P329="Declined"))+(_xlpm.slp*OR($T329="Approved",$T329="Declined"))+(_xlpm.ffp*OR($X329="Approved",$X329="Declined"))+(_xlpm.chp*OR($AB329="Approved",$AB329="Declined"))+(_xlpm.usp*OR($AF329="Approved",$AF329="Declined")),IF(_xlpm.n=0,"No applicable lenders",IF(_xlpm.sub&gt;0,"Stays with Shaw - lender still Submitted",IF(_xlpm.term=_xlpm.n,"Clear - all applicable lenders Approved or Declined","Stays with Shaw - not all lenders Approved or Declined")))))</f>
      </c>
    </row>
    <row r="330" spans="80:80">
      <c r="CB330" s="131">
        <f>IF($A330="","",_xlfn.LET(_xlpm.sfp,AND($P330&lt;&gt;"",$P330&lt;&gt;"N/A",$P330&lt;&gt;"No Min RQ"),_xlpm.slp,AND($T330&lt;&gt;"",$T330&lt;&gt;"N/A",$T330&lt;&gt;"No Min RQ"),_xlpm.ffp,AND($X330&lt;&gt;"",$X330&lt;&gt;"N/A",$X330&lt;&gt;"No Min RQ"),_xlpm.chp,AND($AB330&lt;&gt;"",$AB330&lt;&gt;"N/A",$AB330&lt;&gt;"No Min RQ"),_xlpm.usp,AND($AF330&lt;&gt;"",$AF330&lt;&gt;"N/A",$AF330&lt;&gt;"No Min RQ"),_xlpm.n,_xlpm.sfp+_xlpm.slp+_xlpm.ffp+_xlpm.chp+_xlpm.usp,_xlpm.sub,(_xlpm.sfp*($P330="Submitted"))+(_xlpm.slp*($T330="Submitted"))+(_xlpm.ffp*($X330="Submitted"))+(_xlpm.chp*($AB330="Submitted"))+(_xlpm.usp*($AF330="Submitted")),_xlpm.term,(_xlpm.sfp*OR($P330="Approved",$P330="Declined"))+(_xlpm.slp*OR($T330="Approved",$T330="Declined"))+(_xlpm.ffp*OR($X330="Approved",$X330="Declined"))+(_xlpm.chp*OR($AB330="Approved",$AB330="Declined"))+(_xlpm.usp*OR($AF330="Approved",$AF330="Declined")),IF(_xlpm.n=0,"No applicable lenders",IF(_xlpm.sub&gt;0,"Stays with Shaw - lender still Submitted",IF(_xlpm.term=_xlpm.n,"Clear - all applicable lenders Approved or Declined","Stays with Shaw - not all lenders Approved or Declined")))))</f>
      </c>
    </row>
    <row r="331" spans="80:80">
      <c r="CB331" s="131">
        <f>IF($A331="","",_xlfn.LET(_xlpm.sfp,AND($P331&lt;&gt;"",$P331&lt;&gt;"N/A",$P331&lt;&gt;"No Min RQ"),_xlpm.slp,AND($T331&lt;&gt;"",$T331&lt;&gt;"N/A",$T331&lt;&gt;"No Min RQ"),_xlpm.ffp,AND($X331&lt;&gt;"",$X331&lt;&gt;"N/A",$X331&lt;&gt;"No Min RQ"),_xlpm.chp,AND($AB331&lt;&gt;"",$AB331&lt;&gt;"N/A",$AB331&lt;&gt;"No Min RQ"),_xlpm.usp,AND($AF331&lt;&gt;"",$AF331&lt;&gt;"N/A",$AF331&lt;&gt;"No Min RQ"),_xlpm.n,_xlpm.sfp+_xlpm.slp+_xlpm.ffp+_xlpm.chp+_xlpm.usp,_xlpm.sub,(_xlpm.sfp*($P331="Submitted"))+(_xlpm.slp*($T331="Submitted"))+(_xlpm.ffp*($X331="Submitted"))+(_xlpm.chp*($AB331="Submitted"))+(_xlpm.usp*($AF331="Submitted")),_xlpm.term,(_xlpm.sfp*OR($P331="Approved",$P331="Declined"))+(_xlpm.slp*OR($T331="Approved",$T331="Declined"))+(_xlpm.ffp*OR($X331="Approved",$X331="Declined"))+(_xlpm.chp*OR($AB331="Approved",$AB331="Declined"))+(_xlpm.usp*OR($AF331="Approved",$AF331="Declined")),IF(_xlpm.n=0,"No applicable lenders",IF(_xlpm.sub&gt;0,"Stays with Shaw - lender still Submitted",IF(_xlpm.term=_xlpm.n,"Clear - all applicable lenders Approved or Declined","Stays with Shaw - not all lenders Approved or Declined")))))</f>
      </c>
    </row>
    <row r="332" spans="80:80">
      <c r="CB332" s="131">
        <f>IF($A332="","",_xlfn.LET(_xlpm.sfp,AND($P332&lt;&gt;"",$P332&lt;&gt;"N/A",$P332&lt;&gt;"No Min RQ"),_xlpm.slp,AND($T332&lt;&gt;"",$T332&lt;&gt;"N/A",$T332&lt;&gt;"No Min RQ"),_xlpm.ffp,AND($X332&lt;&gt;"",$X332&lt;&gt;"N/A",$X332&lt;&gt;"No Min RQ"),_xlpm.chp,AND($AB332&lt;&gt;"",$AB332&lt;&gt;"N/A",$AB332&lt;&gt;"No Min RQ"),_xlpm.usp,AND($AF332&lt;&gt;"",$AF332&lt;&gt;"N/A",$AF332&lt;&gt;"No Min RQ"),_xlpm.n,_xlpm.sfp+_xlpm.slp+_xlpm.ffp+_xlpm.chp+_xlpm.usp,_xlpm.sub,(_xlpm.sfp*($P332="Submitted"))+(_xlpm.slp*($T332="Submitted"))+(_xlpm.ffp*($X332="Submitted"))+(_xlpm.chp*($AB332="Submitted"))+(_xlpm.usp*($AF332="Submitted")),_xlpm.term,(_xlpm.sfp*OR($P332="Approved",$P332="Declined"))+(_xlpm.slp*OR($T332="Approved",$T332="Declined"))+(_xlpm.ffp*OR($X332="Approved",$X332="Declined"))+(_xlpm.chp*OR($AB332="Approved",$AB332="Declined"))+(_xlpm.usp*OR($AF332="Approved",$AF332="Declined")),IF(_xlpm.n=0,"No applicable lenders",IF(_xlpm.sub&gt;0,"Stays with Shaw - lender still Submitted",IF(_xlpm.term=_xlpm.n,"Clear - all applicable lenders Approved or Declined","Stays with Shaw - not all lenders Approved or Declined")))))</f>
      </c>
    </row>
    <row r="333" spans="80:80">
      <c r="CB333" s="131">
        <f>IF($A333="","",_xlfn.LET(_xlpm.sfp,AND($P333&lt;&gt;"",$P333&lt;&gt;"N/A",$P333&lt;&gt;"No Min RQ"),_xlpm.slp,AND($T333&lt;&gt;"",$T333&lt;&gt;"N/A",$T333&lt;&gt;"No Min RQ"),_xlpm.ffp,AND($X333&lt;&gt;"",$X333&lt;&gt;"N/A",$X333&lt;&gt;"No Min RQ"),_xlpm.chp,AND($AB333&lt;&gt;"",$AB333&lt;&gt;"N/A",$AB333&lt;&gt;"No Min RQ"),_xlpm.usp,AND($AF333&lt;&gt;"",$AF333&lt;&gt;"N/A",$AF333&lt;&gt;"No Min RQ"),_xlpm.n,_xlpm.sfp+_xlpm.slp+_xlpm.ffp+_xlpm.chp+_xlpm.usp,_xlpm.sub,(_xlpm.sfp*($P333="Submitted"))+(_xlpm.slp*($T333="Submitted"))+(_xlpm.ffp*($X333="Submitted"))+(_xlpm.chp*($AB333="Submitted"))+(_xlpm.usp*($AF333="Submitted")),_xlpm.term,(_xlpm.sfp*OR($P333="Approved",$P333="Declined"))+(_xlpm.slp*OR($T333="Approved",$T333="Declined"))+(_xlpm.ffp*OR($X333="Approved",$X333="Declined"))+(_xlpm.chp*OR($AB333="Approved",$AB333="Declined"))+(_xlpm.usp*OR($AF333="Approved",$AF333="Declined")),IF(_xlpm.n=0,"No applicable lenders",IF(_xlpm.sub&gt;0,"Stays with Shaw - lender still Submitted",IF(_xlpm.term=_xlpm.n,"Clear - all applicable lenders Approved or Declined","Stays with Shaw - not all lenders Approved or Declined")))))</f>
      </c>
    </row>
    <row r="334" spans="80:80">
      <c r="CB334" s="131">
        <f>IF($A334="","",_xlfn.LET(_xlpm.sfp,AND($P334&lt;&gt;"",$P334&lt;&gt;"N/A",$P334&lt;&gt;"No Min RQ"),_xlpm.slp,AND($T334&lt;&gt;"",$T334&lt;&gt;"N/A",$T334&lt;&gt;"No Min RQ"),_xlpm.ffp,AND($X334&lt;&gt;"",$X334&lt;&gt;"N/A",$X334&lt;&gt;"No Min RQ"),_xlpm.chp,AND($AB334&lt;&gt;"",$AB334&lt;&gt;"N/A",$AB334&lt;&gt;"No Min RQ"),_xlpm.usp,AND($AF334&lt;&gt;"",$AF334&lt;&gt;"N/A",$AF334&lt;&gt;"No Min RQ"),_xlpm.n,_xlpm.sfp+_xlpm.slp+_xlpm.ffp+_xlpm.chp+_xlpm.usp,_xlpm.sub,(_xlpm.sfp*($P334="Submitted"))+(_xlpm.slp*($T334="Submitted"))+(_xlpm.ffp*($X334="Submitted"))+(_xlpm.chp*($AB334="Submitted"))+(_xlpm.usp*($AF334="Submitted")),_xlpm.term,(_xlpm.sfp*OR($P334="Approved",$P334="Declined"))+(_xlpm.slp*OR($T334="Approved",$T334="Declined"))+(_xlpm.ffp*OR($X334="Approved",$X334="Declined"))+(_xlpm.chp*OR($AB334="Approved",$AB334="Declined"))+(_xlpm.usp*OR($AF334="Approved",$AF334="Declined")),IF(_xlpm.n=0,"No applicable lenders",IF(_xlpm.sub&gt;0,"Stays with Shaw - lender still Submitted",IF(_xlpm.term=_xlpm.n,"Clear - all applicable lenders Approved or Declined","Stays with Shaw - not all lenders Approved or Declined")))))</f>
      </c>
    </row>
    <row r="335" spans="80:80">
      <c r="CB335" s="131">
        <f>IF($A335="","",_xlfn.LET(_xlpm.sfp,AND($P335&lt;&gt;"",$P335&lt;&gt;"N/A",$P335&lt;&gt;"No Min RQ"),_xlpm.slp,AND($T335&lt;&gt;"",$T335&lt;&gt;"N/A",$T335&lt;&gt;"No Min RQ"),_xlpm.ffp,AND($X335&lt;&gt;"",$X335&lt;&gt;"N/A",$X335&lt;&gt;"No Min RQ"),_xlpm.chp,AND($AB335&lt;&gt;"",$AB335&lt;&gt;"N/A",$AB335&lt;&gt;"No Min RQ"),_xlpm.usp,AND($AF335&lt;&gt;"",$AF335&lt;&gt;"N/A",$AF335&lt;&gt;"No Min RQ"),_xlpm.n,_xlpm.sfp+_xlpm.slp+_xlpm.ffp+_xlpm.chp+_xlpm.usp,_xlpm.sub,(_xlpm.sfp*($P335="Submitted"))+(_xlpm.slp*($T335="Submitted"))+(_xlpm.ffp*($X335="Submitted"))+(_xlpm.chp*($AB335="Submitted"))+(_xlpm.usp*($AF335="Submitted")),_xlpm.term,(_xlpm.sfp*OR($P335="Approved",$P335="Declined"))+(_xlpm.slp*OR($T335="Approved",$T335="Declined"))+(_xlpm.ffp*OR($X335="Approved",$X335="Declined"))+(_xlpm.chp*OR($AB335="Approved",$AB335="Declined"))+(_xlpm.usp*OR($AF335="Approved",$AF335="Declined")),IF(_xlpm.n=0,"No applicable lenders",IF(_xlpm.sub&gt;0,"Stays with Shaw - lender still Submitted",IF(_xlpm.term=_xlpm.n,"Clear - all applicable lenders Approved or Declined","Stays with Shaw - not all lenders Approved or Declined")))))</f>
      </c>
    </row>
    <row r="336" spans="80:80">
      <c r="CB336" s="131">
        <f>IF($A336="","",_xlfn.LET(_xlpm.sfp,AND($P336&lt;&gt;"",$P336&lt;&gt;"N/A",$P336&lt;&gt;"No Min RQ"),_xlpm.slp,AND($T336&lt;&gt;"",$T336&lt;&gt;"N/A",$T336&lt;&gt;"No Min RQ"),_xlpm.ffp,AND($X336&lt;&gt;"",$X336&lt;&gt;"N/A",$X336&lt;&gt;"No Min RQ"),_xlpm.chp,AND($AB336&lt;&gt;"",$AB336&lt;&gt;"N/A",$AB336&lt;&gt;"No Min RQ"),_xlpm.usp,AND($AF336&lt;&gt;"",$AF336&lt;&gt;"N/A",$AF336&lt;&gt;"No Min RQ"),_xlpm.n,_xlpm.sfp+_xlpm.slp+_xlpm.ffp+_xlpm.chp+_xlpm.usp,_xlpm.sub,(_xlpm.sfp*($P336="Submitted"))+(_xlpm.slp*($T336="Submitted"))+(_xlpm.ffp*($X336="Submitted"))+(_xlpm.chp*($AB336="Submitted"))+(_xlpm.usp*($AF336="Submitted")),_xlpm.term,(_xlpm.sfp*OR($P336="Approved",$P336="Declined"))+(_xlpm.slp*OR($T336="Approved",$T336="Declined"))+(_xlpm.ffp*OR($X336="Approved",$X336="Declined"))+(_xlpm.chp*OR($AB336="Approved",$AB336="Declined"))+(_xlpm.usp*OR($AF336="Approved",$AF336="Declined")),IF(_xlpm.n=0,"No applicable lenders",IF(_xlpm.sub&gt;0,"Stays with Shaw - lender still Submitted",IF(_xlpm.term=_xlpm.n,"Clear - all applicable lenders Approved or Declined","Stays with Shaw - not all lenders Approved or Declined")))))</f>
      </c>
    </row>
    <row r="337" spans="80:80">
      <c r="CB337" s="131">
        <f>IF($A337="","",_xlfn.LET(_xlpm.sfp,AND($P337&lt;&gt;"",$P337&lt;&gt;"N/A",$P337&lt;&gt;"No Min RQ"),_xlpm.slp,AND($T337&lt;&gt;"",$T337&lt;&gt;"N/A",$T337&lt;&gt;"No Min RQ"),_xlpm.ffp,AND($X337&lt;&gt;"",$X337&lt;&gt;"N/A",$X337&lt;&gt;"No Min RQ"),_xlpm.chp,AND($AB337&lt;&gt;"",$AB337&lt;&gt;"N/A",$AB337&lt;&gt;"No Min RQ"),_xlpm.usp,AND($AF337&lt;&gt;"",$AF337&lt;&gt;"N/A",$AF337&lt;&gt;"No Min RQ"),_xlpm.n,_xlpm.sfp+_xlpm.slp+_xlpm.ffp+_xlpm.chp+_xlpm.usp,_xlpm.sub,(_xlpm.sfp*($P337="Submitted"))+(_xlpm.slp*($T337="Submitted"))+(_xlpm.ffp*($X337="Submitted"))+(_xlpm.chp*($AB337="Submitted"))+(_xlpm.usp*($AF337="Submitted")),_xlpm.term,(_xlpm.sfp*OR($P337="Approved",$P337="Declined"))+(_xlpm.slp*OR($T337="Approved",$T337="Declined"))+(_xlpm.ffp*OR($X337="Approved",$X337="Declined"))+(_xlpm.chp*OR($AB337="Approved",$AB337="Declined"))+(_xlpm.usp*OR($AF337="Approved",$AF337="Declined")),IF(_xlpm.n=0,"No applicable lenders",IF(_xlpm.sub&gt;0,"Stays with Shaw - lender still Submitted",IF(_xlpm.term=_xlpm.n,"Clear - all applicable lenders Approved or Declined","Stays with Shaw - not all lenders Approved or Declined")))))</f>
      </c>
    </row>
    <row r="338" spans="80:80">
      <c r="CB338" s="131">
        <f>IF($A338="","",_xlfn.LET(_xlpm.sfp,AND($P338&lt;&gt;"",$P338&lt;&gt;"N/A",$P338&lt;&gt;"No Min RQ"),_xlpm.slp,AND($T338&lt;&gt;"",$T338&lt;&gt;"N/A",$T338&lt;&gt;"No Min RQ"),_xlpm.ffp,AND($X338&lt;&gt;"",$X338&lt;&gt;"N/A",$X338&lt;&gt;"No Min RQ"),_xlpm.chp,AND($AB338&lt;&gt;"",$AB338&lt;&gt;"N/A",$AB338&lt;&gt;"No Min RQ"),_xlpm.usp,AND($AF338&lt;&gt;"",$AF338&lt;&gt;"N/A",$AF338&lt;&gt;"No Min RQ"),_xlpm.n,_xlpm.sfp+_xlpm.slp+_xlpm.ffp+_xlpm.chp+_xlpm.usp,_xlpm.sub,(_xlpm.sfp*($P338="Submitted"))+(_xlpm.slp*($T338="Submitted"))+(_xlpm.ffp*($X338="Submitted"))+(_xlpm.chp*($AB338="Submitted"))+(_xlpm.usp*($AF338="Submitted")),_xlpm.term,(_xlpm.sfp*OR($P338="Approved",$P338="Declined"))+(_xlpm.slp*OR($T338="Approved",$T338="Declined"))+(_xlpm.ffp*OR($X338="Approved",$X338="Declined"))+(_xlpm.chp*OR($AB338="Approved",$AB338="Declined"))+(_xlpm.usp*OR($AF338="Approved",$AF338="Declined")),IF(_xlpm.n=0,"No applicable lenders",IF(_xlpm.sub&gt;0,"Stays with Shaw - lender still Submitted",IF(_xlpm.term=_xlpm.n,"Clear - all applicable lenders Approved or Declined","Stays with Shaw - not all lenders Approved or Declined")))))</f>
      </c>
    </row>
    <row r="339" spans="80:80">
      <c r="CB339" s="131">
        <f>IF($A339="","",_xlfn.LET(_xlpm.sfp,AND($P339&lt;&gt;"",$P339&lt;&gt;"N/A",$P339&lt;&gt;"No Min RQ"),_xlpm.slp,AND($T339&lt;&gt;"",$T339&lt;&gt;"N/A",$T339&lt;&gt;"No Min RQ"),_xlpm.ffp,AND($X339&lt;&gt;"",$X339&lt;&gt;"N/A",$X339&lt;&gt;"No Min RQ"),_xlpm.chp,AND($AB339&lt;&gt;"",$AB339&lt;&gt;"N/A",$AB339&lt;&gt;"No Min RQ"),_xlpm.usp,AND($AF339&lt;&gt;"",$AF339&lt;&gt;"N/A",$AF339&lt;&gt;"No Min RQ"),_xlpm.n,_xlpm.sfp+_xlpm.slp+_xlpm.ffp+_xlpm.chp+_xlpm.usp,_xlpm.sub,(_xlpm.sfp*($P339="Submitted"))+(_xlpm.slp*($T339="Submitted"))+(_xlpm.ffp*($X339="Submitted"))+(_xlpm.chp*($AB339="Submitted"))+(_xlpm.usp*($AF339="Submitted")),_xlpm.term,(_xlpm.sfp*OR($P339="Approved",$P339="Declined"))+(_xlpm.slp*OR($T339="Approved",$T339="Declined"))+(_xlpm.ffp*OR($X339="Approved",$X339="Declined"))+(_xlpm.chp*OR($AB339="Approved",$AB339="Declined"))+(_xlpm.usp*OR($AF339="Approved",$AF339="Declined")),IF(_xlpm.n=0,"No applicable lenders",IF(_xlpm.sub&gt;0,"Stays with Shaw - lender still Submitted",IF(_xlpm.term=_xlpm.n,"Clear - all applicable lenders Approved or Declined","Stays with Shaw - not all lenders Approved or Declined")))))</f>
      </c>
    </row>
    <row r="340" spans="80:80">
      <c r="CB340" s="131">
        <f>IF($A340="","",_xlfn.LET(_xlpm.sfp,AND($P340&lt;&gt;"",$P340&lt;&gt;"N/A",$P340&lt;&gt;"No Min RQ"),_xlpm.slp,AND($T340&lt;&gt;"",$T340&lt;&gt;"N/A",$T340&lt;&gt;"No Min RQ"),_xlpm.ffp,AND($X340&lt;&gt;"",$X340&lt;&gt;"N/A",$X340&lt;&gt;"No Min RQ"),_xlpm.chp,AND($AB340&lt;&gt;"",$AB340&lt;&gt;"N/A",$AB340&lt;&gt;"No Min RQ"),_xlpm.usp,AND($AF340&lt;&gt;"",$AF340&lt;&gt;"N/A",$AF340&lt;&gt;"No Min RQ"),_xlpm.n,_xlpm.sfp+_xlpm.slp+_xlpm.ffp+_xlpm.chp+_xlpm.usp,_xlpm.sub,(_xlpm.sfp*($P340="Submitted"))+(_xlpm.slp*($T340="Submitted"))+(_xlpm.ffp*($X340="Submitted"))+(_xlpm.chp*($AB340="Submitted"))+(_xlpm.usp*($AF340="Submitted")),_xlpm.term,(_xlpm.sfp*OR($P340="Approved",$P340="Declined"))+(_xlpm.slp*OR($T340="Approved",$T340="Declined"))+(_xlpm.ffp*OR($X340="Approved",$X340="Declined"))+(_xlpm.chp*OR($AB340="Approved",$AB340="Declined"))+(_xlpm.usp*OR($AF340="Approved",$AF340="Declined")),IF(_xlpm.n=0,"No applicable lenders",IF(_xlpm.sub&gt;0,"Stays with Shaw - lender still Submitted",IF(_xlpm.term=_xlpm.n,"Clear - all applicable lenders Approved or Declined","Stays with Shaw - not all lenders Approved or Declined")))))</f>
      </c>
    </row>
    <row r="341" spans="80:80">
      <c r="CB341" s="131">
        <f>IF($A341="","",_xlfn.LET(_xlpm.sfp,AND($P341&lt;&gt;"",$P341&lt;&gt;"N/A",$P341&lt;&gt;"No Min RQ"),_xlpm.slp,AND($T341&lt;&gt;"",$T341&lt;&gt;"N/A",$T341&lt;&gt;"No Min RQ"),_xlpm.ffp,AND($X341&lt;&gt;"",$X341&lt;&gt;"N/A",$X341&lt;&gt;"No Min RQ"),_xlpm.chp,AND($AB341&lt;&gt;"",$AB341&lt;&gt;"N/A",$AB341&lt;&gt;"No Min RQ"),_xlpm.usp,AND($AF341&lt;&gt;"",$AF341&lt;&gt;"N/A",$AF341&lt;&gt;"No Min RQ"),_xlpm.n,_xlpm.sfp+_xlpm.slp+_xlpm.ffp+_xlpm.chp+_xlpm.usp,_xlpm.sub,(_xlpm.sfp*($P341="Submitted"))+(_xlpm.slp*($T341="Submitted"))+(_xlpm.ffp*($X341="Submitted"))+(_xlpm.chp*($AB341="Submitted"))+(_xlpm.usp*($AF341="Submitted")),_xlpm.term,(_xlpm.sfp*OR($P341="Approved",$P341="Declined"))+(_xlpm.slp*OR($T341="Approved",$T341="Declined"))+(_xlpm.ffp*OR($X341="Approved",$X341="Declined"))+(_xlpm.chp*OR($AB341="Approved",$AB341="Declined"))+(_xlpm.usp*OR($AF341="Approved",$AF341="Declined")),IF(_xlpm.n=0,"No applicable lenders",IF(_xlpm.sub&gt;0,"Stays with Shaw - lender still Submitted",IF(_xlpm.term=_xlpm.n,"Clear - all applicable lenders Approved or Declined","Stays with Shaw - not all lenders Approved or Declined")))))</f>
      </c>
    </row>
    <row r="342" spans="80:80">
      <c r="CB342" s="131">
        <f>IF($A342="","",_xlfn.LET(_xlpm.sfp,AND($P342&lt;&gt;"",$P342&lt;&gt;"N/A",$P342&lt;&gt;"No Min RQ"),_xlpm.slp,AND($T342&lt;&gt;"",$T342&lt;&gt;"N/A",$T342&lt;&gt;"No Min RQ"),_xlpm.ffp,AND($X342&lt;&gt;"",$X342&lt;&gt;"N/A",$X342&lt;&gt;"No Min RQ"),_xlpm.chp,AND($AB342&lt;&gt;"",$AB342&lt;&gt;"N/A",$AB342&lt;&gt;"No Min RQ"),_xlpm.usp,AND($AF342&lt;&gt;"",$AF342&lt;&gt;"N/A",$AF342&lt;&gt;"No Min RQ"),_xlpm.n,_xlpm.sfp+_xlpm.slp+_xlpm.ffp+_xlpm.chp+_xlpm.usp,_xlpm.sub,(_xlpm.sfp*($P342="Submitted"))+(_xlpm.slp*($T342="Submitted"))+(_xlpm.ffp*($X342="Submitted"))+(_xlpm.chp*($AB342="Submitted"))+(_xlpm.usp*($AF342="Submitted")),_xlpm.term,(_xlpm.sfp*OR($P342="Approved",$P342="Declined"))+(_xlpm.slp*OR($T342="Approved",$T342="Declined"))+(_xlpm.ffp*OR($X342="Approved",$X342="Declined"))+(_xlpm.chp*OR($AB342="Approved",$AB342="Declined"))+(_xlpm.usp*OR($AF342="Approved",$AF342="Declined")),IF(_xlpm.n=0,"No applicable lenders",IF(_xlpm.sub&gt;0,"Stays with Shaw - lender still Submitted",IF(_xlpm.term=_xlpm.n,"Clear - all applicable lenders Approved or Declined","Stays with Shaw - not all lenders Approved or Declined")))))</f>
      </c>
    </row>
    <row r="343" spans="80:80">
      <c r="CB343" s="131">
        <f>IF($A343="","",_xlfn.LET(_xlpm.sfp,AND($P343&lt;&gt;"",$P343&lt;&gt;"N/A",$P343&lt;&gt;"No Min RQ"),_xlpm.slp,AND($T343&lt;&gt;"",$T343&lt;&gt;"N/A",$T343&lt;&gt;"No Min RQ"),_xlpm.ffp,AND($X343&lt;&gt;"",$X343&lt;&gt;"N/A",$X343&lt;&gt;"No Min RQ"),_xlpm.chp,AND($AB343&lt;&gt;"",$AB343&lt;&gt;"N/A",$AB343&lt;&gt;"No Min RQ"),_xlpm.usp,AND($AF343&lt;&gt;"",$AF343&lt;&gt;"N/A",$AF343&lt;&gt;"No Min RQ"),_xlpm.n,_xlpm.sfp+_xlpm.slp+_xlpm.ffp+_xlpm.chp+_xlpm.usp,_xlpm.sub,(_xlpm.sfp*($P343="Submitted"))+(_xlpm.slp*($T343="Submitted"))+(_xlpm.ffp*($X343="Submitted"))+(_xlpm.chp*($AB343="Submitted"))+(_xlpm.usp*($AF343="Submitted")),_xlpm.term,(_xlpm.sfp*OR($P343="Approved",$P343="Declined"))+(_xlpm.slp*OR($T343="Approved",$T343="Declined"))+(_xlpm.ffp*OR($X343="Approved",$X343="Declined"))+(_xlpm.chp*OR($AB343="Approved",$AB343="Declined"))+(_xlpm.usp*OR($AF343="Approved",$AF343="Declined")),IF(_xlpm.n=0,"No applicable lenders",IF(_xlpm.sub&gt;0,"Stays with Shaw - lender still Submitted",IF(_xlpm.term=_xlpm.n,"Clear - all applicable lenders Approved or Declined","Stays with Shaw - not all lenders Approved or Declined")))))</f>
      </c>
    </row>
    <row r="344" spans="80:80">
      <c r="CB344" s="131">
        <f>IF($A344="","",_xlfn.LET(_xlpm.sfp,AND($P344&lt;&gt;"",$P344&lt;&gt;"N/A",$P344&lt;&gt;"No Min RQ"),_xlpm.slp,AND($T344&lt;&gt;"",$T344&lt;&gt;"N/A",$T344&lt;&gt;"No Min RQ"),_xlpm.ffp,AND($X344&lt;&gt;"",$X344&lt;&gt;"N/A",$X344&lt;&gt;"No Min RQ"),_xlpm.chp,AND($AB344&lt;&gt;"",$AB344&lt;&gt;"N/A",$AB344&lt;&gt;"No Min RQ"),_xlpm.usp,AND($AF344&lt;&gt;"",$AF344&lt;&gt;"N/A",$AF344&lt;&gt;"No Min RQ"),_xlpm.n,_xlpm.sfp+_xlpm.slp+_xlpm.ffp+_xlpm.chp+_xlpm.usp,_xlpm.sub,(_xlpm.sfp*($P344="Submitted"))+(_xlpm.slp*($T344="Submitted"))+(_xlpm.ffp*($X344="Submitted"))+(_xlpm.chp*($AB344="Submitted"))+(_xlpm.usp*($AF344="Submitted")),_xlpm.term,(_xlpm.sfp*OR($P344="Approved",$P344="Declined"))+(_xlpm.slp*OR($T344="Approved",$T344="Declined"))+(_xlpm.ffp*OR($X344="Approved",$X344="Declined"))+(_xlpm.chp*OR($AB344="Approved",$AB344="Declined"))+(_xlpm.usp*OR($AF344="Approved",$AF344="Declined")),IF(_xlpm.n=0,"No applicable lenders",IF(_xlpm.sub&gt;0,"Stays with Shaw - lender still Submitted",IF(_xlpm.term=_xlpm.n,"Clear - all applicable lenders Approved or Declined","Stays with Shaw - not all lenders Approved or Declined")))))</f>
      </c>
    </row>
    <row r="345" spans="80:80">
      <c r="CB345" s="131">
        <f>IF($A345="","",_xlfn.LET(_xlpm.sfp,AND($P345&lt;&gt;"",$P345&lt;&gt;"N/A",$P345&lt;&gt;"No Min RQ"),_xlpm.slp,AND($T345&lt;&gt;"",$T345&lt;&gt;"N/A",$T345&lt;&gt;"No Min RQ"),_xlpm.ffp,AND($X345&lt;&gt;"",$X345&lt;&gt;"N/A",$X345&lt;&gt;"No Min RQ"),_xlpm.chp,AND($AB345&lt;&gt;"",$AB345&lt;&gt;"N/A",$AB345&lt;&gt;"No Min RQ"),_xlpm.usp,AND($AF345&lt;&gt;"",$AF345&lt;&gt;"N/A",$AF345&lt;&gt;"No Min RQ"),_xlpm.n,_xlpm.sfp+_xlpm.slp+_xlpm.ffp+_xlpm.chp+_xlpm.usp,_xlpm.sub,(_xlpm.sfp*($P345="Submitted"))+(_xlpm.slp*($T345="Submitted"))+(_xlpm.ffp*($X345="Submitted"))+(_xlpm.chp*($AB345="Submitted"))+(_xlpm.usp*($AF345="Submitted")),_xlpm.term,(_xlpm.sfp*OR($P345="Approved",$P345="Declined"))+(_xlpm.slp*OR($T345="Approved",$T345="Declined"))+(_xlpm.ffp*OR($X345="Approved",$X345="Declined"))+(_xlpm.chp*OR($AB345="Approved",$AB345="Declined"))+(_xlpm.usp*OR($AF345="Approved",$AF345="Declined")),IF(_xlpm.n=0,"No applicable lenders",IF(_xlpm.sub&gt;0,"Stays with Shaw - lender still Submitted",IF(_xlpm.term=_xlpm.n,"Clear - all applicable lenders Approved or Declined","Stays with Shaw - not all lenders Approved or Declined")))))</f>
      </c>
    </row>
    <row r="346" spans="80:80">
      <c r="CB346" s="131">
        <f>IF($A346="","",_xlfn.LET(_xlpm.sfp,AND($P346&lt;&gt;"",$P346&lt;&gt;"N/A",$P346&lt;&gt;"No Min RQ"),_xlpm.slp,AND($T346&lt;&gt;"",$T346&lt;&gt;"N/A",$T346&lt;&gt;"No Min RQ"),_xlpm.ffp,AND($X346&lt;&gt;"",$X346&lt;&gt;"N/A",$X346&lt;&gt;"No Min RQ"),_xlpm.chp,AND($AB346&lt;&gt;"",$AB346&lt;&gt;"N/A",$AB346&lt;&gt;"No Min RQ"),_xlpm.usp,AND($AF346&lt;&gt;"",$AF346&lt;&gt;"N/A",$AF346&lt;&gt;"No Min RQ"),_xlpm.n,_xlpm.sfp+_xlpm.slp+_xlpm.ffp+_xlpm.chp+_xlpm.usp,_xlpm.sub,(_xlpm.sfp*($P346="Submitted"))+(_xlpm.slp*($T346="Submitted"))+(_xlpm.ffp*($X346="Submitted"))+(_xlpm.chp*($AB346="Submitted"))+(_xlpm.usp*($AF346="Submitted")),_xlpm.term,(_xlpm.sfp*OR($P346="Approved",$P346="Declined"))+(_xlpm.slp*OR($T346="Approved",$T346="Declined"))+(_xlpm.ffp*OR($X346="Approved",$X346="Declined"))+(_xlpm.chp*OR($AB346="Approved",$AB346="Declined"))+(_xlpm.usp*OR($AF346="Approved",$AF346="Declined")),IF(_xlpm.n=0,"No applicable lenders",IF(_xlpm.sub&gt;0,"Stays with Shaw - lender still Submitted",IF(_xlpm.term=_xlpm.n,"Clear - all applicable lenders Approved or Declined","Stays with Shaw - not all lenders Approved or Declined")))))</f>
      </c>
    </row>
    <row r="347" spans="80:80">
      <c r="CB347" s="131">
        <f>IF($A347="","",_xlfn.LET(_xlpm.sfp,AND($P347&lt;&gt;"",$P347&lt;&gt;"N/A",$P347&lt;&gt;"No Min RQ"),_xlpm.slp,AND($T347&lt;&gt;"",$T347&lt;&gt;"N/A",$T347&lt;&gt;"No Min RQ"),_xlpm.ffp,AND($X347&lt;&gt;"",$X347&lt;&gt;"N/A",$X347&lt;&gt;"No Min RQ"),_xlpm.chp,AND($AB347&lt;&gt;"",$AB347&lt;&gt;"N/A",$AB347&lt;&gt;"No Min RQ"),_xlpm.usp,AND($AF347&lt;&gt;"",$AF347&lt;&gt;"N/A",$AF347&lt;&gt;"No Min RQ"),_xlpm.n,_xlpm.sfp+_xlpm.slp+_xlpm.ffp+_xlpm.chp+_xlpm.usp,_xlpm.sub,(_xlpm.sfp*($P347="Submitted"))+(_xlpm.slp*($T347="Submitted"))+(_xlpm.ffp*($X347="Submitted"))+(_xlpm.chp*($AB347="Submitted"))+(_xlpm.usp*($AF347="Submitted")),_xlpm.term,(_xlpm.sfp*OR($P347="Approved",$P347="Declined"))+(_xlpm.slp*OR($T347="Approved",$T347="Declined"))+(_xlpm.ffp*OR($X347="Approved",$X347="Declined"))+(_xlpm.chp*OR($AB347="Approved",$AB347="Declined"))+(_xlpm.usp*OR($AF347="Approved",$AF347="Declined")),IF(_xlpm.n=0,"No applicable lenders",IF(_xlpm.sub&gt;0,"Stays with Shaw - lender still Submitted",IF(_xlpm.term=_xlpm.n,"Clear - all applicable lenders Approved or Declined","Stays with Shaw - not all lenders Approved or Declined")))))</f>
      </c>
    </row>
    <row r="348" spans="80:80">
      <c r="CB348" s="131">
        <f>IF($A348="","",_xlfn.LET(_xlpm.sfp,AND($P348&lt;&gt;"",$P348&lt;&gt;"N/A",$P348&lt;&gt;"No Min RQ"),_xlpm.slp,AND($T348&lt;&gt;"",$T348&lt;&gt;"N/A",$T348&lt;&gt;"No Min RQ"),_xlpm.ffp,AND($X348&lt;&gt;"",$X348&lt;&gt;"N/A",$X348&lt;&gt;"No Min RQ"),_xlpm.chp,AND($AB348&lt;&gt;"",$AB348&lt;&gt;"N/A",$AB348&lt;&gt;"No Min RQ"),_xlpm.usp,AND($AF348&lt;&gt;"",$AF348&lt;&gt;"N/A",$AF348&lt;&gt;"No Min RQ"),_xlpm.n,_xlpm.sfp+_xlpm.slp+_xlpm.ffp+_xlpm.chp+_xlpm.usp,_xlpm.sub,(_xlpm.sfp*($P348="Submitted"))+(_xlpm.slp*($T348="Submitted"))+(_xlpm.ffp*($X348="Submitted"))+(_xlpm.chp*($AB348="Submitted"))+(_xlpm.usp*($AF348="Submitted")),_xlpm.term,(_xlpm.sfp*OR($P348="Approved",$P348="Declined"))+(_xlpm.slp*OR($T348="Approved",$T348="Declined"))+(_xlpm.ffp*OR($X348="Approved",$X348="Declined"))+(_xlpm.chp*OR($AB348="Approved",$AB348="Declined"))+(_xlpm.usp*OR($AF348="Approved",$AF348="Declined")),IF(_xlpm.n=0,"No applicable lenders",IF(_xlpm.sub&gt;0,"Stays with Shaw - lender still Submitted",IF(_xlpm.term=_xlpm.n,"Clear - all applicable lenders Approved or Declined","Stays with Shaw - not all lenders Approved or Declined")))))</f>
      </c>
    </row>
    <row r="349" spans="80:80">
      <c r="CB349" s="131">
        <f>IF($A349="","",_xlfn.LET(_xlpm.sfp,AND($P349&lt;&gt;"",$P349&lt;&gt;"N/A",$P349&lt;&gt;"No Min RQ"),_xlpm.slp,AND($T349&lt;&gt;"",$T349&lt;&gt;"N/A",$T349&lt;&gt;"No Min RQ"),_xlpm.ffp,AND($X349&lt;&gt;"",$X349&lt;&gt;"N/A",$X349&lt;&gt;"No Min RQ"),_xlpm.chp,AND($AB349&lt;&gt;"",$AB349&lt;&gt;"N/A",$AB349&lt;&gt;"No Min RQ"),_xlpm.usp,AND($AF349&lt;&gt;"",$AF349&lt;&gt;"N/A",$AF349&lt;&gt;"No Min RQ"),_xlpm.n,_xlpm.sfp+_xlpm.slp+_xlpm.ffp+_xlpm.chp+_xlpm.usp,_xlpm.sub,(_xlpm.sfp*($P349="Submitted"))+(_xlpm.slp*($T349="Submitted"))+(_xlpm.ffp*($X349="Submitted"))+(_xlpm.chp*($AB349="Submitted"))+(_xlpm.usp*($AF349="Submitted")),_xlpm.term,(_xlpm.sfp*OR($P349="Approved",$P349="Declined"))+(_xlpm.slp*OR($T349="Approved",$T349="Declined"))+(_xlpm.ffp*OR($X349="Approved",$X349="Declined"))+(_xlpm.chp*OR($AB349="Approved",$AB349="Declined"))+(_xlpm.usp*OR($AF349="Approved",$AF349="Declined")),IF(_xlpm.n=0,"No applicable lenders",IF(_xlpm.sub&gt;0,"Stays with Shaw - lender still Submitted",IF(_xlpm.term=_xlpm.n,"Clear - all applicable lenders Approved or Declined","Stays with Shaw - not all lenders Approved or Declined")))))</f>
      </c>
    </row>
    <row r="350" spans="80:80">
      <c r="CB350" s="131">
        <f>IF($A350="","",_xlfn.LET(_xlpm.sfp,AND($P350&lt;&gt;"",$P350&lt;&gt;"N/A",$P350&lt;&gt;"No Min RQ"),_xlpm.slp,AND($T350&lt;&gt;"",$T350&lt;&gt;"N/A",$T350&lt;&gt;"No Min RQ"),_xlpm.ffp,AND($X350&lt;&gt;"",$X350&lt;&gt;"N/A",$X350&lt;&gt;"No Min RQ"),_xlpm.chp,AND($AB350&lt;&gt;"",$AB350&lt;&gt;"N/A",$AB350&lt;&gt;"No Min RQ"),_xlpm.usp,AND($AF350&lt;&gt;"",$AF350&lt;&gt;"N/A",$AF350&lt;&gt;"No Min RQ"),_xlpm.n,_xlpm.sfp+_xlpm.slp+_xlpm.ffp+_xlpm.chp+_xlpm.usp,_xlpm.sub,(_xlpm.sfp*($P350="Submitted"))+(_xlpm.slp*($T350="Submitted"))+(_xlpm.ffp*($X350="Submitted"))+(_xlpm.chp*($AB350="Submitted"))+(_xlpm.usp*($AF350="Submitted")),_xlpm.term,(_xlpm.sfp*OR($P350="Approved",$P350="Declined"))+(_xlpm.slp*OR($T350="Approved",$T350="Declined"))+(_xlpm.ffp*OR($X350="Approved",$X350="Declined"))+(_xlpm.chp*OR($AB350="Approved",$AB350="Declined"))+(_xlpm.usp*OR($AF350="Approved",$AF350="Declined")),IF(_xlpm.n=0,"No applicable lenders",IF(_xlpm.sub&gt;0,"Stays with Shaw - lender still Submitted",IF(_xlpm.term=_xlpm.n,"Clear - all applicable lenders Approved or Declined","Stays with Shaw - not all lenders Approved or Declined")))))</f>
      </c>
    </row>
    <row r="351" spans="80:80">
      <c r="CB351" s="131">
        <f>IF($A351="","",_xlfn.LET(_xlpm.sfp,AND($P351&lt;&gt;"",$P351&lt;&gt;"N/A",$P351&lt;&gt;"No Min RQ"),_xlpm.slp,AND($T351&lt;&gt;"",$T351&lt;&gt;"N/A",$T351&lt;&gt;"No Min RQ"),_xlpm.ffp,AND($X351&lt;&gt;"",$X351&lt;&gt;"N/A",$X351&lt;&gt;"No Min RQ"),_xlpm.chp,AND($AB351&lt;&gt;"",$AB351&lt;&gt;"N/A",$AB351&lt;&gt;"No Min RQ"),_xlpm.usp,AND($AF351&lt;&gt;"",$AF351&lt;&gt;"N/A",$AF351&lt;&gt;"No Min RQ"),_xlpm.n,_xlpm.sfp+_xlpm.slp+_xlpm.ffp+_xlpm.chp+_xlpm.usp,_xlpm.sub,(_xlpm.sfp*($P351="Submitted"))+(_xlpm.slp*($T351="Submitted"))+(_xlpm.ffp*($X351="Submitted"))+(_xlpm.chp*($AB351="Submitted"))+(_xlpm.usp*($AF351="Submitted")),_xlpm.term,(_xlpm.sfp*OR($P351="Approved",$P351="Declined"))+(_xlpm.slp*OR($T351="Approved",$T351="Declined"))+(_xlpm.ffp*OR($X351="Approved",$X351="Declined"))+(_xlpm.chp*OR($AB351="Approved",$AB351="Declined"))+(_xlpm.usp*OR($AF351="Approved",$AF351="Declined")),IF(_xlpm.n=0,"No applicable lenders",IF(_xlpm.sub&gt;0,"Stays with Shaw - lender still Submitted",IF(_xlpm.term=_xlpm.n,"Clear - all applicable lenders Approved or Declined","Stays with Shaw - not all lenders Approved or Declined")))))</f>
      </c>
    </row>
    <row r="352" spans="80:80">
      <c r="CB352" s="131">
        <f>IF($A352="","",_xlfn.LET(_xlpm.sfp,AND($P352&lt;&gt;"",$P352&lt;&gt;"N/A",$P352&lt;&gt;"No Min RQ"),_xlpm.slp,AND($T352&lt;&gt;"",$T352&lt;&gt;"N/A",$T352&lt;&gt;"No Min RQ"),_xlpm.ffp,AND($X352&lt;&gt;"",$X352&lt;&gt;"N/A",$X352&lt;&gt;"No Min RQ"),_xlpm.chp,AND($AB352&lt;&gt;"",$AB352&lt;&gt;"N/A",$AB352&lt;&gt;"No Min RQ"),_xlpm.usp,AND($AF352&lt;&gt;"",$AF352&lt;&gt;"N/A",$AF352&lt;&gt;"No Min RQ"),_xlpm.n,_xlpm.sfp+_xlpm.slp+_xlpm.ffp+_xlpm.chp+_xlpm.usp,_xlpm.sub,(_xlpm.sfp*($P352="Submitted"))+(_xlpm.slp*($T352="Submitted"))+(_xlpm.ffp*($X352="Submitted"))+(_xlpm.chp*($AB352="Submitted"))+(_xlpm.usp*($AF352="Submitted")),_xlpm.term,(_xlpm.sfp*OR($P352="Approved",$P352="Declined"))+(_xlpm.slp*OR($T352="Approved",$T352="Declined"))+(_xlpm.ffp*OR($X352="Approved",$X352="Declined"))+(_xlpm.chp*OR($AB352="Approved",$AB352="Declined"))+(_xlpm.usp*OR($AF352="Approved",$AF352="Declined")),IF(_xlpm.n=0,"No applicable lenders",IF(_xlpm.sub&gt;0,"Stays with Shaw - lender still Submitted",IF(_xlpm.term=_xlpm.n,"Clear - all applicable lenders Approved or Declined","Stays with Shaw - not all lenders Approved or Declined")))))</f>
      </c>
    </row>
    <row r="353" spans="80:80">
      <c r="CB353" s="131">
        <f>IF($A353="","",_xlfn.LET(_xlpm.sfp,AND($P353&lt;&gt;"",$P353&lt;&gt;"N/A",$P353&lt;&gt;"No Min RQ"),_xlpm.slp,AND($T353&lt;&gt;"",$T353&lt;&gt;"N/A",$T353&lt;&gt;"No Min RQ"),_xlpm.ffp,AND($X353&lt;&gt;"",$X353&lt;&gt;"N/A",$X353&lt;&gt;"No Min RQ"),_xlpm.chp,AND($AB353&lt;&gt;"",$AB353&lt;&gt;"N/A",$AB353&lt;&gt;"No Min RQ"),_xlpm.usp,AND($AF353&lt;&gt;"",$AF353&lt;&gt;"N/A",$AF353&lt;&gt;"No Min RQ"),_xlpm.n,_xlpm.sfp+_xlpm.slp+_xlpm.ffp+_xlpm.chp+_xlpm.usp,_xlpm.sub,(_xlpm.sfp*($P353="Submitted"))+(_xlpm.slp*($T353="Submitted"))+(_xlpm.ffp*($X353="Submitted"))+(_xlpm.chp*($AB353="Submitted"))+(_xlpm.usp*($AF353="Submitted")),_xlpm.term,(_xlpm.sfp*OR($P353="Approved",$P353="Declined"))+(_xlpm.slp*OR($T353="Approved",$T353="Declined"))+(_xlpm.ffp*OR($X353="Approved",$X353="Declined"))+(_xlpm.chp*OR($AB353="Approved",$AB353="Declined"))+(_xlpm.usp*OR($AF353="Approved",$AF353="Declined")),IF(_xlpm.n=0,"No applicable lenders",IF(_xlpm.sub&gt;0,"Stays with Shaw - lender still Submitted",IF(_xlpm.term=_xlpm.n,"Clear - all applicable lenders Approved or Declined","Stays with Shaw - not all lenders Approved or Declined")))))</f>
      </c>
    </row>
    <row r="354" spans="80:80">
      <c r="CB354" s="131">
        <f>IF($A354="","",_xlfn.LET(_xlpm.sfp,AND($P354&lt;&gt;"",$P354&lt;&gt;"N/A",$P354&lt;&gt;"No Min RQ"),_xlpm.slp,AND($T354&lt;&gt;"",$T354&lt;&gt;"N/A",$T354&lt;&gt;"No Min RQ"),_xlpm.ffp,AND($X354&lt;&gt;"",$X354&lt;&gt;"N/A",$X354&lt;&gt;"No Min RQ"),_xlpm.chp,AND($AB354&lt;&gt;"",$AB354&lt;&gt;"N/A",$AB354&lt;&gt;"No Min RQ"),_xlpm.usp,AND($AF354&lt;&gt;"",$AF354&lt;&gt;"N/A",$AF354&lt;&gt;"No Min RQ"),_xlpm.n,_xlpm.sfp+_xlpm.slp+_xlpm.ffp+_xlpm.chp+_xlpm.usp,_xlpm.sub,(_xlpm.sfp*($P354="Submitted"))+(_xlpm.slp*($T354="Submitted"))+(_xlpm.ffp*($X354="Submitted"))+(_xlpm.chp*($AB354="Submitted"))+(_xlpm.usp*($AF354="Submitted")),_xlpm.term,(_xlpm.sfp*OR($P354="Approved",$P354="Declined"))+(_xlpm.slp*OR($T354="Approved",$T354="Declined"))+(_xlpm.ffp*OR($X354="Approved",$X354="Declined"))+(_xlpm.chp*OR($AB354="Approved",$AB354="Declined"))+(_xlpm.usp*OR($AF354="Approved",$AF354="Declined")),IF(_xlpm.n=0,"No applicable lenders",IF(_xlpm.sub&gt;0,"Stays with Shaw - lender still Submitted",IF(_xlpm.term=_xlpm.n,"Clear - all applicable lenders Approved or Declined","Stays with Shaw - not all lenders Approved or Declined")))))</f>
      </c>
    </row>
    <row r="355" spans="80:80">
      <c r="CB355" s="131">
        <f>IF($A355="","",_xlfn.LET(_xlpm.sfp,AND($P355&lt;&gt;"",$P355&lt;&gt;"N/A",$P355&lt;&gt;"No Min RQ"),_xlpm.slp,AND($T355&lt;&gt;"",$T355&lt;&gt;"N/A",$T355&lt;&gt;"No Min RQ"),_xlpm.ffp,AND($X355&lt;&gt;"",$X355&lt;&gt;"N/A",$X355&lt;&gt;"No Min RQ"),_xlpm.chp,AND($AB355&lt;&gt;"",$AB355&lt;&gt;"N/A",$AB355&lt;&gt;"No Min RQ"),_xlpm.usp,AND($AF355&lt;&gt;"",$AF355&lt;&gt;"N/A",$AF355&lt;&gt;"No Min RQ"),_xlpm.n,_xlpm.sfp+_xlpm.slp+_xlpm.ffp+_xlpm.chp+_xlpm.usp,_xlpm.sub,(_xlpm.sfp*($P355="Submitted"))+(_xlpm.slp*($T355="Submitted"))+(_xlpm.ffp*($X355="Submitted"))+(_xlpm.chp*($AB355="Submitted"))+(_xlpm.usp*($AF355="Submitted")),_xlpm.term,(_xlpm.sfp*OR($P355="Approved",$P355="Declined"))+(_xlpm.slp*OR($T355="Approved",$T355="Declined"))+(_xlpm.ffp*OR($X355="Approved",$X355="Declined"))+(_xlpm.chp*OR($AB355="Approved",$AB355="Declined"))+(_xlpm.usp*OR($AF355="Approved",$AF355="Declined")),IF(_xlpm.n=0,"No applicable lenders",IF(_xlpm.sub&gt;0,"Stays with Shaw - lender still Submitted",IF(_xlpm.term=_xlpm.n,"Clear - all applicable lenders Approved or Declined","Stays with Shaw - not all lenders Approved or Declined")))))</f>
      </c>
    </row>
    <row r="356" spans="80:80">
      <c r="CB356" s="131">
        <f>IF($A356="","",_xlfn.LET(_xlpm.sfp,AND($P356&lt;&gt;"",$P356&lt;&gt;"N/A",$P356&lt;&gt;"No Min RQ"),_xlpm.slp,AND($T356&lt;&gt;"",$T356&lt;&gt;"N/A",$T356&lt;&gt;"No Min RQ"),_xlpm.ffp,AND($X356&lt;&gt;"",$X356&lt;&gt;"N/A",$X356&lt;&gt;"No Min RQ"),_xlpm.chp,AND($AB356&lt;&gt;"",$AB356&lt;&gt;"N/A",$AB356&lt;&gt;"No Min RQ"),_xlpm.usp,AND($AF356&lt;&gt;"",$AF356&lt;&gt;"N/A",$AF356&lt;&gt;"No Min RQ"),_xlpm.n,_xlpm.sfp+_xlpm.slp+_xlpm.ffp+_xlpm.chp+_xlpm.usp,_xlpm.sub,(_xlpm.sfp*($P356="Submitted"))+(_xlpm.slp*($T356="Submitted"))+(_xlpm.ffp*($X356="Submitted"))+(_xlpm.chp*($AB356="Submitted"))+(_xlpm.usp*($AF356="Submitted")),_xlpm.term,(_xlpm.sfp*OR($P356="Approved",$P356="Declined"))+(_xlpm.slp*OR($T356="Approved",$T356="Declined"))+(_xlpm.ffp*OR($X356="Approved",$X356="Declined"))+(_xlpm.chp*OR($AB356="Approved",$AB356="Declined"))+(_xlpm.usp*OR($AF356="Approved",$AF356="Declined")),IF(_xlpm.n=0,"No applicable lenders",IF(_xlpm.sub&gt;0,"Stays with Shaw - lender still Submitted",IF(_xlpm.term=_xlpm.n,"Clear - all applicable lenders Approved or Declined","Stays with Shaw - not all lenders Approved or Declined")))))</f>
      </c>
    </row>
    <row r="357" spans="80:80">
      <c r="CB357" s="131">
        <f>IF($A357="","",_xlfn.LET(_xlpm.sfp,AND($P357&lt;&gt;"",$P357&lt;&gt;"N/A",$P357&lt;&gt;"No Min RQ"),_xlpm.slp,AND($T357&lt;&gt;"",$T357&lt;&gt;"N/A",$T357&lt;&gt;"No Min RQ"),_xlpm.ffp,AND($X357&lt;&gt;"",$X357&lt;&gt;"N/A",$X357&lt;&gt;"No Min RQ"),_xlpm.chp,AND($AB357&lt;&gt;"",$AB357&lt;&gt;"N/A",$AB357&lt;&gt;"No Min RQ"),_xlpm.usp,AND($AF357&lt;&gt;"",$AF357&lt;&gt;"N/A",$AF357&lt;&gt;"No Min RQ"),_xlpm.n,_xlpm.sfp+_xlpm.slp+_xlpm.ffp+_xlpm.chp+_xlpm.usp,_xlpm.sub,(_xlpm.sfp*($P357="Submitted"))+(_xlpm.slp*($T357="Submitted"))+(_xlpm.ffp*($X357="Submitted"))+(_xlpm.chp*($AB357="Submitted"))+(_xlpm.usp*($AF357="Submitted")),_xlpm.term,(_xlpm.sfp*OR($P357="Approved",$P357="Declined"))+(_xlpm.slp*OR($T357="Approved",$T357="Declined"))+(_xlpm.ffp*OR($X357="Approved",$X357="Declined"))+(_xlpm.chp*OR($AB357="Approved",$AB357="Declined"))+(_xlpm.usp*OR($AF357="Approved",$AF357="Declined")),IF(_xlpm.n=0,"No applicable lenders",IF(_xlpm.sub&gt;0,"Stays with Shaw - lender still Submitted",IF(_xlpm.term=_xlpm.n,"Clear - all applicable lenders Approved or Declined","Stays with Shaw - not all lenders Approved or Declined")))))</f>
      </c>
    </row>
    <row r="358" spans="80:80">
      <c r="CB358" s="131">
        <f>IF($A358="","",_xlfn.LET(_xlpm.sfp,AND($P358&lt;&gt;"",$P358&lt;&gt;"N/A",$P358&lt;&gt;"No Min RQ"),_xlpm.slp,AND($T358&lt;&gt;"",$T358&lt;&gt;"N/A",$T358&lt;&gt;"No Min RQ"),_xlpm.ffp,AND($X358&lt;&gt;"",$X358&lt;&gt;"N/A",$X358&lt;&gt;"No Min RQ"),_xlpm.chp,AND($AB358&lt;&gt;"",$AB358&lt;&gt;"N/A",$AB358&lt;&gt;"No Min RQ"),_xlpm.usp,AND($AF358&lt;&gt;"",$AF358&lt;&gt;"N/A",$AF358&lt;&gt;"No Min RQ"),_xlpm.n,_xlpm.sfp+_xlpm.slp+_xlpm.ffp+_xlpm.chp+_xlpm.usp,_xlpm.sub,(_xlpm.sfp*($P358="Submitted"))+(_xlpm.slp*($T358="Submitted"))+(_xlpm.ffp*($X358="Submitted"))+(_xlpm.chp*($AB358="Submitted"))+(_xlpm.usp*($AF358="Submitted")),_xlpm.term,(_xlpm.sfp*OR($P358="Approved",$P358="Declined"))+(_xlpm.slp*OR($T358="Approved",$T358="Declined"))+(_xlpm.ffp*OR($X358="Approved",$X358="Declined"))+(_xlpm.chp*OR($AB358="Approved",$AB358="Declined"))+(_xlpm.usp*OR($AF358="Approved",$AF358="Declined")),IF(_xlpm.n=0,"No applicable lenders",IF(_xlpm.sub&gt;0,"Stays with Shaw - lender still Submitted",IF(_xlpm.term=_xlpm.n,"Clear - all applicable lenders Approved or Declined","Stays with Shaw - not all lenders Approved or Declined")))))</f>
      </c>
    </row>
    <row r="359" spans="80:80">
      <c r="CB359" s="131">
        <f>IF($A359="","",_xlfn.LET(_xlpm.sfp,AND($P359&lt;&gt;"",$P359&lt;&gt;"N/A",$P359&lt;&gt;"No Min RQ"),_xlpm.slp,AND($T359&lt;&gt;"",$T359&lt;&gt;"N/A",$T359&lt;&gt;"No Min RQ"),_xlpm.ffp,AND($X359&lt;&gt;"",$X359&lt;&gt;"N/A",$X359&lt;&gt;"No Min RQ"),_xlpm.chp,AND($AB359&lt;&gt;"",$AB359&lt;&gt;"N/A",$AB359&lt;&gt;"No Min RQ"),_xlpm.usp,AND($AF359&lt;&gt;"",$AF359&lt;&gt;"N/A",$AF359&lt;&gt;"No Min RQ"),_xlpm.n,_xlpm.sfp+_xlpm.slp+_xlpm.ffp+_xlpm.chp+_xlpm.usp,_xlpm.sub,(_xlpm.sfp*($P359="Submitted"))+(_xlpm.slp*($T359="Submitted"))+(_xlpm.ffp*($X359="Submitted"))+(_xlpm.chp*($AB359="Submitted"))+(_xlpm.usp*($AF359="Submitted")),_xlpm.term,(_xlpm.sfp*OR($P359="Approved",$P359="Declined"))+(_xlpm.slp*OR($T359="Approved",$T359="Declined"))+(_xlpm.ffp*OR($X359="Approved",$X359="Declined"))+(_xlpm.chp*OR($AB359="Approved",$AB359="Declined"))+(_xlpm.usp*OR($AF359="Approved",$AF359="Declined")),IF(_xlpm.n=0,"No applicable lenders",IF(_xlpm.sub&gt;0,"Stays with Shaw - lender still Submitted",IF(_xlpm.term=_xlpm.n,"Clear - all applicable lenders Approved or Declined","Stays with Shaw - not all lenders Approved or Declined")))))</f>
      </c>
    </row>
    <row r="360" spans="80:80">
      <c r="CB360" s="131">
        <f>IF($A360="","",_xlfn.LET(_xlpm.sfp,AND($P360&lt;&gt;"",$P360&lt;&gt;"N/A",$P360&lt;&gt;"No Min RQ"),_xlpm.slp,AND($T360&lt;&gt;"",$T360&lt;&gt;"N/A",$T360&lt;&gt;"No Min RQ"),_xlpm.ffp,AND($X360&lt;&gt;"",$X360&lt;&gt;"N/A",$X360&lt;&gt;"No Min RQ"),_xlpm.chp,AND($AB360&lt;&gt;"",$AB360&lt;&gt;"N/A",$AB360&lt;&gt;"No Min RQ"),_xlpm.usp,AND($AF360&lt;&gt;"",$AF360&lt;&gt;"N/A",$AF360&lt;&gt;"No Min RQ"),_xlpm.n,_xlpm.sfp+_xlpm.slp+_xlpm.ffp+_xlpm.chp+_xlpm.usp,_xlpm.sub,(_xlpm.sfp*($P360="Submitted"))+(_xlpm.slp*($T360="Submitted"))+(_xlpm.ffp*($X360="Submitted"))+(_xlpm.chp*($AB360="Submitted"))+(_xlpm.usp*($AF360="Submitted")),_xlpm.term,(_xlpm.sfp*OR($P360="Approved",$P360="Declined"))+(_xlpm.slp*OR($T360="Approved",$T360="Declined"))+(_xlpm.ffp*OR($X360="Approved",$X360="Declined"))+(_xlpm.chp*OR($AB360="Approved",$AB360="Declined"))+(_xlpm.usp*OR($AF360="Approved",$AF360="Declined")),IF(_xlpm.n=0,"No applicable lenders",IF(_xlpm.sub&gt;0,"Stays with Shaw - lender still Submitted",IF(_xlpm.term=_xlpm.n,"Clear - all applicable lenders Approved or Declined","Stays with Shaw - not all lenders Approved or Declined")))))</f>
      </c>
    </row>
    <row r="361" spans="80:80">
      <c r="CB361" s="131">
        <f>IF($A361="","",_xlfn.LET(_xlpm.sfp,AND($P361&lt;&gt;"",$P361&lt;&gt;"N/A",$P361&lt;&gt;"No Min RQ"),_xlpm.slp,AND($T361&lt;&gt;"",$T361&lt;&gt;"N/A",$T361&lt;&gt;"No Min RQ"),_xlpm.ffp,AND($X361&lt;&gt;"",$X361&lt;&gt;"N/A",$X361&lt;&gt;"No Min RQ"),_xlpm.chp,AND($AB361&lt;&gt;"",$AB361&lt;&gt;"N/A",$AB361&lt;&gt;"No Min RQ"),_xlpm.usp,AND($AF361&lt;&gt;"",$AF361&lt;&gt;"N/A",$AF361&lt;&gt;"No Min RQ"),_xlpm.n,_xlpm.sfp+_xlpm.slp+_xlpm.ffp+_xlpm.chp+_xlpm.usp,_xlpm.sub,(_xlpm.sfp*($P361="Submitted"))+(_xlpm.slp*($T361="Submitted"))+(_xlpm.ffp*($X361="Submitted"))+(_xlpm.chp*($AB361="Submitted"))+(_xlpm.usp*($AF361="Submitted")),_xlpm.term,(_xlpm.sfp*OR($P361="Approved",$P361="Declined"))+(_xlpm.slp*OR($T361="Approved",$T361="Declined"))+(_xlpm.ffp*OR($X361="Approved",$X361="Declined"))+(_xlpm.chp*OR($AB361="Approved",$AB361="Declined"))+(_xlpm.usp*OR($AF361="Approved",$AF361="Declined")),IF(_xlpm.n=0,"No applicable lenders",IF(_xlpm.sub&gt;0,"Stays with Shaw - lender still Submitted",IF(_xlpm.term=_xlpm.n,"Clear - all applicable lenders Approved or Declined","Stays with Shaw - not all lenders Approved or Declined")))))</f>
      </c>
    </row>
    <row r="362" spans="80:80">
      <c r="CB362" s="131">
        <f>IF($A362="","",_xlfn.LET(_xlpm.sfp,AND($P362&lt;&gt;"",$P362&lt;&gt;"N/A",$P362&lt;&gt;"No Min RQ"),_xlpm.slp,AND($T362&lt;&gt;"",$T362&lt;&gt;"N/A",$T362&lt;&gt;"No Min RQ"),_xlpm.ffp,AND($X362&lt;&gt;"",$X362&lt;&gt;"N/A",$X362&lt;&gt;"No Min RQ"),_xlpm.chp,AND($AB362&lt;&gt;"",$AB362&lt;&gt;"N/A",$AB362&lt;&gt;"No Min RQ"),_xlpm.usp,AND($AF362&lt;&gt;"",$AF362&lt;&gt;"N/A",$AF362&lt;&gt;"No Min RQ"),_xlpm.n,_xlpm.sfp+_xlpm.slp+_xlpm.ffp+_xlpm.chp+_xlpm.usp,_xlpm.sub,(_xlpm.sfp*($P362="Submitted"))+(_xlpm.slp*($T362="Submitted"))+(_xlpm.ffp*($X362="Submitted"))+(_xlpm.chp*($AB362="Submitted"))+(_xlpm.usp*($AF362="Submitted")),_xlpm.term,(_xlpm.sfp*OR($P362="Approved",$P362="Declined"))+(_xlpm.slp*OR($T362="Approved",$T362="Declined"))+(_xlpm.ffp*OR($X362="Approved",$X362="Declined"))+(_xlpm.chp*OR($AB362="Approved",$AB362="Declined"))+(_xlpm.usp*OR($AF362="Approved",$AF362="Declined")),IF(_xlpm.n=0,"No applicable lenders",IF(_xlpm.sub&gt;0,"Stays with Shaw - lender still Submitted",IF(_xlpm.term=_xlpm.n,"Clear - all applicable lenders Approved or Declined","Stays with Shaw - not all lenders Approved or Declined")))))</f>
      </c>
    </row>
    <row r="363" spans="80:80">
      <c r="CB363" s="131">
        <f>IF($A363="","",_xlfn.LET(_xlpm.sfp,AND($P363&lt;&gt;"",$P363&lt;&gt;"N/A",$P363&lt;&gt;"No Min RQ"),_xlpm.slp,AND($T363&lt;&gt;"",$T363&lt;&gt;"N/A",$T363&lt;&gt;"No Min RQ"),_xlpm.ffp,AND($X363&lt;&gt;"",$X363&lt;&gt;"N/A",$X363&lt;&gt;"No Min RQ"),_xlpm.chp,AND($AB363&lt;&gt;"",$AB363&lt;&gt;"N/A",$AB363&lt;&gt;"No Min RQ"),_xlpm.usp,AND($AF363&lt;&gt;"",$AF363&lt;&gt;"N/A",$AF363&lt;&gt;"No Min RQ"),_xlpm.n,_xlpm.sfp+_xlpm.slp+_xlpm.ffp+_xlpm.chp+_xlpm.usp,_xlpm.sub,(_xlpm.sfp*($P363="Submitted"))+(_xlpm.slp*($T363="Submitted"))+(_xlpm.ffp*($X363="Submitted"))+(_xlpm.chp*($AB363="Submitted"))+(_xlpm.usp*($AF363="Submitted")),_xlpm.term,(_xlpm.sfp*OR($P363="Approved",$P363="Declined"))+(_xlpm.slp*OR($T363="Approved",$T363="Declined"))+(_xlpm.ffp*OR($X363="Approved",$X363="Declined"))+(_xlpm.chp*OR($AB363="Approved",$AB363="Declined"))+(_xlpm.usp*OR($AF363="Approved",$AF363="Declined")),IF(_xlpm.n=0,"No applicable lenders",IF(_xlpm.sub&gt;0,"Stays with Shaw - lender still Submitted",IF(_xlpm.term=_xlpm.n,"Clear - all applicable lenders Approved or Declined","Stays with Shaw - not all lenders Approved or Declined")))))</f>
      </c>
    </row>
    <row r="364" spans="80:80">
      <c r="CB364" s="131">
        <f>IF($A364="","",_xlfn.LET(_xlpm.sfp,AND($P364&lt;&gt;"",$P364&lt;&gt;"N/A",$P364&lt;&gt;"No Min RQ"),_xlpm.slp,AND($T364&lt;&gt;"",$T364&lt;&gt;"N/A",$T364&lt;&gt;"No Min RQ"),_xlpm.ffp,AND($X364&lt;&gt;"",$X364&lt;&gt;"N/A",$X364&lt;&gt;"No Min RQ"),_xlpm.chp,AND($AB364&lt;&gt;"",$AB364&lt;&gt;"N/A",$AB364&lt;&gt;"No Min RQ"),_xlpm.usp,AND($AF364&lt;&gt;"",$AF364&lt;&gt;"N/A",$AF364&lt;&gt;"No Min RQ"),_xlpm.n,_xlpm.sfp+_xlpm.slp+_xlpm.ffp+_xlpm.chp+_xlpm.usp,_xlpm.sub,(_xlpm.sfp*($P364="Submitted"))+(_xlpm.slp*($T364="Submitted"))+(_xlpm.ffp*($X364="Submitted"))+(_xlpm.chp*($AB364="Submitted"))+(_xlpm.usp*($AF364="Submitted")),_xlpm.term,(_xlpm.sfp*OR($P364="Approved",$P364="Declined"))+(_xlpm.slp*OR($T364="Approved",$T364="Declined"))+(_xlpm.ffp*OR($X364="Approved",$X364="Declined"))+(_xlpm.chp*OR($AB364="Approved",$AB364="Declined"))+(_xlpm.usp*OR($AF364="Approved",$AF364="Declined")),IF(_xlpm.n=0,"No applicable lenders",IF(_xlpm.sub&gt;0,"Stays with Shaw - lender still Submitted",IF(_xlpm.term=_xlpm.n,"Clear - all applicable lenders Approved or Declined","Stays with Shaw - not all lenders Approved or Declined")))))</f>
      </c>
    </row>
    <row r="365" spans="80:80">
      <c r="CB365" s="131">
        <f>IF($A365="","",_xlfn.LET(_xlpm.sfp,AND($P365&lt;&gt;"",$P365&lt;&gt;"N/A",$P365&lt;&gt;"No Min RQ"),_xlpm.slp,AND($T365&lt;&gt;"",$T365&lt;&gt;"N/A",$T365&lt;&gt;"No Min RQ"),_xlpm.ffp,AND($X365&lt;&gt;"",$X365&lt;&gt;"N/A",$X365&lt;&gt;"No Min RQ"),_xlpm.chp,AND($AB365&lt;&gt;"",$AB365&lt;&gt;"N/A",$AB365&lt;&gt;"No Min RQ"),_xlpm.usp,AND($AF365&lt;&gt;"",$AF365&lt;&gt;"N/A",$AF365&lt;&gt;"No Min RQ"),_xlpm.n,_xlpm.sfp+_xlpm.slp+_xlpm.ffp+_xlpm.chp+_xlpm.usp,_xlpm.sub,(_xlpm.sfp*($P365="Submitted"))+(_xlpm.slp*($T365="Submitted"))+(_xlpm.ffp*($X365="Submitted"))+(_xlpm.chp*($AB365="Submitted"))+(_xlpm.usp*($AF365="Submitted")),_xlpm.term,(_xlpm.sfp*OR($P365="Approved",$P365="Declined"))+(_xlpm.slp*OR($T365="Approved",$T365="Declined"))+(_xlpm.ffp*OR($X365="Approved",$X365="Declined"))+(_xlpm.chp*OR($AB365="Approved",$AB365="Declined"))+(_xlpm.usp*OR($AF365="Approved",$AF365="Declined")),IF(_xlpm.n=0,"No applicable lenders",IF(_xlpm.sub&gt;0,"Stays with Shaw - lender still Submitted",IF(_xlpm.term=_xlpm.n,"Clear - all applicable lenders Approved or Declined","Stays with Shaw - not all lenders Approved or Declined")))))</f>
      </c>
    </row>
    <row r="366" spans="80:80">
      <c r="CB366" s="131">
        <f>IF($A366="","",_xlfn.LET(_xlpm.sfp,AND($P366&lt;&gt;"",$P366&lt;&gt;"N/A",$P366&lt;&gt;"No Min RQ"),_xlpm.slp,AND($T366&lt;&gt;"",$T366&lt;&gt;"N/A",$T366&lt;&gt;"No Min RQ"),_xlpm.ffp,AND($X366&lt;&gt;"",$X366&lt;&gt;"N/A",$X366&lt;&gt;"No Min RQ"),_xlpm.chp,AND($AB366&lt;&gt;"",$AB366&lt;&gt;"N/A",$AB366&lt;&gt;"No Min RQ"),_xlpm.usp,AND($AF366&lt;&gt;"",$AF366&lt;&gt;"N/A",$AF366&lt;&gt;"No Min RQ"),_xlpm.n,_xlpm.sfp+_xlpm.slp+_xlpm.ffp+_xlpm.chp+_xlpm.usp,_xlpm.sub,(_xlpm.sfp*($P366="Submitted"))+(_xlpm.slp*($T366="Submitted"))+(_xlpm.ffp*($X366="Submitted"))+(_xlpm.chp*($AB366="Submitted"))+(_xlpm.usp*($AF366="Submitted")),_xlpm.term,(_xlpm.sfp*OR($P366="Approved",$P366="Declined"))+(_xlpm.slp*OR($T366="Approved",$T366="Declined"))+(_xlpm.ffp*OR($X366="Approved",$X366="Declined"))+(_xlpm.chp*OR($AB366="Approved",$AB366="Declined"))+(_xlpm.usp*OR($AF366="Approved",$AF366="Declined")),IF(_xlpm.n=0,"No applicable lenders",IF(_xlpm.sub&gt;0,"Stays with Shaw - lender still Submitted",IF(_xlpm.term=_xlpm.n,"Clear - all applicable lenders Approved or Declined","Stays with Shaw - not all lenders Approved or Declined")))))</f>
      </c>
    </row>
    <row r="367" spans="80:80">
      <c r="CB367" s="131">
        <f>IF($A367="","",_xlfn.LET(_xlpm.sfp,AND($P367&lt;&gt;"",$P367&lt;&gt;"N/A",$P367&lt;&gt;"No Min RQ"),_xlpm.slp,AND($T367&lt;&gt;"",$T367&lt;&gt;"N/A",$T367&lt;&gt;"No Min RQ"),_xlpm.ffp,AND($X367&lt;&gt;"",$X367&lt;&gt;"N/A",$X367&lt;&gt;"No Min RQ"),_xlpm.chp,AND($AB367&lt;&gt;"",$AB367&lt;&gt;"N/A",$AB367&lt;&gt;"No Min RQ"),_xlpm.usp,AND($AF367&lt;&gt;"",$AF367&lt;&gt;"N/A",$AF367&lt;&gt;"No Min RQ"),_xlpm.n,_xlpm.sfp+_xlpm.slp+_xlpm.ffp+_xlpm.chp+_xlpm.usp,_xlpm.sub,(_xlpm.sfp*($P367="Submitted"))+(_xlpm.slp*($T367="Submitted"))+(_xlpm.ffp*($X367="Submitted"))+(_xlpm.chp*($AB367="Submitted"))+(_xlpm.usp*($AF367="Submitted")),_xlpm.term,(_xlpm.sfp*OR($P367="Approved",$P367="Declined"))+(_xlpm.slp*OR($T367="Approved",$T367="Declined"))+(_xlpm.ffp*OR($X367="Approved",$X367="Declined"))+(_xlpm.chp*OR($AB367="Approved",$AB367="Declined"))+(_xlpm.usp*OR($AF367="Approved",$AF367="Declined")),IF(_xlpm.n=0,"No applicable lenders",IF(_xlpm.sub&gt;0,"Stays with Shaw - lender still Submitted",IF(_xlpm.term=_xlpm.n,"Clear - all applicable lenders Approved or Declined","Stays with Shaw - not all lenders Approved or Declined")))))</f>
      </c>
    </row>
    <row r="368" spans="80:80">
      <c r="CB368" s="131">
        <f>IF($A368="","",_xlfn.LET(_xlpm.sfp,AND($P368&lt;&gt;"",$P368&lt;&gt;"N/A",$P368&lt;&gt;"No Min RQ"),_xlpm.slp,AND($T368&lt;&gt;"",$T368&lt;&gt;"N/A",$T368&lt;&gt;"No Min RQ"),_xlpm.ffp,AND($X368&lt;&gt;"",$X368&lt;&gt;"N/A",$X368&lt;&gt;"No Min RQ"),_xlpm.chp,AND($AB368&lt;&gt;"",$AB368&lt;&gt;"N/A",$AB368&lt;&gt;"No Min RQ"),_xlpm.usp,AND($AF368&lt;&gt;"",$AF368&lt;&gt;"N/A",$AF368&lt;&gt;"No Min RQ"),_xlpm.n,_xlpm.sfp+_xlpm.slp+_xlpm.ffp+_xlpm.chp+_xlpm.usp,_xlpm.sub,(_xlpm.sfp*($P368="Submitted"))+(_xlpm.slp*($T368="Submitted"))+(_xlpm.ffp*($X368="Submitted"))+(_xlpm.chp*($AB368="Submitted"))+(_xlpm.usp*($AF368="Submitted")),_xlpm.term,(_xlpm.sfp*OR($P368="Approved",$P368="Declined"))+(_xlpm.slp*OR($T368="Approved",$T368="Declined"))+(_xlpm.ffp*OR($X368="Approved",$X368="Declined"))+(_xlpm.chp*OR($AB368="Approved",$AB368="Declined"))+(_xlpm.usp*OR($AF368="Approved",$AF368="Declined")),IF(_xlpm.n=0,"No applicable lenders",IF(_xlpm.sub&gt;0,"Stays with Shaw - lender still Submitted",IF(_xlpm.term=_xlpm.n,"Clear - all applicable lenders Approved or Declined","Stays with Shaw - not all lenders Approved or Declined")))))</f>
      </c>
    </row>
    <row r="369" spans="80:80">
      <c r="CB369" s="131">
        <f>IF($A369="","",_xlfn.LET(_xlpm.sfp,AND($P369&lt;&gt;"",$P369&lt;&gt;"N/A",$P369&lt;&gt;"No Min RQ"),_xlpm.slp,AND($T369&lt;&gt;"",$T369&lt;&gt;"N/A",$T369&lt;&gt;"No Min RQ"),_xlpm.ffp,AND($X369&lt;&gt;"",$X369&lt;&gt;"N/A",$X369&lt;&gt;"No Min RQ"),_xlpm.chp,AND($AB369&lt;&gt;"",$AB369&lt;&gt;"N/A",$AB369&lt;&gt;"No Min RQ"),_xlpm.usp,AND($AF369&lt;&gt;"",$AF369&lt;&gt;"N/A",$AF369&lt;&gt;"No Min RQ"),_xlpm.n,_xlpm.sfp+_xlpm.slp+_xlpm.ffp+_xlpm.chp+_xlpm.usp,_xlpm.sub,(_xlpm.sfp*($P369="Submitted"))+(_xlpm.slp*($T369="Submitted"))+(_xlpm.ffp*($X369="Submitted"))+(_xlpm.chp*($AB369="Submitted"))+(_xlpm.usp*($AF369="Submitted")),_xlpm.term,(_xlpm.sfp*OR($P369="Approved",$P369="Declined"))+(_xlpm.slp*OR($T369="Approved",$T369="Declined"))+(_xlpm.ffp*OR($X369="Approved",$X369="Declined"))+(_xlpm.chp*OR($AB369="Approved",$AB369="Declined"))+(_xlpm.usp*OR($AF369="Approved",$AF369="Declined")),IF(_xlpm.n=0,"No applicable lenders",IF(_xlpm.sub&gt;0,"Stays with Shaw - lender still Submitted",IF(_xlpm.term=_xlpm.n,"Clear - all applicable lenders Approved or Declined","Stays with Shaw - not all lenders Approved or Declined")))))</f>
      </c>
    </row>
    <row r="370" spans="80:80">
      <c r="CB370" s="131">
        <f>IF($A370="","",_xlfn.LET(_xlpm.sfp,AND($P370&lt;&gt;"",$P370&lt;&gt;"N/A",$P370&lt;&gt;"No Min RQ"),_xlpm.slp,AND($T370&lt;&gt;"",$T370&lt;&gt;"N/A",$T370&lt;&gt;"No Min RQ"),_xlpm.ffp,AND($X370&lt;&gt;"",$X370&lt;&gt;"N/A",$X370&lt;&gt;"No Min RQ"),_xlpm.chp,AND($AB370&lt;&gt;"",$AB370&lt;&gt;"N/A",$AB370&lt;&gt;"No Min RQ"),_xlpm.usp,AND($AF370&lt;&gt;"",$AF370&lt;&gt;"N/A",$AF370&lt;&gt;"No Min RQ"),_xlpm.n,_xlpm.sfp+_xlpm.slp+_xlpm.ffp+_xlpm.chp+_xlpm.usp,_xlpm.sub,(_xlpm.sfp*($P370="Submitted"))+(_xlpm.slp*($T370="Submitted"))+(_xlpm.ffp*($X370="Submitted"))+(_xlpm.chp*($AB370="Submitted"))+(_xlpm.usp*($AF370="Submitted")),_xlpm.term,(_xlpm.sfp*OR($P370="Approved",$P370="Declined"))+(_xlpm.slp*OR($T370="Approved",$T370="Declined"))+(_xlpm.ffp*OR($X370="Approved",$X370="Declined"))+(_xlpm.chp*OR($AB370="Approved",$AB370="Declined"))+(_xlpm.usp*OR($AF370="Approved",$AF370="Declined")),IF(_xlpm.n=0,"No applicable lenders",IF(_xlpm.sub&gt;0,"Stays with Shaw - lender still Submitted",IF(_xlpm.term=_xlpm.n,"Clear - all applicable lenders Approved or Declined","Stays with Shaw - not all lenders Approved or Declined")))))</f>
      </c>
    </row>
    <row r="371" spans="80:80">
      <c r="CB371" s="131">
        <f>IF($A371="","",_xlfn.LET(_xlpm.sfp,AND($P371&lt;&gt;"",$P371&lt;&gt;"N/A",$P371&lt;&gt;"No Min RQ"),_xlpm.slp,AND($T371&lt;&gt;"",$T371&lt;&gt;"N/A",$T371&lt;&gt;"No Min RQ"),_xlpm.ffp,AND($X371&lt;&gt;"",$X371&lt;&gt;"N/A",$X371&lt;&gt;"No Min RQ"),_xlpm.chp,AND($AB371&lt;&gt;"",$AB371&lt;&gt;"N/A",$AB371&lt;&gt;"No Min RQ"),_xlpm.usp,AND($AF371&lt;&gt;"",$AF371&lt;&gt;"N/A",$AF371&lt;&gt;"No Min RQ"),_xlpm.n,_xlpm.sfp+_xlpm.slp+_xlpm.ffp+_xlpm.chp+_xlpm.usp,_xlpm.sub,(_xlpm.sfp*($P371="Submitted"))+(_xlpm.slp*($T371="Submitted"))+(_xlpm.ffp*($X371="Submitted"))+(_xlpm.chp*($AB371="Submitted"))+(_xlpm.usp*($AF371="Submitted")),_xlpm.term,(_xlpm.sfp*OR($P371="Approved",$P371="Declined"))+(_xlpm.slp*OR($T371="Approved",$T371="Declined"))+(_xlpm.ffp*OR($X371="Approved",$X371="Declined"))+(_xlpm.chp*OR($AB371="Approved",$AB371="Declined"))+(_xlpm.usp*OR($AF371="Approved",$AF371="Declined")),IF(_xlpm.n=0,"No applicable lenders",IF(_xlpm.sub&gt;0,"Stays with Shaw - lender still Submitted",IF(_xlpm.term=_xlpm.n,"Clear - all applicable lenders Approved or Declined","Stays with Shaw - not all lenders Approved or Declined")))))</f>
      </c>
    </row>
    <row r="372" spans="80:80">
      <c r="CB372" s="131">
        <f>IF($A372="","",_xlfn.LET(_xlpm.sfp,AND($P372&lt;&gt;"",$P372&lt;&gt;"N/A",$P372&lt;&gt;"No Min RQ"),_xlpm.slp,AND($T372&lt;&gt;"",$T372&lt;&gt;"N/A",$T372&lt;&gt;"No Min RQ"),_xlpm.ffp,AND($X372&lt;&gt;"",$X372&lt;&gt;"N/A",$X372&lt;&gt;"No Min RQ"),_xlpm.chp,AND($AB372&lt;&gt;"",$AB372&lt;&gt;"N/A",$AB372&lt;&gt;"No Min RQ"),_xlpm.usp,AND($AF372&lt;&gt;"",$AF372&lt;&gt;"N/A",$AF372&lt;&gt;"No Min RQ"),_xlpm.n,_xlpm.sfp+_xlpm.slp+_xlpm.ffp+_xlpm.chp+_xlpm.usp,_xlpm.sub,(_xlpm.sfp*($P372="Submitted"))+(_xlpm.slp*($T372="Submitted"))+(_xlpm.ffp*($X372="Submitted"))+(_xlpm.chp*($AB372="Submitted"))+(_xlpm.usp*($AF372="Submitted")),_xlpm.term,(_xlpm.sfp*OR($P372="Approved",$P372="Declined"))+(_xlpm.slp*OR($T372="Approved",$T372="Declined"))+(_xlpm.ffp*OR($X372="Approved",$X372="Declined"))+(_xlpm.chp*OR($AB372="Approved",$AB372="Declined"))+(_xlpm.usp*OR($AF372="Approved",$AF372="Declined")),IF(_xlpm.n=0,"No applicable lenders",IF(_xlpm.sub&gt;0,"Stays with Shaw - lender still Submitted",IF(_xlpm.term=_xlpm.n,"Clear - all applicable lenders Approved or Declined","Stays with Shaw - not all lenders Approved or Declined")))))</f>
      </c>
    </row>
    <row r="373" spans="80:80">
      <c r="CB373" s="131">
        <f>IF($A373="","",_xlfn.LET(_xlpm.sfp,AND($P373&lt;&gt;"",$P373&lt;&gt;"N/A",$P373&lt;&gt;"No Min RQ"),_xlpm.slp,AND($T373&lt;&gt;"",$T373&lt;&gt;"N/A",$T373&lt;&gt;"No Min RQ"),_xlpm.ffp,AND($X373&lt;&gt;"",$X373&lt;&gt;"N/A",$X373&lt;&gt;"No Min RQ"),_xlpm.chp,AND($AB373&lt;&gt;"",$AB373&lt;&gt;"N/A",$AB373&lt;&gt;"No Min RQ"),_xlpm.usp,AND($AF373&lt;&gt;"",$AF373&lt;&gt;"N/A",$AF373&lt;&gt;"No Min RQ"),_xlpm.n,_xlpm.sfp+_xlpm.slp+_xlpm.ffp+_xlpm.chp+_xlpm.usp,_xlpm.sub,(_xlpm.sfp*($P373="Submitted"))+(_xlpm.slp*($T373="Submitted"))+(_xlpm.ffp*($X373="Submitted"))+(_xlpm.chp*($AB373="Submitted"))+(_xlpm.usp*($AF373="Submitted")),_xlpm.term,(_xlpm.sfp*OR($P373="Approved",$P373="Declined"))+(_xlpm.slp*OR($T373="Approved",$T373="Declined"))+(_xlpm.ffp*OR($X373="Approved",$X373="Declined"))+(_xlpm.chp*OR($AB373="Approved",$AB373="Declined"))+(_xlpm.usp*OR($AF373="Approved",$AF373="Declined")),IF(_xlpm.n=0,"No applicable lenders",IF(_xlpm.sub&gt;0,"Stays with Shaw - lender still Submitted",IF(_xlpm.term=_xlpm.n,"Clear - all applicable lenders Approved or Declined","Stays with Shaw - not all lenders Approved or Declined")))))</f>
      </c>
    </row>
    <row r="374" spans="80:80">
      <c r="CB374" s="131">
        <f>IF($A374="","",_xlfn.LET(_xlpm.sfp,AND($P374&lt;&gt;"",$P374&lt;&gt;"N/A",$P374&lt;&gt;"No Min RQ"),_xlpm.slp,AND($T374&lt;&gt;"",$T374&lt;&gt;"N/A",$T374&lt;&gt;"No Min RQ"),_xlpm.ffp,AND($X374&lt;&gt;"",$X374&lt;&gt;"N/A",$X374&lt;&gt;"No Min RQ"),_xlpm.chp,AND($AB374&lt;&gt;"",$AB374&lt;&gt;"N/A",$AB374&lt;&gt;"No Min RQ"),_xlpm.usp,AND($AF374&lt;&gt;"",$AF374&lt;&gt;"N/A",$AF374&lt;&gt;"No Min RQ"),_xlpm.n,_xlpm.sfp+_xlpm.slp+_xlpm.ffp+_xlpm.chp+_xlpm.usp,_xlpm.sub,(_xlpm.sfp*($P374="Submitted"))+(_xlpm.slp*($T374="Submitted"))+(_xlpm.ffp*($X374="Submitted"))+(_xlpm.chp*($AB374="Submitted"))+(_xlpm.usp*($AF374="Submitted")),_xlpm.term,(_xlpm.sfp*OR($P374="Approved",$P374="Declined"))+(_xlpm.slp*OR($T374="Approved",$T374="Declined"))+(_xlpm.ffp*OR($X374="Approved",$X374="Declined"))+(_xlpm.chp*OR($AB374="Approved",$AB374="Declined"))+(_xlpm.usp*OR($AF374="Approved",$AF374="Declined")),IF(_xlpm.n=0,"No applicable lenders",IF(_xlpm.sub&gt;0,"Stays with Shaw - lender still Submitted",IF(_xlpm.term=_xlpm.n,"Clear - all applicable lenders Approved or Declined","Stays with Shaw - not all lenders Approved or Declined")))))</f>
      </c>
    </row>
    <row r="375" spans="80:80">
      <c r="CB375" s="131">
        <f>IF($A375="","",_xlfn.LET(_xlpm.sfp,AND($P375&lt;&gt;"",$P375&lt;&gt;"N/A",$P375&lt;&gt;"No Min RQ"),_xlpm.slp,AND($T375&lt;&gt;"",$T375&lt;&gt;"N/A",$T375&lt;&gt;"No Min RQ"),_xlpm.ffp,AND($X375&lt;&gt;"",$X375&lt;&gt;"N/A",$X375&lt;&gt;"No Min RQ"),_xlpm.chp,AND($AB375&lt;&gt;"",$AB375&lt;&gt;"N/A",$AB375&lt;&gt;"No Min RQ"),_xlpm.usp,AND($AF375&lt;&gt;"",$AF375&lt;&gt;"N/A",$AF375&lt;&gt;"No Min RQ"),_xlpm.n,_xlpm.sfp+_xlpm.slp+_xlpm.ffp+_xlpm.chp+_xlpm.usp,_xlpm.sub,(_xlpm.sfp*($P375="Submitted"))+(_xlpm.slp*($T375="Submitted"))+(_xlpm.ffp*($X375="Submitted"))+(_xlpm.chp*($AB375="Submitted"))+(_xlpm.usp*($AF375="Submitted")),_xlpm.term,(_xlpm.sfp*OR($P375="Approved",$P375="Declined"))+(_xlpm.slp*OR($T375="Approved",$T375="Declined"))+(_xlpm.ffp*OR($X375="Approved",$X375="Declined"))+(_xlpm.chp*OR($AB375="Approved",$AB375="Declined"))+(_xlpm.usp*OR($AF375="Approved",$AF375="Declined")),IF(_xlpm.n=0,"No applicable lenders",IF(_xlpm.sub&gt;0,"Stays with Shaw - lender still Submitted",IF(_xlpm.term=_xlpm.n,"Clear - all applicable lenders Approved or Declined","Stays with Shaw - not all lenders Approved or Declined")))))</f>
      </c>
    </row>
    <row r="376" spans="80:80">
      <c r="CB376" s="131">
        <f>IF($A376="","",_xlfn.LET(_xlpm.sfp,AND($P376&lt;&gt;"",$P376&lt;&gt;"N/A",$P376&lt;&gt;"No Min RQ"),_xlpm.slp,AND($T376&lt;&gt;"",$T376&lt;&gt;"N/A",$T376&lt;&gt;"No Min RQ"),_xlpm.ffp,AND($X376&lt;&gt;"",$X376&lt;&gt;"N/A",$X376&lt;&gt;"No Min RQ"),_xlpm.chp,AND($AB376&lt;&gt;"",$AB376&lt;&gt;"N/A",$AB376&lt;&gt;"No Min RQ"),_xlpm.usp,AND($AF376&lt;&gt;"",$AF376&lt;&gt;"N/A",$AF376&lt;&gt;"No Min RQ"),_xlpm.n,_xlpm.sfp+_xlpm.slp+_xlpm.ffp+_xlpm.chp+_xlpm.usp,_xlpm.sub,(_xlpm.sfp*($P376="Submitted"))+(_xlpm.slp*($T376="Submitted"))+(_xlpm.ffp*($X376="Submitted"))+(_xlpm.chp*($AB376="Submitted"))+(_xlpm.usp*($AF376="Submitted")),_xlpm.term,(_xlpm.sfp*OR($P376="Approved",$P376="Declined"))+(_xlpm.slp*OR($T376="Approved",$T376="Declined"))+(_xlpm.ffp*OR($X376="Approved",$X376="Declined"))+(_xlpm.chp*OR($AB376="Approved",$AB376="Declined"))+(_xlpm.usp*OR($AF376="Approved",$AF376="Declined")),IF(_xlpm.n=0,"No applicable lenders",IF(_xlpm.sub&gt;0,"Stays with Shaw - lender still Submitted",IF(_xlpm.term=_xlpm.n,"Clear - all applicable lenders Approved or Declined","Stays with Shaw - not all lenders Approved or Declined")))))</f>
      </c>
    </row>
    <row r="377" spans="80:80">
      <c r="CB377" s="131">
        <f>IF($A377="","",_xlfn.LET(_xlpm.sfp,AND($P377&lt;&gt;"",$P377&lt;&gt;"N/A",$P377&lt;&gt;"No Min RQ"),_xlpm.slp,AND($T377&lt;&gt;"",$T377&lt;&gt;"N/A",$T377&lt;&gt;"No Min RQ"),_xlpm.ffp,AND($X377&lt;&gt;"",$X377&lt;&gt;"N/A",$X377&lt;&gt;"No Min RQ"),_xlpm.chp,AND($AB377&lt;&gt;"",$AB377&lt;&gt;"N/A",$AB377&lt;&gt;"No Min RQ"),_xlpm.usp,AND($AF377&lt;&gt;"",$AF377&lt;&gt;"N/A",$AF377&lt;&gt;"No Min RQ"),_xlpm.n,_xlpm.sfp+_xlpm.slp+_xlpm.ffp+_xlpm.chp+_xlpm.usp,_xlpm.sub,(_xlpm.sfp*($P377="Submitted"))+(_xlpm.slp*($T377="Submitted"))+(_xlpm.ffp*($X377="Submitted"))+(_xlpm.chp*($AB377="Submitted"))+(_xlpm.usp*($AF377="Submitted")),_xlpm.term,(_xlpm.sfp*OR($P377="Approved",$P377="Declined"))+(_xlpm.slp*OR($T377="Approved",$T377="Declined"))+(_xlpm.ffp*OR($X377="Approved",$X377="Declined"))+(_xlpm.chp*OR($AB377="Approved",$AB377="Declined"))+(_xlpm.usp*OR($AF377="Approved",$AF377="Declined")),IF(_xlpm.n=0,"No applicable lenders",IF(_xlpm.sub&gt;0,"Stays with Shaw - lender still Submitted",IF(_xlpm.term=_xlpm.n,"Clear - all applicable lenders Approved or Declined","Stays with Shaw - not all lenders Approved or Declined")))))</f>
      </c>
    </row>
    <row r="378" spans="80:80">
      <c r="CB378" s="131">
        <f>IF($A378="","",_xlfn.LET(_xlpm.sfp,AND($P378&lt;&gt;"",$P378&lt;&gt;"N/A",$P378&lt;&gt;"No Min RQ"),_xlpm.slp,AND($T378&lt;&gt;"",$T378&lt;&gt;"N/A",$T378&lt;&gt;"No Min RQ"),_xlpm.ffp,AND($X378&lt;&gt;"",$X378&lt;&gt;"N/A",$X378&lt;&gt;"No Min RQ"),_xlpm.chp,AND($AB378&lt;&gt;"",$AB378&lt;&gt;"N/A",$AB378&lt;&gt;"No Min RQ"),_xlpm.usp,AND($AF378&lt;&gt;"",$AF378&lt;&gt;"N/A",$AF378&lt;&gt;"No Min RQ"),_xlpm.n,_xlpm.sfp+_xlpm.slp+_xlpm.ffp+_xlpm.chp+_xlpm.usp,_xlpm.sub,(_xlpm.sfp*($P378="Submitted"))+(_xlpm.slp*($T378="Submitted"))+(_xlpm.ffp*($X378="Submitted"))+(_xlpm.chp*($AB378="Submitted"))+(_xlpm.usp*($AF378="Submitted")),_xlpm.term,(_xlpm.sfp*OR($P378="Approved",$P378="Declined"))+(_xlpm.slp*OR($T378="Approved",$T378="Declined"))+(_xlpm.ffp*OR($X378="Approved",$X378="Declined"))+(_xlpm.chp*OR($AB378="Approved",$AB378="Declined"))+(_xlpm.usp*OR($AF378="Approved",$AF378="Declined")),IF(_xlpm.n=0,"No applicable lenders",IF(_xlpm.sub&gt;0,"Stays with Shaw - lender still Submitted",IF(_xlpm.term=_xlpm.n,"Clear - all applicable lenders Approved or Declined","Stays with Shaw - not all lenders Approved or Declined")))))</f>
      </c>
    </row>
    <row r="379" spans="80:80">
      <c r="CB379" s="131">
        <f>IF($A379="","",_xlfn.LET(_xlpm.sfp,AND($P379&lt;&gt;"",$P379&lt;&gt;"N/A",$P379&lt;&gt;"No Min RQ"),_xlpm.slp,AND($T379&lt;&gt;"",$T379&lt;&gt;"N/A",$T379&lt;&gt;"No Min RQ"),_xlpm.ffp,AND($X379&lt;&gt;"",$X379&lt;&gt;"N/A",$X379&lt;&gt;"No Min RQ"),_xlpm.chp,AND($AB379&lt;&gt;"",$AB379&lt;&gt;"N/A",$AB379&lt;&gt;"No Min RQ"),_xlpm.usp,AND($AF379&lt;&gt;"",$AF379&lt;&gt;"N/A",$AF379&lt;&gt;"No Min RQ"),_xlpm.n,_xlpm.sfp+_xlpm.slp+_xlpm.ffp+_xlpm.chp+_xlpm.usp,_xlpm.sub,(_xlpm.sfp*($P379="Submitted"))+(_xlpm.slp*($T379="Submitted"))+(_xlpm.ffp*($X379="Submitted"))+(_xlpm.chp*($AB379="Submitted"))+(_xlpm.usp*($AF379="Submitted")),_xlpm.term,(_xlpm.sfp*OR($P379="Approved",$P379="Declined"))+(_xlpm.slp*OR($T379="Approved",$T379="Declined"))+(_xlpm.ffp*OR($X379="Approved",$X379="Declined"))+(_xlpm.chp*OR($AB379="Approved",$AB379="Declined"))+(_xlpm.usp*OR($AF379="Approved",$AF379="Declined")),IF(_xlpm.n=0,"No applicable lenders",IF(_xlpm.sub&gt;0,"Stays with Shaw - lender still Submitted",IF(_xlpm.term=_xlpm.n,"Clear - all applicable lenders Approved or Declined","Stays with Shaw - not all lenders Approved or Declined")))))</f>
      </c>
    </row>
    <row r="380" spans="80:80">
      <c r="CB380" s="131">
        <f>IF($A380="","",_xlfn.LET(_xlpm.sfp,AND($P380&lt;&gt;"",$P380&lt;&gt;"N/A",$P380&lt;&gt;"No Min RQ"),_xlpm.slp,AND($T380&lt;&gt;"",$T380&lt;&gt;"N/A",$T380&lt;&gt;"No Min RQ"),_xlpm.ffp,AND($X380&lt;&gt;"",$X380&lt;&gt;"N/A",$X380&lt;&gt;"No Min RQ"),_xlpm.chp,AND($AB380&lt;&gt;"",$AB380&lt;&gt;"N/A",$AB380&lt;&gt;"No Min RQ"),_xlpm.usp,AND($AF380&lt;&gt;"",$AF380&lt;&gt;"N/A",$AF380&lt;&gt;"No Min RQ"),_xlpm.n,_xlpm.sfp+_xlpm.slp+_xlpm.ffp+_xlpm.chp+_xlpm.usp,_xlpm.sub,(_xlpm.sfp*($P380="Submitted"))+(_xlpm.slp*($T380="Submitted"))+(_xlpm.ffp*($X380="Submitted"))+(_xlpm.chp*($AB380="Submitted"))+(_xlpm.usp*($AF380="Submitted")),_xlpm.term,(_xlpm.sfp*OR($P380="Approved",$P380="Declined"))+(_xlpm.slp*OR($T380="Approved",$T380="Declined"))+(_xlpm.ffp*OR($X380="Approved",$X380="Declined"))+(_xlpm.chp*OR($AB380="Approved",$AB380="Declined"))+(_xlpm.usp*OR($AF380="Approved",$AF380="Declined")),IF(_xlpm.n=0,"No applicable lenders",IF(_xlpm.sub&gt;0,"Stays with Shaw - lender still Submitted",IF(_xlpm.term=_xlpm.n,"Clear - all applicable lenders Approved or Declined","Stays with Shaw - not all lenders Approved or Declined")))))</f>
      </c>
    </row>
    <row r="381" spans="80:80">
      <c r="CB381" s="131">
        <f>IF($A381="","",_xlfn.LET(_xlpm.sfp,AND($P381&lt;&gt;"",$P381&lt;&gt;"N/A",$P381&lt;&gt;"No Min RQ"),_xlpm.slp,AND($T381&lt;&gt;"",$T381&lt;&gt;"N/A",$T381&lt;&gt;"No Min RQ"),_xlpm.ffp,AND($X381&lt;&gt;"",$X381&lt;&gt;"N/A",$X381&lt;&gt;"No Min RQ"),_xlpm.chp,AND($AB381&lt;&gt;"",$AB381&lt;&gt;"N/A",$AB381&lt;&gt;"No Min RQ"),_xlpm.usp,AND($AF381&lt;&gt;"",$AF381&lt;&gt;"N/A",$AF381&lt;&gt;"No Min RQ"),_xlpm.n,_xlpm.sfp+_xlpm.slp+_xlpm.ffp+_xlpm.chp+_xlpm.usp,_xlpm.sub,(_xlpm.sfp*($P381="Submitted"))+(_xlpm.slp*($T381="Submitted"))+(_xlpm.ffp*($X381="Submitted"))+(_xlpm.chp*($AB381="Submitted"))+(_xlpm.usp*($AF381="Submitted")),_xlpm.term,(_xlpm.sfp*OR($P381="Approved",$P381="Declined"))+(_xlpm.slp*OR($T381="Approved",$T381="Declined"))+(_xlpm.ffp*OR($X381="Approved",$X381="Declined"))+(_xlpm.chp*OR($AB381="Approved",$AB381="Declined"))+(_xlpm.usp*OR($AF381="Approved",$AF381="Declined")),IF(_xlpm.n=0,"No applicable lenders",IF(_xlpm.sub&gt;0,"Stays with Shaw - lender still Submitted",IF(_xlpm.term=_xlpm.n,"Clear - all applicable lenders Approved or Declined","Stays with Shaw - not all lenders Approved or Declined")))))</f>
      </c>
    </row>
    <row r="382" spans="80:80">
      <c r="CB382" s="131">
        <f>IF($A382="","",_xlfn.LET(_xlpm.sfp,AND($P382&lt;&gt;"",$P382&lt;&gt;"N/A",$P382&lt;&gt;"No Min RQ"),_xlpm.slp,AND($T382&lt;&gt;"",$T382&lt;&gt;"N/A",$T382&lt;&gt;"No Min RQ"),_xlpm.ffp,AND($X382&lt;&gt;"",$X382&lt;&gt;"N/A",$X382&lt;&gt;"No Min RQ"),_xlpm.chp,AND($AB382&lt;&gt;"",$AB382&lt;&gt;"N/A",$AB382&lt;&gt;"No Min RQ"),_xlpm.usp,AND($AF382&lt;&gt;"",$AF382&lt;&gt;"N/A",$AF382&lt;&gt;"No Min RQ"),_xlpm.n,_xlpm.sfp+_xlpm.slp+_xlpm.ffp+_xlpm.chp+_xlpm.usp,_xlpm.sub,(_xlpm.sfp*($P382="Submitted"))+(_xlpm.slp*($T382="Submitted"))+(_xlpm.ffp*($X382="Submitted"))+(_xlpm.chp*($AB382="Submitted"))+(_xlpm.usp*($AF382="Submitted")),_xlpm.term,(_xlpm.sfp*OR($P382="Approved",$P382="Declined"))+(_xlpm.slp*OR($T382="Approved",$T382="Declined"))+(_xlpm.ffp*OR($X382="Approved",$X382="Declined"))+(_xlpm.chp*OR($AB382="Approved",$AB382="Declined"))+(_xlpm.usp*OR($AF382="Approved",$AF382="Declined")),IF(_xlpm.n=0,"No applicable lenders",IF(_xlpm.sub&gt;0,"Stays with Shaw - lender still Submitted",IF(_xlpm.term=_xlpm.n,"Clear - all applicable lenders Approved or Declined","Stays with Shaw - not all lenders Approved or Declined")))))</f>
      </c>
    </row>
    <row r="383" spans="80:80">
      <c r="CB383" s="131">
        <f>IF($A383="","",_xlfn.LET(_xlpm.sfp,AND($P383&lt;&gt;"",$P383&lt;&gt;"N/A",$P383&lt;&gt;"No Min RQ"),_xlpm.slp,AND($T383&lt;&gt;"",$T383&lt;&gt;"N/A",$T383&lt;&gt;"No Min RQ"),_xlpm.ffp,AND($X383&lt;&gt;"",$X383&lt;&gt;"N/A",$X383&lt;&gt;"No Min RQ"),_xlpm.chp,AND($AB383&lt;&gt;"",$AB383&lt;&gt;"N/A",$AB383&lt;&gt;"No Min RQ"),_xlpm.usp,AND($AF383&lt;&gt;"",$AF383&lt;&gt;"N/A",$AF383&lt;&gt;"No Min RQ"),_xlpm.n,_xlpm.sfp+_xlpm.slp+_xlpm.ffp+_xlpm.chp+_xlpm.usp,_xlpm.sub,(_xlpm.sfp*($P383="Submitted"))+(_xlpm.slp*($T383="Submitted"))+(_xlpm.ffp*($X383="Submitted"))+(_xlpm.chp*($AB383="Submitted"))+(_xlpm.usp*($AF383="Submitted")),_xlpm.term,(_xlpm.sfp*OR($P383="Approved",$P383="Declined"))+(_xlpm.slp*OR($T383="Approved",$T383="Declined"))+(_xlpm.ffp*OR($X383="Approved",$X383="Declined"))+(_xlpm.chp*OR($AB383="Approved",$AB383="Declined"))+(_xlpm.usp*OR($AF383="Approved",$AF383="Declined")),IF(_xlpm.n=0,"No applicable lenders",IF(_xlpm.sub&gt;0,"Stays with Shaw - lender still Submitted",IF(_xlpm.term=_xlpm.n,"Clear - all applicable lenders Approved or Declined","Stays with Shaw - not all lenders Approved or Declined")))))</f>
      </c>
    </row>
    <row r="384" spans="80:80">
      <c r="CB384" s="131">
        <f>IF($A384="","",_xlfn.LET(_xlpm.sfp,AND($P384&lt;&gt;"",$P384&lt;&gt;"N/A",$P384&lt;&gt;"No Min RQ"),_xlpm.slp,AND($T384&lt;&gt;"",$T384&lt;&gt;"N/A",$T384&lt;&gt;"No Min RQ"),_xlpm.ffp,AND($X384&lt;&gt;"",$X384&lt;&gt;"N/A",$X384&lt;&gt;"No Min RQ"),_xlpm.chp,AND($AB384&lt;&gt;"",$AB384&lt;&gt;"N/A",$AB384&lt;&gt;"No Min RQ"),_xlpm.usp,AND($AF384&lt;&gt;"",$AF384&lt;&gt;"N/A",$AF384&lt;&gt;"No Min RQ"),_xlpm.n,_xlpm.sfp+_xlpm.slp+_xlpm.ffp+_xlpm.chp+_xlpm.usp,_xlpm.sub,(_xlpm.sfp*($P384="Submitted"))+(_xlpm.slp*($T384="Submitted"))+(_xlpm.ffp*($X384="Submitted"))+(_xlpm.chp*($AB384="Submitted"))+(_xlpm.usp*($AF384="Submitted")),_xlpm.term,(_xlpm.sfp*OR($P384="Approved",$P384="Declined"))+(_xlpm.slp*OR($T384="Approved",$T384="Declined"))+(_xlpm.ffp*OR($X384="Approved",$X384="Declined"))+(_xlpm.chp*OR($AB384="Approved",$AB384="Declined"))+(_xlpm.usp*OR($AF384="Approved",$AF384="Declined")),IF(_xlpm.n=0,"No applicable lenders",IF(_xlpm.sub&gt;0,"Stays with Shaw - lender still Submitted",IF(_xlpm.term=_xlpm.n,"Clear - all applicable lenders Approved or Declined","Stays with Shaw - not all lenders Approved or Declined")))))</f>
      </c>
    </row>
    <row r="385" spans="80:80">
      <c r="CB385" s="131">
        <f>IF($A385="","",_xlfn.LET(_xlpm.sfp,AND($P385&lt;&gt;"",$P385&lt;&gt;"N/A",$P385&lt;&gt;"No Min RQ"),_xlpm.slp,AND($T385&lt;&gt;"",$T385&lt;&gt;"N/A",$T385&lt;&gt;"No Min RQ"),_xlpm.ffp,AND($X385&lt;&gt;"",$X385&lt;&gt;"N/A",$X385&lt;&gt;"No Min RQ"),_xlpm.chp,AND($AB385&lt;&gt;"",$AB385&lt;&gt;"N/A",$AB385&lt;&gt;"No Min RQ"),_xlpm.usp,AND($AF385&lt;&gt;"",$AF385&lt;&gt;"N/A",$AF385&lt;&gt;"No Min RQ"),_xlpm.n,_xlpm.sfp+_xlpm.slp+_xlpm.ffp+_xlpm.chp+_xlpm.usp,_xlpm.sub,(_xlpm.sfp*($P385="Submitted"))+(_xlpm.slp*($T385="Submitted"))+(_xlpm.ffp*($X385="Submitted"))+(_xlpm.chp*($AB385="Submitted"))+(_xlpm.usp*($AF385="Submitted")),_xlpm.term,(_xlpm.sfp*OR($P385="Approved",$P385="Declined"))+(_xlpm.slp*OR($T385="Approved",$T385="Declined"))+(_xlpm.ffp*OR($X385="Approved",$X385="Declined"))+(_xlpm.chp*OR($AB385="Approved",$AB385="Declined"))+(_xlpm.usp*OR($AF385="Approved",$AF385="Declined")),IF(_xlpm.n=0,"No applicable lenders",IF(_xlpm.sub&gt;0,"Stays with Shaw - lender still Submitted",IF(_xlpm.term=_xlpm.n,"Clear - all applicable lenders Approved or Declined","Stays with Shaw - not all lenders Approved or Declined")))))</f>
      </c>
    </row>
    <row r="386" spans="80:80">
      <c r="CB386" s="131">
        <f>IF($A386="","",_xlfn.LET(_xlpm.sfp,AND($P386&lt;&gt;"",$P386&lt;&gt;"N/A",$P386&lt;&gt;"No Min RQ"),_xlpm.slp,AND($T386&lt;&gt;"",$T386&lt;&gt;"N/A",$T386&lt;&gt;"No Min RQ"),_xlpm.ffp,AND($X386&lt;&gt;"",$X386&lt;&gt;"N/A",$X386&lt;&gt;"No Min RQ"),_xlpm.chp,AND($AB386&lt;&gt;"",$AB386&lt;&gt;"N/A",$AB386&lt;&gt;"No Min RQ"),_xlpm.usp,AND($AF386&lt;&gt;"",$AF386&lt;&gt;"N/A",$AF386&lt;&gt;"No Min RQ"),_xlpm.n,_xlpm.sfp+_xlpm.slp+_xlpm.ffp+_xlpm.chp+_xlpm.usp,_xlpm.sub,(_xlpm.sfp*($P386="Submitted"))+(_xlpm.slp*($T386="Submitted"))+(_xlpm.ffp*($X386="Submitted"))+(_xlpm.chp*($AB386="Submitted"))+(_xlpm.usp*($AF386="Submitted")),_xlpm.term,(_xlpm.sfp*OR($P386="Approved",$P386="Declined"))+(_xlpm.slp*OR($T386="Approved",$T386="Declined"))+(_xlpm.ffp*OR($X386="Approved",$X386="Declined"))+(_xlpm.chp*OR($AB386="Approved",$AB386="Declined"))+(_xlpm.usp*OR($AF386="Approved",$AF386="Declined")),IF(_xlpm.n=0,"No applicable lenders",IF(_xlpm.sub&gt;0,"Stays with Shaw - lender still Submitted",IF(_xlpm.term=_xlpm.n,"Clear - all applicable lenders Approved or Declined","Stays with Shaw - not all lenders Approved or Declined")))))</f>
      </c>
    </row>
    <row r="387" spans="80:80">
      <c r="CB387" s="131">
        <f>IF($A387="","",_xlfn.LET(_xlpm.sfp,AND($P387&lt;&gt;"",$P387&lt;&gt;"N/A",$P387&lt;&gt;"No Min RQ"),_xlpm.slp,AND($T387&lt;&gt;"",$T387&lt;&gt;"N/A",$T387&lt;&gt;"No Min RQ"),_xlpm.ffp,AND($X387&lt;&gt;"",$X387&lt;&gt;"N/A",$X387&lt;&gt;"No Min RQ"),_xlpm.chp,AND($AB387&lt;&gt;"",$AB387&lt;&gt;"N/A",$AB387&lt;&gt;"No Min RQ"),_xlpm.usp,AND($AF387&lt;&gt;"",$AF387&lt;&gt;"N/A",$AF387&lt;&gt;"No Min RQ"),_xlpm.n,_xlpm.sfp+_xlpm.slp+_xlpm.ffp+_xlpm.chp+_xlpm.usp,_xlpm.sub,(_xlpm.sfp*($P387="Submitted"))+(_xlpm.slp*($T387="Submitted"))+(_xlpm.ffp*($X387="Submitted"))+(_xlpm.chp*($AB387="Submitted"))+(_xlpm.usp*($AF387="Submitted")),_xlpm.term,(_xlpm.sfp*OR($P387="Approved",$P387="Declined"))+(_xlpm.slp*OR($T387="Approved",$T387="Declined"))+(_xlpm.ffp*OR($X387="Approved",$X387="Declined"))+(_xlpm.chp*OR($AB387="Approved",$AB387="Declined"))+(_xlpm.usp*OR($AF387="Approved",$AF387="Declined")),IF(_xlpm.n=0,"No applicable lenders",IF(_xlpm.sub&gt;0,"Stays with Shaw - lender still Submitted",IF(_xlpm.term=_xlpm.n,"Clear - all applicable lenders Approved or Declined","Stays with Shaw - not all lenders Approved or Declined")))))</f>
      </c>
    </row>
    <row r="388" spans="80:80">
      <c r="CB388" s="131">
        <f>IF($A388="","",_xlfn.LET(_xlpm.sfp,AND($P388&lt;&gt;"",$P388&lt;&gt;"N/A",$P388&lt;&gt;"No Min RQ"),_xlpm.slp,AND($T388&lt;&gt;"",$T388&lt;&gt;"N/A",$T388&lt;&gt;"No Min RQ"),_xlpm.ffp,AND($X388&lt;&gt;"",$X388&lt;&gt;"N/A",$X388&lt;&gt;"No Min RQ"),_xlpm.chp,AND($AB388&lt;&gt;"",$AB388&lt;&gt;"N/A",$AB388&lt;&gt;"No Min RQ"),_xlpm.usp,AND($AF388&lt;&gt;"",$AF388&lt;&gt;"N/A",$AF388&lt;&gt;"No Min RQ"),_xlpm.n,_xlpm.sfp+_xlpm.slp+_xlpm.ffp+_xlpm.chp+_xlpm.usp,_xlpm.sub,(_xlpm.sfp*($P388="Submitted"))+(_xlpm.slp*($T388="Submitted"))+(_xlpm.ffp*($X388="Submitted"))+(_xlpm.chp*($AB388="Submitted"))+(_xlpm.usp*($AF388="Submitted")),_xlpm.term,(_xlpm.sfp*OR($P388="Approved",$P388="Declined"))+(_xlpm.slp*OR($T388="Approved",$T388="Declined"))+(_xlpm.ffp*OR($X388="Approved",$X388="Declined"))+(_xlpm.chp*OR($AB388="Approved",$AB388="Declined"))+(_xlpm.usp*OR($AF388="Approved",$AF388="Declined")),IF(_xlpm.n=0,"No applicable lenders",IF(_xlpm.sub&gt;0,"Stays with Shaw - lender still Submitted",IF(_xlpm.term=_xlpm.n,"Clear - all applicable lenders Approved or Declined","Stays with Shaw - not all lenders Approved or Declined")))))</f>
      </c>
    </row>
    <row r="389" spans="80:80">
      <c r="CB389" s="131">
        <f>IF($A389="","",_xlfn.LET(_xlpm.sfp,AND($P389&lt;&gt;"",$P389&lt;&gt;"N/A",$P389&lt;&gt;"No Min RQ"),_xlpm.slp,AND($T389&lt;&gt;"",$T389&lt;&gt;"N/A",$T389&lt;&gt;"No Min RQ"),_xlpm.ffp,AND($X389&lt;&gt;"",$X389&lt;&gt;"N/A",$X389&lt;&gt;"No Min RQ"),_xlpm.chp,AND($AB389&lt;&gt;"",$AB389&lt;&gt;"N/A",$AB389&lt;&gt;"No Min RQ"),_xlpm.usp,AND($AF389&lt;&gt;"",$AF389&lt;&gt;"N/A",$AF389&lt;&gt;"No Min RQ"),_xlpm.n,_xlpm.sfp+_xlpm.slp+_xlpm.ffp+_xlpm.chp+_xlpm.usp,_xlpm.sub,(_xlpm.sfp*($P389="Submitted"))+(_xlpm.slp*($T389="Submitted"))+(_xlpm.ffp*($X389="Submitted"))+(_xlpm.chp*($AB389="Submitted"))+(_xlpm.usp*($AF389="Submitted")),_xlpm.term,(_xlpm.sfp*OR($P389="Approved",$P389="Declined"))+(_xlpm.slp*OR($T389="Approved",$T389="Declined"))+(_xlpm.ffp*OR($X389="Approved",$X389="Declined"))+(_xlpm.chp*OR($AB389="Approved",$AB389="Declined"))+(_xlpm.usp*OR($AF389="Approved",$AF389="Declined")),IF(_xlpm.n=0,"No applicable lenders",IF(_xlpm.sub&gt;0,"Stays with Shaw - lender still Submitted",IF(_xlpm.term=_xlpm.n,"Clear - all applicable lenders Approved or Declined","Stays with Shaw - not all lenders Approved or Declined")))))</f>
      </c>
    </row>
    <row r="390" spans="80:80">
      <c r="CB390" s="131">
        <f>IF($A390="","",_xlfn.LET(_xlpm.sfp,AND($P390&lt;&gt;"",$P390&lt;&gt;"N/A",$P390&lt;&gt;"No Min RQ"),_xlpm.slp,AND($T390&lt;&gt;"",$T390&lt;&gt;"N/A",$T390&lt;&gt;"No Min RQ"),_xlpm.ffp,AND($X390&lt;&gt;"",$X390&lt;&gt;"N/A",$X390&lt;&gt;"No Min RQ"),_xlpm.chp,AND($AB390&lt;&gt;"",$AB390&lt;&gt;"N/A",$AB390&lt;&gt;"No Min RQ"),_xlpm.usp,AND($AF390&lt;&gt;"",$AF390&lt;&gt;"N/A",$AF390&lt;&gt;"No Min RQ"),_xlpm.n,_xlpm.sfp+_xlpm.slp+_xlpm.ffp+_xlpm.chp+_xlpm.usp,_xlpm.sub,(_xlpm.sfp*($P390="Submitted"))+(_xlpm.slp*($T390="Submitted"))+(_xlpm.ffp*($X390="Submitted"))+(_xlpm.chp*($AB390="Submitted"))+(_xlpm.usp*($AF390="Submitted")),_xlpm.term,(_xlpm.sfp*OR($P390="Approved",$P390="Declined"))+(_xlpm.slp*OR($T390="Approved",$T390="Declined"))+(_xlpm.ffp*OR($X390="Approved",$X390="Declined"))+(_xlpm.chp*OR($AB390="Approved",$AB390="Declined"))+(_xlpm.usp*OR($AF390="Approved",$AF390="Declined")),IF(_xlpm.n=0,"No applicable lenders",IF(_xlpm.sub&gt;0,"Stays with Shaw - lender still Submitted",IF(_xlpm.term=_xlpm.n,"Clear - all applicable lenders Approved or Declined","Stays with Shaw - not all lenders Approved or Declined")))))</f>
      </c>
    </row>
    <row r="391" spans="80:80">
      <c r="CB391" s="131">
        <f>IF($A391="","",_xlfn.LET(_xlpm.sfp,AND($P391&lt;&gt;"",$P391&lt;&gt;"N/A",$P391&lt;&gt;"No Min RQ"),_xlpm.slp,AND($T391&lt;&gt;"",$T391&lt;&gt;"N/A",$T391&lt;&gt;"No Min RQ"),_xlpm.ffp,AND($X391&lt;&gt;"",$X391&lt;&gt;"N/A",$X391&lt;&gt;"No Min RQ"),_xlpm.chp,AND($AB391&lt;&gt;"",$AB391&lt;&gt;"N/A",$AB391&lt;&gt;"No Min RQ"),_xlpm.usp,AND($AF391&lt;&gt;"",$AF391&lt;&gt;"N/A",$AF391&lt;&gt;"No Min RQ"),_xlpm.n,_xlpm.sfp+_xlpm.slp+_xlpm.ffp+_xlpm.chp+_xlpm.usp,_xlpm.sub,(_xlpm.sfp*($P391="Submitted"))+(_xlpm.slp*($T391="Submitted"))+(_xlpm.ffp*($X391="Submitted"))+(_xlpm.chp*($AB391="Submitted"))+(_xlpm.usp*($AF391="Submitted")),_xlpm.term,(_xlpm.sfp*OR($P391="Approved",$P391="Declined"))+(_xlpm.slp*OR($T391="Approved",$T391="Declined"))+(_xlpm.ffp*OR($X391="Approved",$X391="Declined"))+(_xlpm.chp*OR($AB391="Approved",$AB391="Declined"))+(_xlpm.usp*OR($AF391="Approved",$AF391="Declined")),IF(_xlpm.n=0,"No applicable lenders",IF(_xlpm.sub&gt;0,"Stays with Shaw - lender still Submitted",IF(_xlpm.term=_xlpm.n,"Clear - all applicable lenders Approved or Declined","Stays with Shaw - not all lenders Approved or Declined")))))</f>
      </c>
    </row>
    <row r="392" spans="80:80">
      <c r="CB392" s="131">
        <f>IF($A392="","",_xlfn.LET(_xlpm.sfp,AND($P392&lt;&gt;"",$P392&lt;&gt;"N/A",$P392&lt;&gt;"No Min RQ"),_xlpm.slp,AND($T392&lt;&gt;"",$T392&lt;&gt;"N/A",$T392&lt;&gt;"No Min RQ"),_xlpm.ffp,AND($X392&lt;&gt;"",$X392&lt;&gt;"N/A",$X392&lt;&gt;"No Min RQ"),_xlpm.chp,AND($AB392&lt;&gt;"",$AB392&lt;&gt;"N/A",$AB392&lt;&gt;"No Min RQ"),_xlpm.usp,AND($AF392&lt;&gt;"",$AF392&lt;&gt;"N/A",$AF392&lt;&gt;"No Min RQ"),_xlpm.n,_xlpm.sfp+_xlpm.slp+_xlpm.ffp+_xlpm.chp+_xlpm.usp,_xlpm.sub,(_xlpm.sfp*($P392="Submitted"))+(_xlpm.slp*($T392="Submitted"))+(_xlpm.ffp*($X392="Submitted"))+(_xlpm.chp*($AB392="Submitted"))+(_xlpm.usp*($AF392="Submitted")),_xlpm.term,(_xlpm.sfp*OR($P392="Approved",$P392="Declined"))+(_xlpm.slp*OR($T392="Approved",$T392="Declined"))+(_xlpm.ffp*OR($X392="Approved",$X392="Declined"))+(_xlpm.chp*OR($AB392="Approved",$AB392="Declined"))+(_xlpm.usp*OR($AF392="Approved",$AF392="Declined")),IF(_xlpm.n=0,"No applicable lenders",IF(_xlpm.sub&gt;0,"Stays with Shaw - lender still Submitted",IF(_xlpm.term=_xlpm.n,"Clear - all applicable lenders Approved or Declined","Stays with Shaw - not all lenders Approved or Declined")))))</f>
      </c>
    </row>
    <row r="393" spans="80:80">
      <c r="CB393" s="131">
        <f>IF($A393="","",_xlfn.LET(_xlpm.sfp,AND($P393&lt;&gt;"",$P393&lt;&gt;"N/A",$P393&lt;&gt;"No Min RQ"),_xlpm.slp,AND($T393&lt;&gt;"",$T393&lt;&gt;"N/A",$T393&lt;&gt;"No Min RQ"),_xlpm.ffp,AND($X393&lt;&gt;"",$X393&lt;&gt;"N/A",$X393&lt;&gt;"No Min RQ"),_xlpm.chp,AND($AB393&lt;&gt;"",$AB393&lt;&gt;"N/A",$AB393&lt;&gt;"No Min RQ"),_xlpm.usp,AND($AF393&lt;&gt;"",$AF393&lt;&gt;"N/A",$AF393&lt;&gt;"No Min RQ"),_xlpm.n,_xlpm.sfp+_xlpm.slp+_xlpm.ffp+_xlpm.chp+_xlpm.usp,_xlpm.sub,(_xlpm.sfp*($P393="Submitted"))+(_xlpm.slp*($T393="Submitted"))+(_xlpm.ffp*($X393="Submitted"))+(_xlpm.chp*($AB393="Submitted"))+(_xlpm.usp*($AF393="Submitted")),_xlpm.term,(_xlpm.sfp*OR($P393="Approved",$P393="Declined"))+(_xlpm.slp*OR($T393="Approved",$T393="Declined"))+(_xlpm.ffp*OR($X393="Approved",$X393="Declined"))+(_xlpm.chp*OR($AB393="Approved",$AB393="Declined"))+(_xlpm.usp*OR($AF393="Approved",$AF393="Declined")),IF(_xlpm.n=0,"No applicable lenders",IF(_xlpm.sub&gt;0,"Stays with Shaw - lender still Submitted",IF(_xlpm.term=_xlpm.n,"Clear - all applicable lenders Approved or Declined","Stays with Shaw - not all lenders Approved or Declined")))))</f>
      </c>
    </row>
    <row r="394" spans="80:80">
      <c r="CB394" s="131">
        <f>IF($A394="","",_xlfn.LET(_xlpm.sfp,AND($P394&lt;&gt;"",$P394&lt;&gt;"N/A",$P394&lt;&gt;"No Min RQ"),_xlpm.slp,AND($T394&lt;&gt;"",$T394&lt;&gt;"N/A",$T394&lt;&gt;"No Min RQ"),_xlpm.ffp,AND($X394&lt;&gt;"",$X394&lt;&gt;"N/A",$X394&lt;&gt;"No Min RQ"),_xlpm.chp,AND($AB394&lt;&gt;"",$AB394&lt;&gt;"N/A",$AB394&lt;&gt;"No Min RQ"),_xlpm.usp,AND($AF394&lt;&gt;"",$AF394&lt;&gt;"N/A",$AF394&lt;&gt;"No Min RQ"),_xlpm.n,_xlpm.sfp+_xlpm.slp+_xlpm.ffp+_xlpm.chp+_xlpm.usp,_xlpm.sub,(_xlpm.sfp*($P394="Submitted"))+(_xlpm.slp*($T394="Submitted"))+(_xlpm.ffp*($X394="Submitted"))+(_xlpm.chp*($AB394="Submitted"))+(_xlpm.usp*($AF394="Submitted")),_xlpm.term,(_xlpm.sfp*OR($P394="Approved",$P394="Declined"))+(_xlpm.slp*OR($T394="Approved",$T394="Declined"))+(_xlpm.ffp*OR($X394="Approved",$X394="Declined"))+(_xlpm.chp*OR($AB394="Approved",$AB394="Declined"))+(_xlpm.usp*OR($AF394="Approved",$AF394="Declined")),IF(_xlpm.n=0,"No applicable lenders",IF(_xlpm.sub&gt;0,"Stays with Shaw - lender still Submitted",IF(_xlpm.term=_xlpm.n,"Clear - all applicable lenders Approved or Declined","Stays with Shaw - not all lenders Approved or Declined")))))</f>
      </c>
    </row>
    <row r="395" spans="80:80">
      <c r="CB395" s="131">
        <f>IF($A395="","",_xlfn.LET(_xlpm.sfp,AND($P395&lt;&gt;"",$P395&lt;&gt;"N/A",$P395&lt;&gt;"No Min RQ"),_xlpm.slp,AND($T395&lt;&gt;"",$T395&lt;&gt;"N/A",$T395&lt;&gt;"No Min RQ"),_xlpm.ffp,AND($X395&lt;&gt;"",$X395&lt;&gt;"N/A",$X395&lt;&gt;"No Min RQ"),_xlpm.chp,AND($AB395&lt;&gt;"",$AB395&lt;&gt;"N/A",$AB395&lt;&gt;"No Min RQ"),_xlpm.usp,AND($AF395&lt;&gt;"",$AF395&lt;&gt;"N/A",$AF395&lt;&gt;"No Min RQ"),_xlpm.n,_xlpm.sfp+_xlpm.slp+_xlpm.ffp+_xlpm.chp+_xlpm.usp,_xlpm.sub,(_xlpm.sfp*($P395="Submitted"))+(_xlpm.slp*($T395="Submitted"))+(_xlpm.ffp*($X395="Submitted"))+(_xlpm.chp*($AB395="Submitted"))+(_xlpm.usp*($AF395="Submitted")),_xlpm.term,(_xlpm.sfp*OR($P395="Approved",$P395="Declined"))+(_xlpm.slp*OR($T395="Approved",$T395="Declined"))+(_xlpm.ffp*OR($X395="Approved",$X395="Declined"))+(_xlpm.chp*OR($AB395="Approved",$AB395="Declined"))+(_xlpm.usp*OR($AF395="Approved",$AF395="Declined")),IF(_xlpm.n=0,"No applicable lenders",IF(_xlpm.sub&gt;0,"Stays with Shaw - lender still Submitted",IF(_xlpm.term=_xlpm.n,"Clear - all applicable lenders Approved or Declined","Stays with Shaw - not all lenders Approved or Declined")))))</f>
      </c>
    </row>
    <row r="396" spans="80:80">
      <c r="CB396" s="131">
        <f>IF($A396="","",_xlfn.LET(_xlpm.sfp,AND($P396&lt;&gt;"",$P396&lt;&gt;"N/A",$P396&lt;&gt;"No Min RQ"),_xlpm.slp,AND($T396&lt;&gt;"",$T396&lt;&gt;"N/A",$T396&lt;&gt;"No Min RQ"),_xlpm.ffp,AND($X396&lt;&gt;"",$X396&lt;&gt;"N/A",$X396&lt;&gt;"No Min RQ"),_xlpm.chp,AND($AB396&lt;&gt;"",$AB396&lt;&gt;"N/A",$AB396&lt;&gt;"No Min RQ"),_xlpm.usp,AND($AF396&lt;&gt;"",$AF396&lt;&gt;"N/A",$AF396&lt;&gt;"No Min RQ"),_xlpm.n,_xlpm.sfp+_xlpm.slp+_xlpm.ffp+_xlpm.chp+_xlpm.usp,_xlpm.sub,(_xlpm.sfp*($P396="Submitted"))+(_xlpm.slp*($T396="Submitted"))+(_xlpm.ffp*($X396="Submitted"))+(_xlpm.chp*($AB396="Submitted"))+(_xlpm.usp*($AF396="Submitted")),_xlpm.term,(_xlpm.sfp*OR($P396="Approved",$P396="Declined"))+(_xlpm.slp*OR($T396="Approved",$T396="Declined"))+(_xlpm.ffp*OR($X396="Approved",$X396="Declined"))+(_xlpm.chp*OR($AB396="Approved",$AB396="Declined"))+(_xlpm.usp*OR($AF396="Approved",$AF396="Declined")),IF(_xlpm.n=0,"No applicable lenders",IF(_xlpm.sub&gt;0,"Stays with Shaw - lender still Submitted",IF(_xlpm.term=_xlpm.n,"Clear - all applicable lenders Approved or Declined","Stays with Shaw - not all lenders Approved or Declined")))))</f>
      </c>
    </row>
    <row r="397" spans="80:80">
      <c r="CB397" s="131">
        <f>IF($A397="","",_xlfn.LET(_xlpm.sfp,AND($P397&lt;&gt;"",$P397&lt;&gt;"N/A",$P397&lt;&gt;"No Min RQ"),_xlpm.slp,AND($T397&lt;&gt;"",$T397&lt;&gt;"N/A",$T397&lt;&gt;"No Min RQ"),_xlpm.ffp,AND($X397&lt;&gt;"",$X397&lt;&gt;"N/A",$X397&lt;&gt;"No Min RQ"),_xlpm.chp,AND($AB397&lt;&gt;"",$AB397&lt;&gt;"N/A",$AB397&lt;&gt;"No Min RQ"),_xlpm.usp,AND($AF397&lt;&gt;"",$AF397&lt;&gt;"N/A",$AF397&lt;&gt;"No Min RQ"),_xlpm.n,_xlpm.sfp+_xlpm.slp+_xlpm.ffp+_xlpm.chp+_xlpm.usp,_xlpm.sub,(_xlpm.sfp*($P397="Submitted"))+(_xlpm.slp*($T397="Submitted"))+(_xlpm.ffp*($X397="Submitted"))+(_xlpm.chp*($AB397="Submitted"))+(_xlpm.usp*($AF397="Submitted")),_xlpm.term,(_xlpm.sfp*OR($P397="Approved",$P397="Declined"))+(_xlpm.slp*OR($T397="Approved",$T397="Declined"))+(_xlpm.ffp*OR($X397="Approved",$X397="Declined"))+(_xlpm.chp*OR($AB397="Approved",$AB397="Declined"))+(_xlpm.usp*OR($AF397="Approved",$AF397="Declined")),IF(_xlpm.n=0,"No applicable lenders",IF(_xlpm.sub&gt;0,"Stays with Shaw - lender still Submitted",IF(_xlpm.term=_xlpm.n,"Clear - all applicable lenders Approved or Declined","Stays with Shaw - not all lenders Approved or Declined")))))</f>
      </c>
    </row>
    <row r="398" spans="80:80">
      <c r="CB398" s="131">
        <f>IF($A398="","",_xlfn.LET(_xlpm.sfp,AND($P398&lt;&gt;"",$P398&lt;&gt;"N/A",$P398&lt;&gt;"No Min RQ"),_xlpm.slp,AND($T398&lt;&gt;"",$T398&lt;&gt;"N/A",$T398&lt;&gt;"No Min RQ"),_xlpm.ffp,AND($X398&lt;&gt;"",$X398&lt;&gt;"N/A",$X398&lt;&gt;"No Min RQ"),_xlpm.chp,AND($AB398&lt;&gt;"",$AB398&lt;&gt;"N/A",$AB398&lt;&gt;"No Min RQ"),_xlpm.usp,AND($AF398&lt;&gt;"",$AF398&lt;&gt;"N/A",$AF398&lt;&gt;"No Min RQ"),_xlpm.n,_xlpm.sfp+_xlpm.slp+_xlpm.ffp+_xlpm.chp+_xlpm.usp,_xlpm.sub,(_xlpm.sfp*($P398="Submitted"))+(_xlpm.slp*($T398="Submitted"))+(_xlpm.ffp*($X398="Submitted"))+(_xlpm.chp*($AB398="Submitted"))+(_xlpm.usp*($AF398="Submitted")),_xlpm.term,(_xlpm.sfp*OR($P398="Approved",$P398="Declined"))+(_xlpm.slp*OR($T398="Approved",$T398="Declined"))+(_xlpm.ffp*OR($X398="Approved",$X398="Declined"))+(_xlpm.chp*OR($AB398="Approved",$AB398="Declined"))+(_xlpm.usp*OR($AF398="Approved",$AF398="Declined")),IF(_xlpm.n=0,"No applicable lenders",IF(_xlpm.sub&gt;0,"Stays with Shaw - lender still Submitted",IF(_xlpm.term=_xlpm.n,"Clear - all applicable lenders Approved or Declined","Stays with Shaw - not all lenders Approved or Declined")))))</f>
      </c>
    </row>
    <row r="399" spans="80:80">
      <c r="CB399" s="131">
        <f>IF($A399="","",_xlfn.LET(_xlpm.sfp,AND($P399&lt;&gt;"",$P399&lt;&gt;"N/A",$P399&lt;&gt;"No Min RQ"),_xlpm.slp,AND($T399&lt;&gt;"",$T399&lt;&gt;"N/A",$T399&lt;&gt;"No Min RQ"),_xlpm.ffp,AND($X399&lt;&gt;"",$X399&lt;&gt;"N/A",$X399&lt;&gt;"No Min RQ"),_xlpm.chp,AND($AB399&lt;&gt;"",$AB399&lt;&gt;"N/A",$AB399&lt;&gt;"No Min RQ"),_xlpm.usp,AND($AF399&lt;&gt;"",$AF399&lt;&gt;"N/A",$AF399&lt;&gt;"No Min RQ"),_xlpm.n,_xlpm.sfp+_xlpm.slp+_xlpm.ffp+_xlpm.chp+_xlpm.usp,_xlpm.sub,(_xlpm.sfp*($P399="Submitted"))+(_xlpm.slp*($T399="Submitted"))+(_xlpm.ffp*($X399="Submitted"))+(_xlpm.chp*($AB399="Submitted"))+(_xlpm.usp*($AF399="Submitted")),_xlpm.term,(_xlpm.sfp*OR($P399="Approved",$P399="Declined"))+(_xlpm.slp*OR($T399="Approved",$T399="Declined"))+(_xlpm.ffp*OR($X399="Approved",$X399="Declined"))+(_xlpm.chp*OR($AB399="Approved",$AB399="Declined"))+(_xlpm.usp*OR($AF399="Approved",$AF399="Declined")),IF(_xlpm.n=0,"No applicable lenders",IF(_xlpm.sub&gt;0,"Stays with Shaw - lender still Submitted",IF(_xlpm.term=_xlpm.n,"Clear - all applicable lenders Approved or Declined","Stays with Shaw - not all lenders Approved or Declined")))))</f>
      </c>
    </row>
    <row r="400" spans="80:80">
      <c r="CB400" s="131">
        <f>IF($A400="","",_xlfn.LET(_xlpm.sfp,AND($P400&lt;&gt;"",$P400&lt;&gt;"N/A",$P400&lt;&gt;"No Min RQ"),_xlpm.slp,AND($T400&lt;&gt;"",$T400&lt;&gt;"N/A",$T400&lt;&gt;"No Min RQ"),_xlpm.ffp,AND($X400&lt;&gt;"",$X400&lt;&gt;"N/A",$X400&lt;&gt;"No Min RQ"),_xlpm.chp,AND($AB400&lt;&gt;"",$AB400&lt;&gt;"N/A",$AB400&lt;&gt;"No Min RQ"),_xlpm.usp,AND($AF400&lt;&gt;"",$AF400&lt;&gt;"N/A",$AF400&lt;&gt;"No Min RQ"),_xlpm.n,_xlpm.sfp+_xlpm.slp+_xlpm.ffp+_xlpm.chp+_xlpm.usp,_xlpm.sub,(_xlpm.sfp*($P400="Submitted"))+(_xlpm.slp*($T400="Submitted"))+(_xlpm.ffp*($X400="Submitted"))+(_xlpm.chp*($AB400="Submitted"))+(_xlpm.usp*($AF400="Submitted")),_xlpm.term,(_xlpm.sfp*OR($P400="Approved",$P400="Declined"))+(_xlpm.slp*OR($T400="Approved",$T400="Declined"))+(_xlpm.ffp*OR($X400="Approved",$X400="Declined"))+(_xlpm.chp*OR($AB400="Approved",$AB400="Declined"))+(_xlpm.usp*OR($AF400="Approved",$AF400="Declined")),IF(_xlpm.n=0,"No applicable lenders",IF(_xlpm.sub&gt;0,"Stays with Shaw - lender still Submitted",IF(_xlpm.term=_xlpm.n,"Clear - all applicable lenders Approved or Declined","Stays with Shaw - not all lenders Approved or Declined")))))</f>
      </c>
    </row>
    <row r="401" spans="80:80">
      <c r="CB401" s="131">
        <f>IF($A401="","",_xlfn.LET(_xlpm.sfp,AND($P401&lt;&gt;"",$P401&lt;&gt;"N/A",$P401&lt;&gt;"No Min RQ"),_xlpm.slp,AND($T401&lt;&gt;"",$T401&lt;&gt;"N/A",$T401&lt;&gt;"No Min RQ"),_xlpm.ffp,AND($X401&lt;&gt;"",$X401&lt;&gt;"N/A",$X401&lt;&gt;"No Min RQ"),_xlpm.chp,AND($AB401&lt;&gt;"",$AB401&lt;&gt;"N/A",$AB401&lt;&gt;"No Min RQ"),_xlpm.usp,AND($AF401&lt;&gt;"",$AF401&lt;&gt;"N/A",$AF401&lt;&gt;"No Min RQ"),_xlpm.n,_xlpm.sfp+_xlpm.slp+_xlpm.ffp+_xlpm.chp+_xlpm.usp,_xlpm.sub,(_xlpm.sfp*($P401="Submitted"))+(_xlpm.slp*($T401="Submitted"))+(_xlpm.ffp*($X401="Submitted"))+(_xlpm.chp*($AB401="Submitted"))+(_xlpm.usp*($AF401="Submitted")),_xlpm.term,(_xlpm.sfp*OR($P401="Approved",$P401="Declined"))+(_xlpm.slp*OR($T401="Approved",$T401="Declined"))+(_xlpm.ffp*OR($X401="Approved",$X401="Declined"))+(_xlpm.chp*OR($AB401="Approved",$AB401="Declined"))+(_xlpm.usp*OR($AF401="Approved",$AF401="Declined")),IF(_xlpm.n=0,"No applicable lenders",IF(_xlpm.sub&gt;0,"Stays with Shaw - lender still Submitted",IF(_xlpm.term=_xlpm.n,"Clear - all applicable lenders Approved or Declined","Stays with Shaw - not all lenders Approved or Declined")))))</f>
      </c>
    </row>
    <row r="402" spans="80:80">
      <c r="CB402" s="131">
        <f>IF($A402="","",_xlfn.LET(_xlpm.sfp,AND($P402&lt;&gt;"",$P402&lt;&gt;"N/A",$P402&lt;&gt;"No Min RQ"),_xlpm.slp,AND($T402&lt;&gt;"",$T402&lt;&gt;"N/A",$T402&lt;&gt;"No Min RQ"),_xlpm.ffp,AND($X402&lt;&gt;"",$X402&lt;&gt;"N/A",$X402&lt;&gt;"No Min RQ"),_xlpm.chp,AND($AB402&lt;&gt;"",$AB402&lt;&gt;"N/A",$AB402&lt;&gt;"No Min RQ"),_xlpm.usp,AND($AF402&lt;&gt;"",$AF402&lt;&gt;"N/A",$AF402&lt;&gt;"No Min RQ"),_xlpm.n,_xlpm.sfp+_xlpm.slp+_xlpm.ffp+_xlpm.chp+_xlpm.usp,_xlpm.sub,(_xlpm.sfp*($P402="Submitted"))+(_xlpm.slp*($T402="Submitted"))+(_xlpm.ffp*($X402="Submitted"))+(_xlpm.chp*($AB402="Submitted"))+(_xlpm.usp*($AF402="Submitted")),_xlpm.term,(_xlpm.sfp*OR($P402="Approved",$P402="Declined"))+(_xlpm.slp*OR($T402="Approved",$T402="Declined"))+(_xlpm.ffp*OR($X402="Approved",$X402="Declined"))+(_xlpm.chp*OR($AB402="Approved",$AB402="Declined"))+(_xlpm.usp*OR($AF402="Approved",$AF402="Declined")),IF(_xlpm.n=0,"No applicable lenders",IF(_xlpm.sub&gt;0,"Stays with Shaw - lender still Submitted",IF(_xlpm.term=_xlpm.n,"Clear - all applicable lenders Approved or Declined","Stays with Shaw - not all lenders Approved or Declined")))))</f>
      </c>
    </row>
    <row r="403" spans="80:80">
      <c r="CB403" s="131">
        <f>IF($A403="","",_xlfn.LET(_xlpm.sfp,AND($P403&lt;&gt;"",$P403&lt;&gt;"N/A",$P403&lt;&gt;"No Min RQ"),_xlpm.slp,AND($T403&lt;&gt;"",$T403&lt;&gt;"N/A",$T403&lt;&gt;"No Min RQ"),_xlpm.ffp,AND($X403&lt;&gt;"",$X403&lt;&gt;"N/A",$X403&lt;&gt;"No Min RQ"),_xlpm.chp,AND($AB403&lt;&gt;"",$AB403&lt;&gt;"N/A",$AB403&lt;&gt;"No Min RQ"),_xlpm.usp,AND($AF403&lt;&gt;"",$AF403&lt;&gt;"N/A",$AF403&lt;&gt;"No Min RQ"),_xlpm.n,_xlpm.sfp+_xlpm.slp+_xlpm.ffp+_xlpm.chp+_xlpm.usp,_xlpm.sub,(_xlpm.sfp*($P403="Submitted"))+(_xlpm.slp*($T403="Submitted"))+(_xlpm.ffp*($X403="Submitted"))+(_xlpm.chp*($AB403="Submitted"))+(_xlpm.usp*($AF403="Submitted")),_xlpm.term,(_xlpm.sfp*OR($P403="Approved",$P403="Declined"))+(_xlpm.slp*OR($T403="Approved",$T403="Declined"))+(_xlpm.ffp*OR($X403="Approved",$X403="Declined"))+(_xlpm.chp*OR($AB403="Approved",$AB403="Declined"))+(_xlpm.usp*OR($AF403="Approved",$AF403="Declined")),IF(_xlpm.n=0,"No applicable lenders",IF(_xlpm.sub&gt;0,"Stays with Shaw - lender still Submitted",IF(_xlpm.term=_xlpm.n,"Clear - all applicable lenders Approved or Declined","Stays with Shaw - not all lenders Approved or Declined")))))</f>
      </c>
    </row>
    <row r="404" spans="80:80">
      <c r="CB404" s="131">
        <f>IF($A404="","",_xlfn.LET(_xlpm.sfp,AND($P404&lt;&gt;"",$P404&lt;&gt;"N/A",$P404&lt;&gt;"No Min RQ"),_xlpm.slp,AND($T404&lt;&gt;"",$T404&lt;&gt;"N/A",$T404&lt;&gt;"No Min RQ"),_xlpm.ffp,AND($X404&lt;&gt;"",$X404&lt;&gt;"N/A",$X404&lt;&gt;"No Min RQ"),_xlpm.chp,AND($AB404&lt;&gt;"",$AB404&lt;&gt;"N/A",$AB404&lt;&gt;"No Min RQ"),_xlpm.usp,AND($AF404&lt;&gt;"",$AF404&lt;&gt;"N/A",$AF404&lt;&gt;"No Min RQ"),_xlpm.n,_xlpm.sfp+_xlpm.slp+_xlpm.ffp+_xlpm.chp+_xlpm.usp,_xlpm.sub,(_xlpm.sfp*($P404="Submitted"))+(_xlpm.slp*($T404="Submitted"))+(_xlpm.ffp*($X404="Submitted"))+(_xlpm.chp*($AB404="Submitted"))+(_xlpm.usp*($AF404="Submitted")),_xlpm.term,(_xlpm.sfp*OR($P404="Approved",$P404="Declined"))+(_xlpm.slp*OR($T404="Approved",$T404="Declined"))+(_xlpm.ffp*OR($X404="Approved",$X404="Declined"))+(_xlpm.chp*OR($AB404="Approved",$AB404="Declined"))+(_xlpm.usp*OR($AF404="Approved",$AF404="Declined")),IF(_xlpm.n=0,"No applicable lenders",IF(_xlpm.sub&gt;0,"Stays with Shaw - lender still Submitted",IF(_xlpm.term=_xlpm.n,"Clear - all applicable lenders Approved or Declined","Stays with Shaw - not all lenders Approved or Declined")))))</f>
      </c>
    </row>
    <row r="405" spans="80:80">
      <c r="CB405" s="131">
        <f>IF($A405="","",_xlfn.LET(_xlpm.sfp,AND($P405&lt;&gt;"",$P405&lt;&gt;"N/A",$P405&lt;&gt;"No Min RQ"),_xlpm.slp,AND($T405&lt;&gt;"",$T405&lt;&gt;"N/A",$T405&lt;&gt;"No Min RQ"),_xlpm.ffp,AND($X405&lt;&gt;"",$X405&lt;&gt;"N/A",$X405&lt;&gt;"No Min RQ"),_xlpm.chp,AND($AB405&lt;&gt;"",$AB405&lt;&gt;"N/A",$AB405&lt;&gt;"No Min RQ"),_xlpm.usp,AND($AF405&lt;&gt;"",$AF405&lt;&gt;"N/A",$AF405&lt;&gt;"No Min RQ"),_xlpm.n,_xlpm.sfp+_xlpm.slp+_xlpm.ffp+_xlpm.chp+_xlpm.usp,_xlpm.sub,(_xlpm.sfp*($P405="Submitted"))+(_xlpm.slp*($T405="Submitted"))+(_xlpm.ffp*($X405="Submitted"))+(_xlpm.chp*($AB405="Submitted"))+(_xlpm.usp*($AF405="Submitted")),_xlpm.term,(_xlpm.sfp*OR($P405="Approved",$P405="Declined"))+(_xlpm.slp*OR($T405="Approved",$T405="Declined"))+(_xlpm.ffp*OR($X405="Approved",$X405="Declined"))+(_xlpm.chp*OR($AB405="Approved",$AB405="Declined"))+(_xlpm.usp*OR($AF405="Approved",$AF405="Declined")),IF(_xlpm.n=0,"No applicable lenders",IF(_xlpm.sub&gt;0,"Stays with Shaw - lender still Submitted",IF(_xlpm.term=_xlpm.n,"Clear - all applicable lenders Approved or Declined","Stays with Shaw - not all lenders Approved or Declined")))))</f>
      </c>
    </row>
    <row r="406" spans="80:80">
      <c r="CB406" s="131">
        <f>IF($A406="","",_xlfn.LET(_xlpm.sfp,AND($P406&lt;&gt;"",$P406&lt;&gt;"N/A",$P406&lt;&gt;"No Min RQ"),_xlpm.slp,AND($T406&lt;&gt;"",$T406&lt;&gt;"N/A",$T406&lt;&gt;"No Min RQ"),_xlpm.ffp,AND($X406&lt;&gt;"",$X406&lt;&gt;"N/A",$X406&lt;&gt;"No Min RQ"),_xlpm.chp,AND($AB406&lt;&gt;"",$AB406&lt;&gt;"N/A",$AB406&lt;&gt;"No Min RQ"),_xlpm.usp,AND($AF406&lt;&gt;"",$AF406&lt;&gt;"N/A",$AF406&lt;&gt;"No Min RQ"),_xlpm.n,_xlpm.sfp+_xlpm.slp+_xlpm.ffp+_xlpm.chp+_xlpm.usp,_xlpm.sub,(_xlpm.sfp*($P406="Submitted"))+(_xlpm.slp*($T406="Submitted"))+(_xlpm.ffp*($X406="Submitted"))+(_xlpm.chp*($AB406="Submitted"))+(_xlpm.usp*($AF406="Submitted")),_xlpm.term,(_xlpm.sfp*OR($P406="Approved",$P406="Declined"))+(_xlpm.slp*OR($T406="Approved",$T406="Declined"))+(_xlpm.ffp*OR($X406="Approved",$X406="Declined"))+(_xlpm.chp*OR($AB406="Approved",$AB406="Declined"))+(_xlpm.usp*OR($AF406="Approved",$AF406="Declined")),IF(_xlpm.n=0,"No applicable lenders",IF(_xlpm.sub&gt;0,"Stays with Shaw - lender still Submitted",IF(_xlpm.term=_xlpm.n,"Clear - all applicable lenders Approved or Declined","Stays with Shaw - not all lenders Approved or Declined")))))</f>
      </c>
    </row>
    <row r="407" spans="80:80">
      <c r="CB407" s="131">
        <f>IF($A407="","",_xlfn.LET(_xlpm.sfp,AND($P407&lt;&gt;"",$P407&lt;&gt;"N/A",$P407&lt;&gt;"No Min RQ"),_xlpm.slp,AND($T407&lt;&gt;"",$T407&lt;&gt;"N/A",$T407&lt;&gt;"No Min RQ"),_xlpm.ffp,AND($X407&lt;&gt;"",$X407&lt;&gt;"N/A",$X407&lt;&gt;"No Min RQ"),_xlpm.chp,AND($AB407&lt;&gt;"",$AB407&lt;&gt;"N/A",$AB407&lt;&gt;"No Min RQ"),_xlpm.usp,AND($AF407&lt;&gt;"",$AF407&lt;&gt;"N/A",$AF407&lt;&gt;"No Min RQ"),_xlpm.n,_xlpm.sfp+_xlpm.slp+_xlpm.ffp+_xlpm.chp+_xlpm.usp,_xlpm.sub,(_xlpm.sfp*($P407="Submitted"))+(_xlpm.slp*($T407="Submitted"))+(_xlpm.ffp*($X407="Submitted"))+(_xlpm.chp*($AB407="Submitted"))+(_xlpm.usp*($AF407="Submitted")),_xlpm.term,(_xlpm.sfp*OR($P407="Approved",$P407="Declined"))+(_xlpm.slp*OR($T407="Approved",$T407="Declined"))+(_xlpm.ffp*OR($X407="Approved",$X407="Declined"))+(_xlpm.chp*OR($AB407="Approved",$AB407="Declined"))+(_xlpm.usp*OR($AF407="Approved",$AF407="Declined")),IF(_xlpm.n=0,"No applicable lenders",IF(_xlpm.sub&gt;0,"Stays with Shaw - lender still Submitted",IF(_xlpm.term=_xlpm.n,"Clear - all applicable lenders Approved or Declined","Stays with Shaw - not all lenders Approved or Declined")))))</f>
      </c>
    </row>
    <row r="408" spans="80:80">
      <c r="CB408" s="131">
        <f>IF($A408="","",_xlfn.LET(_xlpm.sfp,AND($P408&lt;&gt;"",$P408&lt;&gt;"N/A",$P408&lt;&gt;"No Min RQ"),_xlpm.slp,AND($T408&lt;&gt;"",$T408&lt;&gt;"N/A",$T408&lt;&gt;"No Min RQ"),_xlpm.ffp,AND($X408&lt;&gt;"",$X408&lt;&gt;"N/A",$X408&lt;&gt;"No Min RQ"),_xlpm.chp,AND($AB408&lt;&gt;"",$AB408&lt;&gt;"N/A",$AB408&lt;&gt;"No Min RQ"),_xlpm.usp,AND($AF408&lt;&gt;"",$AF408&lt;&gt;"N/A",$AF408&lt;&gt;"No Min RQ"),_xlpm.n,_xlpm.sfp+_xlpm.slp+_xlpm.ffp+_xlpm.chp+_xlpm.usp,_xlpm.sub,(_xlpm.sfp*($P408="Submitted"))+(_xlpm.slp*($T408="Submitted"))+(_xlpm.ffp*($X408="Submitted"))+(_xlpm.chp*($AB408="Submitted"))+(_xlpm.usp*($AF408="Submitted")),_xlpm.term,(_xlpm.sfp*OR($P408="Approved",$P408="Declined"))+(_xlpm.slp*OR($T408="Approved",$T408="Declined"))+(_xlpm.ffp*OR($X408="Approved",$X408="Declined"))+(_xlpm.chp*OR($AB408="Approved",$AB408="Declined"))+(_xlpm.usp*OR($AF408="Approved",$AF408="Declined")),IF(_xlpm.n=0,"No applicable lenders",IF(_xlpm.sub&gt;0,"Stays with Shaw - lender still Submitted",IF(_xlpm.term=_xlpm.n,"Clear - all applicable lenders Approved or Declined","Stays with Shaw - not all lenders Approved or Declined")))))</f>
      </c>
    </row>
    <row r="409" spans="80:80">
      <c r="CB409" s="131">
        <f>IF($A409="","",_xlfn.LET(_xlpm.sfp,AND($P409&lt;&gt;"",$P409&lt;&gt;"N/A",$P409&lt;&gt;"No Min RQ"),_xlpm.slp,AND($T409&lt;&gt;"",$T409&lt;&gt;"N/A",$T409&lt;&gt;"No Min RQ"),_xlpm.ffp,AND($X409&lt;&gt;"",$X409&lt;&gt;"N/A",$X409&lt;&gt;"No Min RQ"),_xlpm.chp,AND($AB409&lt;&gt;"",$AB409&lt;&gt;"N/A",$AB409&lt;&gt;"No Min RQ"),_xlpm.usp,AND($AF409&lt;&gt;"",$AF409&lt;&gt;"N/A",$AF409&lt;&gt;"No Min RQ"),_xlpm.n,_xlpm.sfp+_xlpm.slp+_xlpm.ffp+_xlpm.chp+_xlpm.usp,_xlpm.sub,(_xlpm.sfp*($P409="Submitted"))+(_xlpm.slp*($T409="Submitted"))+(_xlpm.ffp*($X409="Submitted"))+(_xlpm.chp*($AB409="Submitted"))+(_xlpm.usp*($AF409="Submitted")),_xlpm.term,(_xlpm.sfp*OR($P409="Approved",$P409="Declined"))+(_xlpm.slp*OR($T409="Approved",$T409="Declined"))+(_xlpm.ffp*OR($X409="Approved",$X409="Declined"))+(_xlpm.chp*OR($AB409="Approved",$AB409="Declined"))+(_xlpm.usp*OR($AF409="Approved",$AF409="Declined")),IF(_xlpm.n=0,"No applicable lenders",IF(_xlpm.sub&gt;0,"Stays with Shaw - lender still Submitted",IF(_xlpm.term=_xlpm.n,"Clear - all applicable lenders Approved or Declined","Stays with Shaw - not all lenders Approved or Declined")))))</f>
      </c>
    </row>
    <row r="410" spans="80:80">
      <c r="CB410" s="131">
        <f>IF($A410="","",_xlfn.LET(_xlpm.sfp,AND($P410&lt;&gt;"",$P410&lt;&gt;"N/A",$P410&lt;&gt;"No Min RQ"),_xlpm.slp,AND($T410&lt;&gt;"",$T410&lt;&gt;"N/A",$T410&lt;&gt;"No Min RQ"),_xlpm.ffp,AND($X410&lt;&gt;"",$X410&lt;&gt;"N/A",$X410&lt;&gt;"No Min RQ"),_xlpm.chp,AND($AB410&lt;&gt;"",$AB410&lt;&gt;"N/A",$AB410&lt;&gt;"No Min RQ"),_xlpm.usp,AND($AF410&lt;&gt;"",$AF410&lt;&gt;"N/A",$AF410&lt;&gt;"No Min RQ"),_xlpm.n,_xlpm.sfp+_xlpm.slp+_xlpm.ffp+_xlpm.chp+_xlpm.usp,_xlpm.sub,(_xlpm.sfp*($P410="Submitted"))+(_xlpm.slp*($T410="Submitted"))+(_xlpm.ffp*($X410="Submitted"))+(_xlpm.chp*($AB410="Submitted"))+(_xlpm.usp*($AF410="Submitted")),_xlpm.term,(_xlpm.sfp*OR($P410="Approved",$P410="Declined"))+(_xlpm.slp*OR($T410="Approved",$T410="Declined"))+(_xlpm.ffp*OR($X410="Approved",$X410="Declined"))+(_xlpm.chp*OR($AB410="Approved",$AB410="Declined"))+(_xlpm.usp*OR($AF410="Approved",$AF410="Declined")),IF(_xlpm.n=0,"No applicable lenders",IF(_xlpm.sub&gt;0,"Stays with Shaw - lender still Submitted",IF(_xlpm.term=_xlpm.n,"Clear - all applicable lenders Approved or Declined","Stays with Shaw - not all lenders Approved or Declined")))))</f>
      </c>
    </row>
    <row r="411" spans="80:80">
      <c r="CB411" s="131">
        <f>IF($A411="","",_xlfn.LET(_xlpm.sfp,AND($P411&lt;&gt;"",$P411&lt;&gt;"N/A",$P411&lt;&gt;"No Min RQ"),_xlpm.slp,AND($T411&lt;&gt;"",$T411&lt;&gt;"N/A",$T411&lt;&gt;"No Min RQ"),_xlpm.ffp,AND($X411&lt;&gt;"",$X411&lt;&gt;"N/A",$X411&lt;&gt;"No Min RQ"),_xlpm.chp,AND($AB411&lt;&gt;"",$AB411&lt;&gt;"N/A",$AB411&lt;&gt;"No Min RQ"),_xlpm.usp,AND($AF411&lt;&gt;"",$AF411&lt;&gt;"N/A",$AF411&lt;&gt;"No Min RQ"),_xlpm.n,_xlpm.sfp+_xlpm.slp+_xlpm.ffp+_xlpm.chp+_xlpm.usp,_xlpm.sub,(_xlpm.sfp*($P411="Submitted"))+(_xlpm.slp*($T411="Submitted"))+(_xlpm.ffp*($X411="Submitted"))+(_xlpm.chp*($AB411="Submitted"))+(_xlpm.usp*($AF411="Submitted")),_xlpm.term,(_xlpm.sfp*OR($P411="Approved",$P411="Declined"))+(_xlpm.slp*OR($T411="Approved",$T411="Declined"))+(_xlpm.ffp*OR($X411="Approved",$X411="Declined"))+(_xlpm.chp*OR($AB411="Approved",$AB411="Declined"))+(_xlpm.usp*OR($AF411="Approved",$AF411="Declined")),IF(_xlpm.n=0,"No applicable lenders",IF(_xlpm.sub&gt;0,"Stays with Shaw - lender still Submitted",IF(_xlpm.term=_xlpm.n,"Clear - all applicable lenders Approved or Declined","Stays with Shaw - not all lenders Approved or Declined")))))</f>
      </c>
    </row>
    <row r="412" spans="80:80">
      <c r="CB412" s="131">
        <f>IF($A412="","",_xlfn.LET(_xlpm.sfp,AND($P412&lt;&gt;"",$P412&lt;&gt;"N/A",$P412&lt;&gt;"No Min RQ"),_xlpm.slp,AND($T412&lt;&gt;"",$T412&lt;&gt;"N/A",$T412&lt;&gt;"No Min RQ"),_xlpm.ffp,AND($X412&lt;&gt;"",$X412&lt;&gt;"N/A",$X412&lt;&gt;"No Min RQ"),_xlpm.chp,AND($AB412&lt;&gt;"",$AB412&lt;&gt;"N/A",$AB412&lt;&gt;"No Min RQ"),_xlpm.usp,AND($AF412&lt;&gt;"",$AF412&lt;&gt;"N/A",$AF412&lt;&gt;"No Min RQ"),_xlpm.n,_xlpm.sfp+_xlpm.slp+_xlpm.ffp+_xlpm.chp+_xlpm.usp,_xlpm.sub,(_xlpm.sfp*($P412="Submitted"))+(_xlpm.slp*($T412="Submitted"))+(_xlpm.ffp*($X412="Submitted"))+(_xlpm.chp*($AB412="Submitted"))+(_xlpm.usp*($AF412="Submitted")),_xlpm.term,(_xlpm.sfp*OR($P412="Approved",$P412="Declined"))+(_xlpm.slp*OR($T412="Approved",$T412="Declined"))+(_xlpm.ffp*OR($X412="Approved",$X412="Declined"))+(_xlpm.chp*OR($AB412="Approved",$AB412="Declined"))+(_xlpm.usp*OR($AF412="Approved",$AF412="Declined")),IF(_xlpm.n=0,"No applicable lenders",IF(_xlpm.sub&gt;0,"Stays with Shaw - lender still Submitted",IF(_xlpm.term=_xlpm.n,"Clear - all applicable lenders Approved or Declined","Stays with Shaw - not all lenders Approved or Declined")))))</f>
      </c>
    </row>
    <row r="413" spans="80:80">
      <c r="CB413" s="131">
        <f>IF($A413="","",_xlfn.LET(_xlpm.sfp,AND($P413&lt;&gt;"",$P413&lt;&gt;"N/A",$P413&lt;&gt;"No Min RQ"),_xlpm.slp,AND($T413&lt;&gt;"",$T413&lt;&gt;"N/A",$T413&lt;&gt;"No Min RQ"),_xlpm.ffp,AND($X413&lt;&gt;"",$X413&lt;&gt;"N/A",$X413&lt;&gt;"No Min RQ"),_xlpm.chp,AND($AB413&lt;&gt;"",$AB413&lt;&gt;"N/A",$AB413&lt;&gt;"No Min RQ"),_xlpm.usp,AND($AF413&lt;&gt;"",$AF413&lt;&gt;"N/A",$AF413&lt;&gt;"No Min RQ"),_xlpm.n,_xlpm.sfp+_xlpm.slp+_xlpm.ffp+_xlpm.chp+_xlpm.usp,_xlpm.sub,(_xlpm.sfp*($P413="Submitted"))+(_xlpm.slp*($T413="Submitted"))+(_xlpm.ffp*($X413="Submitted"))+(_xlpm.chp*($AB413="Submitted"))+(_xlpm.usp*($AF413="Submitted")),_xlpm.term,(_xlpm.sfp*OR($P413="Approved",$P413="Declined"))+(_xlpm.slp*OR($T413="Approved",$T413="Declined"))+(_xlpm.ffp*OR($X413="Approved",$X413="Declined"))+(_xlpm.chp*OR($AB413="Approved",$AB413="Declined"))+(_xlpm.usp*OR($AF413="Approved",$AF413="Declined")),IF(_xlpm.n=0,"No applicable lenders",IF(_xlpm.sub&gt;0,"Stays with Shaw - lender still Submitted",IF(_xlpm.term=_xlpm.n,"Clear - all applicable lenders Approved or Declined","Stays with Shaw - not all lenders Approved or Declined")))))</f>
      </c>
    </row>
    <row r="414" spans="80:80">
      <c r="CB414" s="131">
        <f>IF($A414="","",_xlfn.LET(_xlpm.sfp,AND($P414&lt;&gt;"",$P414&lt;&gt;"N/A",$P414&lt;&gt;"No Min RQ"),_xlpm.slp,AND($T414&lt;&gt;"",$T414&lt;&gt;"N/A",$T414&lt;&gt;"No Min RQ"),_xlpm.ffp,AND($X414&lt;&gt;"",$X414&lt;&gt;"N/A",$X414&lt;&gt;"No Min RQ"),_xlpm.chp,AND($AB414&lt;&gt;"",$AB414&lt;&gt;"N/A",$AB414&lt;&gt;"No Min RQ"),_xlpm.usp,AND($AF414&lt;&gt;"",$AF414&lt;&gt;"N/A",$AF414&lt;&gt;"No Min RQ"),_xlpm.n,_xlpm.sfp+_xlpm.slp+_xlpm.ffp+_xlpm.chp+_xlpm.usp,_xlpm.sub,(_xlpm.sfp*($P414="Submitted"))+(_xlpm.slp*($T414="Submitted"))+(_xlpm.ffp*($X414="Submitted"))+(_xlpm.chp*($AB414="Submitted"))+(_xlpm.usp*($AF414="Submitted")),_xlpm.term,(_xlpm.sfp*OR($P414="Approved",$P414="Declined"))+(_xlpm.slp*OR($T414="Approved",$T414="Declined"))+(_xlpm.ffp*OR($X414="Approved",$X414="Declined"))+(_xlpm.chp*OR($AB414="Approved",$AB414="Declined"))+(_xlpm.usp*OR($AF414="Approved",$AF414="Declined")),IF(_xlpm.n=0,"No applicable lenders",IF(_xlpm.sub&gt;0,"Stays with Shaw - lender still Submitted",IF(_xlpm.term=_xlpm.n,"Clear - all applicable lenders Approved or Declined","Stays with Shaw - not all lenders Approved or Declined")))))</f>
      </c>
    </row>
    <row r="415" spans="80:80">
      <c r="CB415" s="131">
        <f>IF($A415="","",_xlfn.LET(_xlpm.sfp,AND($P415&lt;&gt;"",$P415&lt;&gt;"N/A",$P415&lt;&gt;"No Min RQ"),_xlpm.slp,AND($T415&lt;&gt;"",$T415&lt;&gt;"N/A",$T415&lt;&gt;"No Min RQ"),_xlpm.ffp,AND($X415&lt;&gt;"",$X415&lt;&gt;"N/A",$X415&lt;&gt;"No Min RQ"),_xlpm.chp,AND($AB415&lt;&gt;"",$AB415&lt;&gt;"N/A",$AB415&lt;&gt;"No Min RQ"),_xlpm.usp,AND($AF415&lt;&gt;"",$AF415&lt;&gt;"N/A",$AF415&lt;&gt;"No Min RQ"),_xlpm.n,_xlpm.sfp+_xlpm.slp+_xlpm.ffp+_xlpm.chp+_xlpm.usp,_xlpm.sub,(_xlpm.sfp*($P415="Submitted"))+(_xlpm.slp*($T415="Submitted"))+(_xlpm.ffp*($X415="Submitted"))+(_xlpm.chp*($AB415="Submitted"))+(_xlpm.usp*($AF415="Submitted")),_xlpm.term,(_xlpm.sfp*OR($P415="Approved",$P415="Declined"))+(_xlpm.slp*OR($T415="Approved",$T415="Declined"))+(_xlpm.ffp*OR($X415="Approved",$X415="Declined"))+(_xlpm.chp*OR($AB415="Approved",$AB415="Declined"))+(_xlpm.usp*OR($AF415="Approved",$AF415="Declined")),IF(_xlpm.n=0,"No applicable lenders",IF(_xlpm.sub&gt;0,"Stays with Shaw - lender still Submitted",IF(_xlpm.term=_xlpm.n,"Clear - all applicable lenders Approved or Declined","Stays with Shaw - not all lenders Approved or Declined")))))</f>
      </c>
    </row>
    <row r="416" spans="80:80">
      <c r="CB416" s="131">
        <f>IF($A416="","",_xlfn.LET(_xlpm.sfp,AND($P416&lt;&gt;"",$P416&lt;&gt;"N/A",$P416&lt;&gt;"No Min RQ"),_xlpm.slp,AND($T416&lt;&gt;"",$T416&lt;&gt;"N/A",$T416&lt;&gt;"No Min RQ"),_xlpm.ffp,AND($X416&lt;&gt;"",$X416&lt;&gt;"N/A",$X416&lt;&gt;"No Min RQ"),_xlpm.chp,AND($AB416&lt;&gt;"",$AB416&lt;&gt;"N/A",$AB416&lt;&gt;"No Min RQ"),_xlpm.usp,AND($AF416&lt;&gt;"",$AF416&lt;&gt;"N/A",$AF416&lt;&gt;"No Min RQ"),_xlpm.n,_xlpm.sfp+_xlpm.slp+_xlpm.ffp+_xlpm.chp+_xlpm.usp,_xlpm.sub,(_xlpm.sfp*($P416="Submitted"))+(_xlpm.slp*($T416="Submitted"))+(_xlpm.ffp*($X416="Submitted"))+(_xlpm.chp*($AB416="Submitted"))+(_xlpm.usp*($AF416="Submitted")),_xlpm.term,(_xlpm.sfp*OR($P416="Approved",$P416="Declined"))+(_xlpm.slp*OR($T416="Approved",$T416="Declined"))+(_xlpm.ffp*OR($X416="Approved",$X416="Declined"))+(_xlpm.chp*OR($AB416="Approved",$AB416="Declined"))+(_xlpm.usp*OR($AF416="Approved",$AF416="Declined")),IF(_xlpm.n=0,"No applicable lenders",IF(_xlpm.sub&gt;0,"Stays with Shaw - lender still Submitted",IF(_xlpm.term=_xlpm.n,"Clear - all applicable lenders Approved or Declined","Stays with Shaw - not all lenders Approved or Declined")))))</f>
      </c>
    </row>
    <row r="417" spans="80:80">
      <c r="CB417" s="131">
        <f>IF($A417="","",_xlfn.LET(_xlpm.sfp,AND($P417&lt;&gt;"",$P417&lt;&gt;"N/A",$P417&lt;&gt;"No Min RQ"),_xlpm.slp,AND($T417&lt;&gt;"",$T417&lt;&gt;"N/A",$T417&lt;&gt;"No Min RQ"),_xlpm.ffp,AND($X417&lt;&gt;"",$X417&lt;&gt;"N/A",$X417&lt;&gt;"No Min RQ"),_xlpm.chp,AND($AB417&lt;&gt;"",$AB417&lt;&gt;"N/A",$AB417&lt;&gt;"No Min RQ"),_xlpm.usp,AND($AF417&lt;&gt;"",$AF417&lt;&gt;"N/A",$AF417&lt;&gt;"No Min RQ"),_xlpm.n,_xlpm.sfp+_xlpm.slp+_xlpm.ffp+_xlpm.chp+_xlpm.usp,_xlpm.sub,(_xlpm.sfp*($P417="Submitted"))+(_xlpm.slp*($T417="Submitted"))+(_xlpm.ffp*($X417="Submitted"))+(_xlpm.chp*($AB417="Submitted"))+(_xlpm.usp*($AF417="Submitted")),_xlpm.term,(_xlpm.sfp*OR($P417="Approved",$P417="Declined"))+(_xlpm.slp*OR($T417="Approved",$T417="Declined"))+(_xlpm.ffp*OR($X417="Approved",$X417="Declined"))+(_xlpm.chp*OR($AB417="Approved",$AB417="Declined"))+(_xlpm.usp*OR($AF417="Approved",$AF417="Declined")),IF(_xlpm.n=0,"No applicable lenders",IF(_xlpm.sub&gt;0,"Stays with Shaw - lender still Submitted",IF(_xlpm.term=_xlpm.n,"Clear - all applicable lenders Approved or Declined","Stays with Shaw - not all lenders Approved or Declined")))))</f>
      </c>
    </row>
    <row r="418" spans="80:80">
      <c r="CB418" s="131">
        <f>IF($A418="","",_xlfn.LET(_xlpm.sfp,AND($P418&lt;&gt;"",$P418&lt;&gt;"N/A",$P418&lt;&gt;"No Min RQ"),_xlpm.slp,AND($T418&lt;&gt;"",$T418&lt;&gt;"N/A",$T418&lt;&gt;"No Min RQ"),_xlpm.ffp,AND($X418&lt;&gt;"",$X418&lt;&gt;"N/A",$X418&lt;&gt;"No Min RQ"),_xlpm.chp,AND($AB418&lt;&gt;"",$AB418&lt;&gt;"N/A",$AB418&lt;&gt;"No Min RQ"),_xlpm.usp,AND($AF418&lt;&gt;"",$AF418&lt;&gt;"N/A",$AF418&lt;&gt;"No Min RQ"),_xlpm.n,_xlpm.sfp+_xlpm.slp+_xlpm.ffp+_xlpm.chp+_xlpm.usp,_xlpm.sub,(_xlpm.sfp*($P418="Submitted"))+(_xlpm.slp*($T418="Submitted"))+(_xlpm.ffp*($X418="Submitted"))+(_xlpm.chp*($AB418="Submitted"))+(_xlpm.usp*($AF418="Submitted")),_xlpm.term,(_xlpm.sfp*OR($P418="Approved",$P418="Declined"))+(_xlpm.slp*OR($T418="Approved",$T418="Declined"))+(_xlpm.ffp*OR($X418="Approved",$X418="Declined"))+(_xlpm.chp*OR($AB418="Approved",$AB418="Declined"))+(_xlpm.usp*OR($AF418="Approved",$AF418="Declined")),IF(_xlpm.n=0,"No applicable lenders",IF(_xlpm.sub&gt;0,"Stays with Shaw - lender still Submitted",IF(_xlpm.term=_xlpm.n,"Clear - all applicable lenders Approved or Declined","Stays with Shaw - not all lenders Approved or Declined")))))</f>
      </c>
    </row>
    <row r="419" spans="80:80">
      <c r="CB419" s="131">
        <f>IF($A419="","",_xlfn.LET(_xlpm.sfp,AND($P419&lt;&gt;"",$P419&lt;&gt;"N/A",$P419&lt;&gt;"No Min RQ"),_xlpm.slp,AND($T419&lt;&gt;"",$T419&lt;&gt;"N/A",$T419&lt;&gt;"No Min RQ"),_xlpm.ffp,AND($X419&lt;&gt;"",$X419&lt;&gt;"N/A",$X419&lt;&gt;"No Min RQ"),_xlpm.chp,AND($AB419&lt;&gt;"",$AB419&lt;&gt;"N/A",$AB419&lt;&gt;"No Min RQ"),_xlpm.usp,AND($AF419&lt;&gt;"",$AF419&lt;&gt;"N/A",$AF419&lt;&gt;"No Min RQ"),_xlpm.n,_xlpm.sfp+_xlpm.slp+_xlpm.ffp+_xlpm.chp+_xlpm.usp,_xlpm.sub,(_xlpm.sfp*($P419="Submitted"))+(_xlpm.slp*($T419="Submitted"))+(_xlpm.ffp*($X419="Submitted"))+(_xlpm.chp*($AB419="Submitted"))+(_xlpm.usp*($AF419="Submitted")),_xlpm.term,(_xlpm.sfp*OR($P419="Approved",$P419="Declined"))+(_xlpm.slp*OR($T419="Approved",$T419="Declined"))+(_xlpm.ffp*OR($X419="Approved",$X419="Declined"))+(_xlpm.chp*OR($AB419="Approved",$AB419="Declined"))+(_xlpm.usp*OR($AF419="Approved",$AF419="Declined")),IF(_xlpm.n=0,"No applicable lenders",IF(_xlpm.sub&gt;0,"Stays with Shaw - lender still Submitted",IF(_xlpm.term=_xlpm.n,"Clear - all applicable lenders Approved or Declined","Stays with Shaw - not all lenders Approved or Declined")))))</f>
      </c>
    </row>
    <row r="420" spans="80:80">
      <c r="CB420" s="131">
        <f>IF($A420="","",_xlfn.LET(_xlpm.sfp,AND($P420&lt;&gt;"",$P420&lt;&gt;"N/A",$P420&lt;&gt;"No Min RQ"),_xlpm.slp,AND($T420&lt;&gt;"",$T420&lt;&gt;"N/A",$T420&lt;&gt;"No Min RQ"),_xlpm.ffp,AND($X420&lt;&gt;"",$X420&lt;&gt;"N/A",$X420&lt;&gt;"No Min RQ"),_xlpm.chp,AND($AB420&lt;&gt;"",$AB420&lt;&gt;"N/A",$AB420&lt;&gt;"No Min RQ"),_xlpm.usp,AND($AF420&lt;&gt;"",$AF420&lt;&gt;"N/A",$AF420&lt;&gt;"No Min RQ"),_xlpm.n,_xlpm.sfp+_xlpm.slp+_xlpm.ffp+_xlpm.chp+_xlpm.usp,_xlpm.sub,(_xlpm.sfp*($P420="Submitted"))+(_xlpm.slp*($T420="Submitted"))+(_xlpm.ffp*($X420="Submitted"))+(_xlpm.chp*($AB420="Submitted"))+(_xlpm.usp*($AF420="Submitted")),_xlpm.term,(_xlpm.sfp*OR($P420="Approved",$P420="Declined"))+(_xlpm.slp*OR($T420="Approved",$T420="Declined"))+(_xlpm.ffp*OR($X420="Approved",$X420="Declined"))+(_xlpm.chp*OR($AB420="Approved",$AB420="Declined"))+(_xlpm.usp*OR($AF420="Approved",$AF420="Declined")),IF(_xlpm.n=0,"No applicable lenders",IF(_xlpm.sub&gt;0,"Stays with Shaw - lender still Submitted",IF(_xlpm.term=_xlpm.n,"Clear - all applicable lenders Approved or Declined","Stays with Shaw - not all lenders Approved or Declined")))))</f>
      </c>
    </row>
    <row r="421" spans="80:80">
      <c r="CB421" s="131">
        <f>IF($A421="","",_xlfn.LET(_xlpm.sfp,AND($P421&lt;&gt;"",$P421&lt;&gt;"N/A",$P421&lt;&gt;"No Min RQ"),_xlpm.slp,AND($T421&lt;&gt;"",$T421&lt;&gt;"N/A",$T421&lt;&gt;"No Min RQ"),_xlpm.ffp,AND($X421&lt;&gt;"",$X421&lt;&gt;"N/A",$X421&lt;&gt;"No Min RQ"),_xlpm.chp,AND($AB421&lt;&gt;"",$AB421&lt;&gt;"N/A",$AB421&lt;&gt;"No Min RQ"),_xlpm.usp,AND($AF421&lt;&gt;"",$AF421&lt;&gt;"N/A",$AF421&lt;&gt;"No Min RQ"),_xlpm.n,_xlpm.sfp+_xlpm.slp+_xlpm.ffp+_xlpm.chp+_xlpm.usp,_xlpm.sub,(_xlpm.sfp*($P421="Submitted"))+(_xlpm.slp*($T421="Submitted"))+(_xlpm.ffp*($X421="Submitted"))+(_xlpm.chp*($AB421="Submitted"))+(_xlpm.usp*($AF421="Submitted")),_xlpm.term,(_xlpm.sfp*OR($P421="Approved",$P421="Declined"))+(_xlpm.slp*OR($T421="Approved",$T421="Declined"))+(_xlpm.ffp*OR($X421="Approved",$X421="Declined"))+(_xlpm.chp*OR($AB421="Approved",$AB421="Declined"))+(_xlpm.usp*OR($AF421="Approved",$AF421="Declined")),IF(_xlpm.n=0,"No applicable lenders",IF(_xlpm.sub&gt;0,"Stays with Shaw - lender still Submitted",IF(_xlpm.term=_xlpm.n,"Clear - all applicable lenders Approved or Declined","Stays with Shaw - not all lenders Approved or Declined")))))</f>
      </c>
    </row>
    <row r="422" spans="80:80">
      <c r="CB422" s="131">
        <f>IF($A422="","",_xlfn.LET(_xlpm.sfp,AND($P422&lt;&gt;"",$P422&lt;&gt;"N/A",$P422&lt;&gt;"No Min RQ"),_xlpm.slp,AND($T422&lt;&gt;"",$T422&lt;&gt;"N/A",$T422&lt;&gt;"No Min RQ"),_xlpm.ffp,AND($X422&lt;&gt;"",$X422&lt;&gt;"N/A",$X422&lt;&gt;"No Min RQ"),_xlpm.chp,AND($AB422&lt;&gt;"",$AB422&lt;&gt;"N/A",$AB422&lt;&gt;"No Min RQ"),_xlpm.usp,AND($AF422&lt;&gt;"",$AF422&lt;&gt;"N/A",$AF422&lt;&gt;"No Min RQ"),_xlpm.n,_xlpm.sfp+_xlpm.slp+_xlpm.ffp+_xlpm.chp+_xlpm.usp,_xlpm.sub,(_xlpm.sfp*($P422="Submitted"))+(_xlpm.slp*($T422="Submitted"))+(_xlpm.ffp*($X422="Submitted"))+(_xlpm.chp*($AB422="Submitted"))+(_xlpm.usp*($AF422="Submitted")),_xlpm.term,(_xlpm.sfp*OR($P422="Approved",$P422="Declined"))+(_xlpm.slp*OR($T422="Approved",$T422="Declined"))+(_xlpm.ffp*OR($X422="Approved",$X422="Declined"))+(_xlpm.chp*OR($AB422="Approved",$AB422="Declined"))+(_xlpm.usp*OR($AF422="Approved",$AF422="Declined")),IF(_xlpm.n=0,"No applicable lenders",IF(_xlpm.sub&gt;0,"Stays with Shaw - lender still Submitted",IF(_xlpm.term=_xlpm.n,"Clear - all applicable lenders Approved or Declined","Stays with Shaw - not all lenders Approved or Declined")))))</f>
      </c>
    </row>
    <row r="423" spans="80:80">
      <c r="CB423" s="131">
        <f>IF($A423="","",_xlfn.LET(_xlpm.sfp,AND($P423&lt;&gt;"",$P423&lt;&gt;"N/A",$P423&lt;&gt;"No Min RQ"),_xlpm.slp,AND($T423&lt;&gt;"",$T423&lt;&gt;"N/A",$T423&lt;&gt;"No Min RQ"),_xlpm.ffp,AND($X423&lt;&gt;"",$X423&lt;&gt;"N/A",$X423&lt;&gt;"No Min RQ"),_xlpm.chp,AND($AB423&lt;&gt;"",$AB423&lt;&gt;"N/A",$AB423&lt;&gt;"No Min RQ"),_xlpm.usp,AND($AF423&lt;&gt;"",$AF423&lt;&gt;"N/A",$AF423&lt;&gt;"No Min RQ"),_xlpm.n,_xlpm.sfp+_xlpm.slp+_xlpm.ffp+_xlpm.chp+_xlpm.usp,_xlpm.sub,(_xlpm.sfp*($P423="Submitted"))+(_xlpm.slp*($T423="Submitted"))+(_xlpm.ffp*($X423="Submitted"))+(_xlpm.chp*($AB423="Submitted"))+(_xlpm.usp*($AF423="Submitted")),_xlpm.term,(_xlpm.sfp*OR($P423="Approved",$P423="Declined"))+(_xlpm.slp*OR($T423="Approved",$T423="Declined"))+(_xlpm.ffp*OR($X423="Approved",$X423="Declined"))+(_xlpm.chp*OR($AB423="Approved",$AB423="Declined"))+(_xlpm.usp*OR($AF423="Approved",$AF423="Declined")),IF(_xlpm.n=0,"No applicable lenders",IF(_xlpm.sub&gt;0,"Stays with Shaw - lender still Submitted",IF(_xlpm.term=_xlpm.n,"Clear - all applicable lenders Approved or Declined","Stays with Shaw - not all lenders Approved or Declined")))))</f>
      </c>
    </row>
    <row r="424" spans="80:80">
      <c r="CB424" s="131">
        <f>IF($A424="","",_xlfn.LET(_xlpm.sfp,AND($P424&lt;&gt;"",$P424&lt;&gt;"N/A",$P424&lt;&gt;"No Min RQ"),_xlpm.slp,AND($T424&lt;&gt;"",$T424&lt;&gt;"N/A",$T424&lt;&gt;"No Min RQ"),_xlpm.ffp,AND($X424&lt;&gt;"",$X424&lt;&gt;"N/A",$X424&lt;&gt;"No Min RQ"),_xlpm.chp,AND($AB424&lt;&gt;"",$AB424&lt;&gt;"N/A",$AB424&lt;&gt;"No Min RQ"),_xlpm.usp,AND($AF424&lt;&gt;"",$AF424&lt;&gt;"N/A",$AF424&lt;&gt;"No Min RQ"),_xlpm.n,_xlpm.sfp+_xlpm.slp+_xlpm.ffp+_xlpm.chp+_xlpm.usp,_xlpm.sub,(_xlpm.sfp*($P424="Submitted"))+(_xlpm.slp*($T424="Submitted"))+(_xlpm.ffp*($X424="Submitted"))+(_xlpm.chp*($AB424="Submitted"))+(_xlpm.usp*($AF424="Submitted")),_xlpm.term,(_xlpm.sfp*OR($P424="Approved",$P424="Declined"))+(_xlpm.slp*OR($T424="Approved",$T424="Declined"))+(_xlpm.ffp*OR($X424="Approved",$X424="Declined"))+(_xlpm.chp*OR($AB424="Approved",$AB424="Declined"))+(_xlpm.usp*OR($AF424="Approved",$AF424="Declined")),IF(_xlpm.n=0,"No applicable lenders",IF(_xlpm.sub&gt;0,"Stays with Shaw - lender still Submitted",IF(_xlpm.term=_xlpm.n,"Clear - all applicable lenders Approved or Declined","Stays with Shaw - not all lenders Approved or Declined")))))</f>
      </c>
    </row>
    <row r="425" spans="80:80">
      <c r="CB425" s="131">
        <f>IF($A425="","",_xlfn.LET(_xlpm.sfp,AND($P425&lt;&gt;"",$P425&lt;&gt;"N/A",$P425&lt;&gt;"No Min RQ"),_xlpm.slp,AND($T425&lt;&gt;"",$T425&lt;&gt;"N/A",$T425&lt;&gt;"No Min RQ"),_xlpm.ffp,AND($X425&lt;&gt;"",$X425&lt;&gt;"N/A",$X425&lt;&gt;"No Min RQ"),_xlpm.chp,AND($AB425&lt;&gt;"",$AB425&lt;&gt;"N/A",$AB425&lt;&gt;"No Min RQ"),_xlpm.usp,AND($AF425&lt;&gt;"",$AF425&lt;&gt;"N/A",$AF425&lt;&gt;"No Min RQ"),_xlpm.n,_xlpm.sfp+_xlpm.slp+_xlpm.ffp+_xlpm.chp+_xlpm.usp,_xlpm.sub,(_xlpm.sfp*($P425="Submitted"))+(_xlpm.slp*($T425="Submitted"))+(_xlpm.ffp*($X425="Submitted"))+(_xlpm.chp*($AB425="Submitted"))+(_xlpm.usp*($AF425="Submitted")),_xlpm.term,(_xlpm.sfp*OR($P425="Approved",$P425="Declined"))+(_xlpm.slp*OR($T425="Approved",$T425="Declined"))+(_xlpm.ffp*OR($X425="Approved",$X425="Declined"))+(_xlpm.chp*OR($AB425="Approved",$AB425="Declined"))+(_xlpm.usp*OR($AF425="Approved",$AF425="Declined")),IF(_xlpm.n=0,"No applicable lenders",IF(_xlpm.sub&gt;0,"Stays with Shaw - lender still Submitted",IF(_xlpm.term=_xlpm.n,"Clear - all applicable lenders Approved or Declined","Stays with Shaw - not all lenders Approved or Declined")))))</f>
      </c>
    </row>
    <row r="426" spans="80:80">
      <c r="CB426" s="131">
        <f>IF($A426="","",_xlfn.LET(_xlpm.sfp,AND($P426&lt;&gt;"",$P426&lt;&gt;"N/A",$P426&lt;&gt;"No Min RQ"),_xlpm.slp,AND($T426&lt;&gt;"",$T426&lt;&gt;"N/A",$T426&lt;&gt;"No Min RQ"),_xlpm.ffp,AND($X426&lt;&gt;"",$X426&lt;&gt;"N/A",$X426&lt;&gt;"No Min RQ"),_xlpm.chp,AND($AB426&lt;&gt;"",$AB426&lt;&gt;"N/A",$AB426&lt;&gt;"No Min RQ"),_xlpm.usp,AND($AF426&lt;&gt;"",$AF426&lt;&gt;"N/A",$AF426&lt;&gt;"No Min RQ"),_xlpm.n,_xlpm.sfp+_xlpm.slp+_xlpm.ffp+_xlpm.chp+_xlpm.usp,_xlpm.sub,(_xlpm.sfp*($P426="Submitted"))+(_xlpm.slp*($T426="Submitted"))+(_xlpm.ffp*($X426="Submitted"))+(_xlpm.chp*($AB426="Submitted"))+(_xlpm.usp*($AF426="Submitted")),_xlpm.term,(_xlpm.sfp*OR($P426="Approved",$P426="Declined"))+(_xlpm.slp*OR($T426="Approved",$T426="Declined"))+(_xlpm.ffp*OR($X426="Approved",$X426="Declined"))+(_xlpm.chp*OR($AB426="Approved",$AB426="Declined"))+(_xlpm.usp*OR($AF426="Approved",$AF426="Declined")),IF(_xlpm.n=0,"No applicable lenders",IF(_xlpm.sub&gt;0,"Stays with Shaw - lender still Submitted",IF(_xlpm.term=_xlpm.n,"Clear - all applicable lenders Approved or Declined","Stays with Shaw - not all lenders Approved or Declined")))))</f>
      </c>
    </row>
    <row r="427" spans="80:80">
      <c r="CB427" s="131">
        <f>IF($A427="","",_xlfn.LET(_xlpm.sfp,AND($P427&lt;&gt;"",$P427&lt;&gt;"N/A",$P427&lt;&gt;"No Min RQ"),_xlpm.slp,AND($T427&lt;&gt;"",$T427&lt;&gt;"N/A",$T427&lt;&gt;"No Min RQ"),_xlpm.ffp,AND($X427&lt;&gt;"",$X427&lt;&gt;"N/A",$X427&lt;&gt;"No Min RQ"),_xlpm.chp,AND($AB427&lt;&gt;"",$AB427&lt;&gt;"N/A",$AB427&lt;&gt;"No Min RQ"),_xlpm.usp,AND($AF427&lt;&gt;"",$AF427&lt;&gt;"N/A",$AF427&lt;&gt;"No Min RQ"),_xlpm.n,_xlpm.sfp+_xlpm.slp+_xlpm.ffp+_xlpm.chp+_xlpm.usp,_xlpm.sub,(_xlpm.sfp*($P427="Submitted"))+(_xlpm.slp*($T427="Submitted"))+(_xlpm.ffp*($X427="Submitted"))+(_xlpm.chp*($AB427="Submitted"))+(_xlpm.usp*($AF427="Submitted")),_xlpm.term,(_xlpm.sfp*OR($P427="Approved",$P427="Declined"))+(_xlpm.slp*OR($T427="Approved",$T427="Declined"))+(_xlpm.ffp*OR($X427="Approved",$X427="Declined"))+(_xlpm.chp*OR($AB427="Approved",$AB427="Declined"))+(_xlpm.usp*OR($AF427="Approved",$AF427="Declined")),IF(_xlpm.n=0,"No applicable lenders",IF(_xlpm.sub&gt;0,"Stays with Shaw - lender still Submitted",IF(_xlpm.term=_xlpm.n,"Clear - all applicable lenders Approved or Declined","Stays with Shaw - not all lenders Approved or Declined")))))</f>
      </c>
    </row>
    <row r="428" spans="80:80">
      <c r="CB428" s="131">
        <f>IF($A428="","",_xlfn.LET(_xlpm.sfp,AND($P428&lt;&gt;"",$P428&lt;&gt;"N/A",$P428&lt;&gt;"No Min RQ"),_xlpm.slp,AND($T428&lt;&gt;"",$T428&lt;&gt;"N/A",$T428&lt;&gt;"No Min RQ"),_xlpm.ffp,AND($X428&lt;&gt;"",$X428&lt;&gt;"N/A",$X428&lt;&gt;"No Min RQ"),_xlpm.chp,AND($AB428&lt;&gt;"",$AB428&lt;&gt;"N/A",$AB428&lt;&gt;"No Min RQ"),_xlpm.usp,AND($AF428&lt;&gt;"",$AF428&lt;&gt;"N/A",$AF428&lt;&gt;"No Min RQ"),_xlpm.n,_xlpm.sfp+_xlpm.slp+_xlpm.ffp+_xlpm.chp+_xlpm.usp,_xlpm.sub,(_xlpm.sfp*($P428="Submitted"))+(_xlpm.slp*($T428="Submitted"))+(_xlpm.ffp*($X428="Submitted"))+(_xlpm.chp*($AB428="Submitted"))+(_xlpm.usp*($AF428="Submitted")),_xlpm.term,(_xlpm.sfp*OR($P428="Approved",$P428="Declined"))+(_xlpm.slp*OR($T428="Approved",$T428="Declined"))+(_xlpm.ffp*OR($X428="Approved",$X428="Declined"))+(_xlpm.chp*OR($AB428="Approved",$AB428="Declined"))+(_xlpm.usp*OR($AF428="Approved",$AF428="Declined")),IF(_xlpm.n=0,"No applicable lenders",IF(_xlpm.sub&gt;0,"Stays with Shaw - lender still Submitted",IF(_xlpm.term=_xlpm.n,"Clear - all applicable lenders Approved or Declined","Stays with Shaw - not all lenders Approved or Declined")))))</f>
      </c>
    </row>
    <row r="429" spans="80:80">
      <c r="CB429" s="131">
        <f>IF($A429="","",_xlfn.LET(_xlpm.sfp,AND($P429&lt;&gt;"",$P429&lt;&gt;"N/A",$P429&lt;&gt;"No Min RQ"),_xlpm.slp,AND($T429&lt;&gt;"",$T429&lt;&gt;"N/A",$T429&lt;&gt;"No Min RQ"),_xlpm.ffp,AND($X429&lt;&gt;"",$X429&lt;&gt;"N/A",$X429&lt;&gt;"No Min RQ"),_xlpm.chp,AND($AB429&lt;&gt;"",$AB429&lt;&gt;"N/A",$AB429&lt;&gt;"No Min RQ"),_xlpm.usp,AND($AF429&lt;&gt;"",$AF429&lt;&gt;"N/A",$AF429&lt;&gt;"No Min RQ"),_xlpm.n,_xlpm.sfp+_xlpm.slp+_xlpm.ffp+_xlpm.chp+_xlpm.usp,_xlpm.sub,(_xlpm.sfp*($P429="Submitted"))+(_xlpm.slp*($T429="Submitted"))+(_xlpm.ffp*($X429="Submitted"))+(_xlpm.chp*($AB429="Submitted"))+(_xlpm.usp*($AF429="Submitted")),_xlpm.term,(_xlpm.sfp*OR($P429="Approved",$P429="Declined"))+(_xlpm.slp*OR($T429="Approved",$T429="Declined"))+(_xlpm.ffp*OR($X429="Approved",$X429="Declined"))+(_xlpm.chp*OR($AB429="Approved",$AB429="Declined"))+(_xlpm.usp*OR($AF429="Approved",$AF429="Declined")),IF(_xlpm.n=0,"No applicable lenders",IF(_xlpm.sub&gt;0,"Stays with Shaw - lender still Submitted",IF(_xlpm.term=_xlpm.n,"Clear - all applicable lenders Approved or Declined","Stays with Shaw - not all lenders Approved or Declined")))))</f>
      </c>
    </row>
    <row r="430" spans="80:80">
      <c r="CB430" s="131">
        <f>IF($A430="","",_xlfn.LET(_xlpm.sfp,AND($P430&lt;&gt;"",$P430&lt;&gt;"N/A",$P430&lt;&gt;"No Min RQ"),_xlpm.slp,AND($T430&lt;&gt;"",$T430&lt;&gt;"N/A",$T430&lt;&gt;"No Min RQ"),_xlpm.ffp,AND($X430&lt;&gt;"",$X430&lt;&gt;"N/A",$X430&lt;&gt;"No Min RQ"),_xlpm.chp,AND($AB430&lt;&gt;"",$AB430&lt;&gt;"N/A",$AB430&lt;&gt;"No Min RQ"),_xlpm.usp,AND($AF430&lt;&gt;"",$AF430&lt;&gt;"N/A",$AF430&lt;&gt;"No Min RQ"),_xlpm.n,_xlpm.sfp+_xlpm.slp+_xlpm.ffp+_xlpm.chp+_xlpm.usp,_xlpm.sub,(_xlpm.sfp*($P430="Submitted"))+(_xlpm.slp*($T430="Submitted"))+(_xlpm.ffp*($X430="Submitted"))+(_xlpm.chp*($AB430="Submitted"))+(_xlpm.usp*($AF430="Submitted")),_xlpm.term,(_xlpm.sfp*OR($P430="Approved",$P430="Declined"))+(_xlpm.slp*OR($T430="Approved",$T430="Declined"))+(_xlpm.ffp*OR($X430="Approved",$X430="Declined"))+(_xlpm.chp*OR($AB430="Approved",$AB430="Declined"))+(_xlpm.usp*OR($AF430="Approved",$AF430="Declined")),IF(_xlpm.n=0,"No applicable lenders",IF(_xlpm.sub&gt;0,"Stays with Shaw - lender still Submitted",IF(_xlpm.term=_xlpm.n,"Clear - all applicable lenders Approved or Declined","Stays with Shaw - not all lenders Approved or Declined")))))</f>
      </c>
    </row>
    <row r="431" spans="80:80">
      <c r="CB431" s="131">
        <f>IF($A431="","",_xlfn.LET(_xlpm.sfp,AND($P431&lt;&gt;"",$P431&lt;&gt;"N/A",$P431&lt;&gt;"No Min RQ"),_xlpm.slp,AND($T431&lt;&gt;"",$T431&lt;&gt;"N/A",$T431&lt;&gt;"No Min RQ"),_xlpm.ffp,AND($X431&lt;&gt;"",$X431&lt;&gt;"N/A",$X431&lt;&gt;"No Min RQ"),_xlpm.chp,AND($AB431&lt;&gt;"",$AB431&lt;&gt;"N/A",$AB431&lt;&gt;"No Min RQ"),_xlpm.usp,AND($AF431&lt;&gt;"",$AF431&lt;&gt;"N/A",$AF431&lt;&gt;"No Min RQ"),_xlpm.n,_xlpm.sfp+_xlpm.slp+_xlpm.ffp+_xlpm.chp+_xlpm.usp,_xlpm.sub,(_xlpm.sfp*($P431="Submitted"))+(_xlpm.slp*($T431="Submitted"))+(_xlpm.ffp*($X431="Submitted"))+(_xlpm.chp*($AB431="Submitted"))+(_xlpm.usp*($AF431="Submitted")),_xlpm.term,(_xlpm.sfp*OR($P431="Approved",$P431="Declined"))+(_xlpm.slp*OR($T431="Approved",$T431="Declined"))+(_xlpm.ffp*OR($X431="Approved",$X431="Declined"))+(_xlpm.chp*OR($AB431="Approved",$AB431="Declined"))+(_xlpm.usp*OR($AF431="Approved",$AF431="Declined")),IF(_xlpm.n=0,"No applicable lenders",IF(_xlpm.sub&gt;0,"Stays with Shaw - lender still Submitted",IF(_xlpm.term=_xlpm.n,"Clear - all applicable lenders Approved or Declined","Stays with Shaw - not all lenders Approved or Declined")))))</f>
      </c>
    </row>
    <row r="432" spans="80:80">
      <c r="CB432" s="131">
        <f>IF($A432="","",_xlfn.LET(_xlpm.sfp,AND($P432&lt;&gt;"",$P432&lt;&gt;"N/A",$P432&lt;&gt;"No Min RQ"),_xlpm.slp,AND($T432&lt;&gt;"",$T432&lt;&gt;"N/A",$T432&lt;&gt;"No Min RQ"),_xlpm.ffp,AND($X432&lt;&gt;"",$X432&lt;&gt;"N/A",$X432&lt;&gt;"No Min RQ"),_xlpm.chp,AND($AB432&lt;&gt;"",$AB432&lt;&gt;"N/A",$AB432&lt;&gt;"No Min RQ"),_xlpm.usp,AND($AF432&lt;&gt;"",$AF432&lt;&gt;"N/A",$AF432&lt;&gt;"No Min RQ"),_xlpm.n,_xlpm.sfp+_xlpm.slp+_xlpm.ffp+_xlpm.chp+_xlpm.usp,_xlpm.sub,(_xlpm.sfp*($P432="Submitted"))+(_xlpm.slp*($T432="Submitted"))+(_xlpm.ffp*($X432="Submitted"))+(_xlpm.chp*($AB432="Submitted"))+(_xlpm.usp*($AF432="Submitted")),_xlpm.term,(_xlpm.sfp*OR($P432="Approved",$P432="Declined"))+(_xlpm.slp*OR($T432="Approved",$T432="Declined"))+(_xlpm.ffp*OR($X432="Approved",$X432="Declined"))+(_xlpm.chp*OR($AB432="Approved",$AB432="Declined"))+(_xlpm.usp*OR($AF432="Approved",$AF432="Declined")),IF(_xlpm.n=0,"No applicable lenders",IF(_xlpm.sub&gt;0,"Stays with Shaw - lender still Submitted",IF(_xlpm.term=_xlpm.n,"Clear - all applicable lenders Approved or Declined","Stays with Shaw - not all lenders Approved or Declined")))))</f>
      </c>
    </row>
    <row r="433" spans="80:80">
      <c r="CB433" s="131">
        <f>IF($A433="","",_xlfn.LET(_xlpm.sfp,AND($P433&lt;&gt;"",$P433&lt;&gt;"N/A",$P433&lt;&gt;"No Min RQ"),_xlpm.slp,AND($T433&lt;&gt;"",$T433&lt;&gt;"N/A",$T433&lt;&gt;"No Min RQ"),_xlpm.ffp,AND($X433&lt;&gt;"",$X433&lt;&gt;"N/A",$X433&lt;&gt;"No Min RQ"),_xlpm.chp,AND($AB433&lt;&gt;"",$AB433&lt;&gt;"N/A",$AB433&lt;&gt;"No Min RQ"),_xlpm.usp,AND($AF433&lt;&gt;"",$AF433&lt;&gt;"N/A",$AF433&lt;&gt;"No Min RQ"),_xlpm.n,_xlpm.sfp+_xlpm.slp+_xlpm.ffp+_xlpm.chp+_xlpm.usp,_xlpm.sub,(_xlpm.sfp*($P433="Submitted"))+(_xlpm.slp*($T433="Submitted"))+(_xlpm.ffp*($X433="Submitted"))+(_xlpm.chp*($AB433="Submitted"))+(_xlpm.usp*($AF433="Submitted")),_xlpm.term,(_xlpm.sfp*OR($P433="Approved",$P433="Declined"))+(_xlpm.slp*OR($T433="Approved",$T433="Declined"))+(_xlpm.ffp*OR($X433="Approved",$X433="Declined"))+(_xlpm.chp*OR($AB433="Approved",$AB433="Declined"))+(_xlpm.usp*OR($AF433="Approved",$AF433="Declined")),IF(_xlpm.n=0,"No applicable lenders",IF(_xlpm.sub&gt;0,"Stays with Shaw - lender still Submitted",IF(_xlpm.term=_xlpm.n,"Clear - all applicable lenders Approved or Declined","Stays with Shaw - not all lenders Approved or Declined")))))</f>
      </c>
    </row>
    <row r="434" spans="80:80">
      <c r="CB434" s="131">
        <f>IF($A434="","",_xlfn.LET(_xlpm.sfp,AND($P434&lt;&gt;"",$P434&lt;&gt;"N/A",$P434&lt;&gt;"No Min RQ"),_xlpm.slp,AND($T434&lt;&gt;"",$T434&lt;&gt;"N/A",$T434&lt;&gt;"No Min RQ"),_xlpm.ffp,AND($X434&lt;&gt;"",$X434&lt;&gt;"N/A",$X434&lt;&gt;"No Min RQ"),_xlpm.chp,AND($AB434&lt;&gt;"",$AB434&lt;&gt;"N/A",$AB434&lt;&gt;"No Min RQ"),_xlpm.usp,AND($AF434&lt;&gt;"",$AF434&lt;&gt;"N/A",$AF434&lt;&gt;"No Min RQ"),_xlpm.n,_xlpm.sfp+_xlpm.slp+_xlpm.ffp+_xlpm.chp+_xlpm.usp,_xlpm.sub,(_xlpm.sfp*($P434="Submitted"))+(_xlpm.slp*($T434="Submitted"))+(_xlpm.ffp*($X434="Submitted"))+(_xlpm.chp*($AB434="Submitted"))+(_xlpm.usp*($AF434="Submitted")),_xlpm.term,(_xlpm.sfp*OR($P434="Approved",$P434="Declined"))+(_xlpm.slp*OR($T434="Approved",$T434="Declined"))+(_xlpm.ffp*OR($X434="Approved",$X434="Declined"))+(_xlpm.chp*OR($AB434="Approved",$AB434="Declined"))+(_xlpm.usp*OR($AF434="Approved",$AF434="Declined")),IF(_xlpm.n=0,"No applicable lenders",IF(_xlpm.sub&gt;0,"Stays with Shaw - lender still Submitted",IF(_xlpm.term=_xlpm.n,"Clear - all applicable lenders Approved or Declined","Stays with Shaw - not all lenders Approved or Declined")))))</f>
      </c>
    </row>
    <row r="435" spans="80:80">
      <c r="CB435" s="131">
        <f>IF($A435="","",_xlfn.LET(_xlpm.sfp,AND($P435&lt;&gt;"",$P435&lt;&gt;"N/A",$P435&lt;&gt;"No Min RQ"),_xlpm.slp,AND($T435&lt;&gt;"",$T435&lt;&gt;"N/A",$T435&lt;&gt;"No Min RQ"),_xlpm.ffp,AND($X435&lt;&gt;"",$X435&lt;&gt;"N/A",$X435&lt;&gt;"No Min RQ"),_xlpm.chp,AND($AB435&lt;&gt;"",$AB435&lt;&gt;"N/A",$AB435&lt;&gt;"No Min RQ"),_xlpm.usp,AND($AF435&lt;&gt;"",$AF435&lt;&gt;"N/A",$AF435&lt;&gt;"No Min RQ"),_xlpm.n,_xlpm.sfp+_xlpm.slp+_xlpm.ffp+_xlpm.chp+_xlpm.usp,_xlpm.sub,(_xlpm.sfp*($P435="Submitted"))+(_xlpm.slp*($T435="Submitted"))+(_xlpm.ffp*($X435="Submitted"))+(_xlpm.chp*($AB435="Submitted"))+(_xlpm.usp*($AF435="Submitted")),_xlpm.term,(_xlpm.sfp*OR($P435="Approved",$P435="Declined"))+(_xlpm.slp*OR($T435="Approved",$T435="Declined"))+(_xlpm.ffp*OR($X435="Approved",$X435="Declined"))+(_xlpm.chp*OR($AB435="Approved",$AB435="Declined"))+(_xlpm.usp*OR($AF435="Approved",$AF435="Declined")),IF(_xlpm.n=0,"No applicable lenders",IF(_xlpm.sub&gt;0,"Stays with Shaw - lender still Submitted",IF(_xlpm.term=_xlpm.n,"Clear - all applicable lenders Approved or Declined","Stays with Shaw - not all lenders Approved or Declined")))))</f>
      </c>
    </row>
    <row r="436" spans="80:80">
      <c r="CB436" s="131">
        <f>IF($A436="","",_xlfn.LET(_xlpm.sfp,AND($P436&lt;&gt;"",$P436&lt;&gt;"N/A",$P436&lt;&gt;"No Min RQ"),_xlpm.slp,AND($T436&lt;&gt;"",$T436&lt;&gt;"N/A",$T436&lt;&gt;"No Min RQ"),_xlpm.ffp,AND($X436&lt;&gt;"",$X436&lt;&gt;"N/A",$X436&lt;&gt;"No Min RQ"),_xlpm.chp,AND($AB436&lt;&gt;"",$AB436&lt;&gt;"N/A",$AB436&lt;&gt;"No Min RQ"),_xlpm.usp,AND($AF436&lt;&gt;"",$AF436&lt;&gt;"N/A",$AF436&lt;&gt;"No Min RQ"),_xlpm.n,_xlpm.sfp+_xlpm.slp+_xlpm.ffp+_xlpm.chp+_xlpm.usp,_xlpm.sub,(_xlpm.sfp*($P436="Submitted"))+(_xlpm.slp*($T436="Submitted"))+(_xlpm.ffp*($X436="Submitted"))+(_xlpm.chp*($AB436="Submitted"))+(_xlpm.usp*($AF436="Submitted")),_xlpm.term,(_xlpm.sfp*OR($P436="Approved",$P436="Declined"))+(_xlpm.slp*OR($T436="Approved",$T436="Declined"))+(_xlpm.ffp*OR($X436="Approved",$X436="Declined"))+(_xlpm.chp*OR($AB436="Approved",$AB436="Declined"))+(_xlpm.usp*OR($AF436="Approved",$AF436="Declined")),IF(_xlpm.n=0,"No applicable lenders",IF(_xlpm.sub&gt;0,"Stays with Shaw - lender still Submitted",IF(_xlpm.term=_xlpm.n,"Clear - all applicable lenders Approved or Declined","Stays with Shaw - not all lenders Approved or Declined")))))</f>
      </c>
    </row>
    <row r="437" spans="80:80">
      <c r="CB437" s="131">
        <f>IF($A437="","",_xlfn.LET(_xlpm.sfp,AND($P437&lt;&gt;"",$P437&lt;&gt;"N/A",$P437&lt;&gt;"No Min RQ"),_xlpm.slp,AND($T437&lt;&gt;"",$T437&lt;&gt;"N/A",$T437&lt;&gt;"No Min RQ"),_xlpm.ffp,AND($X437&lt;&gt;"",$X437&lt;&gt;"N/A",$X437&lt;&gt;"No Min RQ"),_xlpm.chp,AND($AB437&lt;&gt;"",$AB437&lt;&gt;"N/A",$AB437&lt;&gt;"No Min RQ"),_xlpm.usp,AND($AF437&lt;&gt;"",$AF437&lt;&gt;"N/A",$AF437&lt;&gt;"No Min RQ"),_xlpm.n,_xlpm.sfp+_xlpm.slp+_xlpm.ffp+_xlpm.chp+_xlpm.usp,_xlpm.sub,(_xlpm.sfp*($P437="Submitted"))+(_xlpm.slp*($T437="Submitted"))+(_xlpm.ffp*($X437="Submitted"))+(_xlpm.chp*($AB437="Submitted"))+(_xlpm.usp*($AF437="Submitted")),_xlpm.term,(_xlpm.sfp*OR($P437="Approved",$P437="Declined"))+(_xlpm.slp*OR($T437="Approved",$T437="Declined"))+(_xlpm.ffp*OR($X437="Approved",$X437="Declined"))+(_xlpm.chp*OR($AB437="Approved",$AB437="Declined"))+(_xlpm.usp*OR($AF437="Approved",$AF437="Declined")),IF(_xlpm.n=0,"No applicable lenders",IF(_xlpm.sub&gt;0,"Stays with Shaw - lender still Submitted",IF(_xlpm.term=_xlpm.n,"Clear - all applicable lenders Approved or Declined","Stays with Shaw - not all lenders Approved or Declined")))))</f>
      </c>
    </row>
    <row r="438" spans="80:80">
      <c r="CB438" s="131">
        <f>IF($A438="","",_xlfn.LET(_xlpm.sfp,AND($P438&lt;&gt;"",$P438&lt;&gt;"N/A",$P438&lt;&gt;"No Min RQ"),_xlpm.slp,AND($T438&lt;&gt;"",$T438&lt;&gt;"N/A",$T438&lt;&gt;"No Min RQ"),_xlpm.ffp,AND($X438&lt;&gt;"",$X438&lt;&gt;"N/A",$X438&lt;&gt;"No Min RQ"),_xlpm.chp,AND($AB438&lt;&gt;"",$AB438&lt;&gt;"N/A",$AB438&lt;&gt;"No Min RQ"),_xlpm.usp,AND($AF438&lt;&gt;"",$AF438&lt;&gt;"N/A",$AF438&lt;&gt;"No Min RQ"),_xlpm.n,_xlpm.sfp+_xlpm.slp+_xlpm.ffp+_xlpm.chp+_xlpm.usp,_xlpm.sub,(_xlpm.sfp*($P438="Submitted"))+(_xlpm.slp*($T438="Submitted"))+(_xlpm.ffp*($X438="Submitted"))+(_xlpm.chp*($AB438="Submitted"))+(_xlpm.usp*($AF438="Submitted")),_xlpm.term,(_xlpm.sfp*OR($P438="Approved",$P438="Declined"))+(_xlpm.slp*OR($T438="Approved",$T438="Declined"))+(_xlpm.ffp*OR($X438="Approved",$X438="Declined"))+(_xlpm.chp*OR($AB438="Approved",$AB438="Declined"))+(_xlpm.usp*OR($AF438="Approved",$AF438="Declined")),IF(_xlpm.n=0,"No applicable lenders",IF(_xlpm.sub&gt;0,"Stays with Shaw - lender still Submitted",IF(_xlpm.term=_xlpm.n,"Clear - all applicable lenders Approved or Declined","Stays with Shaw - not all lenders Approved or Declined")))))</f>
      </c>
    </row>
    <row r="439" spans="80:80">
      <c r="CB439" s="131">
        <f>IF($A439="","",_xlfn.LET(_xlpm.sfp,AND($P439&lt;&gt;"",$P439&lt;&gt;"N/A",$P439&lt;&gt;"No Min RQ"),_xlpm.slp,AND($T439&lt;&gt;"",$T439&lt;&gt;"N/A",$T439&lt;&gt;"No Min RQ"),_xlpm.ffp,AND($X439&lt;&gt;"",$X439&lt;&gt;"N/A",$X439&lt;&gt;"No Min RQ"),_xlpm.chp,AND($AB439&lt;&gt;"",$AB439&lt;&gt;"N/A",$AB439&lt;&gt;"No Min RQ"),_xlpm.usp,AND($AF439&lt;&gt;"",$AF439&lt;&gt;"N/A",$AF439&lt;&gt;"No Min RQ"),_xlpm.n,_xlpm.sfp+_xlpm.slp+_xlpm.ffp+_xlpm.chp+_xlpm.usp,_xlpm.sub,(_xlpm.sfp*($P439="Submitted"))+(_xlpm.slp*($T439="Submitted"))+(_xlpm.ffp*($X439="Submitted"))+(_xlpm.chp*($AB439="Submitted"))+(_xlpm.usp*($AF439="Submitted")),_xlpm.term,(_xlpm.sfp*OR($P439="Approved",$P439="Declined"))+(_xlpm.slp*OR($T439="Approved",$T439="Declined"))+(_xlpm.ffp*OR($X439="Approved",$X439="Declined"))+(_xlpm.chp*OR($AB439="Approved",$AB439="Declined"))+(_xlpm.usp*OR($AF439="Approved",$AF439="Declined")),IF(_xlpm.n=0,"No applicable lenders",IF(_xlpm.sub&gt;0,"Stays with Shaw - lender still Submitted",IF(_xlpm.term=_xlpm.n,"Clear - all applicable lenders Approved or Declined","Stays with Shaw - not all lenders Approved or Declined")))))</f>
      </c>
    </row>
    <row r="440" spans="80:80">
      <c r="CB440" s="131">
        <f>IF($A440="","",_xlfn.LET(_xlpm.sfp,AND($P440&lt;&gt;"",$P440&lt;&gt;"N/A",$P440&lt;&gt;"No Min RQ"),_xlpm.slp,AND($T440&lt;&gt;"",$T440&lt;&gt;"N/A",$T440&lt;&gt;"No Min RQ"),_xlpm.ffp,AND($X440&lt;&gt;"",$X440&lt;&gt;"N/A",$X440&lt;&gt;"No Min RQ"),_xlpm.chp,AND($AB440&lt;&gt;"",$AB440&lt;&gt;"N/A",$AB440&lt;&gt;"No Min RQ"),_xlpm.usp,AND($AF440&lt;&gt;"",$AF440&lt;&gt;"N/A",$AF440&lt;&gt;"No Min RQ"),_xlpm.n,_xlpm.sfp+_xlpm.slp+_xlpm.ffp+_xlpm.chp+_xlpm.usp,_xlpm.sub,(_xlpm.sfp*($P440="Submitted"))+(_xlpm.slp*($T440="Submitted"))+(_xlpm.ffp*($X440="Submitted"))+(_xlpm.chp*($AB440="Submitted"))+(_xlpm.usp*($AF440="Submitted")),_xlpm.term,(_xlpm.sfp*OR($P440="Approved",$P440="Declined"))+(_xlpm.slp*OR($T440="Approved",$T440="Declined"))+(_xlpm.ffp*OR($X440="Approved",$X440="Declined"))+(_xlpm.chp*OR($AB440="Approved",$AB440="Declined"))+(_xlpm.usp*OR($AF440="Approved",$AF440="Declined")),IF(_xlpm.n=0,"No applicable lenders",IF(_xlpm.sub&gt;0,"Stays with Shaw - lender still Submitted",IF(_xlpm.term=_xlpm.n,"Clear - all applicable lenders Approved or Declined","Stays with Shaw - not all lenders Approved or Declined")))))</f>
      </c>
    </row>
    <row r="441" spans="80:80">
      <c r="CB441" s="131">
        <f>IF($A441="","",_xlfn.LET(_xlpm.sfp,AND($P441&lt;&gt;"",$P441&lt;&gt;"N/A",$P441&lt;&gt;"No Min RQ"),_xlpm.slp,AND($T441&lt;&gt;"",$T441&lt;&gt;"N/A",$T441&lt;&gt;"No Min RQ"),_xlpm.ffp,AND($X441&lt;&gt;"",$X441&lt;&gt;"N/A",$X441&lt;&gt;"No Min RQ"),_xlpm.chp,AND($AB441&lt;&gt;"",$AB441&lt;&gt;"N/A",$AB441&lt;&gt;"No Min RQ"),_xlpm.usp,AND($AF441&lt;&gt;"",$AF441&lt;&gt;"N/A",$AF441&lt;&gt;"No Min RQ"),_xlpm.n,_xlpm.sfp+_xlpm.slp+_xlpm.ffp+_xlpm.chp+_xlpm.usp,_xlpm.sub,(_xlpm.sfp*($P441="Submitted"))+(_xlpm.slp*($T441="Submitted"))+(_xlpm.ffp*($X441="Submitted"))+(_xlpm.chp*($AB441="Submitted"))+(_xlpm.usp*($AF441="Submitted")),_xlpm.term,(_xlpm.sfp*OR($P441="Approved",$P441="Declined"))+(_xlpm.slp*OR($T441="Approved",$T441="Declined"))+(_xlpm.ffp*OR($X441="Approved",$X441="Declined"))+(_xlpm.chp*OR($AB441="Approved",$AB441="Declined"))+(_xlpm.usp*OR($AF441="Approved",$AF441="Declined")),IF(_xlpm.n=0,"No applicable lenders",IF(_xlpm.sub&gt;0,"Stays with Shaw - lender still Submitted",IF(_xlpm.term=_xlpm.n,"Clear - all applicable lenders Approved or Declined","Stays with Shaw - not all lenders Approved or Declined")))))</f>
      </c>
    </row>
    <row r="442" spans="80:80">
      <c r="CB442" s="131">
        <f>IF($A442="","",_xlfn.LET(_xlpm.sfp,AND($P442&lt;&gt;"",$P442&lt;&gt;"N/A",$P442&lt;&gt;"No Min RQ"),_xlpm.slp,AND($T442&lt;&gt;"",$T442&lt;&gt;"N/A",$T442&lt;&gt;"No Min RQ"),_xlpm.ffp,AND($X442&lt;&gt;"",$X442&lt;&gt;"N/A",$X442&lt;&gt;"No Min RQ"),_xlpm.chp,AND($AB442&lt;&gt;"",$AB442&lt;&gt;"N/A",$AB442&lt;&gt;"No Min RQ"),_xlpm.usp,AND($AF442&lt;&gt;"",$AF442&lt;&gt;"N/A",$AF442&lt;&gt;"No Min RQ"),_xlpm.n,_xlpm.sfp+_xlpm.slp+_xlpm.ffp+_xlpm.chp+_xlpm.usp,_xlpm.sub,(_xlpm.sfp*($P442="Submitted"))+(_xlpm.slp*($T442="Submitted"))+(_xlpm.ffp*($X442="Submitted"))+(_xlpm.chp*($AB442="Submitted"))+(_xlpm.usp*($AF442="Submitted")),_xlpm.term,(_xlpm.sfp*OR($P442="Approved",$P442="Declined"))+(_xlpm.slp*OR($T442="Approved",$T442="Declined"))+(_xlpm.ffp*OR($X442="Approved",$X442="Declined"))+(_xlpm.chp*OR($AB442="Approved",$AB442="Declined"))+(_xlpm.usp*OR($AF442="Approved",$AF442="Declined")),IF(_xlpm.n=0,"No applicable lenders",IF(_xlpm.sub&gt;0,"Stays with Shaw - lender still Submitted",IF(_xlpm.term=_xlpm.n,"Clear - all applicable lenders Approved or Declined","Stays with Shaw - not all lenders Approved or Declined")))))</f>
      </c>
    </row>
    <row r="443" spans="80:80">
      <c r="CB443" s="131">
        <f>IF($A443="","",_xlfn.LET(_xlpm.sfp,AND($P443&lt;&gt;"",$P443&lt;&gt;"N/A",$P443&lt;&gt;"No Min RQ"),_xlpm.slp,AND($T443&lt;&gt;"",$T443&lt;&gt;"N/A",$T443&lt;&gt;"No Min RQ"),_xlpm.ffp,AND($X443&lt;&gt;"",$X443&lt;&gt;"N/A",$X443&lt;&gt;"No Min RQ"),_xlpm.chp,AND($AB443&lt;&gt;"",$AB443&lt;&gt;"N/A",$AB443&lt;&gt;"No Min RQ"),_xlpm.usp,AND($AF443&lt;&gt;"",$AF443&lt;&gt;"N/A",$AF443&lt;&gt;"No Min RQ"),_xlpm.n,_xlpm.sfp+_xlpm.slp+_xlpm.ffp+_xlpm.chp+_xlpm.usp,_xlpm.sub,(_xlpm.sfp*($P443="Submitted"))+(_xlpm.slp*($T443="Submitted"))+(_xlpm.ffp*($X443="Submitted"))+(_xlpm.chp*($AB443="Submitted"))+(_xlpm.usp*($AF443="Submitted")),_xlpm.term,(_xlpm.sfp*OR($P443="Approved",$P443="Declined"))+(_xlpm.slp*OR($T443="Approved",$T443="Declined"))+(_xlpm.ffp*OR($X443="Approved",$X443="Declined"))+(_xlpm.chp*OR($AB443="Approved",$AB443="Declined"))+(_xlpm.usp*OR($AF443="Approved",$AF443="Declined")),IF(_xlpm.n=0,"No applicable lenders",IF(_xlpm.sub&gt;0,"Stays with Shaw - lender still Submitted",IF(_xlpm.term=_xlpm.n,"Clear - all applicable lenders Approved or Declined","Stays with Shaw - not all lenders Approved or Declined")))))</f>
      </c>
    </row>
    <row r="444" spans="80:80">
      <c r="CB444" s="131">
        <f>IF($A444="","",_xlfn.LET(_xlpm.sfp,AND($P444&lt;&gt;"",$P444&lt;&gt;"N/A",$P444&lt;&gt;"No Min RQ"),_xlpm.slp,AND($T444&lt;&gt;"",$T444&lt;&gt;"N/A",$T444&lt;&gt;"No Min RQ"),_xlpm.ffp,AND($X444&lt;&gt;"",$X444&lt;&gt;"N/A",$X444&lt;&gt;"No Min RQ"),_xlpm.chp,AND($AB444&lt;&gt;"",$AB444&lt;&gt;"N/A",$AB444&lt;&gt;"No Min RQ"),_xlpm.usp,AND($AF444&lt;&gt;"",$AF444&lt;&gt;"N/A",$AF444&lt;&gt;"No Min RQ"),_xlpm.n,_xlpm.sfp+_xlpm.slp+_xlpm.ffp+_xlpm.chp+_xlpm.usp,_xlpm.sub,(_xlpm.sfp*($P444="Submitted"))+(_xlpm.slp*($T444="Submitted"))+(_xlpm.ffp*($X444="Submitted"))+(_xlpm.chp*($AB444="Submitted"))+(_xlpm.usp*($AF444="Submitted")),_xlpm.term,(_xlpm.sfp*OR($P444="Approved",$P444="Declined"))+(_xlpm.slp*OR($T444="Approved",$T444="Declined"))+(_xlpm.ffp*OR($X444="Approved",$X444="Declined"))+(_xlpm.chp*OR($AB444="Approved",$AB444="Declined"))+(_xlpm.usp*OR($AF444="Approved",$AF444="Declined")),IF(_xlpm.n=0,"No applicable lenders",IF(_xlpm.sub&gt;0,"Stays with Shaw - lender still Submitted",IF(_xlpm.term=_xlpm.n,"Clear - all applicable lenders Approved or Declined","Stays with Shaw - not all lenders Approved or Declined")))))</f>
      </c>
    </row>
    <row r="445" spans="80:80">
      <c r="CB445" s="131">
        <f>IF($A445="","",_xlfn.LET(_xlpm.sfp,AND($P445&lt;&gt;"",$P445&lt;&gt;"N/A",$P445&lt;&gt;"No Min RQ"),_xlpm.slp,AND($T445&lt;&gt;"",$T445&lt;&gt;"N/A",$T445&lt;&gt;"No Min RQ"),_xlpm.ffp,AND($X445&lt;&gt;"",$X445&lt;&gt;"N/A",$X445&lt;&gt;"No Min RQ"),_xlpm.chp,AND($AB445&lt;&gt;"",$AB445&lt;&gt;"N/A",$AB445&lt;&gt;"No Min RQ"),_xlpm.usp,AND($AF445&lt;&gt;"",$AF445&lt;&gt;"N/A",$AF445&lt;&gt;"No Min RQ"),_xlpm.n,_xlpm.sfp+_xlpm.slp+_xlpm.ffp+_xlpm.chp+_xlpm.usp,_xlpm.sub,(_xlpm.sfp*($P445="Submitted"))+(_xlpm.slp*($T445="Submitted"))+(_xlpm.ffp*($X445="Submitted"))+(_xlpm.chp*($AB445="Submitted"))+(_xlpm.usp*($AF445="Submitted")),_xlpm.term,(_xlpm.sfp*OR($P445="Approved",$P445="Declined"))+(_xlpm.slp*OR($T445="Approved",$T445="Declined"))+(_xlpm.ffp*OR($X445="Approved",$X445="Declined"))+(_xlpm.chp*OR($AB445="Approved",$AB445="Declined"))+(_xlpm.usp*OR($AF445="Approved",$AF445="Declined")),IF(_xlpm.n=0,"No applicable lenders",IF(_xlpm.sub&gt;0,"Stays with Shaw - lender still Submitted",IF(_xlpm.term=_xlpm.n,"Clear - all applicable lenders Approved or Declined","Stays with Shaw - not all lenders Approved or Declined")))))</f>
      </c>
    </row>
    <row r="446" spans="80:80">
      <c r="CB446" s="131">
        <f>IF($A446="","",_xlfn.LET(_xlpm.sfp,AND($P446&lt;&gt;"",$P446&lt;&gt;"N/A",$P446&lt;&gt;"No Min RQ"),_xlpm.slp,AND($T446&lt;&gt;"",$T446&lt;&gt;"N/A",$T446&lt;&gt;"No Min RQ"),_xlpm.ffp,AND($X446&lt;&gt;"",$X446&lt;&gt;"N/A",$X446&lt;&gt;"No Min RQ"),_xlpm.chp,AND($AB446&lt;&gt;"",$AB446&lt;&gt;"N/A",$AB446&lt;&gt;"No Min RQ"),_xlpm.usp,AND($AF446&lt;&gt;"",$AF446&lt;&gt;"N/A",$AF446&lt;&gt;"No Min RQ"),_xlpm.n,_xlpm.sfp+_xlpm.slp+_xlpm.ffp+_xlpm.chp+_xlpm.usp,_xlpm.sub,(_xlpm.sfp*($P446="Submitted"))+(_xlpm.slp*($T446="Submitted"))+(_xlpm.ffp*($X446="Submitted"))+(_xlpm.chp*($AB446="Submitted"))+(_xlpm.usp*($AF446="Submitted")),_xlpm.term,(_xlpm.sfp*OR($P446="Approved",$P446="Declined"))+(_xlpm.slp*OR($T446="Approved",$T446="Declined"))+(_xlpm.ffp*OR($X446="Approved",$X446="Declined"))+(_xlpm.chp*OR($AB446="Approved",$AB446="Declined"))+(_xlpm.usp*OR($AF446="Approved",$AF446="Declined")),IF(_xlpm.n=0,"No applicable lenders",IF(_xlpm.sub&gt;0,"Stays with Shaw - lender still Submitted",IF(_xlpm.term=_xlpm.n,"Clear - all applicable lenders Approved or Declined","Stays with Shaw - not all lenders Approved or Declined")))))</f>
      </c>
    </row>
    <row r="447" spans="80:80">
      <c r="CB447" s="131">
        <f>IF($A447="","",_xlfn.LET(_xlpm.sfp,AND($P447&lt;&gt;"",$P447&lt;&gt;"N/A",$P447&lt;&gt;"No Min RQ"),_xlpm.slp,AND($T447&lt;&gt;"",$T447&lt;&gt;"N/A",$T447&lt;&gt;"No Min RQ"),_xlpm.ffp,AND($X447&lt;&gt;"",$X447&lt;&gt;"N/A",$X447&lt;&gt;"No Min RQ"),_xlpm.chp,AND($AB447&lt;&gt;"",$AB447&lt;&gt;"N/A",$AB447&lt;&gt;"No Min RQ"),_xlpm.usp,AND($AF447&lt;&gt;"",$AF447&lt;&gt;"N/A",$AF447&lt;&gt;"No Min RQ"),_xlpm.n,_xlpm.sfp+_xlpm.slp+_xlpm.ffp+_xlpm.chp+_xlpm.usp,_xlpm.sub,(_xlpm.sfp*($P447="Submitted"))+(_xlpm.slp*($T447="Submitted"))+(_xlpm.ffp*($X447="Submitted"))+(_xlpm.chp*($AB447="Submitted"))+(_xlpm.usp*($AF447="Submitted")),_xlpm.term,(_xlpm.sfp*OR($P447="Approved",$P447="Declined"))+(_xlpm.slp*OR($T447="Approved",$T447="Declined"))+(_xlpm.ffp*OR($X447="Approved",$X447="Declined"))+(_xlpm.chp*OR($AB447="Approved",$AB447="Declined"))+(_xlpm.usp*OR($AF447="Approved",$AF447="Declined")),IF(_xlpm.n=0,"No applicable lenders",IF(_xlpm.sub&gt;0,"Stays with Shaw - lender still Submitted",IF(_xlpm.term=_xlpm.n,"Clear - all applicable lenders Approved or Declined","Stays with Shaw - not all lenders Approved or Declined")))))</f>
      </c>
    </row>
    <row r="448" spans="80:80">
      <c r="CB448" s="131">
        <f>IF($A448="","",_xlfn.LET(_xlpm.sfp,AND($P448&lt;&gt;"",$P448&lt;&gt;"N/A",$P448&lt;&gt;"No Min RQ"),_xlpm.slp,AND($T448&lt;&gt;"",$T448&lt;&gt;"N/A",$T448&lt;&gt;"No Min RQ"),_xlpm.ffp,AND($X448&lt;&gt;"",$X448&lt;&gt;"N/A",$X448&lt;&gt;"No Min RQ"),_xlpm.chp,AND($AB448&lt;&gt;"",$AB448&lt;&gt;"N/A",$AB448&lt;&gt;"No Min RQ"),_xlpm.usp,AND($AF448&lt;&gt;"",$AF448&lt;&gt;"N/A",$AF448&lt;&gt;"No Min RQ"),_xlpm.n,_xlpm.sfp+_xlpm.slp+_xlpm.ffp+_xlpm.chp+_xlpm.usp,_xlpm.sub,(_xlpm.sfp*($P448="Submitted"))+(_xlpm.slp*($T448="Submitted"))+(_xlpm.ffp*($X448="Submitted"))+(_xlpm.chp*($AB448="Submitted"))+(_xlpm.usp*($AF448="Submitted")),_xlpm.term,(_xlpm.sfp*OR($P448="Approved",$P448="Declined"))+(_xlpm.slp*OR($T448="Approved",$T448="Declined"))+(_xlpm.ffp*OR($X448="Approved",$X448="Declined"))+(_xlpm.chp*OR($AB448="Approved",$AB448="Declined"))+(_xlpm.usp*OR($AF448="Approved",$AF448="Declined")),IF(_xlpm.n=0,"No applicable lenders",IF(_xlpm.sub&gt;0,"Stays with Shaw - lender still Submitted",IF(_xlpm.term=_xlpm.n,"Clear - all applicable lenders Approved or Declined","Stays with Shaw - not all lenders Approved or Declined")))))</f>
      </c>
    </row>
    <row r="449" spans="80:80">
      <c r="CB449" s="131">
        <f>IF($A449="","",_xlfn.LET(_xlpm.sfp,AND($P449&lt;&gt;"",$P449&lt;&gt;"N/A",$P449&lt;&gt;"No Min RQ"),_xlpm.slp,AND($T449&lt;&gt;"",$T449&lt;&gt;"N/A",$T449&lt;&gt;"No Min RQ"),_xlpm.ffp,AND($X449&lt;&gt;"",$X449&lt;&gt;"N/A",$X449&lt;&gt;"No Min RQ"),_xlpm.chp,AND($AB449&lt;&gt;"",$AB449&lt;&gt;"N/A",$AB449&lt;&gt;"No Min RQ"),_xlpm.usp,AND($AF449&lt;&gt;"",$AF449&lt;&gt;"N/A",$AF449&lt;&gt;"No Min RQ"),_xlpm.n,_xlpm.sfp+_xlpm.slp+_xlpm.ffp+_xlpm.chp+_xlpm.usp,_xlpm.sub,(_xlpm.sfp*($P449="Submitted"))+(_xlpm.slp*($T449="Submitted"))+(_xlpm.ffp*($X449="Submitted"))+(_xlpm.chp*($AB449="Submitted"))+(_xlpm.usp*($AF449="Submitted")),_xlpm.term,(_xlpm.sfp*OR($P449="Approved",$P449="Declined"))+(_xlpm.slp*OR($T449="Approved",$T449="Declined"))+(_xlpm.ffp*OR($X449="Approved",$X449="Declined"))+(_xlpm.chp*OR($AB449="Approved",$AB449="Declined"))+(_xlpm.usp*OR($AF449="Approved",$AF449="Declined")),IF(_xlpm.n=0,"No applicable lenders",IF(_xlpm.sub&gt;0,"Stays with Shaw - lender still Submitted",IF(_xlpm.term=_xlpm.n,"Clear - all applicable lenders Approved or Declined","Stays with Shaw - not all lenders Approved or Declined")))))</f>
      </c>
    </row>
    <row r="450" spans="80:80">
      <c r="CB450" s="131">
        <f>IF($A450="","",_xlfn.LET(_xlpm.sfp,AND($P450&lt;&gt;"",$P450&lt;&gt;"N/A",$P450&lt;&gt;"No Min RQ"),_xlpm.slp,AND($T450&lt;&gt;"",$T450&lt;&gt;"N/A",$T450&lt;&gt;"No Min RQ"),_xlpm.ffp,AND($X450&lt;&gt;"",$X450&lt;&gt;"N/A",$X450&lt;&gt;"No Min RQ"),_xlpm.chp,AND($AB450&lt;&gt;"",$AB450&lt;&gt;"N/A",$AB450&lt;&gt;"No Min RQ"),_xlpm.usp,AND($AF450&lt;&gt;"",$AF450&lt;&gt;"N/A",$AF450&lt;&gt;"No Min RQ"),_xlpm.n,_xlpm.sfp+_xlpm.slp+_xlpm.ffp+_xlpm.chp+_xlpm.usp,_xlpm.sub,(_xlpm.sfp*($P450="Submitted"))+(_xlpm.slp*($T450="Submitted"))+(_xlpm.ffp*($X450="Submitted"))+(_xlpm.chp*($AB450="Submitted"))+(_xlpm.usp*($AF450="Submitted")),_xlpm.term,(_xlpm.sfp*OR($P450="Approved",$P450="Declined"))+(_xlpm.slp*OR($T450="Approved",$T450="Declined"))+(_xlpm.ffp*OR($X450="Approved",$X450="Declined"))+(_xlpm.chp*OR($AB450="Approved",$AB450="Declined"))+(_xlpm.usp*OR($AF450="Approved",$AF450="Declined")),IF(_xlpm.n=0,"No applicable lenders",IF(_xlpm.sub&gt;0,"Stays with Shaw - lender still Submitted",IF(_xlpm.term=_xlpm.n,"Clear - all applicable lenders Approved or Declined","Stays with Shaw - not all lenders Approved or Declined")))))</f>
      </c>
    </row>
    <row r="451" spans="80:80">
      <c r="CB451" s="131">
        <f>IF($A451="","",_xlfn.LET(_xlpm.sfp,AND($P451&lt;&gt;"",$P451&lt;&gt;"N/A",$P451&lt;&gt;"No Min RQ"),_xlpm.slp,AND($T451&lt;&gt;"",$T451&lt;&gt;"N/A",$T451&lt;&gt;"No Min RQ"),_xlpm.ffp,AND($X451&lt;&gt;"",$X451&lt;&gt;"N/A",$X451&lt;&gt;"No Min RQ"),_xlpm.chp,AND($AB451&lt;&gt;"",$AB451&lt;&gt;"N/A",$AB451&lt;&gt;"No Min RQ"),_xlpm.usp,AND($AF451&lt;&gt;"",$AF451&lt;&gt;"N/A",$AF451&lt;&gt;"No Min RQ"),_xlpm.n,_xlpm.sfp+_xlpm.slp+_xlpm.ffp+_xlpm.chp+_xlpm.usp,_xlpm.sub,(_xlpm.sfp*($P451="Submitted"))+(_xlpm.slp*($T451="Submitted"))+(_xlpm.ffp*($X451="Submitted"))+(_xlpm.chp*($AB451="Submitted"))+(_xlpm.usp*($AF451="Submitted")),_xlpm.term,(_xlpm.sfp*OR($P451="Approved",$P451="Declined"))+(_xlpm.slp*OR($T451="Approved",$T451="Declined"))+(_xlpm.ffp*OR($X451="Approved",$X451="Declined"))+(_xlpm.chp*OR($AB451="Approved",$AB451="Declined"))+(_xlpm.usp*OR($AF451="Approved",$AF451="Declined")),IF(_xlpm.n=0,"No applicable lenders",IF(_xlpm.sub&gt;0,"Stays with Shaw - lender still Submitted",IF(_xlpm.term=_xlpm.n,"Clear - all applicable lenders Approved or Declined","Stays with Shaw - not all lenders Approved or Declined")))))</f>
      </c>
    </row>
    <row r="452" spans="80:80">
      <c r="CB452" s="131">
        <f>IF($A452="","",_xlfn.LET(_xlpm.sfp,AND($P452&lt;&gt;"",$P452&lt;&gt;"N/A",$P452&lt;&gt;"No Min RQ"),_xlpm.slp,AND($T452&lt;&gt;"",$T452&lt;&gt;"N/A",$T452&lt;&gt;"No Min RQ"),_xlpm.ffp,AND($X452&lt;&gt;"",$X452&lt;&gt;"N/A",$X452&lt;&gt;"No Min RQ"),_xlpm.chp,AND($AB452&lt;&gt;"",$AB452&lt;&gt;"N/A",$AB452&lt;&gt;"No Min RQ"),_xlpm.usp,AND($AF452&lt;&gt;"",$AF452&lt;&gt;"N/A",$AF452&lt;&gt;"No Min RQ"),_xlpm.n,_xlpm.sfp+_xlpm.slp+_xlpm.ffp+_xlpm.chp+_xlpm.usp,_xlpm.sub,(_xlpm.sfp*($P452="Submitted"))+(_xlpm.slp*($T452="Submitted"))+(_xlpm.ffp*($X452="Submitted"))+(_xlpm.chp*($AB452="Submitted"))+(_xlpm.usp*($AF452="Submitted")),_xlpm.term,(_xlpm.sfp*OR($P452="Approved",$P452="Declined"))+(_xlpm.slp*OR($T452="Approved",$T452="Declined"))+(_xlpm.ffp*OR($X452="Approved",$X452="Declined"))+(_xlpm.chp*OR($AB452="Approved",$AB452="Declined"))+(_xlpm.usp*OR($AF452="Approved",$AF452="Declined")),IF(_xlpm.n=0,"No applicable lenders",IF(_xlpm.sub&gt;0,"Stays with Shaw - lender still Submitted",IF(_xlpm.term=_xlpm.n,"Clear - all applicable lenders Approved or Declined","Stays with Shaw - not all lenders Approved or Declined")))))</f>
      </c>
    </row>
    <row r="453" spans="80:80">
      <c r="CB453" s="131">
        <f>IF($A453="","",_xlfn.LET(_xlpm.sfp,AND($P453&lt;&gt;"",$P453&lt;&gt;"N/A",$P453&lt;&gt;"No Min RQ"),_xlpm.slp,AND($T453&lt;&gt;"",$T453&lt;&gt;"N/A",$T453&lt;&gt;"No Min RQ"),_xlpm.ffp,AND($X453&lt;&gt;"",$X453&lt;&gt;"N/A",$X453&lt;&gt;"No Min RQ"),_xlpm.chp,AND($AB453&lt;&gt;"",$AB453&lt;&gt;"N/A",$AB453&lt;&gt;"No Min RQ"),_xlpm.usp,AND($AF453&lt;&gt;"",$AF453&lt;&gt;"N/A",$AF453&lt;&gt;"No Min RQ"),_xlpm.n,_xlpm.sfp+_xlpm.slp+_xlpm.ffp+_xlpm.chp+_xlpm.usp,_xlpm.sub,(_xlpm.sfp*($P453="Submitted"))+(_xlpm.slp*($T453="Submitted"))+(_xlpm.ffp*($X453="Submitted"))+(_xlpm.chp*($AB453="Submitted"))+(_xlpm.usp*($AF453="Submitted")),_xlpm.term,(_xlpm.sfp*OR($P453="Approved",$P453="Declined"))+(_xlpm.slp*OR($T453="Approved",$T453="Declined"))+(_xlpm.ffp*OR($X453="Approved",$X453="Declined"))+(_xlpm.chp*OR($AB453="Approved",$AB453="Declined"))+(_xlpm.usp*OR($AF453="Approved",$AF453="Declined")),IF(_xlpm.n=0,"No applicable lenders",IF(_xlpm.sub&gt;0,"Stays with Shaw - lender still Submitted",IF(_xlpm.term=_xlpm.n,"Clear - all applicable lenders Approved or Declined","Stays with Shaw - not all lenders Approved or Declined")))))</f>
      </c>
    </row>
    <row r="454" spans="80:80">
      <c r="CB454" s="131">
        <f>IF($A454="","",_xlfn.LET(_xlpm.sfp,AND($P454&lt;&gt;"",$P454&lt;&gt;"N/A",$P454&lt;&gt;"No Min RQ"),_xlpm.slp,AND($T454&lt;&gt;"",$T454&lt;&gt;"N/A",$T454&lt;&gt;"No Min RQ"),_xlpm.ffp,AND($X454&lt;&gt;"",$X454&lt;&gt;"N/A",$X454&lt;&gt;"No Min RQ"),_xlpm.chp,AND($AB454&lt;&gt;"",$AB454&lt;&gt;"N/A",$AB454&lt;&gt;"No Min RQ"),_xlpm.usp,AND($AF454&lt;&gt;"",$AF454&lt;&gt;"N/A",$AF454&lt;&gt;"No Min RQ"),_xlpm.n,_xlpm.sfp+_xlpm.slp+_xlpm.ffp+_xlpm.chp+_xlpm.usp,_xlpm.sub,(_xlpm.sfp*($P454="Submitted"))+(_xlpm.slp*($T454="Submitted"))+(_xlpm.ffp*($X454="Submitted"))+(_xlpm.chp*($AB454="Submitted"))+(_xlpm.usp*($AF454="Submitted")),_xlpm.term,(_xlpm.sfp*OR($P454="Approved",$P454="Declined"))+(_xlpm.slp*OR($T454="Approved",$T454="Declined"))+(_xlpm.ffp*OR($X454="Approved",$X454="Declined"))+(_xlpm.chp*OR($AB454="Approved",$AB454="Declined"))+(_xlpm.usp*OR($AF454="Approved",$AF454="Declined")),IF(_xlpm.n=0,"No applicable lenders",IF(_xlpm.sub&gt;0,"Stays with Shaw - lender still Submitted",IF(_xlpm.term=_xlpm.n,"Clear - all applicable lenders Approved or Declined","Stays with Shaw - not all lenders Approved or Declined")))))</f>
      </c>
    </row>
    <row r="455" spans="80:80">
      <c r="CB455" s="131">
        <f>IF($A455="","",_xlfn.LET(_xlpm.sfp,AND($P455&lt;&gt;"",$P455&lt;&gt;"N/A",$P455&lt;&gt;"No Min RQ"),_xlpm.slp,AND($T455&lt;&gt;"",$T455&lt;&gt;"N/A",$T455&lt;&gt;"No Min RQ"),_xlpm.ffp,AND($X455&lt;&gt;"",$X455&lt;&gt;"N/A",$X455&lt;&gt;"No Min RQ"),_xlpm.chp,AND($AB455&lt;&gt;"",$AB455&lt;&gt;"N/A",$AB455&lt;&gt;"No Min RQ"),_xlpm.usp,AND($AF455&lt;&gt;"",$AF455&lt;&gt;"N/A",$AF455&lt;&gt;"No Min RQ"),_xlpm.n,_xlpm.sfp+_xlpm.slp+_xlpm.ffp+_xlpm.chp+_xlpm.usp,_xlpm.sub,(_xlpm.sfp*($P455="Submitted"))+(_xlpm.slp*($T455="Submitted"))+(_xlpm.ffp*($X455="Submitted"))+(_xlpm.chp*($AB455="Submitted"))+(_xlpm.usp*($AF455="Submitted")),_xlpm.term,(_xlpm.sfp*OR($P455="Approved",$P455="Declined"))+(_xlpm.slp*OR($T455="Approved",$T455="Declined"))+(_xlpm.ffp*OR($X455="Approved",$X455="Declined"))+(_xlpm.chp*OR($AB455="Approved",$AB455="Declined"))+(_xlpm.usp*OR($AF455="Approved",$AF455="Declined")),IF(_xlpm.n=0,"No applicable lenders",IF(_xlpm.sub&gt;0,"Stays with Shaw - lender still Submitted",IF(_xlpm.term=_xlpm.n,"Clear - all applicable lenders Approved or Declined","Stays with Shaw - not all lenders Approved or Declined")))))</f>
      </c>
    </row>
    <row r="456" spans="80:80">
      <c r="CB456" s="131">
        <f>IF($A456="","",_xlfn.LET(_xlpm.sfp,AND($P456&lt;&gt;"",$P456&lt;&gt;"N/A",$P456&lt;&gt;"No Min RQ"),_xlpm.slp,AND($T456&lt;&gt;"",$T456&lt;&gt;"N/A",$T456&lt;&gt;"No Min RQ"),_xlpm.ffp,AND($X456&lt;&gt;"",$X456&lt;&gt;"N/A",$X456&lt;&gt;"No Min RQ"),_xlpm.chp,AND($AB456&lt;&gt;"",$AB456&lt;&gt;"N/A",$AB456&lt;&gt;"No Min RQ"),_xlpm.usp,AND($AF456&lt;&gt;"",$AF456&lt;&gt;"N/A",$AF456&lt;&gt;"No Min RQ"),_xlpm.n,_xlpm.sfp+_xlpm.slp+_xlpm.ffp+_xlpm.chp+_xlpm.usp,_xlpm.sub,(_xlpm.sfp*($P456="Submitted"))+(_xlpm.slp*($T456="Submitted"))+(_xlpm.ffp*($X456="Submitted"))+(_xlpm.chp*($AB456="Submitted"))+(_xlpm.usp*($AF456="Submitted")),_xlpm.term,(_xlpm.sfp*OR($P456="Approved",$P456="Declined"))+(_xlpm.slp*OR($T456="Approved",$T456="Declined"))+(_xlpm.ffp*OR($X456="Approved",$X456="Declined"))+(_xlpm.chp*OR($AB456="Approved",$AB456="Declined"))+(_xlpm.usp*OR($AF456="Approved",$AF456="Declined")),IF(_xlpm.n=0,"No applicable lenders",IF(_xlpm.sub&gt;0,"Stays with Shaw - lender still Submitted",IF(_xlpm.term=_xlpm.n,"Clear - all applicable lenders Approved or Declined","Stays with Shaw - not all lenders Approved or Declined")))))</f>
      </c>
    </row>
    <row r="457" spans="80:80">
      <c r="CB457" s="131">
        <f>IF($A457="","",_xlfn.LET(_xlpm.sfp,AND($P457&lt;&gt;"",$P457&lt;&gt;"N/A",$P457&lt;&gt;"No Min RQ"),_xlpm.slp,AND($T457&lt;&gt;"",$T457&lt;&gt;"N/A",$T457&lt;&gt;"No Min RQ"),_xlpm.ffp,AND($X457&lt;&gt;"",$X457&lt;&gt;"N/A",$X457&lt;&gt;"No Min RQ"),_xlpm.chp,AND($AB457&lt;&gt;"",$AB457&lt;&gt;"N/A",$AB457&lt;&gt;"No Min RQ"),_xlpm.usp,AND($AF457&lt;&gt;"",$AF457&lt;&gt;"N/A",$AF457&lt;&gt;"No Min RQ"),_xlpm.n,_xlpm.sfp+_xlpm.slp+_xlpm.ffp+_xlpm.chp+_xlpm.usp,_xlpm.sub,(_xlpm.sfp*($P457="Submitted"))+(_xlpm.slp*($T457="Submitted"))+(_xlpm.ffp*($X457="Submitted"))+(_xlpm.chp*($AB457="Submitted"))+(_xlpm.usp*($AF457="Submitted")),_xlpm.term,(_xlpm.sfp*OR($P457="Approved",$P457="Declined"))+(_xlpm.slp*OR($T457="Approved",$T457="Declined"))+(_xlpm.ffp*OR($X457="Approved",$X457="Declined"))+(_xlpm.chp*OR($AB457="Approved",$AB457="Declined"))+(_xlpm.usp*OR($AF457="Approved",$AF457="Declined")),IF(_xlpm.n=0,"No applicable lenders",IF(_xlpm.sub&gt;0,"Stays with Shaw - lender still Submitted",IF(_xlpm.term=_xlpm.n,"Clear - all applicable lenders Approved or Declined","Stays with Shaw - not all lenders Approved or Declined")))))</f>
      </c>
    </row>
    <row r="458" spans="80:80">
      <c r="CB458" s="131">
        <f>IF($A458="","",_xlfn.LET(_xlpm.sfp,AND($P458&lt;&gt;"",$P458&lt;&gt;"N/A",$P458&lt;&gt;"No Min RQ"),_xlpm.slp,AND($T458&lt;&gt;"",$T458&lt;&gt;"N/A",$T458&lt;&gt;"No Min RQ"),_xlpm.ffp,AND($X458&lt;&gt;"",$X458&lt;&gt;"N/A",$X458&lt;&gt;"No Min RQ"),_xlpm.chp,AND($AB458&lt;&gt;"",$AB458&lt;&gt;"N/A",$AB458&lt;&gt;"No Min RQ"),_xlpm.usp,AND($AF458&lt;&gt;"",$AF458&lt;&gt;"N/A",$AF458&lt;&gt;"No Min RQ"),_xlpm.n,_xlpm.sfp+_xlpm.slp+_xlpm.ffp+_xlpm.chp+_xlpm.usp,_xlpm.sub,(_xlpm.sfp*($P458="Submitted"))+(_xlpm.slp*($T458="Submitted"))+(_xlpm.ffp*($X458="Submitted"))+(_xlpm.chp*($AB458="Submitted"))+(_xlpm.usp*($AF458="Submitted")),_xlpm.term,(_xlpm.sfp*OR($P458="Approved",$P458="Declined"))+(_xlpm.slp*OR($T458="Approved",$T458="Declined"))+(_xlpm.ffp*OR($X458="Approved",$X458="Declined"))+(_xlpm.chp*OR($AB458="Approved",$AB458="Declined"))+(_xlpm.usp*OR($AF458="Approved",$AF458="Declined")),IF(_xlpm.n=0,"No applicable lenders",IF(_xlpm.sub&gt;0,"Stays with Shaw - lender still Submitted",IF(_xlpm.term=_xlpm.n,"Clear - all applicable lenders Approved or Declined","Stays with Shaw - not all lenders Approved or Declined")))))</f>
      </c>
    </row>
    <row r="459" spans="80:80">
      <c r="CB459" s="131">
        <f>IF($A459="","",_xlfn.LET(_xlpm.sfp,AND($P459&lt;&gt;"",$P459&lt;&gt;"N/A",$P459&lt;&gt;"No Min RQ"),_xlpm.slp,AND($T459&lt;&gt;"",$T459&lt;&gt;"N/A",$T459&lt;&gt;"No Min RQ"),_xlpm.ffp,AND($X459&lt;&gt;"",$X459&lt;&gt;"N/A",$X459&lt;&gt;"No Min RQ"),_xlpm.chp,AND($AB459&lt;&gt;"",$AB459&lt;&gt;"N/A",$AB459&lt;&gt;"No Min RQ"),_xlpm.usp,AND($AF459&lt;&gt;"",$AF459&lt;&gt;"N/A",$AF459&lt;&gt;"No Min RQ"),_xlpm.n,_xlpm.sfp+_xlpm.slp+_xlpm.ffp+_xlpm.chp+_xlpm.usp,_xlpm.sub,(_xlpm.sfp*($P459="Submitted"))+(_xlpm.slp*($T459="Submitted"))+(_xlpm.ffp*($X459="Submitted"))+(_xlpm.chp*($AB459="Submitted"))+(_xlpm.usp*($AF459="Submitted")),_xlpm.term,(_xlpm.sfp*OR($P459="Approved",$P459="Declined"))+(_xlpm.slp*OR($T459="Approved",$T459="Declined"))+(_xlpm.ffp*OR($X459="Approved",$X459="Declined"))+(_xlpm.chp*OR($AB459="Approved",$AB459="Declined"))+(_xlpm.usp*OR($AF459="Approved",$AF459="Declined")),IF(_xlpm.n=0,"No applicable lenders",IF(_xlpm.sub&gt;0,"Stays with Shaw - lender still Submitted",IF(_xlpm.term=_xlpm.n,"Clear - all applicable lenders Approved or Declined","Stays with Shaw - not all lenders Approved or Declined")))))</f>
      </c>
    </row>
    <row r="460" spans="80:80">
      <c r="CB460" s="131">
        <f>IF($A460="","",_xlfn.LET(_xlpm.sfp,AND($P460&lt;&gt;"",$P460&lt;&gt;"N/A",$P460&lt;&gt;"No Min RQ"),_xlpm.slp,AND($T460&lt;&gt;"",$T460&lt;&gt;"N/A",$T460&lt;&gt;"No Min RQ"),_xlpm.ffp,AND($X460&lt;&gt;"",$X460&lt;&gt;"N/A",$X460&lt;&gt;"No Min RQ"),_xlpm.chp,AND($AB460&lt;&gt;"",$AB460&lt;&gt;"N/A",$AB460&lt;&gt;"No Min RQ"),_xlpm.usp,AND($AF460&lt;&gt;"",$AF460&lt;&gt;"N/A",$AF460&lt;&gt;"No Min RQ"),_xlpm.n,_xlpm.sfp+_xlpm.slp+_xlpm.ffp+_xlpm.chp+_xlpm.usp,_xlpm.sub,(_xlpm.sfp*($P460="Submitted"))+(_xlpm.slp*($T460="Submitted"))+(_xlpm.ffp*($X460="Submitted"))+(_xlpm.chp*($AB460="Submitted"))+(_xlpm.usp*($AF460="Submitted")),_xlpm.term,(_xlpm.sfp*OR($P460="Approved",$P460="Declined"))+(_xlpm.slp*OR($T460="Approved",$T460="Declined"))+(_xlpm.ffp*OR($X460="Approved",$X460="Declined"))+(_xlpm.chp*OR($AB460="Approved",$AB460="Declined"))+(_xlpm.usp*OR($AF460="Approved",$AF460="Declined")),IF(_xlpm.n=0,"No applicable lenders",IF(_xlpm.sub&gt;0,"Stays with Shaw - lender still Submitted",IF(_xlpm.term=_xlpm.n,"Clear - all applicable lenders Approved or Declined","Stays with Shaw - not all lenders Approved or Declined")))))</f>
      </c>
    </row>
    <row r="461" spans="80:80">
      <c r="CB461" s="131">
        <f>IF($A461="","",_xlfn.LET(_xlpm.sfp,AND($P461&lt;&gt;"",$P461&lt;&gt;"N/A",$P461&lt;&gt;"No Min RQ"),_xlpm.slp,AND($T461&lt;&gt;"",$T461&lt;&gt;"N/A",$T461&lt;&gt;"No Min RQ"),_xlpm.ffp,AND($X461&lt;&gt;"",$X461&lt;&gt;"N/A",$X461&lt;&gt;"No Min RQ"),_xlpm.chp,AND($AB461&lt;&gt;"",$AB461&lt;&gt;"N/A",$AB461&lt;&gt;"No Min RQ"),_xlpm.usp,AND($AF461&lt;&gt;"",$AF461&lt;&gt;"N/A",$AF461&lt;&gt;"No Min RQ"),_xlpm.n,_xlpm.sfp+_xlpm.slp+_xlpm.ffp+_xlpm.chp+_xlpm.usp,_xlpm.sub,(_xlpm.sfp*($P461="Submitted"))+(_xlpm.slp*($T461="Submitted"))+(_xlpm.ffp*($X461="Submitted"))+(_xlpm.chp*($AB461="Submitted"))+(_xlpm.usp*($AF461="Submitted")),_xlpm.term,(_xlpm.sfp*OR($P461="Approved",$P461="Declined"))+(_xlpm.slp*OR($T461="Approved",$T461="Declined"))+(_xlpm.ffp*OR($X461="Approved",$X461="Declined"))+(_xlpm.chp*OR($AB461="Approved",$AB461="Declined"))+(_xlpm.usp*OR($AF461="Approved",$AF461="Declined")),IF(_xlpm.n=0,"No applicable lenders",IF(_xlpm.sub&gt;0,"Stays with Shaw - lender still Submitted",IF(_xlpm.term=_xlpm.n,"Clear - all applicable lenders Approved or Declined","Stays with Shaw - not all lenders Approved or Declined")))))</f>
      </c>
    </row>
    <row r="462" spans="80:80">
      <c r="CB462" s="131">
        <f>IF($A462="","",_xlfn.LET(_xlpm.sfp,AND($P462&lt;&gt;"",$P462&lt;&gt;"N/A",$P462&lt;&gt;"No Min RQ"),_xlpm.slp,AND($T462&lt;&gt;"",$T462&lt;&gt;"N/A",$T462&lt;&gt;"No Min RQ"),_xlpm.ffp,AND($X462&lt;&gt;"",$X462&lt;&gt;"N/A",$X462&lt;&gt;"No Min RQ"),_xlpm.chp,AND($AB462&lt;&gt;"",$AB462&lt;&gt;"N/A",$AB462&lt;&gt;"No Min RQ"),_xlpm.usp,AND($AF462&lt;&gt;"",$AF462&lt;&gt;"N/A",$AF462&lt;&gt;"No Min RQ"),_xlpm.n,_xlpm.sfp+_xlpm.slp+_xlpm.ffp+_xlpm.chp+_xlpm.usp,_xlpm.sub,(_xlpm.sfp*($P462="Submitted"))+(_xlpm.slp*($T462="Submitted"))+(_xlpm.ffp*($X462="Submitted"))+(_xlpm.chp*($AB462="Submitted"))+(_xlpm.usp*($AF462="Submitted")),_xlpm.term,(_xlpm.sfp*OR($P462="Approved",$P462="Declined"))+(_xlpm.slp*OR($T462="Approved",$T462="Declined"))+(_xlpm.ffp*OR($X462="Approved",$X462="Declined"))+(_xlpm.chp*OR($AB462="Approved",$AB462="Declined"))+(_xlpm.usp*OR($AF462="Approved",$AF462="Declined")),IF(_xlpm.n=0,"No applicable lenders",IF(_xlpm.sub&gt;0,"Stays with Shaw - lender still Submitted",IF(_xlpm.term=_xlpm.n,"Clear - all applicable lenders Approved or Declined","Stays with Shaw - not all lenders Approved or Declined")))))</f>
      </c>
    </row>
    <row r="463" spans="80:80">
      <c r="CB463" s="131">
        <f>IF($A463="","",_xlfn.LET(_xlpm.sfp,AND($P463&lt;&gt;"",$P463&lt;&gt;"N/A",$P463&lt;&gt;"No Min RQ"),_xlpm.slp,AND($T463&lt;&gt;"",$T463&lt;&gt;"N/A",$T463&lt;&gt;"No Min RQ"),_xlpm.ffp,AND($X463&lt;&gt;"",$X463&lt;&gt;"N/A",$X463&lt;&gt;"No Min RQ"),_xlpm.chp,AND($AB463&lt;&gt;"",$AB463&lt;&gt;"N/A",$AB463&lt;&gt;"No Min RQ"),_xlpm.usp,AND($AF463&lt;&gt;"",$AF463&lt;&gt;"N/A",$AF463&lt;&gt;"No Min RQ"),_xlpm.n,_xlpm.sfp+_xlpm.slp+_xlpm.ffp+_xlpm.chp+_xlpm.usp,_xlpm.sub,(_xlpm.sfp*($P463="Submitted"))+(_xlpm.slp*($T463="Submitted"))+(_xlpm.ffp*($X463="Submitted"))+(_xlpm.chp*($AB463="Submitted"))+(_xlpm.usp*($AF463="Submitted")),_xlpm.term,(_xlpm.sfp*OR($P463="Approved",$P463="Declined"))+(_xlpm.slp*OR($T463="Approved",$T463="Declined"))+(_xlpm.ffp*OR($X463="Approved",$X463="Declined"))+(_xlpm.chp*OR($AB463="Approved",$AB463="Declined"))+(_xlpm.usp*OR($AF463="Approved",$AF463="Declined")),IF(_xlpm.n=0,"No applicable lenders",IF(_xlpm.sub&gt;0,"Stays with Shaw - lender still Submitted",IF(_xlpm.term=_xlpm.n,"Clear - all applicable lenders Approved or Declined","Stays with Shaw - not all lenders Approved or Declined")))))</f>
      </c>
    </row>
    <row r="464" spans="80:80">
      <c r="CB464" s="131">
        <f>IF($A464="","",_xlfn.LET(_xlpm.sfp,AND($P464&lt;&gt;"",$P464&lt;&gt;"N/A",$P464&lt;&gt;"No Min RQ"),_xlpm.slp,AND($T464&lt;&gt;"",$T464&lt;&gt;"N/A",$T464&lt;&gt;"No Min RQ"),_xlpm.ffp,AND($X464&lt;&gt;"",$X464&lt;&gt;"N/A",$X464&lt;&gt;"No Min RQ"),_xlpm.chp,AND($AB464&lt;&gt;"",$AB464&lt;&gt;"N/A",$AB464&lt;&gt;"No Min RQ"),_xlpm.usp,AND($AF464&lt;&gt;"",$AF464&lt;&gt;"N/A",$AF464&lt;&gt;"No Min RQ"),_xlpm.n,_xlpm.sfp+_xlpm.slp+_xlpm.ffp+_xlpm.chp+_xlpm.usp,_xlpm.sub,(_xlpm.sfp*($P464="Submitted"))+(_xlpm.slp*($T464="Submitted"))+(_xlpm.ffp*($X464="Submitted"))+(_xlpm.chp*($AB464="Submitted"))+(_xlpm.usp*($AF464="Submitted")),_xlpm.term,(_xlpm.sfp*OR($P464="Approved",$P464="Declined"))+(_xlpm.slp*OR($T464="Approved",$T464="Declined"))+(_xlpm.ffp*OR($X464="Approved",$X464="Declined"))+(_xlpm.chp*OR($AB464="Approved",$AB464="Declined"))+(_xlpm.usp*OR($AF464="Approved",$AF464="Declined")),IF(_xlpm.n=0,"No applicable lenders",IF(_xlpm.sub&gt;0,"Stays with Shaw - lender still Submitted",IF(_xlpm.term=_xlpm.n,"Clear - all applicable lenders Approved or Declined","Stays with Shaw - not all lenders Approved or Declined")))))</f>
      </c>
    </row>
    <row r="465" spans="80:80">
      <c r="CB465" s="131">
        <f>IF($A465="","",_xlfn.LET(_xlpm.sfp,AND($P465&lt;&gt;"",$P465&lt;&gt;"N/A",$P465&lt;&gt;"No Min RQ"),_xlpm.slp,AND($T465&lt;&gt;"",$T465&lt;&gt;"N/A",$T465&lt;&gt;"No Min RQ"),_xlpm.ffp,AND($X465&lt;&gt;"",$X465&lt;&gt;"N/A",$X465&lt;&gt;"No Min RQ"),_xlpm.chp,AND($AB465&lt;&gt;"",$AB465&lt;&gt;"N/A",$AB465&lt;&gt;"No Min RQ"),_xlpm.usp,AND($AF465&lt;&gt;"",$AF465&lt;&gt;"N/A",$AF465&lt;&gt;"No Min RQ"),_xlpm.n,_xlpm.sfp+_xlpm.slp+_xlpm.ffp+_xlpm.chp+_xlpm.usp,_xlpm.sub,(_xlpm.sfp*($P465="Submitted"))+(_xlpm.slp*($T465="Submitted"))+(_xlpm.ffp*($X465="Submitted"))+(_xlpm.chp*($AB465="Submitted"))+(_xlpm.usp*($AF465="Submitted")),_xlpm.term,(_xlpm.sfp*OR($P465="Approved",$P465="Declined"))+(_xlpm.slp*OR($T465="Approved",$T465="Declined"))+(_xlpm.ffp*OR($X465="Approved",$X465="Declined"))+(_xlpm.chp*OR($AB465="Approved",$AB465="Declined"))+(_xlpm.usp*OR($AF465="Approved",$AF465="Declined")),IF(_xlpm.n=0,"No applicable lenders",IF(_xlpm.sub&gt;0,"Stays with Shaw - lender still Submitted",IF(_xlpm.term=_xlpm.n,"Clear - all applicable lenders Approved or Declined","Stays with Shaw - not all lenders Approved or Declined")))))</f>
      </c>
    </row>
    <row r="466" spans="80:80">
      <c r="CB466" s="131">
        <f>IF($A466="","",_xlfn.LET(_xlpm.sfp,AND($P466&lt;&gt;"",$P466&lt;&gt;"N/A",$P466&lt;&gt;"No Min RQ"),_xlpm.slp,AND($T466&lt;&gt;"",$T466&lt;&gt;"N/A",$T466&lt;&gt;"No Min RQ"),_xlpm.ffp,AND($X466&lt;&gt;"",$X466&lt;&gt;"N/A",$X466&lt;&gt;"No Min RQ"),_xlpm.chp,AND($AB466&lt;&gt;"",$AB466&lt;&gt;"N/A",$AB466&lt;&gt;"No Min RQ"),_xlpm.usp,AND($AF466&lt;&gt;"",$AF466&lt;&gt;"N/A",$AF466&lt;&gt;"No Min RQ"),_xlpm.n,_xlpm.sfp+_xlpm.slp+_xlpm.ffp+_xlpm.chp+_xlpm.usp,_xlpm.sub,(_xlpm.sfp*($P466="Submitted"))+(_xlpm.slp*($T466="Submitted"))+(_xlpm.ffp*($X466="Submitted"))+(_xlpm.chp*($AB466="Submitted"))+(_xlpm.usp*($AF466="Submitted")),_xlpm.term,(_xlpm.sfp*OR($P466="Approved",$P466="Declined"))+(_xlpm.slp*OR($T466="Approved",$T466="Declined"))+(_xlpm.ffp*OR($X466="Approved",$X466="Declined"))+(_xlpm.chp*OR($AB466="Approved",$AB466="Declined"))+(_xlpm.usp*OR($AF466="Approved",$AF466="Declined")),IF(_xlpm.n=0,"No applicable lenders",IF(_xlpm.sub&gt;0,"Stays with Shaw - lender still Submitted",IF(_xlpm.term=_xlpm.n,"Clear - all applicable lenders Approved or Declined","Stays with Shaw - not all lenders Approved or Declined")))))</f>
      </c>
    </row>
    <row r="467" spans="80:80">
      <c r="CB467" s="131">
        <f>IF($A467="","",_xlfn.LET(_xlpm.sfp,AND($P467&lt;&gt;"",$P467&lt;&gt;"N/A",$P467&lt;&gt;"No Min RQ"),_xlpm.slp,AND($T467&lt;&gt;"",$T467&lt;&gt;"N/A",$T467&lt;&gt;"No Min RQ"),_xlpm.ffp,AND($X467&lt;&gt;"",$X467&lt;&gt;"N/A",$X467&lt;&gt;"No Min RQ"),_xlpm.chp,AND($AB467&lt;&gt;"",$AB467&lt;&gt;"N/A",$AB467&lt;&gt;"No Min RQ"),_xlpm.usp,AND($AF467&lt;&gt;"",$AF467&lt;&gt;"N/A",$AF467&lt;&gt;"No Min RQ"),_xlpm.n,_xlpm.sfp+_xlpm.slp+_xlpm.ffp+_xlpm.chp+_xlpm.usp,_xlpm.sub,(_xlpm.sfp*($P467="Submitted"))+(_xlpm.slp*($T467="Submitted"))+(_xlpm.ffp*($X467="Submitted"))+(_xlpm.chp*($AB467="Submitted"))+(_xlpm.usp*($AF467="Submitted")),_xlpm.term,(_xlpm.sfp*OR($P467="Approved",$P467="Declined"))+(_xlpm.slp*OR($T467="Approved",$T467="Declined"))+(_xlpm.ffp*OR($X467="Approved",$X467="Declined"))+(_xlpm.chp*OR($AB467="Approved",$AB467="Declined"))+(_xlpm.usp*OR($AF467="Approved",$AF467="Declined")),IF(_xlpm.n=0,"No applicable lenders",IF(_xlpm.sub&gt;0,"Stays with Shaw - lender still Submitted",IF(_xlpm.term=_xlpm.n,"Clear - all applicable lenders Approved or Declined","Stays with Shaw - not all lenders Approved or Declined")))))</f>
      </c>
    </row>
    <row r="468" spans="80:80">
      <c r="CB468" s="131">
        <f>IF($A468="","",_xlfn.LET(_xlpm.sfp,AND($P468&lt;&gt;"",$P468&lt;&gt;"N/A",$P468&lt;&gt;"No Min RQ"),_xlpm.slp,AND($T468&lt;&gt;"",$T468&lt;&gt;"N/A",$T468&lt;&gt;"No Min RQ"),_xlpm.ffp,AND($X468&lt;&gt;"",$X468&lt;&gt;"N/A",$X468&lt;&gt;"No Min RQ"),_xlpm.chp,AND($AB468&lt;&gt;"",$AB468&lt;&gt;"N/A",$AB468&lt;&gt;"No Min RQ"),_xlpm.usp,AND($AF468&lt;&gt;"",$AF468&lt;&gt;"N/A",$AF468&lt;&gt;"No Min RQ"),_xlpm.n,_xlpm.sfp+_xlpm.slp+_xlpm.ffp+_xlpm.chp+_xlpm.usp,_xlpm.sub,(_xlpm.sfp*($P468="Submitted"))+(_xlpm.slp*($T468="Submitted"))+(_xlpm.ffp*($X468="Submitted"))+(_xlpm.chp*($AB468="Submitted"))+(_xlpm.usp*($AF468="Submitted")),_xlpm.term,(_xlpm.sfp*OR($P468="Approved",$P468="Declined"))+(_xlpm.slp*OR($T468="Approved",$T468="Declined"))+(_xlpm.ffp*OR($X468="Approved",$X468="Declined"))+(_xlpm.chp*OR($AB468="Approved",$AB468="Declined"))+(_xlpm.usp*OR($AF468="Approved",$AF468="Declined")),IF(_xlpm.n=0,"No applicable lenders",IF(_xlpm.sub&gt;0,"Stays with Shaw - lender still Submitted",IF(_xlpm.term=_xlpm.n,"Clear - all applicable lenders Approved or Declined","Stays with Shaw - not all lenders Approved or Declined")))))</f>
      </c>
    </row>
    <row r="469" spans="80:80">
      <c r="CB469" s="131">
        <f>IF($A469="","",_xlfn.LET(_xlpm.sfp,AND($P469&lt;&gt;"",$P469&lt;&gt;"N/A",$P469&lt;&gt;"No Min RQ"),_xlpm.slp,AND($T469&lt;&gt;"",$T469&lt;&gt;"N/A",$T469&lt;&gt;"No Min RQ"),_xlpm.ffp,AND($X469&lt;&gt;"",$X469&lt;&gt;"N/A",$X469&lt;&gt;"No Min RQ"),_xlpm.chp,AND($AB469&lt;&gt;"",$AB469&lt;&gt;"N/A",$AB469&lt;&gt;"No Min RQ"),_xlpm.usp,AND($AF469&lt;&gt;"",$AF469&lt;&gt;"N/A",$AF469&lt;&gt;"No Min RQ"),_xlpm.n,_xlpm.sfp+_xlpm.slp+_xlpm.ffp+_xlpm.chp+_xlpm.usp,_xlpm.sub,(_xlpm.sfp*($P469="Submitted"))+(_xlpm.slp*($T469="Submitted"))+(_xlpm.ffp*($X469="Submitted"))+(_xlpm.chp*($AB469="Submitted"))+(_xlpm.usp*($AF469="Submitted")),_xlpm.term,(_xlpm.sfp*OR($P469="Approved",$P469="Declined"))+(_xlpm.slp*OR($T469="Approved",$T469="Declined"))+(_xlpm.ffp*OR($X469="Approved",$X469="Declined"))+(_xlpm.chp*OR($AB469="Approved",$AB469="Declined"))+(_xlpm.usp*OR($AF469="Approved",$AF469="Declined")),IF(_xlpm.n=0,"No applicable lenders",IF(_xlpm.sub&gt;0,"Stays with Shaw - lender still Submitted",IF(_xlpm.term=_xlpm.n,"Clear - all applicable lenders Approved or Declined","Stays with Shaw - not all lenders Approved or Declined")))))</f>
      </c>
    </row>
    <row r="470" spans="80:80">
      <c r="CB470" s="131">
        <f>IF($A470="","",_xlfn.LET(_xlpm.sfp,AND($P470&lt;&gt;"",$P470&lt;&gt;"N/A",$P470&lt;&gt;"No Min RQ"),_xlpm.slp,AND($T470&lt;&gt;"",$T470&lt;&gt;"N/A",$T470&lt;&gt;"No Min RQ"),_xlpm.ffp,AND($X470&lt;&gt;"",$X470&lt;&gt;"N/A",$X470&lt;&gt;"No Min RQ"),_xlpm.chp,AND($AB470&lt;&gt;"",$AB470&lt;&gt;"N/A",$AB470&lt;&gt;"No Min RQ"),_xlpm.usp,AND($AF470&lt;&gt;"",$AF470&lt;&gt;"N/A",$AF470&lt;&gt;"No Min RQ"),_xlpm.n,_xlpm.sfp+_xlpm.slp+_xlpm.ffp+_xlpm.chp+_xlpm.usp,_xlpm.sub,(_xlpm.sfp*($P470="Submitted"))+(_xlpm.slp*($T470="Submitted"))+(_xlpm.ffp*($X470="Submitted"))+(_xlpm.chp*($AB470="Submitted"))+(_xlpm.usp*($AF470="Submitted")),_xlpm.term,(_xlpm.sfp*OR($P470="Approved",$P470="Declined"))+(_xlpm.slp*OR($T470="Approved",$T470="Declined"))+(_xlpm.ffp*OR($X470="Approved",$X470="Declined"))+(_xlpm.chp*OR($AB470="Approved",$AB470="Declined"))+(_xlpm.usp*OR($AF470="Approved",$AF470="Declined")),IF(_xlpm.n=0,"No applicable lenders",IF(_xlpm.sub&gt;0,"Stays with Shaw - lender still Submitted",IF(_xlpm.term=_xlpm.n,"Clear - all applicable lenders Approved or Declined","Stays with Shaw - not all lenders Approved or Declined")))))</f>
      </c>
    </row>
    <row r="471" spans="80:80">
      <c r="CB471" s="131">
        <f>IF($A471="","",_xlfn.LET(_xlpm.sfp,AND($P471&lt;&gt;"",$P471&lt;&gt;"N/A",$P471&lt;&gt;"No Min RQ"),_xlpm.slp,AND($T471&lt;&gt;"",$T471&lt;&gt;"N/A",$T471&lt;&gt;"No Min RQ"),_xlpm.ffp,AND($X471&lt;&gt;"",$X471&lt;&gt;"N/A",$X471&lt;&gt;"No Min RQ"),_xlpm.chp,AND($AB471&lt;&gt;"",$AB471&lt;&gt;"N/A",$AB471&lt;&gt;"No Min RQ"),_xlpm.usp,AND($AF471&lt;&gt;"",$AF471&lt;&gt;"N/A",$AF471&lt;&gt;"No Min RQ"),_xlpm.n,_xlpm.sfp+_xlpm.slp+_xlpm.ffp+_xlpm.chp+_xlpm.usp,_xlpm.sub,(_xlpm.sfp*($P471="Submitted"))+(_xlpm.slp*($T471="Submitted"))+(_xlpm.ffp*($X471="Submitted"))+(_xlpm.chp*($AB471="Submitted"))+(_xlpm.usp*($AF471="Submitted")),_xlpm.term,(_xlpm.sfp*OR($P471="Approved",$P471="Declined"))+(_xlpm.slp*OR($T471="Approved",$T471="Declined"))+(_xlpm.ffp*OR($X471="Approved",$X471="Declined"))+(_xlpm.chp*OR($AB471="Approved",$AB471="Declined"))+(_xlpm.usp*OR($AF471="Approved",$AF471="Declined")),IF(_xlpm.n=0,"No applicable lenders",IF(_xlpm.sub&gt;0,"Stays with Shaw - lender still Submitted",IF(_xlpm.term=_xlpm.n,"Clear - all applicable lenders Approved or Declined","Stays with Shaw - not all lenders Approved or Declined")))))</f>
      </c>
    </row>
    <row r="472" spans="80:80">
      <c r="CB472" s="131">
        <f>IF($A472="","",_xlfn.LET(_xlpm.sfp,AND($P472&lt;&gt;"",$P472&lt;&gt;"N/A",$P472&lt;&gt;"No Min RQ"),_xlpm.slp,AND($T472&lt;&gt;"",$T472&lt;&gt;"N/A",$T472&lt;&gt;"No Min RQ"),_xlpm.ffp,AND($X472&lt;&gt;"",$X472&lt;&gt;"N/A",$X472&lt;&gt;"No Min RQ"),_xlpm.chp,AND($AB472&lt;&gt;"",$AB472&lt;&gt;"N/A",$AB472&lt;&gt;"No Min RQ"),_xlpm.usp,AND($AF472&lt;&gt;"",$AF472&lt;&gt;"N/A",$AF472&lt;&gt;"No Min RQ"),_xlpm.n,_xlpm.sfp+_xlpm.slp+_xlpm.ffp+_xlpm.chp+_xlpm.usp,_xlpm.sub,(_xlpm.sfp*($P472="Submitted"))+(_xlpm.slp*($T472="Submitted"))+(_xlpm.ffp*($X472="Submitted"))+(_xlpm.chp*($AB472="Submitted"))+(_xlpm.usp*($AF472="Submitted")),_xlpm.term,(_xlpm.sfp*OR($P472="Approved",$P472="Declined"))+(_xlpm.slp*OR($T472="Approved",$T472="Declined"))+(_xlpm.ffp*OR($X472="Approved",$X472="Declined"))+(_xlpm.chp*OR($AB472="Approved",$AB472="Declined"))+(_xlpm.usp*OR($AF472="Approved",$AF472="Declined")),IF(_xlpm.n=0,"No applicable lenders",IF(_xlpm.sub&gt;0,"Stays with Shaw - lender still Submitted",IF(_xlpm.term=_xlpm.n,"Clear - all applicable lenders Approved or Declined","Stays with Shaw - not all lenders Approved or Declined")))))</f>
      </c>
    </row>
    <row r="473" spans="80:80">
      <c r="CB473" s="131">
        <f>IF($A473="","",_xlfn.LET(_xlpm.sfp,AND($P473&lt;&gt;"",$P473&lt;&gt;"N/A",$P473&lt;&gt;"No Min RQ"),_xlpm.slp,AND($T473&lt;&gt;"",$T473&lt;&gt;"N/A",$T473&lt;&gt;"No Min RQ"),_xlpm.ffp,AND($X473&lt;&gt;"",$X473&lt;&gt;"N/A",$X473&lt;&gt;"No Min RQ"),_xlpm.chp,AND($AB473&lt;&gt;"",$AB473&lt;&gt;"N/A",$AB473&lt;&gt;"No Min RQ"),_xlpm.usp,AND($AF473&lt;&gt;"",$AF473&lt;&gt;"N/A",$AF473&lt;&gt;"No Min RQ"),_xlpm.n,_xlpm.sfp+_xlpm.slp+_xlpm.ffp+_xlpm.chp+_xlpm.usp,_xlpm.sub,(_xlpm.sfp*($P473="Submitted"))+(_xlpm.slp*($T473="Submitted"))+(_xlpm.ffp*($X473="Submitted"))+(_xlpm.chp*($AB473="Submitted"))+(_xlpm.usp*($AF473="Submitted")),_xlpm.term,(_xlpm.sfp*OR($P473="Approved",$P473="Declined"))+(_xlpm.slp*OR($T473="Approved",$T473="Declined"))+(_xlpm.ffp*OR($X473="Approved",$X473="Declined"))+(_xlpm.chp*OR($AB473="Approved",$AB473="Declined"))+(_xlpm.usp*OR($AF473="Approved",$AF473="Declined")),IF(_xlpm.n=0,"No applicable lenders",IF(_xlpm.sub&gt;0,"Stays with Shaw - lender still Submitted",IF(_xlpm.term=_xlpm.n,"Clear - all applicable lenders Approved or Declined","Stays with Shaw - not all lenders Approved or Declined")))))</f>
      </c>
    </row>
    <row r="474" spans="80:80">
      <c r="CB474" s="131">
        <f>IF($A474="","",_xlfn.LET(_xlpm.sfp,AND($P474&lt;&gt;"",$P474&lt;&gt;"N/A",$P474&lt;&gt;"No Min RQ"),_xlpm.slp,AND($T474&lt;&gt;"",$T474&lt;&gt;"N/A",$T474&lt;&gt;"No Min RQ"),_xlpm.ffp,AND($X474&lt;&gt;"",$X474&lt;&gt;"N/A",$X474&lt;&gt;"No Min RQ"),_xlpm.chp,AND($AB474&lt;&gt;"",$AB474&lt;&gt;"N/A",$AB474&lt;&gt;"No Min RQ"),_xlpm.usp,AND($AF474&lt;&gt;"",$AF474&lt;&gt;"N/A",$AF474&lt;&gt;"No Min RQ"),_xlpm.n,_xlpm.sfp+_xlpm.slp+_xlpm.ffp+_xlpm.chp+_xlpm.usp,_xlpm.sub,(_xlpm.sfp*($P474="Submitted"))+(_xlpm.slp*($T474="Submitted"))+(_xlpm.ffp*($X474="Submitted"))+(_xlpm.chp*($AB474="Submitted"))+(_xlpm.usp*($AF474="Submitted")),_xlpm.term,(_xlpm.sfp*OR($P474="Approved",$P474="Declined"))+(_xlpm.slp*OR($T474="Approved",$T474="Declined"))+(_xlpm.ffp*OR($X474="Approved",$X474="Declined"))+(_xlpm.chp*OR($AB474="Approved",$AB474="Declined"))+(_xlpm.usp*OR($AF474="Approved",$AF474="Declined")),IF(_xlpm.n=0,"No applicable lenders",IF(_xlpm.sub&gt;0,"Stays with Shaw - lender still Submitted",IF(_xlpm.term=_xlpm.n,"Clear - all applicable lenders Approved or Declined","Stays with Shaw - not all lenders Approved or Declined")))))</f>
      </c>
    </row>
    <row r="475" spans="80:80">
      <c r="CB475" s="131">
        <f>IF($A475="","",_xlfn.LET(_xlpm.sfp,AND($P475&lt;&gt;"",$P475&lt;&gt;"N/A",$P475&lt;&gt;"No Min RQ"),_xlpm.slp,AND($T475&lt;&gt;"",$T475&lt;&gt;"N/A",$T475&lt;&gt;"No Min RQ"),_xlpm.ffp,AND($X475&lt;&gt;"",$X475&lt;&gt;"N/A",$X475&lt;&gt;"No Min RQ"),_xlpm.chp,AND($AB475&lt;&gt;"",$AB475&lt;&gt;"N/A",$AB475&lt;&gt;"No Min RQ"),_xlpm.usp,AND($AF475&lt;&gt;"",$AF475&lt;&gt;"N/A",$AF475&lt;&gt;"No Min RQ"),_xlpm.n,_xlpm.sfp+_xlpm.slp+_xlpm.ffp+_xlpm.chp+_xlpm.usp,_xlpm.sub,(_xlpm.sfp*($P475="Submitted"))+(_xlpm.slp*($T475="Submitted"))+(_xlpm.ffp*($X475="Submitted"))+(_xlpm.chp*($AB475="Submitted"))+(_xlpm.usp*($AF475="Submitted")),_xlpm.term,(_xlpm.sfp*OR($P475="Approved",$P475="Declined"))+(_xlpm.slp*OR($T475="Approved",$T475="Declined"))+(_xlpm.ffp*OR($X475="Approved",$X475="Declined"))+(_xlpm.chp*OR($AB475="Approved",$AB475="Declined"))+(_xlpm.usp*OR($AF475="Approved",$AF475="Declined")),IF(_xlpm.n=0,"No applicable lenders",IF(_xlpm.sub&gt;0,"Stays with Shaw - lender still Submitted",IF(_xlpm.term=_xlpm.n,"Clear - all applicable lenders Approved or Declined","Stays with Shaw - not all lenders Approved or Declined")))))</f>
      </c>
    </row>
    <row r="476" spans="80:80">
      <c r="CB476" s="131">
        <f>IF($A476="","",_xlfn.LET(_xlpm.sfp,AND($P476&lt;&gt;"",$P476&lt;&gt;"N/A",$P476&lt;&gt;"No Min RQ"),_xlpm.slp,AND($T476&lt;&gt;"",$T476&lt;&gt;"N/A",$T476&lt;&gt;"No Min RQ"),_xlpm.ffp,AND($X476&lt;&gt;"",$X476&lt;&gt;"N/A",$X476&lt;&gt;"No Min RQ"),_xlpm.chp,AND($AB476&lt;&gt;"",$AB476&lt;&gt;"N/A",$AB476&lt;&gt;"No Min RQ"),_xlpm.usp,AND($AF476&lt;&gt;"",$AF476&lt;&gt;"N/A",$AF476&lt;&gt;"No Min RQ"),_xlpm.n,_xlpm.sfp+_xlpm.slp+_xlpm.ffp+_xlpm.chp+_xlpm.usp,_xlpm.sub,(_xlpm.sfp*($P476="Submitted"))+(_xlpm.slp*($T476="Submitted"))+(_xlpm.ffp*($X476="Submitted"))+(_xlpm.chp*($AB476="Submitted"))+(_xlpm.usp*($AF476="Submitted")),_xlpm.term,(_xlpm.sfp*OR($P476="Approved",$P476="Declined"))+(_xlpm.slp*OR($T476="Approved",$T476="Declined"))+(_xlpm.ffp*OR($X476="Approved",$X476="Declined"))+(_xlpm.chp*OR($AB476="Approved",$AB476="Declined"))+(_xlpm.usp*OR($AF476="Approved",$AF476="Declined")),IF(_xlpm.n=0,"No applicable lenders",IF(_xlpm.sub&gt;0,"Stays with Shaw - lender still Submitted",IF(_xlpm.term=_xlpm.n,"Clear - all applicable lenders Approved or Declined","Stays with Shaw - not all lenders Approved or Declined")))))</f>
      </c>
    </row>
    <row r="477" spans="80:80">
      <c r="CB477" s="131">
        <f>IF($A477="","",_xlfn.LET(_xlpm.sfp,AND($P477&lt;&gt;"",$P477&lt;&gt;"N/A",$P477&lt;&gt;"No Min RQ"),_xlpm.slp,AND($T477&lt;&gt;"",$T477&lt;&gt;"N/A",$T477&lt;&gt;"No Min RQ"),_xlpm.ffp,AND($X477&lt;&gt;"",$X477&lt;&gt;"N/A",$X477&lt;&gt;"No Min RQ"),_xlpm.chp,AND($AB477&lt;&gt;"",$AB477&lt;&gt;"N/A",$AB477&lt;&gt;"No Min RQ"),_xlpm.usp,AND($AF477&lt;&gt;"",$AF477&lt;&gt;"N/A",$AF477&lt;&gt;"No Min RQ"),_xlpm.n,_xlpm.sfp+_xlpm.slp+_xlpm.ffp+_xlpm.chp+_xlpm.usp,_xlpm.sub,(_xlpm.sfp*($P477="Submitted"))+(_xlpm.slp*($T477="Submitted"))+(_xlpm.ffp*($X477="Submitted"))+(_xlpm.chp*($AB477="Submitted"))+(_xlpm.usp*($AF477="Submitted")),_xlpm.term,(_xlpm.sfp*OR($P477="Approved",$P477="Declined"))+(_xlpm.slp*OR($T477="Approved",$T477="Declined"))+(_xlpm.ffp*OR($X477="Approved",$X477="Declined"))+(_xlpm.chp*OR($AB477="Approved",$AB477="Declined"))+(_xlpm.usp*OR($AF477="Approved",$AF477="Declined")),IF(_xlpm.n=0,"No applicable lenders",IF(_xlpm.sub&gt;0,"Stays with Shaw - lender still Submitted",IF(_xlpm.term=_xlpm.n,"Clear - all applicable lenders Approved or Declined","Stays with Shaw - not all lenders Approved or Declined")))))</f>
      </c>
    </row>
    <row r="478" spans="80:80">
      <c r="CB478" s="131">
        <f>IF($A478="","",_xlfn.LET(_xlpm.sfp,AND($P478&lt;&gt;"",$P478&lt;&gt;"N/A",$P478&lt;&gt;"No Min RQ"),_xlpm.slp,AND($T478&lt;&gt;"",$T478&lt;&gt;"N/A",$T478&lt;&gt;"No Min RQ"),_xlpm.ffp,AND($X478&lt;&gt;"",$X478&lt;&gt;"N/A",$X478&lt;&gt;"No Min RQ"),_xlpm.chp,AND($AB478&lt;&gt;"",$AB478&lt;&gt;"N/A",$AB478&lt;&gt;"No Min RQ"),_xlpm.usp,AND($AF478&lt;&gt;"",$AF478&lt;&gt;"N/A",$AF478&lt;&gt;"No Min RQ"),_xlpm.n,_xlpm.sfp+_xlpm.slp+_xlpm.ffp+_xlpm.chp+_xlpm.usp,_xlpm.sub,(_xlpm.sfp*($P478="Submitted"))+(_xlpm.slp*($T478="Submitted"))+(_xlpm.ffp*($X478="Submitted"))+(_xlpm.chp*($AB478="Submitted"))+(_xlpm.usp*($AF478="Submitted")),_xlpm.term,(_xlpm.sfp*OR($P478="Approved",$P478="Declined"))+(_xlpm.slp*OR($T478="Approved",$T478="Declined"))+(_xlpm.ffp*OR($X478="Approved",$X478="Declined"))+(_xlpm.chp*OR($AB478="Approved",$AB478="Declined"))+(_xlpm.usp*OR($AF478="Approved",$AF478="Declined")),IF(_xlpm.n=0,"No applicable lenders",IF(_xlpm.sub&gt;0,"Stays with Shaw - lender still Submitted",IF(_xlpm.term=_xlpm.n,"Clear - all applicable lenders Approved or Declined","Stays with Shaw - not all lenders Approved or Declined")))))</f>
      </c>
    </row>
    <row r="479" spans="80:80">
      <c r="CB479" s="131">
        <f>IF($A479="","",_xlfn.LET(_xlpm.sfp,AND($P479&lt;&gt;"",$P479&lt;&gt;"N/A",$P479&lt;&gt;"No Min RQ"),_xlpm.slp,AND($T479&lt;&gt;"",$T479&lt;&gt;"N/A",$T479&lt;&gt;"No Min RQ"),_xlpm.ffp,AND($X479&lt;&gt;"",$X479&lt;&gt;"N/A",$X479&lt;&gt;"No Min RQ"),_xlpm.chp,AND($AB479&lt;&gt;"",$AB479&lt;&gt;"N/A",$AB479&lt;&gt;"No Min RQ"),_xlpm.usp,AND($AF479&lt;&gt;"",$AF479&lt;&gt;"N/A",$AF479&lt;&gt;"No Min RQ"),_xlpm.n,_xlpm.sfp+_xlpm.slp+_xlpm.ffp+_xlpm.chp+_xlpm.usp,_xlpm.sub,(_xlpm.sfp*($P479="Submitted"))+(_xlpm.slp*($T479="Submitted"))+(_xlpm.ffp*($X479="Submitted"))+(_xlpm.chp*($AB479="Submitted"))+(_xlpm.usp*($AF479="Submitted")),_xlpm.term,(_xlpm.sfp*OR($P479="Approved",$P479="Declined"))+(_xlpm.slp*OR($T479="Approved",$T479="Declined"))+(_xlpm.ffp*OR($X479="Approved",$X479="Declined"))+(_xlpm.chp*OR($AB479="Approved",$AB479="Declined"))+(_xlpm.usp*OR($AF479="Approved",$AF479="Declined")),IF(_xlpm.n=0,"No applicable lenders",IF(_xlpm.sub&gt;0,"Stays with Shaw - lender still Submitted",IF(_xlpm.term=_xlpm.n,"Clear - all applicable lenders Approved or Declined","Stays with Shaw - not all lenders Approved or Declined")))))</f>
      </c>
    </row>
    <row r="480" spans="80:80">
      <c r="CB480" s="131">
        <f>IF($A480="","",_xlfn.LET(_xlpm.sfp,AND($P480&lt;&gt;"",$P480&lt;&gt;"N/A",$P480&lt;&gt;"No Min RQ"),_xlpm.slp,AND($T480&lt;&gt;"",$T480&lt;&gt;"N/A",$T480&lt;&gt;"No Min RQ"),_xlpm.ffp,AND($X480&lt;&gt;"",$X480&lt;&gt;"N/A",$X480&lt;&gt;"No Min RQ"),_xlpm.chp,AND($AB480&lt;&gt;"",$AB480&lt;&gt;"N/A",$AB480&lt;&gt;"No Min RQ"),_xlpm.usp,AND($AF480&lt;&gt;"",$AF480&lt;&gt;"N/A",$AF480&lt;&gt;"No Min RQ"),_xlpm.n,_xlpm.sfp+_xlpm.slp+_xlpm.ffp+_xlpm.chp+_xlpm.usp,_xlpm.sub,(_xlpm.sfp*($P480="Submitted"))+(_xlpm.slp*($T480="Submitted"))+(_xlpm.ffp*($X480="Submitted"))+(_xlpm.chp*($AB480="Submitted"))+(_xlpm.usp*($AF480="Submitted")),_xlpm.term,(_xlpm.sfp*OR($P480="Approved",$P480="Declined"))+(_xlpm.slp*OR($T480="Approved",$T480="Declined"))+(_xlpm.ffp*OR($X480="Approved",$X480="Declined"))+(_xlpm.chp*OR($AB480="Approved",$AB480="Declined"))+(_xlpm.usp*OR($AF480="Approved",$AF480="Declined")),IF(_xlpm.n=0,"No applicable lenders",IF(_xlpm.sub&gt;0,"Stays with Shaw - lender still Submitted",IF(_xlpm.term=_xlpm.n,"Clear - all applicable lenders Approved or Declined","Stays with Shaw - not all lenders Approved or Declined")))))</f>
      </c>
    </row>
    <row r="481" spans="80:80">
      <c r="CB481" s="131">
        <f>IF($A481="","",_xlfn.LET(_xlpm.sfp,AND($P481&lt;&gt;"",$P481&lt;&gt;"N/A",$P481&lt;&gt;"No Min RQ"),_xlpm.slp,AND($T481&lt;&gt;"",$T481&lt;&gt;"N/A",$T481&lt;&gt;"No Min RQ"),_xlpm.ffp,AND($X481&lt;&gt;"",$X481&lt;&gt;"N/A",$X481&lt;&gt;"No Min RQ"),_xlpm.chp,AND($AB481&lt;&gt;"",$AB481&lt;&gt;"N/A",$AB481&lt;&gt;"No Min RQ"),_xlpm.usp,AND($AF481&lt;&gt;"",$AF481&lt;&gt;"N/A",$AF481&lt;&gt;"No Min RQ"),_xlpm.n,_xlpm.sfp+_xlpm.slp+_xlpm.ffp+_xlpm.chp+_xlpm.usp,_xlpm.sub,(_xlpm.sfp*($P481="Submitted"))+(_xlpm.slp*($T481="Submitted"))+(_xlpm.ffp*($X481="Submitted"))+(_xlpm.chp*($AB481="Submitted"))+(_xlpm.usp*($AF481="Submitted")),_xlpm.term,(_xlpm.sfp*OR($P481="Approved",$P481="Declined"))+(_xlpm.slp*OR($T481="Approved",$T481="Declined"))+(_xlpm.ffp*OR($X481="Approved",$X481="Declined"))+(_xlpm.chp*OR($AB481="Approved",$AB481="Declined"))+(_xlpm.usp*OR($AF481="Approved",$AF481="Declined")),IF(_xlpm.n=0,"No applicable lenders",IF(_xlpm.sub&gt;0,"Stays with Shaw - lender still Submitted",IF(_xlpm.term=_xlpm.n,"Clear - all applicable lenders Approved or Declined","Stays with Shaw - not all lenders Approved or Declined")))))</f>
      </c>
    </row>
    <row r="482" spans="80:80">
      <c r="CB482" s="131">
        <f>IF($A482="","",_xlfn.LET(_xlpm.sfp,AND($P482&lt;&gt;"",$P482&lt;&gt;"N/A",$P482&lt;&gt;"No Min RQ"),_xlpm.slp,AND($T482&lt;&gt;"",$T482&lt;&gt;"N/A",$T482&lt;&gt;"No Min RQ"),_xlpm.ffp,AND($X482&lt;&gt;"",$X482&lt;&gt;"N/A",$X482&lt;&gt;"No Min RQ"),_xlpm.chp,AND($AB482&lt;&gt;"",$AB482&lt;&gt;"N/A",$AB482&lt;&gt;"No Min RQ"),_xlpm.usp,AND($AF482&lt;&gt;"",$AF482&lt;&gt;"N/A",$AF482&lt;&gt;"No Min RQ"),_xlpm.n,_xlpm.sfp+_xlpm.slp+_xlpm.ffp+_xlpm.chp+_xlpm.usp,_xlpm.sub,(_xlpm.sfp*($P482="Submitted"))+(_xlpm.slp*($T482="Submitted"))+(_xlpm.ffp*($X482="Submitted"))+(_xlpm.chp*($AB482="Submitted"))+(_xlpm.usp*($AF482="Submitted")),_xlpm.term,(_xlpm.sfp*OR($P482="Approved",$P482="Declined"))+(_xlpm.slp*OR($T482="Approved",$T482="Declined"))+(_xlpm.ffp*OR($X482="Approved",$X482="Declined"))+(_xlpm.chp*OR($AB482="Approved",$AB482="Declined"))+(_xlpm.usp*OR($AF482="Approved",$AF482="Declined")),IF(_xlpm.n=0,"No applicable lenders",IF(_xlpm.sub&gt;0,"Stays with Shaw - lender still Submitted",IF(_xlpm.term=_xlpm.n,"Clear - all applicable lenders Approved or Declined","Stays with Shaw - not all lenders Approved or Declined")))))</f>
      </c>
    </row>
    <row r="483" spans="80:80">
      <c r="CB483" s="131">
        <f>IF($A483="","",_xlfn.LET(_xlpm.sfp,AND($P483&lt;&gt;"",$P483&lt;&gt;"N/A",$P483&lt;&gt;"No Min RQ"),_xlpm.slp,AND($T483&lt;&gt;"",$T483&lt;&gt;"N/A",$T483&lt;&gt;"No Min RQ"),_xlpm.ffp,AND($X483&lt;&gt;"",$X483&lt;&gt;"N/A",$X483&lt;&gt;"No Min RQ"),_xlpm.chp,AND($AB483&lt;&gt;"",$AB483&lt;&gt;"N/A",$AB483&lt;&gt;"No Min RQ"),_xlpm.usp,AND($AF483&lt;&gt;"",$AF483&lt;&gt;"N/A",$AF483&lt;&gt;"No Min RQ"),_xlpm.n,_xlpm.sfp+_xlpm.slp+_xlpm.ffp+_xlpm.chp+_xlpm.usp,_xlpm.sub,(_xlpm.sfp*($P483="Submitted"))+(_xlpm.slp*($T483="Submitted"))+(_xlpm.ffp*($X483="Submitted"))+(_xlpm.chp*($AB483="Submitted"))+(_xlpm.usp*($AF483="Submitted")),_xlpm.term,(_xlpm.sfp*OR($P483="Approved",$P483="Declined"))+(_xlpm.slp*OR($T483="Approved",$T483="Declined"))+(_xlpm.ffp*OR($X483="Approved",$X483="Declined"))+(_xlpm.chp*OR($AB483="Approved",$AB483="Declined"))+(_xlpm.usp*OR($AF483="Approved",$AF483="Declined")),IF(_xlpm.n=0,"No applicable lenders",IF(_xlpm.sub&gt;0,"Stays with Shaw - lender still Submitted",IF(_xlpm.term=_xlpm.n,"Clear - all applicable lenders Approved or Declined","Stays with Shaw - not all lenders Approved or Declined")))))</f>
      </c>
    </row>
    <row r="484" spans="80:80">
      <c r="CB484" s="131">
        <f>IF($A484="","",_xlfn.LET(_xlpm.sfp,AND($P484&lt;&gt;"",$P484&lt;&gt;"N/A",$P484&lt;&gt;"No Min RQ"),_xlpm.slp,AND($T484&lt;&gt;"",$T484&lt;&gt;"N/A",$T484&lt;&gt;"No Min RQ"),_xlpm.ffp,AND($X484&lt;&gt;"",$X484&lt;&gt;"N/A",$X484&lt;&gt;"No Min RQ"),_xlpm.chp,AND($AB484&lt;&gt;"",$AB484&lt;&gt;"N/A",$AB484&lt;&gt;"No Min RQ"),_xlpm.usp,AND($AF484&lt;&gt;"",$AF484&lt;&gt;"N/A",$AF484&lt;&gt;"No Min RQ"),_xlpm.n,_xlpm.sfp+_xlpm.slp+_xlpm.ffp+_xlpm.chp+_xlpm.usp,_xlpm.sub,(_xlpm.sfp*($P484="Submitted"))+(_xlpm.slp*($T484="Submitted"))+(_xlpm.ffp*($X484="Submitted"))+(_xlpm.chp*($AB484="Submitted"))+(_xlpm.usp*($AF484="Submitted")),_xlpm.term,(_xlpm.sfp*OR($P484="Approved",$P484="Declined"))+(_xlpm.slp*OR($T484="Approved",$T484="Declined"))+(_xlpm.ffp*OR($X484="Approved",$X484="Declined"))+(_xlpm.chp*OR($AB484="Approved",$AB484="Declined"))+(_xlpm.usp*OR($AF484="Approved",$AF484="Declined")),IF(_xlpm.n=0,"No applicable lenders",IF(_xlpm.sub&gt;0,"Stays with Shaw - lender still Submitted",IF(_xlpm.term=_xlpm.n,"Clear - all applicable lenders Approved or Declined","Stays with Shaw - not all lenders Approved or Declined")))))</f>
      </c>
    </row>
    <row r="485" spans="80:80">
      <c r="CB485" s="131">
        <f>IF($A485="","",_xlfn.LET(_xlpm.sfp,AND($P485&lt;&gt;"",$P485&lt;&gt;"N/A",$P485&lt;&gt;"No Min RQ"),_xlpm.slp,AND($T485&lt;&gt;"",$T485&lt;&gt;"N/A",$T485&lt;&gt;"No Min RQ"),_xlpm.ffp,AND($X485&lt;&gt;"",$X485&lt;&gt;"N/A",$X485&lt;&gt;"No Min RQ"),_xlpm.chp,AND($AB485&lt;&gt;"",$AB485&lt;&gt;"N/A",$AB485&lt;&gt;"No Min RQ"),_xlpm.usp,AND($AF485&lt;&gt;"",$AF485&lt;&gt;"N/A",$AF485&lt;&gt;"No Min RQ"),_xlpm.n,_xlpm.sfp+_xlpm.slp+_xlpm.ffp+_xlpm.chp+_xlpm.usp,_xlpm.sub,(_xlpm.sfp*($P485="Submitted"))+(_xlpm.slp*($T485="Submitted"))+(_xlpm.ffp*($X485="Submitted"))+(_xlpm.chp*($AB485="Submitted"))+(_xlpm.usp*($AF485="Submitted")),_xlpm.term,(_xlpm.sfp*OR($P485="Approved",$P485="Declined"))+(_xlpm.slp*OR($T485="Approved",$T485="Declined"))+(_xlpm.ffp*OR($X485="Approved",$X485="Declined"))+(_xlpm.chp*OR($AB485="Approved",$AB485="Declined"))+(_xlpm.usp*OR($AF485="Approved",$AF485="Declined")),IF(_xlpm.n=0,"No applicable lenders",IF(_xlpm.sub&gt;0,"Stays with Shaw - lender still Submitted",IF(_xlpm.term=_xlpm.n,"Clear - all applicable lenders Approved or Declined","Stays with Shaw - not all lenders Approved or Declined")))))</f>
      </c>
    </row>
    <row r="486" spans="80:80">
      <c r="CB486" s="131">
        <f>IF($A486="","",_xlfn.LET(_xlpm.sfp,AND($P486&lt;&gt;"",$P486&lt;&gt;"N/A",$P486&lt;&gt;"No Min RQ"),_xlpm.slp,AND($T486&lt;&gt;"",$T486&lt;&gt;"N/A",$T486&lt;&gt;"No Min RQ"),_xlpm.ffp,AND($X486&lt;&gt;"",$X486&lt;&gt;"N/A",$X486&lt;&gt;"No Min RQ"),_xlpm.chp,AND($AB486&lt;&gt;"",$AB486&lt;&gt;"N/A",$AB486&lt;&gt;"No Min RQ"),_xlpm.usp,AND($AF486&lt;&gt;"",$AF486&lt;&gt;"N/A",$AF486&lt;&gt;"No Min RQ"),_xlpm.n,_xlpm.sfp+_xlpm.slp+_xlpm.ffp+_xlpm.chp+_xlpm.usp,_xlpm.sub,(_xlpm.sfp*($P486="Submitted"))+(_xlpm.slp*($T486="Submitted"))+(_xlpm.ffp*($X486="Submitted"))+(_xlpm.chp*($AB486="Submitted"))+(_xlpm.usp*($AF486="Submitted")),_xlpm.term,(_xlpm.sfp*OR($P486="Approved",$P486="Declined"))+(_xlpm.slp*OR($T486="Approved",$T486="Declined"))+(_xlpm.ffp*OR($X486="Approved",$X486="Declined"))+(_xlpm.chp*OR($AB486="Approved",$AB486="Declined"))+(_xlpm.usp*OR($AF486="Approved",$AF486="Declined")),IF(_xlpm.n=0,"No applicable lenders",IF(_xlpm.sub&gt;0,"Stays with Shaw - lender still Submitted",IF(_xlpm.term=_xlpm.n,"Clear - all applicable lenders Approved or Declined","Stays with Shaw - not all lenders Approved or Declined")))))</f>
      </c>
    </row>
    <row r="487" spans="80:80">
      <c r="CB487" s="131">
        <f>IF($A487="","",_xlfn.LET(_xlpm.sfp,AND($P487&lt;&gt;"",$P487&lt;&gt;"N/A",$P487&lt;&gt;"No Min RQ"),_xlpm.slp,AND($T487&lt;&gt;"",$T487&lt;&gt;"N/A",$T487&lt;&gt;"No Min RQ"),_xlpm.ffp,AND($X487&lt;&gt;"",$X487&lt;&gt;"N/A",$X487&lt;&gt;"No Min RQ"),_xlpm.chp,AND($AB487&lt;&gt;"",$AB487&lt;&gt;"N/A",$AB487&lt;&gt;"No Min RQ"),_xlpm.usp,AND($AF487&lt;&gt;"",$AF487&lt;&gt;"N/A",$AF487&lt;&gt;"No Min RQ"),_xlpm.n,_xlpm.sfp+_xlpm.slp+_xlpm.ffp+_xlpm.chp+_xlpm.usp,_xlpm.sub,(_xlpm.sfp*($P487="Submitted"))+(_xlpm.slp*($T487="Submitted"))+(_xlpm.ffp*($X487="Submitted"))+(_xlpm.chp*($AB487="Submitted"))+(_xlpm.usp*($AF487="Submitted")),_xlpm.term,(_xlpm.sfp*OR($P487="Approved",$P487="Declined"))+(_xlpm.slp*OR($T487="Approved",$T487="Declined"))+(_xlpm.ffp*OR($X487="Approved",$X487="Declined"))+(_xlpm.chp*OR($AB487="Approved",$AB487="Declined"))+(_xlpm.usp*OR($AF487="Approved",$AF487="Declined")),IF(_xlpm.n=0,"No applicable lenders",IF(_xlpm.sub&gt;0,"Stays with Shaw - lender still Submitted",IF(_xlpm.term=_xlpm.n,"Clear - all applicable lenders Approved or Declined","Stays with Shaw - not all lenders Approved or Declined")))))</f>
      </c>
    </row>
    <row r="488" spans="80:80">
      <c r="CB488" s="131">
        <f>IF($A488="","",_xlfn.LET(_xlpm.sfp,AND($P488&lt;&gt;"",$P488&lt;&gt;"N/A",$P488&lt;&gt;"No Min RQ"),_xlpm.slp,AND($T488&lt;&gt;"",$T488&lt;&gt;"N/A",$T488&lt;&gt;"No Min RQ"),_xlpm.ffp,AND($X488&lt;&gt;"",$X488&lt;&gt;"N/A",$X488&lt;&gt;"No Min RQ"),_xlpm.chp,AND($AB488&lt;&gt;"",$AB488&lt;&gt;"N/A",$AB488&lt;&gt;"No Min RQ"),_xlpm.usp,AND($AF488&lt;&gt;"",$AF488&lt;&gt;"N/A",$AF488&lt;&gt;"No Min RQ"),_xlpm.n,_xlpm.sfp+_xlpm.slp+_xlpm.ffp+_xlpm.chp+_xlpm.usp,_xlpm.sub,(_xlpm.sfp*($P488="Submitted"))+(_xlpm.slp*($T488="Submitted"))+(_xlpm.ffp*($X488="Submitted"))+(_xlpm.chp*($AB488="Submitted"))+(_xlpm.usp*($AF488="Submitted")),_xlpm.term,(_xlpm.sfp*OR($P488="Approved",$P488="Declined"))+(_xlpm.slp*OR($T488="Approved",$T488="Declined"))+(_xlpm.ffp*OR($X488="Approved",$X488="Declined"))+(_xlpm.chp*OR($AB488="Approved",$AB488="Declined"))+(_xlpm.usp*OR($AF488="Approved",$AF488="Declined")),IF(_xlpm.n=0,"No applicable lenders",IF(_xlpm.sub&gt;0,"Stays with Shaw - lender still Submitted",IF(_xlpm.term=_xlpm.n,"Clear - all applicable lenders Approved or Declined","Stays with Shaw - not all lenders Approved or Declined")))))</f>
      </c>
    </row>
    <row r="489" spans="80:80">
      <c r="CB489" s="131">
        <f>IF($A489="","",_xlfn.LET(_xlpm.sfp,AND($P489&lt;&gt;"",$P489&lt;&gt;"N/A",$P489&lt;&gt;"No Min RQ"),_xlpm.slp,AND($T489&lt;&gt;"",$T489&lt;&gt;"N/A",$T489&lt;&gt;"No Min RQ"),_xlpm.ffp,AND($X489&lt;&gt;"",$X489&lt;&gt;"N/A",$X489&lt;&gt;"No Min RQ"),_xlpm.chp,AND($AB489&lt;&gt;"",$AB489&lt;&gt;"N/A",$AB489&lt;&gt;"No Min RQ"),_xlpm.usp,AND($AF489&lt;&gt;"",$AF489&lt;&gt;"N/A",$AF489&lt;&gt;"No Min RQ"),_xlpm.n,_xlpm.sfp+_xlpm.slp+_xlpm.ffp+_xlpm.chp+_xlpm.usp,_xlpm.sub,(_xlpm.sfp*($P489="Submitted"))+(_xlpm.slp*($T489="Submitted"))+(_xlpm.ffp*($X489="Submitted"))+(_xlpm.chp*($AB489="Submitted"))+(_xlpm.usp*($AF489="Submitted")),_xlpm.term,(_xlpm.sfp*OR($P489="Approved",$P489="Declined"))+(_xlpm.slp*OR($T489="Approved",$T489="Declined"))+(_xlpm.ffp*OR($X489="Approved",$X489="Declined"))+(_xlpm.chp*OR($AB489="Approved",$AB489="Declined"))+(_xlpm.usp*OR($AF489="Approved",$AF489="Declined")),IF(_xlpm.n=0,"No applicable lenders",IF(_xlpm.sub&gt;0,"Stays with Shaw - lender still Submitted",IF(_xlpm.term=_xlpm.n,"Clear - all applicable lenders Approved or Declined","Stays with Shaw - not all lenders Approved or Declined")))))</f>
      </c>
    </row>
    <row r="490" spans="80:80">
      <c r="CB490" s="131">
        <f>IF($A490="","",_xlfn.LET(_xlpm.sfp,AND($P490&lt;&gt;"",$P490&lt;&gt;"N/A",$P490&lt;&gt;"No Min RQ"),_xlpm.slp,AND($T490&lt;&gt;"",$T490&lt;&gt;"N/A",$T490&lt;&gt;"No Min RQ"),_xlpm.ffp,AND($X490&lt;&gt;"",$X490&lt;&gt;"N/A",$X490&lt;&gt;"No Min RQ"),_xlpm.chp,AND($AB490&lt;&gt;"",$AB490&lt;&gt;"N/A",$AB490&lt;&gt;"No Min RQ"),_xlpm.usp,AND($AF490&lt;&gt;"",$AF490&lt;&gt;"N/A",$AF490&lt;&gt;"No Min RQ"),_xlpm.n,_xlpm.sfp+_xlpm.slp+_xlpm.ffp+_xlpm.chp+_xlpm.usp,_xlpm.sub,(_xlpm.sfp*($P490="Submitted"))+(_xlpm.slp*($T490="Submitted"))+(_xlpm.ffp*($X490="Submitted"))+(_xlpm.chp*($AB490="Submitted"))+(_xlpm.usp*($AF490="Submitted")),_xlpm.term,(_xlpm.sfp*OR($P490="Approved",$P490="Declined"))+(_xlpm.slp*OR($T490="Approved",$T490="Declined"))+(_xlpm.ffp*OR($X490="Approved",$X490="Declined"))+(_xlpm.chp*OR($AB490="Approved",$AB490="Declined"))+(_xlpm.usp*OR($AF490="Approved",$AF490="Declined")),IF(_xlpm.n=0,"No applicable lenders",IF(_xlpm.sub&gt;0,"Stays with Shaw - lender still Submitted",IF(_xlpm.term=_xlpm.n,"Clear - all applicable lenders Approved or Declined","Stays with Shaw - not all lenders Approved or Declined")))))</f>
      </c>
    </row>
    <row r="491" spans="80:80">
      <c r="CB491" s="131">
        <f>IF($A491="","",_xlfn.LET(_xlpm.sfp,AND($P491&lt;&gt;"",$P491&lt;&gt;"N/A",$P491&lt;&gt;"No Min RQ"),_xlpm.slp,AND($T491&lt;&gt;"",$T491&lt;&gt;"N/A",$T491&lt;&gt;"No Min RQ"),_xlpm.ffp,AND($X491&lt;&gt;"",$X491&lt;&gt;"N/A",$X491&lt;&gt;"No Min RQ"),_xlpm.chp,AND($AB491&lt;&gt;"",$AB491&lt;&gt;"N/A",$AB491&lt;&gt;"No Min RQ"),_xlpm.usp,AND($AF491&lt;&gt;"",$AF491&lt;&gt;"N/A",$AF491&lt;&gt;"No Min RQ"),_xlpm.n,_xlpm.sfp+_xlpm.slp+_xlpm.ffp+_xlpm.chp+_xlpm.usp,_xlpm.sub,(_xlpm.sfp*($P491="Submitted"))+(_xlpm.slp*($T491="Submitted"))+(_xlpm.ffp*($X491="Submitted"))+(_xlpm.chp*($AB491="Submitted"))+(_xlpm.usp*($AF491="Submitted")),_xlpm.term,(_xlpm.sfp*OR($P491="Approved",$P491="Declined"))+(_xlpm.slp*OR($T491="Approved",$T491="Declined"))+(_xlpm.ffp*OR($X491="Approved",$X491="Declined"))+(_xlpm.chp*OR($AB491="Approved",$AB491="Declined"))+(_xlpm.usp*OR($AF491="Approved",$AF491="Declined")),IF(_xlpm.n=0,"No applicable lenders",IF(_xlpm.sub&gt;0,"Stays with Shaw - lender still Submitted",IF(_xlpm.term=_xlpm.n,"Clear - all applicable lenders Approved or Declined","Stays with Shaw - not all lenders Approved or Declined")))))</f>
      </c>
    </row>
    <row r="492" spans="80:80">
      <c r="CB492" s="131">
        <f>IF($A492="","",_xlfn.LET(_xlpm.sfp,AND($P492&lt;&gt;"",$P492&lt;&gt;"N/A",$P492&lt;&gt;"No Min RQ"),_xlpm.slp,AND($T492&lt;&gt;"",$T492&lt;&gt;"N/A",$T492&lt;&gt;"No Min RQ"),_xlpm.ffp,AND($X492&lt;&gt;"",$X492&lt;&gt;"N/A",$X492&lt;&gt;"No Min RQ"),_xlpm.chp,AND($AB492&lt;&gt;"",$AB492&lt;&gt;"N/A",$AB492&lt;&gt;"No Min RQ"),_xlpm.usp,AND($AF492&lt;&gt;"",$AF492&lt;&gt;"N/A",$AF492&lt;&gt;"No Min RQ"),_xlpm.n,_xlpm.sfp+_xlpm.slp+_xlpm.ffp+_xlpm.chp+_xlpm.usp,_xlpm.sub,(_xlpm.sfp*($P492="Submitted"))+(_xlpm.slp*($T492="Submitted"))+(_xlpm.ffp*($X492="Submitted"))+(_xlpm.chp*($AB492="Submitted"))+(_xlpm.usp*($AF492="Submitted")),_xlpm.term,(_xlpm.sfp*OR($P492="Approved",$P492="Declined"))+(_xlpm.slp*OR($T492="Approved",$T492="Declined"))+(_xlpm.ffp*OR($X492="Approved",$X492="Declined"))+(_xlpm.chp*OR($AB492="Approved",$AB492="Declined"))+(_xlpm.usp*OR($AF492="Approved",$AF492="Declined")),IF(_xlpm.n=0,"No applicable lenders",IF(_xlpm.sub&gt;0,"Stays with Shaw - lender still Submitted",IF(_xlpm.term=_xlpm.n,"Clear - all applicable lenders Approved or Declined","Stays with Shaw - not all lenders Approved or Declined")))))</f>
      </c>
    </row>
    <row r="493" spans="80:80">
      <c r="CB493" s="131">
        <f>IF($A493="","",_xlfn.LET(_xlpm.sfp,AND($P493&lt;&gt;"",$P493&lt;&gt;"N/A",$P493&lt;&gt;"No Min RQ"),_xlpm.slp,AND($T493&lt;&gt;"",$T493&lt;&gt;"N/A",$T493&lt;&gt;"No Min RQ"),_xlpm.ffp,AND($X493&lt;&gt;"",$X493&lt;&gt;"N/A",$X493&lt;&gt;"No Min RQ"),_xlpm.chp,AND($AB493&lt;&gt;"",$AB493&lt;&gt;"N/A",$AB493&lt;&gt;"No Min RQ"),_xlpm.usp,AND($AF493&lt;&gt;"",$AF493&lt;&gt;"N/A",$AF493&lt;&gt;"No Min RQ"),_xlpm.n,_xlpm.sfp+_xlpm.slp+_xlpm.ffp+_xlpm.chp+_xlpm.usp,_xlpm.sub,(_xlpm.sfp*($P493="Submitted"))+(_xlpm.slp*($T493="Submitted"))+(_xlpm.ffp*($X493="Submitted"))+(_xlpm.chp*($AB493="Submitted"))+(_xlpm.usp*($AF493="Submitted")),_xlpm.term,(_xlpm.sfp*OR($P493="Approved",$P493="Declined"))+(_xlpm.slp*OR($T493="Approved",$T493="Declined"))+(_xlpm.ffp*OR($X493="Approved",$X493="Declined"))+(_xlpm.chp*OR($AB493="Approved",$AB493="Declined"))+(_xlpm.usp*OR($AF493="Approved",$AF493="Declined")),IF(_xlpm.n=0,"No applicable lenders",IF(_xlpm.sub&gt;0,"Stays with Shaw - lender still Submitted",IF(_xlpm.term=_xlpm.n,"Clear - all applicable lenders Approved or Declined","Stays with Shaw - not all lenders Approved or Declined")))))</f>
      </c>
    </row>
    <row r="494" spans="80:80">
      <c r="CB494" s="131">
        <f>IF($A494="","",_xlfn.LET(_xlpm.sfp,AND($P494&lt;&gt;"",$P494&lt;&gt;"N/A",$P494&lt;&gt;"No Min RQ"),_xlpm.slp,AND($T494&lt;&gt;"",$T494&lt;&gt;"N/A",$T494&lt;&gt;"No Min RQ"),_xlpm.ffp,AND($X494&lt;&gt;"",$X494&lt;&gt;"N/A",$X494&lt;&gt;"No Min RQ"),_xlpm.chp,AND($AB494&lt;&gt;"",$AB494&lt;&gt;"N/A",$AB494&lt;&gt;"No Min RQ"),_xlpm.usp,AND($AF494&lt;&gt;"",$AF494&lt;&gt;"N/A",$AF494&lt;&gt;"No Min RQ"),_xlpm.n,_xlpm.sfp+_xlpm.slp+_xlpm.ffp+_xlpm.chp+_xlpm.usp,_xlpm.sub,(_xlpm.sfp*($P494="Submitted"))+(_xlpm.slp*($T494="Submitted"))+(_xlpm.ffp*($X494="Submitted"))+(_xlpm.chp*($AB494="Submitted"))+(_xlpm.usp*($AF494="Submitted")),_xlpm.term,(_xlpm.sfp*OR($P494="Approved",$P494="Declined"))+(_xlpm.slp*OR($T494="Approved",$T494="Declined"))+(_xlpm.ffp*OR($X494="Approved",$X494="Declined"))+(_xlpm.chp*OR($AB494="Approved",$AB494="Declined"))+(_xlpm.usp*OR($AF494="Approved",$AF494="Declined")),IF(_xlpm.n=0,"No applicable lenders",IF(_xlpm.sub&gt;0,"Stays with Shaw - lender still Submitted",IF(_xlpm.term=_xlpm.n,"Clear - all applicable lenders Approved or Declined","Stays with Shaw - not all lenders Approved or Declined")))))</f>
      </c>
    </row>
    <row r="495" spans="80:80">
      <c r="CB495" s="131">
        <f>IF($A495="","",_xlfn.LET(_xlpm.sfp,AND($P495&lt;&gt;"",$P495&lt;&gt;"N/A",$P495&lt;&gt;"No Min RQ"),_xlpm.slp,AND($T495&lt;&gt;"",$T495&lt;&gt;"N/A",$T495&lt;&gt;"No Min RQ"),_xlpm.ffp,AND($X495&lt;&gt;"",$X495&lt;&gt;"N/A",$X495&lt;&gt;"No Min RQ"),_xlpm.chp,AND($AB495&lt;&gt;"",$AB495&lt;&gt;"N/A",$AB495&lt;&gt;"No Min RQ"),_xlpm.usp,AND($AF495&lt;&gt;"",$AF495&lt;&gt;"N/A",$AF495&lt;&gt;"No Min RQ"),_xlpm.n,_xlpm.sfp+_xlpm.slp+_xlpm.ffp+_xlpm.chp+_xlpm.usp,_xlpm.sub,(_xlpm.sfp*($P495="Submitted"))+(_xlpm.slp*($T495="Submitted"))+(_xlpm.ffp*($X495="Submitted"))+(_xlpm.chp*($AB495="Submitted"))+(_xlpm.usp*($AF495="Submitted")),_xlpm.term,(_xlpm.sfp*OR($P495="Approved",$P495="Declined"))+(_xlpm.slp*OR($T495="Approved",$T495="Declined"))+(_xlpm.ffp*OR($X495="Approved",$X495="Declined"))+(_xlpm.chp*OR($AB495="Approved",$AB495="Declined"))+(_xlpm.usp*OR($AF495="Approved",$AF495="Declined")),IF(_xlpm.n=0,"No applicable lenders",IF(_xlpm.sub&gt;0,"Stays with Shaw - lender still Submitted",IF(_xlpm.term=_xlpm.n,"Clear - all applicable lenders Approved or Declined","Stays with Shaw - not all lenders Approved or Declined")))))</f>
      </c>
    </row>
    <row r="496" spans="80:80">
      <c r="CB496" s="131">
        <f>IF($A496="","",_xlfn.LET(_xlpm.sfp,AND($P496&lt;&gt;"",$P496&lt;&gt;"N/A",$P496&lt;&gt;"No Min RQ"),_xlpm.slp,AND($T496&lt;&gt;"",$T496&lt;&gt;"N/A",$T496&lt;&gt;"No Min RQ"),_xlpm.ffp,AND($X496&lt;&gt;"",$X496&lt;&gt;"N/A",$X496&lt;&gt;"No Min RQ"),_xlpm.chp,AND($AB496&lt;&gt;"",$AB496&lt;&gt;"N/A",$AB496&lt;&gt;"No Min RQ"),_xlpm.usp,AND($AF496&lt;&gt;"",$AF496&lt;&gt;"N/A",$AF496&lt;&gt;"No Min RQ"),_xlpm.n,_xlpm.sfp+_xlpm.slp+_xlpm.ffp+_xlpm.chp+_xlpm.usp,_xlpm.sub,(_xlpm.sfp*($P496="Submitted"))+(_xlpm.slp*($T496="Submitted"))+(_xlpm.ffp*($X496="Submitted"))+(_xlpm.chp*($AB496="Submitted"))+(_xlpm.usp*($AF496="Submitted")),_xlpm.term,(_xlpm.sfp*OR($P496="Approved",$P496="Declined"))+(_xlpm.slp*OR($T496="Approved",$T496="Declined"))+(_xlpm.ffp*OR($X496="Approved",$X496="Declined"))+(_xlpm.chp*OR($AB496="Approved",$AB496="Declined"))+(_xlpm.usp*OR($AF496="Approved",$AF496="Declined")),IF(_xlpm.n=0,"No applicable lenders",IF(_xlpm.sub&gt;0,"Stays with Shaw - lender still Submitted",IF(_xlpm.term=_xlpm.n,"Clear - all applicable lenders Approved or Declined","Stays with Shaw - not all lenders Approved or Declined")))))</f>
      </c>
    </row>
    <row r="497" spans="80:80">
      <c r="CB497" s="131">
        <f>IF($A497="","",_xlfn.LET(_xlpm.sfp,AND($P497&lt;&gt;"",$P497&lt;&gt;"N/A",$P497&lt;&gt;"No Min RQ"),_xlpm.slp,AND($T497&lt;&gt;"",$T497&lt;&gt;"N/A",$T497&lt;&gt;"No Min RQ"),_xlpm.ffp,AND($X497&lt;&gt;"",$X497&lt;&gt;"N/A",$X497&lt;&gt;"No Min RQ"),_xlpm.chp,AND($AB497&lt;&gt;"",$AB497&lt;&gt;"N/A",$AB497&lt;&gt;"No Min RQ"),_xlpm.usp,AND($AF497&lt;&gt;"",$AF497&lt;&gt;"N/A",$AF497&lt;&gt;"No Min RQ"),_xlpm.n,_xlpm.sfp+_xlpm.slp+_xlpm.ffp+_xlpm.chp+_xlpm.usp,_xlpm.sub,(_xlpm.sfp*($P497="Submitted"))+(_xlpm.slp*($T497="Submitted"))+(_xlpm.ffp*($X497="Submitted"))+(_xlpm.chp*($AB497="Submitted"))+(_xlpm.usp*($AF497="Submitted")),_xlpm.term,(_xlpm.sfp*OR($P497="Approved",$P497="Declined"))+(_xlpm.slp*OR($T497="Approved",$T497="Declined"))+(_xlpm.ffp*OR($X497="Approved",$X497="Declined"))+(_xlpm.chp*OR($AB497="Approved",$AB497="Declined"))+(_xlpm.usp*OR($AF497="Approved",$AF497="Declined")),IF(_xlpm.n=0,"No applicable lenders",IF(_xlpm.sub&gt;0,"Stays with Shaw - lender still Submitted",IF(_xlpm.term=_xlpm.n,"Clear - all applicable lenders Approved or Declined","Stays with Shaw - not all lenders Approved or Declined")))))</f>
      </c>
    </row>
    <row r="498" spans="80:80">
      <c r="CB498" s="131">
        <f>IF($A498="","",_xlfn.LET(_xlpm.sfp,AND($P498&lt;&gt;"",$P498&lt;&gt;"N/A",$P498&lt;&gt;"No Min RQ"),_xlpm.slp,AND($T498&lt;&gt;"",$T498&lt;&gt;"N/A",$T498&lt;&gt;"No Min RQ"),_xlpm.ffp,AND($X498&lt;&gt;"",$X498&lt;&gt;"N/A",$X498&lt;&gt;"No Min RQ"),_xlpm.chp,AND($AB498&lt;&gt;"",$AB498&lt;&gt;"N/A",$AB498&lt;&gt;"No Min RQ"),_xlpm.usp,AND($AF498&lt;&gt;"",$AF498&lt;&gt;"N/A",$AF498&lt;&gt;"No Min RQ"),_xlpm.n,_xlpm.sfp+_xlpm.slp+_xlpm.ffp+_xlpm.chp+_xlpm.usp,_xlpm.sub,(_xlpm.sfp*($P498="Submitted"))+(_xlpm.slp*($T498="Submitted"))+(_xlpm.ffp*($X498="Submitted"))+(_xlpm.chp*($AB498="Submitted"))+(_xlpm.usp*($AF498="Submitted")),_xlpm.term,(_xlpm.sfp*OR($P498="Approved",$P498="Declined"))+(_xlpm.slp*OR($T498="Approved",$T498="Declined"))+(_xlpm.ffp*OR($X498="Approved",$X498="Declined"))+(_xlpm.chp*OR($AB498="Approved",$AB498="Declined"))+(_xlpm.usp*OR($AF498="Approved",$AF498="Declined")),IF(_xlpm.n=0,"No applicable lenders",IF(_xlpm.sub&gt;0,"Stays with Shaw - lender still Submitted",IF(_xlpm.term=_xlpm.n,"Clear - all applicable lenders Approved or Declined","Stays with Shaw - not all lenders Approved or Declined")))))</f>
      </c>
    </row>
    <row r="499" spans="80:80">
      <c r="CB499" s="131">
        <f>IF($A499="","",_xlfn.LET(_xlpm.sfp,AND($P499&lt;&gt;"",$P499&lt;&gt;"N/A",$P499&lt;&gt;"No Min RQ"),_xlpm.slp,AND($T499&lt;&gt;"",$T499&lt;&gt;"N/A",$T499&lt;&gt;"No Min RQ"),_xlpm.ffp,AND($X499&lt;&gt;"",$X499&lt;&gt;"N/A",$X499&lt;&gt;"No Min RQ"),_xlpm.chp,AND($AB499&lt;&gt;"",$AB499&lt;&gt;"N/A",$AB499&lt;&gt;"No Min RQ"),_xlpm.usp,AND($AF499&lt;&gt;"",$AF499&lt;&gt;"N/A",$AF499&lt;&gt;"No Min RQ"),_xlpm.n,_xlpm.sfp+_xlpm.slp+_xlpm.ffp+_xlpm.chp+_xlpm.usp,_xlpm.sub,(_xlpm.sfp*($P499="Submitted"))+(_xlpm.slp*($T499="Submitted"))+(_xlpm.ffp*($X499="Submitted"))+(_xlpm.chp*($AB499="Submitted"))+(_xlpm.usp*($AF499="Submitted")),_xlpm.term,(_xlpm.sfp*OR($P499="Approved",$P499="Declined"))+(_xlpm.slp*OR($T499="Approved",$T499="Declined"))+(_xlpm.ffp*OR($X499="Approved",$X499="Declined"))+(_xlpm.chp*OR($AB499="Approved",$AB499="Declined"))+(_xlpm.usp*OR($AF499="Approved",$AF499="Declined")),IF(_xlpm.n=0,"No applicable lenders",IF(_xlpm.sub&gt;0,"Stays with Shaw - lender still Submitted",IF(_xlpm.term=_xlpm.n,"Clear - all applicable lenders Approved or Declined","Stays with Shaw - not all lenders Approved or Declined")))))</f>
      </c>
    </row>
    <row r="500" spans="80:80">
      <c r="CB500" s="131">
        <f>IF($A500="","",_xlfn.LET(_xlpm.sfp,AND($P500&lt;&gt;"",$P500&lt;&gt;"N/A",$P500&lt;&gt;"No Min RQ"),_xlpm.slp,AND($T500&lt;&gt;"",$T500&lt;&gt;"N/A",$T500&lt;&gt;"No Min RQ"),_xlpm.ffp,AND($X500&lt;&gt;"",$X500&lt;&gt;"N/A",$X500&lt;&gt;"No Min RQ"),_xlpm.chp,AND($AB500&lt;&gt;"",$AB500&lt;&gt;"N/A",$AB500&lt;&gt;"No Min RQ"),_xlpm.usp,AND($AF500&lt;&gt;"",$AF500&lt;&gt;"N/A",$AF500&lt;&gt;"No Min RQ"),_xlpm.n,_xlpm.sfp+_xlpm.slp+_xlpm.ffp+_xlpm.chp+_xlpm.usp,_xlpm.sub,(_xlpm.sfp*($P500="Submitted"))+(_xlpm.slp*($T500="Submitted"))+(_xlpm.ffp*($X500="Submitted"))+(_xlpm.chp*($AB500="Submitted"))+(_xlpm.usp*($AF500="Submitted")),_xlpm.term,(_xlpm.sfp*OR($P500="Approved",$P500="Declined"))+(_xlpm.slp*OR($T500="Approved",$T500="Declined"))+(_xlpm.ffp*OR($X500="Approved",$X500="Declined"))+(_xlpm.chp*OR($AB500="Approved",$AB500="Declined"))+(_xlpm.usp*OR($AF500="Approved",$AF500="Declined")),IF(_xlpm.n=0,"No applicable lenders",IF(_xlpm.sub&gt;0,"Stays with Shaw - lender still Submitted",IF(_xlpm.term=_xlpm.n,"Clear - all applicable lenders Approved or Declined","Stays with Shaw - not all lenders Approved or Declined")))))</f>
      </c>
    </row>
    <row r="501" spans="80:80">
      <c r="CB501" s="131">
        <f>IF($A501="","",_xlfn.LET(_xlpm.sfp,AND($P501&lt;&gt;"",$P501&lt;&gt;"N/A",$P501&lt;&gt;"No Min RQ"),_xlpm.slp,AND($T501&lt;&gt;"",$T501&lt;&gt;"N/A",$T501&lt;&gt;"No Min RQ"),_xlpm.ffp,AND($X501&lt;&gt;"",$X501&lt;&gt;"N/A",$X501&lt;&gt;"No Min RQ"),_xlpm.chp,AND($AB501&lt;&gt;"",$AB501&lt;&gt;"N/A",$AB501&lt;&gt;"No Min RQ"),_xlpm.usp,AND($AF501&lt;&gt;"",$AF501&lt;&gt;"N/A",$AF501&lt;&gt;"No Min RQ"),_xlpm.n,_xlpm.sfp+_xlpm.slp+_xlpm.ffp+_xlpm.chp+_xlpm.usp,_xlpm.sub,(_xlpm.sfp*($P501="Submitted"))+(_xlpm.slp*($T501="Submitted"))+(_xlpm.ffp*($X501="Submitted"))+(_xlpm.chp*($AB501="Submitted"))+(_xlpm.usp*($AF501="Submitted")),_xlpm.term,(_xlpm.sfp*OR($P501="Approved",$P501="Declined"))+(_xlpm.slp*OR($T501="Approved",$T501="Declined"))+(_xlpm.ffp*OR($X501="Approved",$X501="Declined"))+(_xlpm.chp*OR($AB501="Approved",$AB501="Declined"))+(_xlpm.usp*OR($AF501="Approved",$AF501="Declined")),IF(_xlpm.n=0,"No applicable lenders",IF(_xlpm.sub&gt;0,"Stays with Shaw - lender still Submitted",IF(_xlpm.term=_xlpm.n,"Clear - all applicable lenders Approved or Declined","Stays with Shaw - not all lenders Approved or Declined")))))</f>
      </c>
    </row>
    <row r="502" spans="80:80">
      <c r="CB502" s="131">
        <f>IF($A502="","",_xlfn.LET(_xlpm.sfp,AND($P502&lt;&gt;"",$P502&lt;&gt;"N/A",$P502&lt;&gt;"No Min RQ"),_xlpm.slp,AND($T502&lt;&gt;"",$T502&lt;&gt;"N/A",$T502&lt;&gt;"No Min RQ"),_xlpm.ffp,AND($X502&lt;&gt;"",$X502&lt;&gt;"N/A",$X502&lt;&gt;"No Min RQ"),_xlpm.chp,AND($AB502&lt;&gt;"",$AB502&lt;&gt;"N/A",$AB502&lt;&gt;"No Min RQ"),_xlpm.usp,AND($AF502&lt;&gt;"",$AF502&lt;&gt;"N/A",$AF502&lt;&gt;"No Min RQ"),_xlpm.n,_xlpm.sfp+_xlpm.slp+_xlpm.ffp+_xlpm.chp+_xlpm.usp,_xlpm.sub,(_xlpm.sfp*($P502="Submitted"))+(_xlpm.slp*($T502="Submitted"))+(_xlpm.ffp*($X502="Submitted"))+(_xlpm.chp*($AB502="Submitted"))+(_xlpm.usp*($AF502="Submitted")),_xlpm.term,(_xlpm.sfp*OR($P502="Approved",$P502="Declined"))+(_xlpm.slp*OR($T502="Approved",$T502="Declined"))+(_xlpm.ffp*OR($X502="Approved",$X502="Declined"))+(_xlpm.chp*OR($AB502="Approved",$AB502="Declined"))+(_xlpm.usp*OR($AF502="Approved",$AF502="Declined")),IF(_xlpm.n=0,"No applicable lenders",IF(_xlpm.sub&gt;0,"Stays with Shaw - lender still Submitted",IF(_xlpm.term=_xlpm.n,"Clear - all applicable lenders Approved or Declined","Stays with Shaw - not all lenders Approved or Declined")))))</f>
      </c>
    </row>
    <row r="503" spans="80:80">
      <c r="CB503" s="131">
        <f>IF($A503="","",_xlfn.LET(_xlpm.sfp,AND($P503&lt;&gt;"",$P503&lt;&gt;"N/A",$P503&lt;&gt;"No Min RQ"),_xlpm.slp,AND($T503&lt;&gt;"",$T503&lt;&gt;"N/A",$T503&lt;&gt;"No Min RQ"),_xlpm.ffp,AND($X503&lt;&gt;"",$X503&lt;&gt;"N/A",$X503&lt;&gt;"No Min RQ"),_xlpm.chp,AND($AB503&lt;&gt;"",$AB503&lt;&gt;"N/A",$AB503&lt;&gt;"No Min RQ"),_xlpm.usp,AND($AF503&lt;&gt;"",$AF503&lt;&gt;"N/A",$AF503&lt;&gt;"No Min RQ"),_xlpm.n,_xlpm.sfp+_xlpm.slp+_xlpm.ffp+_xlpm.chp+_xlpm.usp,_xlpm.sub,(_xlpm.sfp*($P503="Submitted"))+(_xlpm.slp*($T503="Submitted"))+(_xlpm.ffp*($X503="Submitted"))+(_xlpm.chp*($AB503="Submitted"))+(_xlpm.usp*($AF503="Submitted")),_xlpm.term,(_xlpm.sfp*OR($P503="Approved",$P503="Declined"))+(_xlpm.slp*OR($T503="Approved",$T503="Declined"))+(_xlpm.ffp*OR($X503="Approved",$X503="Declined"))+(_xlpm.chp*OR($AB503="Approved",$AB503="Declined"))+(_xlpm.usp*OR($AF503="Approved",$AF503="Declined")),IF(_xlpm.n=0,"No applicable lenders",IF(_xlpm.sub&gt;0,"Stays with Shaw - lender still Submitted",IF(_xlpm.term=_xlpm.n,"Clear - all applicable lenders Approved or Declined","Stays with Shaw - not all lenders Approved or Declined")))))</f>
      </c>
    </row>
    <row r="504" spans="80:80">
      <c r="CB504" s="131">
        <f>IF($A504="","",_xlfn.LET(_xlpm.sfp,AND($P504&lt;&gt;"",$P504&lt;&gt;"N/A",$P504&lt;&gt;"No Min RQ"),_xlpm.slp,AND($T504&lt;&gt;"",$T504&lt;&gt;"N/A",$T504&lt;&gt;"No Min RQ"),_xlpm.ffp,AND($X504&lt;&gt;"",$X504&lt;&gt;"N/A",$X504&lt;&gt;"No Min RQ"),_xlpm.chp,AND($AB504&lt;&gt;"",$AB504&lt;&gt;"N/A",$AB504&lt;&gt;"No Min RQ"),_xlpm.usp,AND($AF504&lt;&gt;"",$AF504&lt;&gt;"N/A",$AF504&lt;&gt;"No Min RQ"),_xlpm.n,_xlpm.sfp+_xlpm.slp+_xlpm.ffp+_xlpm.chp+_xlpm.usp,_xlpm.sub,(_xlpm.sfp*($P504="Submitted"))+(_xlpm.slp*($T504="Submitted"))+(_xlpm.ffp*($X504="Submitted"))+(_xlpm.chp*($AB504="Submitted"))+(_xlpm.usp*($AF504="Submitted")),_xlpm.term,(_xlpm.sfp*OR($P504="Approved",$P504="Declined"))+(_xlpm.slp*OR($T504="Approved",$T504="Declined"))+(_xlpm.ffp*OR($X504="Approved",$X504="Declined"))+(_xlpm.chp*OR($AB504="Approved",$AB504="Declined"))+(_xlpm.usp*OR($AF504="Approved",$AF504="Declined")),IF(_xlpm.n=0,"No applicable lenders",IF(_xlpm.sub&gt;0,"Stays with Shaw - lender still Submitted",IF(_xlpm.term=_xlpm.n,"Clear - all applicable lenders Approved or Declined","Stays with Shaw - not all lenders Approved or Declined")))))</f>
      </c>
    </row>
    <row r="505" spans="80:80">
      <c r="CB505" s="131">
        <f>IF($A505="","",_xlfn.LET(_xlpm.sfp,AND($P505&lt;&gt;"",$P505&lt;&gt;"N/A",$P505&lt;&gt;"No Min RQ"),_xlpm.slp,AND($T505&lt;&gt;"",$T505&lt;&gt;"N/A",$T505&lt;&gt;"No Min RQ"),_xlpm.ffp,AND($X505&lt;&gt;"",$X505&lt;&gt;"N/A",$X505&lt;&gt;"No Min RQ"),_xlpm.chp,AND($AB505&lt;&gt;"",$AB505&lt;&gt;"N/A",$AB505&lt;&gt;"No Min RQ"),_xlpm.usp,AND($AF505&lt;&gt;"",$AF505&lt;&gt;"N/A",$AF505&lt;&gt;"No Min RQ"),_xlpm.n,_xlpm.sfp+_xlpm.slp+_xlpm.ffp+_xlpm.chp+_xlpm.usp,_xlpm.sub,(_xlpm.sfp*($P505="Submitted"))+(_xlpm.slp*($T505="Submitted"))+(_xlpm.ffp*($X505="Submitted"))+(_xlpm.chp*($AB505="Submitted"))+(_xlpm.usp*($AF505="Submitted")),_xlpm.term,(_xlpm.sfp*OR($P505="Approved",$P505="Declined"))+(_xlpm.slp*OR($T505="Approved",$T505="Declined"))+(_xlpm.ffp*OR($X505="Approved",$X505="Declined"))+(_xlpm.chp*OR($AB505="Approved",$AB505="Declined"))+(_xlpm.usp*OR($AF505="Approved",$AF505="Declined")),IF(_xlpm.n=0,"No applicable lenders",IF(_xlpm.sub&gt;0,"Stays with Shaw - lender still Submitted",IF(_xlpm.term=_xlpm.n,"Clear - all applicable lenders Approved or Declined","Stays with Shaw - not all lenders Approved or Declined")))))</f>
      </c>
    </row>
    <row r="506" spans="80:80">
      <c r="CB506" s="131">
        <f>IF($A506="","",_xlfn.LET(_xlpm.sfp,AND($P506&lt;&gt;"",$P506&lt;&gt;"N/A",$P506&lt;&gt;"No Min RQ"),_xlpm.slp,AND($T506&lt;&gt;"",$T506&lt;&gt;"N/A",$T506&lt;&gt;"No Min RQ"),_xlpm.ffp,AND($X506&lt;&gt;"",$X506&lt;&gt;"N/A",$X506&lt;&gt;"No Min RQ"),_xlpm.chp,AND($AB506&lt;&gt;"",$AB506&lt;&gt;"N/A",$AB506&lt;&gt;"No Min RQ"),_xlpm.usp,AND($AF506&lt;&gt;"",$AF506&lt;&gt;"N/A",$AF506&lt;&gt;"No Min RQ"),_xlpm.n,_xlpm.sfp+_xlpm.slp+_xlpm.ffp+_xlpm.chp+_xlpm.usp,_xlpm.sub,(_xlpm.sfp*($P506="Submitted"))+(_xlpm.slp*($T506="Submitted"))+(_xlpm.ffp*($X506="Submitted"))+(_xlpm.chp*($AB506="Submitted"))+(_xlpm.usp*($AF506="Submitted")),_xlpm.term,(_xlpm.sfp*OR($P506="Approved",$P506="Declined"))+(_xlpm.slp*OR($T506="Approved",$T506="Declined"))+(_xlpm.ffp*OR($X506="Approved",$X506="Declined"))+(_xlpm.chp*OR($AB506="Approved",$AB506="Declined"))+(_xlpm.usp*OR($AF506="Approved",$AF506="Declined")),IF(_xlpm.n=0,"No applicable lenders",IF(_xlpm.sub&gt;0,"Stays with Shaw - lender still Submitted",IF(_xlpm.term=_xlpm.n,"Clear - all applicable lenders Approved or Declined","Stays with Shaw - not all lenders Approved or Declined")))))</f>
      </c>
    </row>
    <row r="507" spans="80:80">
      <c r="CB507" s="131">
        <f>IF($A507="","",_xlfn.LET(_xlpm.sfp,AND($P507&lt;&gt;"",$P507&lt;&gt;"N/A",$P507&lt;&gt;"No Min RQ"),_xlpm.slp,AND($T507&lt;&gt;"",$T507&lt;&gt;"N/A",$T507&lt;&gt;"No Min RQ"),_xlpm.ffp,AND($X507&lt;&gt;"",$X507&lt;&gt;"N/A",$X507&lt;&gt;"No Min RQ"),_xlpm.chp,AND($AB507&lt;&gt;"",$AB507&lt;&gt;"N/A",$AB507&lt;&gt;"No Min RQ"),_xlpm.usp,AND($AF507&lt;&gt;"",$AF507&lt;&gt;"N/A",$AF507&lt;&gt;"No Min RQ"),_xlpm.n,_xlpm.sfp+_xlpm.slp+_xlpm.ffp+_xlpm.chp+_xlpm.usp,_xlpm.sub,(_xlpm.sfp*($P507="Submitted"))+(_xlpm.slp*($T507="Submitted"))+(_xlpm.ffp*($X507="Submitted"))+(_xlpm.chp*($AB507="Submitted"))+(_xlpm.usp*($AF507="Submitted")),_xlpm.term,(_xlpm.sfp*OR($P507="Approved",$P507="Declined"))+(_xlpm.slp*OR($T507="Approved",$T507="Declined"))+(_xlpm.ffp*OR($X507="Approved",$X507="Declined"))+(_xlpm.chp*OR($AB507="Approved",$AB507="Declined"))+(_xlpm.usp*OR($AF507="Approved",$AF507="Declined")),IF(_xlpm.n=0,"No applicable lenders",IF(_xlpm.sub&gt;0,"Stays with Shaw - lender still Submitted",IF(_xlpm.term=_xlpm.n,"Clear - all applicable lenders Approved or Declined","Stays with Shaw - not all lenders Approved or Declined")))))</f>
      </c>
    </row>
    <row r="508" spans="80:80">
      <c r="CB508" s="131">
        <f>IF($A508="","",_xlfn.LET(_xlpm.sfp,AND($P508&lt;&gt;"",$P508&lt;&gt;"N/A",$P508&lt;&gt;"No Min RQ"),_xlpm.slp,AND($T508&lt;&gt;"",$T508&lt;&gt;"N/A",$T508&lt;&gt;"No Min RQ"),_xlpm.ffp,AND($X508&lt;&gt;"",$X508&lt;&gt;"N/A",$X508&lt;&gt;"No Min RQ"),_xlpm.chp,AND($AB508&lt;&gt;"",$AB508&lt;&gt;"N/A",$AB508&lt;&gt;"No Min RQ"),_xlpm.usp,AND($AF508&lt;&gt;"",$AF508&lt;&gt;"N/A",$AF508&lt;&gt;"No Min RQ"),_xlpm.n,_xlpm.sfp+_xlpm.slp+_xlpm.ffp+_xlpm.chp+_xlpm.usp,_xlpm.sub,(_xlpm.sfp*($P508="Submitted"))+(_xlpm.slp*($T508="Submitted"))+(_xlpm.ffp*($X508="Submitted"))+(_xlpm.chp*($AB508="Submitted"))+(_xlpm.usp*($AF508="Submitted")),_xlpm.term,(_xlpm.sfp*OR($P508="Approved",$P508="Declined"))+(_xlpm.slp*OR($T508="Approved",$T508="Declined"))+(_xlpm.ffp*OR($X508="Approved",$X508="Declined"))+(_xlpm.chp*OR($AB508="Approved",$AB508="Declined"))+(_xlpm.usp*OR($AF508="Approved",$AF508="Declined")),IF(_xlpm.n=0,"No applicable lenders",IF(_xlpm.sub&gt;0,"Stays with Shaw - lender still Submitted",IF(_xlpm.term=_xlpm.n,"Clear - all applicable lenders Approved or Declined","Stays with Shaw - not all lenders Approved or Declined")))))</f>
      </c>
    </row>
    <row r="509" spans="80:80">
      <c r="CB509" s="131">
        <f>IF($A509="","",_xlfn.LET(_xlpm.sfp,AND($P509&lt;&gt;"",$P509&lt;&gt;"N/A",$P509&lt;&gt;"No Min RQ"),_xlpm.slp,AND($T509&lt;&gt;"",$T509&lt;&gt;"N/A",$T509&lt;&gt;"No Min RQ"),_xlpm.ffp,AND($X509&lt;&gt;"",$X509&lt;&gt;"N/A",$X509&lt;&gt;"No Min RQ"),_xlpm.chp,AND($AB509&lt;&gt;"",$AB509&lt;&gt;"N/A",$AB509&lt;&gt;"No Min RQ"),_xlpm.usp,AND($AF509&lt;&gt;"",$AF509&lt;&gt;"N/A",$AF509&lt;&gt;"No Min RQ"),_xlpm.n,_xlpm.sfp+_xlpm.slp+_xlpm.ffp+_xlpm.chp+_xlpm.usp,_xlpm.sub,(_xlpm.sfp*($P509="Submitted"))+(_xlpm.slp*($T509="Submitted"))+(_xlpm.ffp*($X509="Submitted"))+(_xlpm.chp*($AB509="Submitted"))+(_xlpm.usp*($AF509="Submitted")),_xlpm.term,(_xlpm.sfp*OR($P509="Approved",$P509="Declined"))+(_xlpm.slp*OR($T509="Approved",$T509="Declined"))+(_xlpm.ffp*OR($X509="Approved",$X509="Declined"))+(_xlpm.chp*OR($AB509="Approved",$AB509="Declined"))+(_xlpm.usp*OR($AF509="Approved",$AF509="Declined")),IF(_xlpm.n=0,"No applicable lenders",IF(_xlpm.sub&gt;0,"Stays with Shaw - lender still Submitted",IF(_xlpm.term=_xlpm.n,"Clear - all applicable lenders Approved or Declined","Stays with Shaw - not all lenders Approved or Declined")))))</f>
      </c>
    </row>
    <row r="510" spans="80:80">
      <c r="CB510" s="131">
        <f>IF($A510="","",_xlfn.LET(_xlpm.sfp,AND($P510&lt;&gt;"",$P510&lt;&gt;"N/A",$P510&lt;&gt;"No Min RQ"),_xlpm.slp,AND($T510&lt;&gt;"",$T510&lt;&gt;"N/A",$T510&lt;&gt;"No Min RQ"),_xlpm.ffp,AND($X510&lt;&gt;"",$X510&lt;&gt;"N/A",$X510&lt;&gt;"No Min RQ"),_xlpm.chp,AND($AB510&lt;&gt;"",$AB510&lt;&gt;"N/A",$AB510&lt;&gt;"No Min RQ"),_xlpm.usp,AND($AF510&lt;&gt;"",$AF510&lt;&gt;"N/A",$AF510&lt;&gt;"No Min RQ"),_xlpm.n,_xlpm.sfp+_xlpm.slp+_xlpm.ffp+_xlpm.chp+_xlpm.usp,_xlpm.sub,(_xlpm.sfp*($P510="Submitted"))+(_xlpm.slp*($T510="Submitted"))+(_xlpm.ffp*($X510="Submitted"))+(_xlpm.chp*($AB510="Submitted"))+(_xlpm.usp*($AF510="Submitted")),_xlpm.term,(_xlpm.sfp*OR($P510="Approved",$P510="Declined"))+(_xlpm.slp*OR($T510="Approved",$T510="Declined"))+(_xlpm.ffp*OR($X510="Approved",$X510="Declined"))+(_xlpm.chp*OR($AB510="Approved",$AB510="Declined"))+(_xlpm.usp*OR($AF510="Approved",$AF510="Declined")),IF(_xlpm.n=0,"No applicable lenders",IF(_xlpm.sub&gt;0,"Stays with Shaw - lender still Submitted",IF(_xlpm.term=_xlpm.n,"Clear - all applicable lenders Approved or Declined","Stays with Shaw - not all lenders Approved or Declined")))))</f>
      </c>
    </row>
    <row r="511" spans="80:80">
      <c r="CB511" s="131">
        <f>IF($A511="","",_xlfn.LET(_xlpm.sfp,AND($P511&lt;&gt;"",$P511&lt;&gt;"N/A",$P511&lt;&gt;"No Min RQ"),_xlpm.slp,AND($T511&lt;&gt;"",$T511&lt;&gt;"N/A",$T511&lt;&gt;"No Min RQ"),_xlpm.ffp,AND($X511&lt;&gt;"",$X511&lt;&gt;"N/A",$X511&lt;&gt;"No Min RQ"),_xlpm.chp,AND($AB511&lt;&gt;"",$AB511&lt;&gt;"N/A",$AB511&lt;&gt;"No Min RQ"),_xlpm.usp,AND($AF511&lt;&gt;"",$AF511&lt;&gt;"N/A",$AF511&lt;&gt;"No Min RQ"),_xlpm.n,_xlpm.sfp+_xlpm.slp+_xlpm.ffp+_xlpm.chp+_xlpm.usp,_xlpm.sub,(_xlpm.sfp*($P511="Submitted"))+(_xlpm.slp*($T511="Submitted"))+(_xlpm.ffp*($X511="Submitted"))+(_xlpm.chp*($AB511="Submitted"))+(_xlpm.usp*($AF511="Submitted")),_xlpm.term,(_xlpm.sfp*OR($P511="Approved",$P511="Declined"))+(_xlpm.slp*OR($T511="Approved",$T511="Declined"))+(_xlpm.ffp*OR($X511="Approved",$X511="Declined"))+(_xlpm.chp*OR($AB511="Approved",$AB511="Declined"))+(_xlpm.usp*OR($AF511="Approved",$AF511="Declined")),IF(_xlpm.n=0,"No applicable lenders",IF(_xlpm.sub&gt;0,"Stays with Shaw - lender still Submitted",IF(_xlpm.term=_xlpm.n,"Clear - all applicable lenders Approved or Declined","Stays with Shaw - not all lenders Approved or Declined")))))</f>
      </c>
    </row>
    <row r="512" spans="80:80">
      <c r="CB512" s="131">
        <f>IF($A512="","",_xlfn.LET(_xlpm.sfp,AND($P512&lt;&gt;"",$P512&lt;&gt;"N/A",$P512&lt;&gt;"No Min RQ"),_xlpm.slp,AND($T512&lt;&gt;"",$T512&lt;&gt;"N/A",$T512&lt;&gt;"No Min RQ"),_xlpm.ffp,AND($X512&lt;&gt;"",$X512&lt;&gt;"N/A",$X512&lt;&gt;"No Min RQ"),_xlpm.chp,AND($AB512&lt;&gt;"",$AB512&lt;&gt;"N/A",$AB512&lt;&gt;"No Min RQ"),_xlpm.usp,AND($AF512&lt;&gt;"",$AF512&lt;&gt;"N/A",$AF512&lt;&gt;"No Min RQ"),_xlpm.n,_xlpm.sfp+_xlpm.slp+_xlpm.ffp+_xlpm.chp+_xlpm.usp,_xlpm.sub,(_xlpm.sfp*($P512="Submitted"))+(_xlpm.slp*($T512="Submitted"))+(_xlpm.ffp*($X512="Submitted"))+(_xlpm.chp*($AB512="Submitted"))+(_xlpm.usp*($AF512="Submitted")),_xlpm.term,(_xlpm.sfp*OR($P512="Approved",$P512="Declined"))+(_xlpm.slp*OR($T512="Approved",$T512="Declined"))+(_xlpm.ffp*OR($X512="Approved",$X512="Declined"))+(_xlpm.chp*OR($AB512="Approved",$AB512="Declined"))+(_xlpm.usp*OR($AF512="Approved",$AF512="Declined")),IF(_xlpm.n=0,"No applicable lenders",IF(_xlpm.sub&gt;0,"Stays with Shaw - lender still Submitted",IF(_xlpm.term=_xlpm.n,"Clear - all applicable lenders Approved or Declined","Stays with Shaw - not all lenders Approved or Declined")))))</f>
      </c>
    </row>
    <row r="513" spans="80:80">
      <c r="CB513" s="131">
        <f>IF($A513="","",_xlfn.LET(_xlpm.sfp,AND($P513&lt;&gt;"",$P513&lt;&gt;"N/A",$P513&lt;&gt;"No Min RQ"),_xlpm.slp,AND($T513&lt;&gt;"",$T513&lt;&gt;"N/A",$T513&lt;&gt;"No Min RQ"),_xlpm.ffp,AND($X513&lt;&gt;"",$X513&lt;&gt;"N/A",$X513&lt;&gt;"No Min RQ"),_xlpm.chp,AND($AB513&lt;&gt;"",$AB513&lt;&gt;"N/A",$AB513&lt;&gt;"No Min RQ"),_xlpm.usp,AND($AF513&lt;&gt;"",$AF513&lt;&gt;"N/A",$AF513&lt;&gt;"No Min RQ"),_xlpm.n,_xlpm.sfp+_xlpm.slp+_xlpm.ffp+_xlpm.chp+_xlpm.usp,_xlpm.sub,(_xlpm.sfp*($P513="Submitted"))+(_xlpm.slp*($T513="Submitted"))+(_xlpm.ffp*($X513="Submitted"))+(_xlpm.chp*($AB513="Submitted"))+(_xlpm.usp*($AF513="Submitted")),_xlpm.term,(_xlpm.sfp*OR($P513="Approved",$P513="Declined"))+(_xlpm.slp*OR($T513="Approved",$T513="Declined"))+(_xlpm.ffp*OR($X513="Approved",$X513="Declined"))+(_xlpm.chp*OR($AB513="Approved",$AB513="Declined"))+(_xlpm.usp*OR($AF513="Approved",$AF513="Declined")),IF(_xlpm.n=0,"No applicable lenders",IF(_xlpm.sub&gt;0,"Stays with Shaw - lender still Submitted",IF(_xlpm.term=_xlpm.n,"Clear - all applicable lenders Approved or Declined","Stays with Shaw - not all lenders Approved or Declined")))))</f>
      </c>
    </row>
    <row r="514" spans="80:80">
      <c r="CB514" s="131">
        <f>IF($A514="","",_xlfn.LET(_xlpm.sfp,AND($P514&lt;&gt;"",$P514&lt;&gt;"N/A",$P514&lt;&gt;"No Min RQ"),_xlpm.slp,AND($T514&lt;&gt;"",$T514&lt;&gt;"N/A",$T514&lt;&gt;"No Min RQ"),_xlpm.ffp,AND($X514&lt;&gt;"",$X514&lt;&gt;"N/A",$X514&lt;&gt;"No Min RQ"),_xlpm.chp,AND($AB514&lt;&gt;"",$AB514&lt;&gt;"N/A",$AB514&lt;&gt;"No Min RQ"),_xlpm.usp,AND($AF514&lt;&gt;"",$AF514&lt;&gt;"N/A",$AF514&lt;&gt;"No Min RQ"),_xlpm.n,_xlpm.sfp+_xlpm.slp+_xlpm.ffp+_xlpm.chp+_xlpm.usp,_xlpm.sub,(_xlpm.sfp*($P514="Submitted"))+(_xlpm.slp*($T514="Submitted"))+(_xlpm.ffp*($X514="Submitted"))+(_xlpm.chp*($AB514="Submitted"))+(_xlpm.usp*($AF514="Submitted")),_xlpm.term,(_xlpm.sfp*OR($P514="Approved",$P514="Declined"))+(_xlpm.slp*OR($T514="Approved",$T514="Declined"))+(_xlpm.ffp*OR($X514="Approved",$X514="Declined"))+(_xlpm.chp*OR($AB514="Approved",$AB514="Declined"))+(_xlpm.usp*OR($AF514="Approved",$AF514="Declined")),IF(_xlpm.n=0,"No applicable lenders",IF(_xlpm.sub&gt;0,"Stays with Shaw - lender still Submitted",IF(_xlpm.term=_xlpm.n,"Clear - all applicable lenders Approved or Declined","Stays with Shaw - not all lenders Approved or Declined")))))</f>
      </c>
    </row>
    <row r="515" spans="80:80">
      <c r="CB515" s="131">
        <f>IF($A515="","",_xlfn.LET(_xlpm.sfp,AND($P515&lt;&gt;"",$P515&lt;&gt;"N/A",$P515&lt;&gt;"No Min RQ"),_xlpm.slp,AND($T515&lt;&gt;"",$T515&lt;&gt;"N/A",$T515&lt;&gt;"No Min RQ"),_xlpm.ffp,AND($X515&lt;&gt;"",$X515&lt;&gt;"N/A",$X515&lt;&gt;"No Min RQ"),_xlpm.chp,AND($AB515&lt;&gt;"",$AB515&lt;&gt;"N/A",$AB515&lt;&gt;"No Min RQ"),_xlpm.usp,AND($AF515&lt;&gt;"",$AF515&lt;&gt;"N/A",$AF515&lt;&gt;"No Min RQ"),_xlpm.n,_xlpm.sfp+_xlpm.slp+_xlpm.ffp+_xlpm.chp+_xlpm.usp,_xlpm.sub,(_xlpm.sfp*($P515="Submitted"))+(_xlpm.slp*($T515="Submitted"))+(_xlpm.ffp*($X515="Submitted"))+(_xlpm.chp*($AB515="Submitted"))+(_xlpm.usp*($AF515="Submitted")),_xlpm.term,(_xlpm.sfp*OR($P515="Approved",$P515="Declined"))+(_xlpm.slp*OR($T515="Approved",$T515="Declined"))+(_xlpm.ffp*OR($X515="Approved",$X515="Declined"))+(_xlpm.chp*OR($AB515="Approved",$AB515="Declined"))+(_xlpm.usp*OR($AF515="Approved",$AF515="Declined")),IF(_xlpm.n=0,"No applicable lenders",IF(_xlpm.sub&gt;0,"Stays with Shaw - lender still Submitted",IF(_xlpm.term=_xlpm.n,"Clear - all applicable lenders Approved or Declined","Stays with Shaw - not all lenders Approved or Declined")))))</f>
      </c>
    </row>
    <row r="516" spans="80:80">
      <c r="CB516" s="131">
        <f>IF($A516="","",_xlfn.LET(_xlpm.sfp,AND($P516&lt;&gt;"",$P516&lt;&gt;"N/A",$P516&lt;&gt;"No Min RQ"),_xlpm.slp,AND($T516&lt;&gt;"",$T516&lt;&gt;"N/A",$T516&lt;&gt;"No Min RQ"),_xlpm.ffp,AND($X516&lt;&gt;"",$X516&lt;&gt;"N/A",$X516&lt;&gt;"No Min RQ"),_xlpm.chp,AND($AB516&lt;&gt;"",$AB516&lt;&gt;"N/A",$AB516&lt;&gt;"No Min RQ"),_xlpm.usp,AND($AF516&lt;&gt;"",$AF516&lt;&gt;"N/A",$AF516&lt;&gt;"No Min RQ"),_xlpm.n,_xlpm.sfp+_xlpm.slp+_xlpm.ffp+_xlpm.chp+_xlpm.usp,_xlpm.sub,(_xlpm.sfp*($P516="Submitted"))+(_xlpm.slp*($T516="Submitted"))+(_xlpm.ffp*($X516="Submitted"))+(_xlpm.chp*($AB516="Submitted"))+(_xlpm.usp*($AF516="Submitted")),_xlpm.term,(_xlpm.sfp*OR($P516="Approved",$P516="Declined"))+(_xlpm.slp*OR($T516="Approved",$T516="Declined"))+(_xlpm.ffp*OR($X516="Approved",$X516="Declined"))+(_xlpm.chp*OR($AB516="Approved",$AB516="Declined"))+(_xlpm.usp*OR($AF516="Approved",$AF516="Declined")),IF(_xlpm.n=0,"No applicable lenders",IF(_xlpm.sub&gt;0,"Stays with Shaw - lender still Submitted",IF(_xlpm.term=_xlpm.n,"Clear - all applicable lenders Approved or Declined","Stays with Shaw - not all lenders Approved or Declined")))))</f>
      </c>
    </row>
    <row r="517" spans="80:80">
      <c r="CB517" s="131">
        <f>IF($A517="","",_xlfn.LET(_xlpm.sfp,AND($P517&lt;&gt;"",$P517&lt;&gt;"N/A",$P517&lt;&gt;"No Min RQ"),_xlpm.slp,AND($T517&lt;&gt;"",$T517&lt;&gt;"N/A",$T517&lt;&gt;"No Min RQ"),_xlpm.ffp,AND($X517&lt;&gt;"",$X517&lt;&gt;"N/A",$X517&lt;&gt;"No Min RQ"),_xlpm.chp,AND($AB517&lt;&gt;"",$AB517&lt;&gt;"N/A",$AB517&lt;&gt;"No Min RQ"),_xlpm.usp,AND($AF517&lt;&gt;"",$AF517&lt;&gt;"N/A",$AF517&lt;&gt;"No Min RQ"),_xlpm.n,_xlpm.sfp+_xlpm.slp+_xlpm.ffp+_xlpm.chp+_xlpm.usp,_xlpm.sub,(_xlpm.sfp*($P517="Submitted"))+(_xlpm.slp*($T517="Submitted"))+(_xlpm.ffp*($X517="Submitted"))+(_xlpm.chp*($AB517="Submitted"))+(_xlpm.usp*($AF517="Submitted")),_xlpm.term,(_xlpm.sfp*OR($P517="Approved",$P517="Declined"))+(_xlpm.slp*OR($T517="Approved",$T517="Declined"))+(_xlpm.ffp*OR($X517="Approved",$X517="Declined"))+(_xlpm.chp*OR($AB517="Approved",$AB517="Declined"))+(_xlpm.usp*OR($AF517="Approved",$AF517="Declined")),IF(_xlpm.n=0,"No applicable lenders",IF(_xlpm.sub&gt;0,"Stays with Shaw - lender still Submitted",IF(_xlpm.term=_xlpm.n,"Clear - all applicable lenders Approved or Declined","Stays with Shaw - not all lenders Approved or Declined")))))</f>
      </c>
    </row>
    <row r="518" spans="80:80">
      <c r="CB518" s="131">
        <f>IF($A518="","",_xlfn.LET(_xlpm.sfp,AND($P518&lt;&gt;"",$P518&lt;&gt;"N/A",$P518&lt;&gt;"No Min RQ"),_xlpm.slp,AND($T518&lt;&gt;"",$T518&lt;&gt;"N/A",$T518&lt;&gt;"No Min RQ"),_xlpm.ffp,AND($X518&lt;&gt;"",$X518&lt;&gt;"N/A",$X518&lt;&gt;"No Min RQ"),_xlpm.chp,AND($AB518&lt;&gt;"",$AB518&lt;&gt;"N/A",$AB518&lt;&gt;"No Min RQ"),_xlpm.usp,AND($AF518&lt;&gt;"",$AF518&lt;&gt;"N/A",$AF518&lt;&gt;"No Min RQ"),_xlpm.n,_xlpm.sfp+_xlpm.slp+_xlpm.ffp+_xlpm.chp+_xlpm.usp,_xlpm.sub,(_xlpm.sfp*($P518="Submitted"))+(_xlpm.slp*($T518="Submitted"))+(_xlpm.ffp*($X518="Submitted"))+(_xlpm.chp*($AB518="Submitted"))+(_xlpm.usp*($AF518="Submitted")),_xlpm.term,(_xlpm.sfp*OR($P518="Approved",$P518="Declined"))+(_xlpm.slp*OR($T518="Approved",$T518="Declined"))+(_xlpm.ffp*OR($X518="Approved",$X518="Declined"))+(_xlpm.chp*OR($AB518="Approved",$AB518="Declined"))+(_xlpm.usp*OR($AF518="Approved",$AF518="Declined")),IF(_xlpm.n=0,"No applicable lenders",IF(_xlpm.sub&gt;0,"Stays with Shaw - lender still Submitted",IF(_xlpm.term=_xlpm.n,"Clear - all applicable lenders Approved or Declined","Stays with Shaw - not all lenders Approved or Declined")))))</f>
      </c>
    </row>
    <row r="519" spans="80:80">
      <c r="CB519" s="131">
        <f>IF($A519="","",_xlfn.LET(_xlpm.sfp,AND($P519&lt;&gt;"",$P519&lt;&gt;"N/A",$P519&lt;&gt;"No Min RQ"),_xlpm.slp,AND($T519&lt;&gt;"",$T519&lt;&gt;"N/A",$T519&lt;&gt;"No Min RQ"),_xlpm.ffp,AND($X519&lt;&gt;"",$X519&lt;&gt;"N/A",$X519&lt;&gt;"No Min RQ"),_xlpm.chp,AND($AB519&lt;&gt;"",$AB519&lt;&gt;"N/A",$AB519&lt;&gt;"No Min RQ"),_xlpm.usp,AND($AF519&lt;&gt;"",$AF519&lt;&gt;"N/A",$AF519&lt;&gt;"No Min RQ"),_xlpm.n,_xlpm.sfp+_xlpm.slp+_xlpm.ffp+_xlpm.chp+_xlpm.usp,_xlpm.sub,(_xlpm.sfp*($P519="Submitted"))+(_xlpm.slp*($T519="Submitted"))+(_xlpm.ffp*($X519="Submitted"))+(_xlpm.chp*($AB519="Submitted"))+(_xlpm.usp*($AF519="Submitted")),_xlpm.term,(_xlpm.sfp*OR($P519="Approved",$P519="Declined"))+(_xlpm.slp*OR($T519="Approved",$T519="Declined"))+(_xlpm.ffp*OR($X519="Approved",$X519="Declined"))+(_xlpm.chp*OR($AB519="Approved",$AB519="Declined"))+(_xlpm.usp*OR($AF519="Approved",$AF519="Declined")),IF(_xlpm.n=0,"No applicable lenders",IF(_xlpm.sub&gt;0,"Stays with Shaw - lender still Submitted",IF(_xlpm.term=_xlpm.n,"Clear - all applicable lenders Approved or Declined","Stays with Shaw - not all lenders Approved or Declined")))))</f>
      </c>
    </row>
    <row r="520" spans="80:80">
      <c r="CB520" s="131">
        <f>IF($A520="","",_xlfn.LET(_xlpm.sfp,AND($P520&lt;&gt;"",$P520&lt;&gt;"N/A",$P520&lt;&gt;"No Min RQ"),_xlpm.slp,AND($T520&lt;&gt;"",$T520&lt;&gt;"N/A",$T520&lt;&gt;"No Min RQ"),_xlpm.ffp,AND($X520&lt;&gt;"",$X520&lt;&gt;"N/A",$X520&lt;&gt;"No Min RQ"),_xlpm.chp,AND($AB520&lt;&gt;"",$AB520&lt;&gt;"N/A",$AB520&lt;&gt;"No Min RQ"),_xlpm.usp,AND($AF520&lt;&gt;"",$AF520&lt;&gt;"N/A",$AF520&lt;&gt;"No Min RQ"),_xlpm.n,_xlpm.sfp+_xlpm.slp+_xlpm.ffp+_xlpm.chp+_xlpm.usp,_xlpm.sub,(_xlpm.sfp*($P520="Submitted"))+(_xlpm.slp*($T520="Submitted"))+(_xlpm.ffp*($X520="Submitted"))+(_xlpm.chp*($AB520="Submitted"))+(_xlpm.usp*($AF520="Submitted")),_xlpm.term,(_xlpm.sfp*OR($P520="Approved",$P520="Declined"))+(_xlpm.slp*OR($T520="Approved",$T520="Declined"))+(_xlpm.ffp*OR($X520="Approved",$X520="Declined"))+(_xlpm.chp*OR($AB520="Approved",$AB520="Declined"))+(_xlpm.usp*OR($AF520="Approved",$AF520="Declined")),IF(_xlpm.n=0,"No applicable lenders",IF(_xlpm.sub&gt;0,"Stays with Shaw - lender still Submitted",IF(_xlpm.term=_xlpm.n,"Clear - all applicable lenders Approved or Declined","Stays with Shaw - not all lenders Approved or Declined")))))</f>
      </c>
    </row>
    <row r="521" spans="80:80">
      <c r="CB521" s="131">
        <f>IF($A521="","",_xlfn.LET(_xlpm.sfp,AND($P521&lt;&gt;"",$P521&lt;&gt;"N/A",$P521&lt;&gt;"No Min RQ"),_xlpm.slp,AND($T521&lt;&gt;"",$T521&lt;&gt;"N/A",$T521&lt;&gt;"No Min RQ"),_xlpm.ffp,AND($X521&lt;&gt;"",$X521&lt;&gt;"N/A",$X521&lt;&gt;"No Min RQ"),_xlpm.chp,AND($AB521&lt;&gt;"",$AB521&lt;&gt;"N/A",$AB521&lt;&gt;"No Min RQ"),_xlpm.usp,AND($AF521&lt;&gt;"",$AF521&lt;&gt;"N/A",$AF521&lt;&gt;"No Min RQ"),_xlpm.n,_xlpm.sfp+_xlpm.slp+_xlpm.ffp+_xlpm.chp+_xlpm.usp,_xlpm.sub,(_xlpm.sfp*($P521="Submitted"))+(_xlpm.slp*($T521="Submitted"))+(_xlpm.ffp*($X521="Submitted"))+(_xlpm.chp*($AB521="Submitted"))+(_xlpm.usp*($AF521="Submitted")),_xlpm.term,(_xlpm.sfp*OR($P521="Approved",$P521="Declined"))+(_xlpm.slp*OR($T521="Approved",$T521="Declined"))+(_xlpm.ffp*OR($X521="Approved",$X521="Declined"))+(_xlpm.chp*OR($AB521="Approved",$AB521="Declined"))+(_xlpm.usp*OR($AF521="Approved",$AF521="Declined")),IF(_xlpm.n=0,"No applicable lenders",IF(_xlpm.sub&gt;0,"Stays with Shaw - lender still Submitted",IF(_xlpm.term=_xlpm.n,"Clear - all applicable lenders Approved or Declined","Stays with Shaw - not all lenders Approved or Declined")))))</f>
      </c>
    </row>
    <row r="522" spans="80:80">
      <c r="CB522" s="131">
        <f>IF($A522="","",_xlfn.LET(_xlpm.sfp,AND($P522&lt;&gt;"",$P522&lt;&gt;"N/A",$P522&lt;&gt;"No Min RQ"),_xlpm.slp,AND($T522&lt;&gt;"",$T522&lt;&gt;"N/A",$T522&lt;&gt;"No Min RQ"),_xlpm.ffp,AND($X522&lt;&gt;"",$X522&lt;&gt;"N/A",$X522&lt;&gt;"No Min RQ"),_xlpm.chp,AND($AB522&lt;&gt;"",$AB522&lt;&gt;"N/A",$AB522&lt;&gt;"No Min RQ"),_xlpm.usp,AND($AF522&lt;&gt;"",$AF522&lt;&gt;"N/A",$AF522&lt;&gt;"No Min RQ"),_xlpm.n,_xlpm.sfp+_xlpm.slp+_xlpm.ffp+_xlpm.chp+_xlpm.usp,_xlpm.sub,(_xlpm.sfp*($P522="Submitted"))+(_xlpm.slp*($T522="Submitted"))+(_xlpm.ffp*($X522="Submitted"))+(_xlpm.chp*($AB522="Submitted"))+(_xlpm.usp*($AF522="Submitted")),_xlpm.term,(_xlpm.sfp*OR($P522="Approved",$P522="Declined"))+(_xlpm.slp*OR($T522="Approved",$T522="Declined"))+(_xlpm.ffp*OR($X522="Approved",$X522="Declined"))+(_xlpm.chp*OR($AB522="Approved",$AB522="Declined"))+(_xlpm.usp*OR($AF522="Approved",$AF522="Declined")),IF(_xlpm.n=0,"No applicable lenders",IF(_xlpm.sub&gt;0,"Stays with Shaw - lender still Submitted",IF(_xlpm.term=_xlpm.n,"Clear - all applicable lenders Approved or Declined","Stays with Shaw - not all lenders Approved or Declined")))))</f>
      </c>
    </row>
    <row r="523" spans="80:80">
      <c r="CB523" s="131">
        <f>IF($A523="","",_xlfn.LET(_xlpm.sfp,AND($P523&lt;&gt;"",$P523&lt;&gt;"N/A",$P523&lt;&gt;"No Min RQ"),_xlpm.slp,AND($T523&lt;&gt;"",$T523&lt;&gt;"N/A",$T523&lt;&gt;"No Min RQ"),_xlpm.ffp,AND($X523&lt;&gt;"",$X523&lt;&gt;"N/A",$X523&lt;&gt;"No Min RQ"),_xlpm.chp,AND($AB523&lt;&gt;"",$AB523&lt;&gt;"N/A",$AB523&lt;&gt;"No Min RQ"),_xlpm.usp,AND($AF523&lt;&gt;"",$AF523&lt;&gt;"N/A",$AF523&lt;&gt;"No Min RQ"),_xlpm.n,_xlpm.sfp+_xlpm.slp+_xlpm.ffp+_xlpm.chp+_xlpm.usp,_xlpm.sub,(_xlpm.sfp*($P523="Submitted"))+(_xlpm.slp*($T523="Submitted"))+(_xlpm.ffp*($X523="Submitted"))+(_xlpm.chp*($AB523="Submitted"))+(_xlpm.usp*($AF523="Submitted")),_xlpm.term,(_xlpm.sfp*OR($P523="Approved",$P523="Declined"))+(_xlpm.slp*OR($T523="Approved",$T523="Declined"))+(_xlpm.ffp*OR($X523="Approved",$X523="Declined"))+(_xlpm.chp*OR($AB523="Approved",$AB523="Declined"))+(_xlpm.usp*OR($AF523="Approved",$AF523="Declined")),IF(_xlpm.n=0,"No applicable lenders",IF(_xlpm.sub&gt;0,"Stays with Shaw - lender still Submitted",IF(_xlpm.term=_xlpm.n,"Clear - all applicable lenders Approved or Declined","Stays with Shaw - not all lenders Approved or Declined")))))</f>
      </c>
    </row>
    <row r="524" spans="80:80">
      <c r="CB524" s="131">
        <f>IF($A524="","",_xlfn.LET(_xlpm.sfp,AND($P524&lt;&gt;"",$P524&lt;&gt;"N/A",$P524&lt;&gt;"No Min RQ"),_xlpm.slp,AND($T524&lt;&gt;"",$T524&lt;&gt;"N/A",$T524&lt;&gt;"No Min RQ"),_xlpm.ffp,AND($X524&lt;&gt;"",$X524&lt;&gt;"N/A",$X524&lt;&gt;"No Min RQ"),_xlpm.chp,AND($AB524&lt;&gt;"",$AB524&lt;&gt;"N/A",$AB524&lt;&gt;"No Min RQ"),_xlpm.usp,AND($AF524&lt;&gt;"",$AF524&lt;&gt;"N/A",$AF524&lt;&gt;"No Min RQ"),_xlpm.n,_xlpm.sfp+_xlpm.slp+_xlpm.ffp+_xlpm.chp+_xlpm.usp,_xlpm.sub,(_xlpm.sfp*($P524="Submitted"))+(_xlpm.slp*($T524="Submitted"))+(_xlpm.ffp*($X524="Submitted"))+(_xlpm.chp*($AB524="Submitted"))+(_xlpm.usp*($AF524="Submitted")),_xlpm.term,(_xlpm.sfp*OR($P524="Approved",$P524="Declined"))+(_xlpm.slp*OR($T524="Approved",$T524="Declined"))+(_xlpm.ffp*OR($X524="Approved",$X524="Declined"))+(_xlpm.chp*OR($AB524="Approved",$AB524="Declined"))+(_xlpm.usp*OR($AF524="Approved",$AF524="Declined")),IF(_xlpm.n=0,"No applicable lenders",IF(_xlpm.sub&gt;0,"Stays with Shaw - lender still Submitted",IF(_xlpm.term=_xlpm.n,"Clear - all applicable lenders Approved or Declined","Stays with Shaw - not all lenders Approved or Declined")))))</f>
      </c>
    </row>
    <row r="525" spans="80:80">
      <c r="CB525" s="131">
        <f>IF($A525="","",_xlfn.LET(_xlpm.sfp,AND($P525&lt;&gt;"",$P525&lt;&gt;"N/A",$P525&lt;&gt;"No Min RQ"),_xlpm.slp,AND($T525&lt;&gt;"",$T525&lt;&gt;"N/A",$T525&lt;&gt;"No Min RQ"),_xlpm.ffp,AND($X525&lt;&gt;"",$X525&lt;&gt;"N/A",$X525&lt;&gt;"No Min RQ"),_xlpm.chp,AND($AB525&lt;&gt;"",$AB525&lt;&gt;"N/A",$AB525&lt;&gt;"No Min RQ"),_xlpm.usp,AND($AF525&lt;&gt;"",$AF525&lt;&gt;"N/A",$AF525&lt;&gt;"No Min RQ"),_xlpm.n,_xlpm.sfp+_xlpm.slp+_xlpm.ffp+_xlpm.chp+_xlpm.usp,_xlpm.sub,(_xlpm.sfp*($P525="Submitted"))+(_xlpm.slp*($T525="Submitted"))+(_xlpm.ffp*($X525="Submitted"))+(_xlpm.chp*($AB525="Submitted"))+(_xlpm.usp*($AF525="Submitted")),_xlpm.term,(_xlpm.sfp*OR($P525="Approved",$P525="Declined"))+(_xlpm.slp*OR($T525="Approved",$T525="Declined"))+(_xlpm.ffp*OR($X525="Approved",$X525="Declined"))+(_xlpm.chp*OR($AB525="Approved",$AB525="Declined"))+(_xlpm.usp*OR($AF525="Approved",$AF525="Declined")),IF(_xlpm.n=0,"No applicable lenders",IF(_xlpm.sub&gt;0,"Stays with Shaw - lender still Submitted",IF(_xlpm.term=_xlpm.n,"Clear - all applicable lenders Approved or Declined","Stays with Shaw - not all lenders Approved or Declined")))))</f>
      </c>
    </row>
    <row r="526" spans="80:80">
      <c r="CB526" s="131">
        <f>IF($A526="","",_xlfn.LET(_xlpm.sfp,AND($P526&lt;&gt;"",$P526&lt;&gt;"N/A",$P526&lt;&gt;"No Min RQ"),_xlpm.slp,AND($T526&lt;&gt;"",$T526&lt;&gt;"N/A",$T526&lt;&gt;"No Min RQ"),_xlpm.ffp,AND($X526&lt;&gt;"",$X526&lt;&gt;"N/A",$X526&lt;&gt;"No Min RQ"),_xlpm.chp,AND($AB526&lt;&gt;"",$AB526&lt;&gt;"N/A",$AB526&lt;&gt;"No Min RQ"),_xlpm.usp,AND($AF526&lt;&gt;"",$AF526&lt;&gt;"N/A",$AF526&lt;&gt;"No Min RQ"),_xlpm.n,_xlpm.sfp+_xlpm.slp+_xlpm.ffp+_xlpm.chp+_xlpm.usp,_xlpm.sub,(_xlpm.sfp*($P526="Submitted"))+(_xlpm.slp*($T526="Submitted"))+(_xlpm.ffp*($X526="Submitted"))+(_xlpm.chp*($AB526="Submitted"))+(_xlpm.usp*($AF526="Submitted")),_xlpm.term,(_xlpm.sfp*OR($P526="Approved",$P526="Declined"))+(_xlpm.slp*OR($T526="Approved",$T526="Declined"))+(_xlpm.ffp*OR($X526="Approved",$X526="Declined"))+(_xlpm.chp*OR($AB526="Approved",$AB526="Declined"))+(_xlpm.usp*OR($AF526="Approved",$AF526="Declined")),IF(_xlpm.n=0,"No applicable lenders",IF(_xlpm.sub&gt;0,"Stays with Shaw - lender still Submitted",IF(_xlpm.term=_xlpm.n,"Clear - all applicable lenders Approved or Declined","Stays with Shaw - not all lenders Approved or Declined")))))</f>
      </c>
    </row>
    <row r="527" spans="80:80">
      <c r="CB527" s="131">
        <f>IF($A527="","",_xlfn.LET(_xlpm.sfp,AND($P527&lt;&gt;"",$P527&lt;&gt;"N/A",$P527&lt;&gt;"No Min RQ"),_xlpm.slp,AND($T527&lt;&gt;"",$T527&lt;&gt;"N/A",$T527&lt;&gt;"No Min RQ"),_xlpm.ffp,AND($X527&lt;&gt;"",$X527&lt;&gt;"N/A",$X527&lt;&gt;"No Min RQ"),_xlpm.chp,AND($AB527&lt;&gt;"",$AB527&lt;&gt;"N/A",$AB527&lt;&gt;"No Min RQ"),_xlpm.usp,AND($AF527&lt;&gt;"",$AF527&lt;&gt;"N/A",$AF527&lt;&gt;"No Min RQ"),_xlpm.n,_xlpm.sfp+_xlpm.slp+_xlpm.ffp+_xlpm.chp+_xlpm.usp,_xlpm.sub,(_xlpm.sfp*($P527="Submitted"))+(_xlpm.slp*($T527="Submitted"))+(_xlpm.ffp*($X527="Submitted"))+(_xlpm.chp*($AB527="Submitted"))+(_xlpm.usp*($AF527="Submitted")),_xlpm.term,(_xlpm.sfp*OR($P527="Approved",$P527="Declined"))+(_xlpm.slp*OR($T527="Approved",$T527="Declined"))+(_xlpm.ffp*OR($X527="Approved",$X527="Declined"))+(_xlpm.chp*OR($AB527="Approved",$AB527="Declined"))+(_xlpm.usp*OR($AF527="Approved",$AF527="Declined")),IF(_xlpm.n=0,"No applicable lenders",IF(_xlpm.sub&gt;0,"Stays with Shaw - lender still Submitted",IF(_xlpm.term=_xlpm.n,"Clear - all applicable lenders Approved or Declined","Stays with Shaw - not all lenders Approved or Declined")))))</f>
      </c>
    </row>
    <row r="528" spans="80:80">
      <c r="CB528" s="131">
        <f>IF($A528="","",_xlfn.LET(_xlpm.sfp,AND($P528&lt;&gt;"",$P528&lt;&gt;"N/A",$P528&lt;&gt;"No Min RQ"),_xlpm.slp,AND($T528&lt;&gt;"",$T528&lt;&gt;"N/A",$T528&lt;&gt;"No Min RQ"),_xlpm.ffp,AND($X528&lt;&gt;"",$X528&lt;&gt;"N/A",$X528&lt;&gt;"No Min RQ"),_xlpm.chp,AND($AB528&lt;&gt;"",$AB528&lt;&gt;"N/A",$AB528&lt;&gt;"No Min RQ"),_xlpm.usp,AND($AF528&lt;&gt;"",$AF528&lt;&gt;"N/A",$AF528&lt;&gt;"No Min RQ"),_xlpm.n,_xlpm.sfp+_xlpm.slp+_xlpm.ffp+_xlpm.chp+_xlpm.usp,_xlpm.sub,(_xlpm.sfp*($P528="Submitted"))+(_xlpm.slp*($T528="Submitted"))+(_xlpm.ffp*($X528="Submitted"))+(_xlpm.chp*($AB528="Submitted"))+(_xlpm.usp*($AF528="Submitted")),_xlpm.term,(_xlpm.sfp*OR($P528="Approved",$P528="Declined"))+(_xlpm.slp*OR($T528="Approved",$T528="Declined"))+(_xlpm.ffp*OR($X528="Approved",$X528="Declined"))+(_xlpm.chp*OR($AB528="Approved",$AB528="Declined"))+(_xlpm.usp*OR($AF528="Approved",$AF528="Declined")),IF(_xlpm.n=0,"No applicable lenders",IF(_xlpm.sub&gt;0,"Stays with Shaw - lender still Submitted",IF(_xlpm.term=_xlpm.n,"Clear - all applicable lenders Approved or Declined","Stays with Shaw - not all lenders Approved or Declined")))))</f>
      </c>
    </row>
    <row r="529" spans="80:80">
      <c r="CB529" s="131">
        <f>IF($A529="","",_xlfn.LET(_xlpm.sfp,AND($P529&lt;&gt;"",$P529&lt;&gt;"N/A",$P529&lt;&gt;"No Min RQ"),_xlpm.slp,AND($T529&lt;&gt;"",$T529&lt;&gt;"N/A",$T529&lt;&gt;"No Min RQ"),_xlpm.ffp,AND($X529&lt;&gt;"",$X529&lt;&gt;"N/A",$X529&lt;&gt;"No Min RQ"),_xlpm.chp,AND($AB529&lt;&gt;"",$AB529&lt;&gt;"N/A",$AB529&lt;&gt;"No Min RQ"),_xlpm.usp,AND($AF529&lt;&gt;"",$AF529&lt;&gt;"N/A",$AF529&lt;&gt;"No Min RQ"),_xlpm.n,_xlpm.sfp+_xlpm.slp+_xlpm.ffp+_xlpm.chp+_xlpm.usp,_xlpm.sub,(_xlpm.sfp*($P529="Submitted"))+(_xlpm.slp*($T529="Submitted"))+(_xlpm.ffp*($X529="Submitted"))+(_xlpm.chp*($AB529="Submitted"))+(_xlpm.usp*($AF529="Submitted")),_xlpm.term,(_xlpm.sfp*OR($P529="Approved",$P529="Declined"))+(_xlpm.slp*OR($T529="Approved",$T529="Declined"))+(_xlpm.ffp*OR($X529="Approved",$X529="Declined"))+(_xlpm.chp*OR($AB529="Approved",$AB529="Declined"))+(_xlpm.usp*OR($AF529="Approved",$AF529="Declined")),IF(_xlpm.n=0,"No applicable lenders",IF(_xlpm.sub&gt;0,"Stays with Shaw - lender still Submitted",IF(_xlpm.term=_xlpm.n,"Clear - all applicable lenders Approved or Declined","Stays with Shaw - not all lenders Approved or Declined")))))</f>
      </c>
    </row>
    <row r="530" spans="80:80">
      <c r="CB530" s="131">
        <f>IF($A530="","",_xlfn.LET(_xlpm.sfp,AND($P530&lt;&gt;"",$P530&lt;&gt;"N/A",$P530&lt;&gt;"No Min RQ"),_xlpm.slp,AND($T530&lt;&gt;"",$T530&lt;&gt;"N/A",$T530&lt;&gt;"No Min RQ"),_xlpm.ffp,AND($X530&lt;&gt;"",$X530&lt;&gt;"N/A",$X530&lt;&gt;"No Min RQ"),_xlpm.chp,AND($AB530&lt;&gt;"",$AB530&lt;&gt;"N/A",$AB530&lt;&gt;"No Min RQ"),_xlpm.usp,AND($AF530&lt;&gt;"",$AF530&lt;&gt;"N/A",$AF530&lt;&gt;"No Min RQ"),_xlpm.n,_xlpm.sfp+_xlpm.slp+_xlpm.ffp+_xlpm.chp+_xlpm.usp,_xlpm.sub,(_xlpm.sfp*($P530="Submitted"))+(_xlpm.slp*($T530="Submitted"))+(_xlpm.ffp*($X530="Submitted"))+(_xlpm.chp*($AB530="Submitted"))+(_xlpm.usp*($AF530="Submitted")),_xlpm.term,(_xlpm.sfp*OR($P530="Approved",$P530="Declined"))+(_xlpm.slp*OR($T530="Approved",$T530="Declined"))+(_xlpm.ffp*OR($X530="Approved",$X530="Declined"))+(_xlpm.chp*OR($AB530="Approved",$AB530="Declined"))+(_xlpm.usp*OR($AF530="Approved",$AF530="Declined")),IF(_xlpm.n=0,"No applicable lenders",IF(_xlpm.sub&gt;0,"Stays with Shaw - lender still Submitted",IF(_xlpm.term=_xlpm.n,"Clear - all applicable lenders Approved or Declined","Stays with Shaw - not all lenders Approved or Declined")))))</f>
      </c>
    </row>
    <row r="531" spans="80:80">
      <c r="CB531" s="131">
        <f>IF($A531="","",_xlfn.LET(_xlpm.sfp,AND($P531&lt;&gt;"",$P531&lt;&gt;"N/A",$P531&lt;&gt;"No Min RQ"),_xlpm.slp,AND($T531&lt;&gt;"",$T531&lt;&gt;"N/A",$T531&lt;&gt;"No Min RQ"),_xlpm.ffp,AND($X531&lt;&gt;"",$X531&lt;&gt;"N/A",$X531&lt;&gt;"No Min RQ"),_xlpm.chp,AND($AB531&lt;&gt;"",$AB531&lt;&gt;"N/A",$AB531&lt;&gt;"No Min RQ"),_xlpm.usp,AND($AF531&lt;&gt;"",$AF531&lt;&gt;"N/A",$AF531&lt;&gt;"No Min RQ"),_xlpm.n,_xlpm.sfp+_xlpm.slp+_xlpm.ffp+_xlpm.chp+_xlpm.usp,_xlpm.sub,(_xlpm.sfp*($P531="Submitted"))+(_xlpm.slp*($T531="Submitted"))+(_xlpm.ffp*($X531="Submitted"))+(_xlpm.chp*($AB531="Submitted"))+(_xlpm.usp*($AF531="Submitted")),_xlpm.term,(_xlpm.sfp*OR($P531="Approved",$P531="Declined"))+(_xlpm.slp*OR($T531="Approved",$T531="Declined"))+(_xlpm.ffp*OR($X531="Approved",$X531="Declined"))+(_xlpm.chp*OR($AB531="Approved",$AB531="Declined"))+(_xlpm.usp*OR($AF531="Approved",$AF531="Declined")),IF(_xlpm.n=0,"No applicable lenders",IF(_xlpm.sub&gt;0,"Stays with Shaw - lender still Submitted",IF(_xlpm.term=_xlpm.n,"Clear - all applicable lenders Approved or Declined","Stays with Shaw - not all lenders Approved or Declined")))))</f>
      </c>
    </row>
    <row r="532" spans="80:80">
      <c r="CB532" s="131">
        <f>IF($A532="","",_xlfn.LET(_xlpm.sfp,AND($P532&lt;&gt;"",$P532&lt;&gt;"N/A",$P532&lt;&gt;"No Min RQ"),_xlpm.slp,AND($T532&lt;&gt;"",$T532&lt;&gt;"N/A",$T532&lt;&gt;"No Min RQ"),_xlpm.ffp,AND($X532&lt;&gt;"",$X532&lt;&gt;"N/A",$X532&lt;&gt;"No Min RQ"),_xlpm.chp,AND($AB532&lt;&gt;"",$AB532&lt;&gt;"N/A",$AB532&lt;&gt;"No Min RQ"),_xlpm.usp,AND($AF532&lt;&gt;"",$AF532&lt;&gt;"N/A",$AF532&lt;&gt;"No Min RQ"),_xlpm.n,_xlpm.sfp+_xlpm.slp+_xlpm.ffp+_xlpm.chp+_xlpm.usp,_xlpm.sub,(_xlpm.sfp*($P532="Submitted"))+(_xlpm.slp*($T532="Submitted"))+(_xlpm.ffp*($X532="Submitted"))+(_xlpm.chp*($AB532="Submitted"))+(_xlpm.usp*($AF532="Submitted")),_xlpm.term,(_xlpm.sfp*OR($P532="Approved",$P532="Declined"))+(_xlpm.slp*OR($T532="Approved",$T532="Declined"))+(_xlpm.ffp*OR($X532="Approved",$X532="Declined"))+(_xlpm.chp*OR($AB532="Approved",$AB532="Declined"))+(_xlpm.usp*OR($AF532="Approved",$AF532="Declined")),IF(_xlpm.n=0,"No applicable lenders",IF(_xlpm.sub&gt;0,"Stays with Shaw - lender still Submitted",IF(_xlpm.term=_xlpm.n,"Clear - all applicable lenders Approved or Declined","Stays with Shaw - not all lenders Approved or Declined")))))</f>
      </c>
    </row>
    <row r="533" spans="80:80">
      <c r="CB533" s="131">
        <f>IF($A533="","",_xlfn.LET(_xlpm.sfp,AND($P533&lt;&gt;"",$P533&lt;&gt;"N/A",$P533&lt;&gt;"No Min RQ"),_xlpm.slp,AND($T533&lt;&gt;"",$T533&lt;&gt;"N/A",$T533&lt;&gt;"No Min RQ"),_xlpm.ffp,AND($X533&lt;&gt;"",$X533&lt;&gt;"N/A",$X533&lt;&gt;"No Min RQ"),_xlpm.chp,AND($AB533&lt;&gt;"",$AB533&lt;&gt;"N/A",$AB533&lt;&gt;"No Min RQ"),_xlpm.usp,AND($AF533&lt;&gt;"",$AF533&lt;&gt;"N/A",$AF533&lt;&gt;"No Min RQ"),_xlpm.n,_xlpm.sfp+_xlpm.slp+_xlpm.ffp+_xlpm.chp+_xlpm.usp,_xlpm.sub,(_xlpm.sfp*($P533="Submitted"))+(_xlpm.slp*($T533="Submitted"))+(_xlpm.ffp*($X533="Submitted"))+(_xlpm.chp*($AB533="Submitted"))+(_xlpm.usp*($AF533="Submitted")),_xlpm.term,(_xlpm.sfp*OR($P533="Approved",$P533="Declined"))+(_xlpm.slp*OR($T533="Approved",$T533="Declined"))+(_xlpm.ffp*OR($X533="Approved",$X533="Declined"))+(_xlpm.chp*OR($AB533="Approved",$AB533="Declined"))+(_xlpm.usp*OR($AF533="Approved",$AF533="Declined")),IF(_xlpm.n=0,"No applicable lenders",IF(_xlpm.sub&gt;0,"Stays with Shaw - lender still Submitted",IF(_xlpm.term=_xlpm.n,"Clear - all applicable lenders Approved or Declined","Stays with Shaw - not all lenders Approved or Declined")))))</f>
      </c>
    </row>
    <row r="534" spans="80:80">
      <c r="CB534" s="131">
        <f>IF($A534="","",_xlfn.LET(_xlpm.sfp,AND($P534&lt;&gt;"",$P534&lt;&gt;"N/A",$P534&lt;&gt;"No Min RQ"),_xlpm.slp,AND($T534&lt;&gt;"",$T534&lt;&gt;"N/A",$T534&lt;&gt;"No Min RQ"),_xlpm.ffp,AND($X534&lt;&gt;"",$X534&lt;&gt;"N/A",$X534&lt;&gt;"No Min RQ"),_xlpm.chp,AND($AB534&lt;&gt;"",$AB534&lt;&gt;"N/A",$AB534&lt;&gt;"No Min RQ"),_xlpm.usp,AND($AF534&lt;&gt;"",$AF534&lt;&gt;"N/A",$AF534&lt;&gt;"No Min RQ"),_xlpm.n,_xlpm.sfp+_xlpm.slp+_xlpm.ffp+_xlpm.chp+_xlpm.usp,_xlpm.sub,(_xlpm.sfp*($P534="Submitted"))+(_xlpm.slp*($T534="Submitted"))+(_xlpm.ffp*($X534="Submitted"))+(_xlpm.chp*($AB534="Submitted"))+(_xlpm.usp*($AF534="Submitted")),_xlpm.term,(_xlpm.sfp*OR($P534="Approved",$P534="Declined"))+(_xlpm.slp*OR($T534="Approved",$T534="Declined"))+(_xlpm.ffp*OR($X534="Approved",$X534="Declined"))+(_xlpm.chp*OR($AB534="Approved",$AB534="Declined"))+(_xlpm.usp*OR($AF534="Approved",$AF534="Declined")),IF(_xlpm.n=0,"No applicable lenders",IF(_xlpm.sub&gt;0,"Stays with Shaw - lender still Submitted",IF(_xlpm.term=_xlpm.n,"Clear - all applicable lenders Approved or Declined","Stays with Shaw - not all lenders Approved or Declined")))))</f>
      </c>
    </row>
    <row r="535" spans="80:80">
      <c r="CB535" s="131">
        <f>IF($A535="","",_xlfn.LET(_xlpm.sfp,AND($P535&lt;&gt;"",$P535&lt;&gt;"N/A",$P535&lt;&gt;"No Min RQ"),_xlpm.slp,AND($T535&lt;&gt;"",$T535&lt;&gt;"N/A",$T535&lt;&gt;"No Min RQ"),_xlpm.ffp,AND($X535&lt;&gt;"",$X535&lt;&gt;"N/A",$X535&lt;&gt;"No Min RQ"),_xlpm.chp,AND($AB535&lt;&gt;"",$AB535&lt;&gt;"N/A",$AB535&lt;&gt;"No Min RQ"),_xlpm.usp,AND($AF535&lt;&gt;"",$AF535&lt;&gt;"N/A",$AF535&lt;&gt;"No Min RQ"),_xlpm.n,_xlpm.sfp+_xlpm.slp+_xlpm.ffp+_xlpm.chp+_xlpm.usp,_xlpm.sub,(_xlpm.sfp*($P535="Submitted"))+(_xlpm.slp*($T535="Submitted"))+(_xlpm.ffp*($X535="Submitted"))+(_xlpm.chp*($AB535="Submitted"))+(_xlpm.usp*($AF535="Submitted")),_xlpm.term,(_xlpm.sfp*OR($P535="Approved",$P535="Declined"))+(_xlpm.slp*OR($T535="Approved",$T535="Declined"))+(_xlpm.ffp*OR($X535="Approved",$X535="Declined"))+(_xlpm.chp*OR($AB535="Approved",$AB535="Declined"))+(_xlpm.usp*OR($AF535="Approved",$AF535="Declined")),IF(_xlpm.n=0,"No applicable lenders",IF(_xlpm.sub&gt;0,"Stays with Shaw - lender still Submitted",IF(_xlpm.term=_xlpm.n,"Clear - all applicable lenders Approved or Declined","Stays with Shaw - not all lenders Approved or Declined")))))</f>
      </c>
    </row>
    <row r="536" spans="80:80">
      <c r="CB536" s="131">
        <f>IF($A536="","",_xlfn.LET(_xlpm.sfp,AND($P536&lt;&gt;"",$P536&lt;&gt;"N/A",$P536&lt;&gt;"No Min RQ"),_xlpm.slp,AND($T536&lt;&gt;"",$T536&lt;&gt;"N/A",$T536&lt;&gt;"No Min RQ"),_xlpm.ffp,AND($X536&lt;&gt;"",$X536&lt;&gt;"N/A",$X536&lt;&gt;"No Min RQ"),_xlpm.chp,AND($AB536&lt;&gt;"",$AB536&lt;&gt;"N/A",$AB536&lt;&gt;"No Min RQ"),_xlpm.usp,AND($AF536&lt;&gt;"",$AF536&lt;&gt;"N/A",$AF536&lt;&gt;"No Min RQ"),_xlpm.n,_xlpm.sfp+_xlpm.slp+_xlpm.ffp+_xlpm.chp+_xlpm.usp,_xlpm.sub,(_xlpm.sfp*($P536="Submitted"))+(_xlpm.slp*($T536="Submitted"))+(_xlpm.ffp*($X536="Submitted"))+(_xlpm.chp*($AB536="Submitted"))+(_xlpm.usp*($AF536="Submitted")),_xlpm.term,(_xlpm.sfp*OR($P536="Approved",$P536="Declined"))+(_xlpm.slp*OR($T536="Approved",$T536="Declined"))+(_xlpm.ffp*OR($X536="Approved",$X536="Declined"))+(_xlpm.chp*OR($AB536="Approved",$AB536="Declined"))+(_xlpm.usp*OR($AF536="Approved",$AF536="Declined")),IF(_xlpm.n=0,"No applicable lenders",IF(_xlpm.sub&gt;0,"Stays with Shaw - lender still Submitted",IF(_xlpm.term=_xlpm.n,"Clear - all applicable lenders Approved or Declined","Stays with Shaw - not all lenders Approved or Declined")))))</f>
      </c>
    </row>
    <row r="537" spans="80:80">
      <c r="CB537" s="131">
        <f>IF($A537="","",_xlfn.LET(_xlpm.sfp,AND($P537&lt;&gt;"",$P537&lt;&gt;"N/A",$P537&lt;&gt;"No Min RQ"),_xlpm.slp,AND($T537&lt;&gt;"",$T537&lt;&gt;"N/A",$T537&lt;&gt;"No Min RQ"),_xlpm.ffp,AND($X537&lt;&gt;"",$X537&lt;&gt;"N/A",$X537&lt;&gt;"No Min RQ"),_xlpm.chp,AND($AB537&lt;&gt;"",$AB537&lt;&gt;"N/A",$AB537&lt;&gt;"No Min RQ"),_xlpm.usp,AND($AF537&lt;&gt;"",$AF537&lt;&gt;"N/A",$AF537&lt;&gt;"No Min RQ"),_xlpm.n,_xlpm.sfp+_xlpm.slp+_xlpm.ffp+_xlpm.chp+_xlpm.usp,_xlpm.sub,(_xlpm.sfp*($P537="Submitted"))+(_xlpm.slp*($T537="Submitted"))+(_xlpm.ffp*($X537="Submitted"))+(_xlpm.chp*($AB537="Submitted"))+(_xlpm.usp*($AF537="Submitted")),_xlpm.term,(_xlpm.sfp*OR($P537="Approved",$P537="Declined"))+(_xlpm.slp*OR($T537="Approved",$T537="Declined"))+(_xlpm.ffp*OR($X537="Approved",$X537="Declined"))+(_xlpm.chp*OR($AB537="Approved",$AB537="Declined"))+(_xlpm.usp*OR($AF537="Approved",$AF537="Declined")),IF(_xlpm.n=0,"No applicable lenders",IF(_xlpm.sub&gt;0,"Stays with Shaw - lender still Submitted",IF(_xlpm.term=_xlpm.n,"Clear - all applicable lenders Approved or Declined","Stays with Shaw - not all lenders Approved or Declined")))))</f>
      </c>
    </row>
    <row r="538" spans="80:80">
      <c r="CB538" s="131">
        <f>IF($A538="","",_xlfn.LET(_xlpm.sfp,AND($P538&lt;&gt;"",$P538&lt;&gt;"N/A",$P538&lt;&gt;"No Min RQ"),_xlpm.slp,AND($T538&lt;&gt;"",$T538&lt;&gt;"N/A",$T538&lt;&gt;"No Min RQ"),_xlpm.ffp,AND($X538&lt;&gt;"",$X538&lt;&gt;"N/A",$X538&lt;&gt;"No Min RQ"),_xlpm.chp,AND($AB538&lt;&gt;"",$AB538&lt;&gt;"N/A",$AB538&lt;&gt;"No Min RQ"),_xlpm.usp,AND($AF538&lt;&gt;"",$AF538&lt;&gt;"N/A",$AF538&lt;&gt;"No Min RQ"),_xlpm.n,_xlpm.sfp+_xlpm.slp+_xlpm.ffp+_xlpm.chp+_xlpm.usp,_xlpm.sub,(_xlpm.sfp*($P538="Submitted"))+(_xlpm.slp*($T538="Submitted"))+(_xlpm.ffp*($X538="Submitted"))+(_xlpm.chp*($AB538="Submitted"))+(_xlpm.usp*($AF538="Submitted")),_xlpm.term,(_xlpm.sfp*OR($P538="Approved",$P538="Declined"))+(_xlpm.slp*OR($T538="Approved",$T538="Declined"))+(_xlpm.ffp*OR($X538="Approved",$X538="Declined"))+(_xlpm.chp*OR($AB538="Approved",$AB538="Declined"))+(_xlpm.usp*OR($AF538="Approved",$AF538="Declined")),IF(_xlpm.n=0,"No applicable lenders",IF(_xlpm.sub&gt;0,"Stays with Shaw - lender still Submitted",IF(_xlpm.term=_xlpm.n,"Clear - all applicable lenders Approved or Declined","Stays with Shaw - not all lenders Approved or Declined")))))</f>
      </c>
    </row>
    <row r="539" spans="80:80">
      <c r="CB539" s="131">
        <f>IF($A539="","",_xlfn.LET(_xlpm.sfp,AND($P539&lt;&gt;"",$P539&lt;&gt;"N/A",$P539&lt;&gt;"No Min RQ"),_xlpm.slp,AND($T539&lt;&gt;"",$T539&lt;&gt;"N/A",$T539&lt;&gt;"No Min RQ"),_xlpm.ffp,AND($X539&lt;&gt;"",$X539&lt;&gt;"N/A",$X539&lt;&gt;"No Min RQ"),_xlpm.chp,AND($AB539&lt;&gt;"",$AB539&lt;&gt;"N/A",$AB539&lt;&gt;"No Min RQ"),_xlpm.usp,AND($AF539&lt;&gt;"",$AF539&lt;&gt;"N/A",$AF539&lt;&gt;"No Min RQ"),_xlpm.n,_xlpm.sfp+_xlpm.slp+_xlpm.ffp+_xlpm.chp+_xlpm.usp,_xlpm.sub,(_xlpm.sfp*($P539="Submitted"))+(_xlpm.slp*($T539="Submitted"))+(_xlpm.ffp*($X539="Submitted"))+(_xlpm.chp*($AB539="Submitted"))+(_xlpm.usp*($AF539="Submitted")),_xlpm.term,(_xlpm.sfp*OR($P539="Approved",$P539="Declined"))+(_xlpm.slp*OR($T539="Approved",$T539="Declined"))+(_xlpm.ffp*OR($X539="Approved",$X539="Declined"))+(_xlpm.chp*OR($AB539="Approved",$AB539="Declined"))+(_xlpm.usp*OR($AF539="Approved",$AF539="Declined")),IF(_xlpm.n=0,"No applicable lenders",IF(_xlpm.sub&gt;0,"Stays with Shaw - lender still Submitted",IF(_xlpm.term=_xlpm.n,"Clear - all applicable lenders Approved or Declined","Stays with Shaw - not all lenders Approved or Declined")))))</f>
      </c>
    </row>
    <row r="540" spans="80:80">
      <c r="CB540" s="131">
        <f>IF($A540="","",_xlfn.LET(_xlpm.sfp,AND($P540&lt;&gt;"",$P540&lt;&gt;"N/A",$P540&lt;&gt;"No Min RQ"),_xlpm.slp,AND($T540&lt;&gt;"",$T540&lt;&gt;"N/A",$T540&lt;&gt;"No Min RQ"),_xlpm.ffp,AND($X540&lt;&gt;"",$X540&lt;&gt;"N/A",$X540&lt;&gt;"No Min RQ"),_xlpm.chp,AND($AB540&lt;&gt;"",$AB540&lt;&gt;"N/A",$AB540&lt;&gt;"No Min RQ"),_xlpm.usp,AND($AF540&lt;&gt;"",$AF540&lt;&gt;"N/A",$AF540&lt;&gt;"No Min RQ"),_xlpm.n,_xlpm.sfp+_xlpm.slp+_xlpm.ffp+_xlpm.chp+_xlpm.usp,_xlpm.sub,(_xlpm.sfp*($P540="Submitted"))+(_xlpm.slp*($T540="Submitted"))+(_xlpm.ffp*($X540="Submitted"))+(_xlpm.chp*($AB540="Submitted"))+(_xlpm.usp*($AF540="Submitted")),_xlpm.term,(_xlpm.sfp*OR($P540="Approved",$P540="Declined"))+(_xlpm.slp*OR($T540="Approved",$T540="Declined"))+(_xlpm.ffp*OR($X540="Approved",$X540="Declined"))+(_xlpm.chp*OR($AB540="Approved",$AB540="Declined"))+(_xlpm.usp*OR($AF540="Approved",$AF540="Declined")),IF(_xlpm.n=0,"No applicable lenders",IF(_xlpm.sub&gt;0,"Stays with Shaw - lender still Submitted",IF(_xlpm.term=_xlpm.n,"Clear - all applicable lenders Approved or Declined","Stays with Shaw - not all lenders Approved or Declined")))))</f>
      </c>
    </row>
    <row r="541" spans="80:80">
      <c r="CB541" s="131">
        <f>IF($A541="","",_xlfn.LET(_xlpm.sfp,AND($P541&lt;&gt;"",$P541&lt;&gt;"N/A",$P541&lt;&gt;"No Min RQ"),_xlpm.slp,AND($T541&lt;&gt;"",$T541&lt;&gt;"N/A",$T541&lt;&gt;"No Min RQ"),_xlpm.ffp,AND($X541&lt;&gt;"",$X541&lt;&gt;"N/A",$X541&lt;&gt;"No Min RQ"),_xlpm.chp,AND($AB541&lt;&gt;"",$AB541&lt;&gt;"N/A",$AB541&lt;&gt;"No Min RQ"),_xlpm.usp,AND($AF541&lt;&gt;"",$AF541&lt;&gt;"N/A",$AF541&lt;&gt;"No Min RQ"),_xlpm.n,_xlpm.sfp+_xlpm.slp+_xlpm.ffp+_xlpm.chp+_xlpm.usp,_xlpm.sub,(_xlpm.sfp*($P541="Submitted"))+(_xlpm.slp*($T541="Submitted"))+(_xlpm.ffp*($X541="Submitted"))+(_xlpm.chp*($AB541="Submitted"))+(_xlpm.usp*($AF541="Submitted")),_xlpm.term,(_xlpm.sfp*OR($P541="Approved",$P541="Declined"))+(_xlpm.slp*OR($T541="Approved",$T541="Declined"))+(_xlpm.ffp*OR($X541="Approved",$X541="Declined"))+(_xlpm.chp*OR($AB541="Approved",$AB541="Declined"))+(_xlpm.usp*OR($AF541="Approved",$AF541="Declined")),IF(_xlpm.n=0,"No applicable lenders",IF(_xlpm.sub&gt;0,"Stays with Shaw - lender still Submitted",IF(_xlpm.term=_xlpm.n,"Clear - all applicable lenders Approved or Declined","Stays with Shaw - not all lenders Approved or Declined")))))</f>
      </c>
    </row>
    <row r="542" spans="80:80">
      <c r="CB542" s="131">
        <f>IF($A542="","",_xlfn.LET(_xlpm.sfp,AND($P542&lt;&gt;"",$P542&lt;&gt;"N/A",$P542&lt;&gt;"No Min RQ"),_xlpm.slp,AND($T542&lt;&gt;"",$T542&lt;&gt;"N/A",$T542&lt;&gt;"No Min RQ"),_xlpm.ffp,AND($X542&lt;&gt;"",$X542&lt;&gt;"N/A",$X542&lt;&gt;"No Min RQ"),_xlpm.chp,AND($AB542&lt;&gt;"",$AB542&lt;&gt;"N/A",$AB542&lt;&gt;"No Min RQ"),_xlpm.usp,AND($AF542&lt;&gt;"",$AF542&lt;&gt;"N/A",$AF542&lt;&gt;"No Min RQ"),_xlpm.n,_xlpm.sfp+_xlpm.slp+_xlpm.ffp+_xlpm.chp+_xlpm.usp,_xlpm.sub,(_xlpm.sfp*($P542="Submitted"))+(_xlpm.slp*($T542="Submitted"))+(_xlpm.ffp*($X542="Submitted"))+(_xlpm.chp*($AB542="Submitted"))+(_xlpm.usp*($AF542="Submitted")),_xlpm.term,(_xlpm.sfp*OR($P542="Approved",$P542="Declined"))+(_xlpm.slp*OR($T542="Approved",$T542="Declined"))+(_xlpm.ffp*OR($X542="Approved",$X542="Declined"))+(_xlpm.chp*OR($AB542="Approved",$AB542="Declined"))+(_xlpm.usp*OR($AF542="Approved",$AF542="Declined")),IF(_xlpm.n=0,"No applicable lenders",IF(_xlpm.sub&gt;0,"Stays with Shaw - lender still Submitted",IF(_xlpm.term=_xlpm.n,"Clear - all applicable lenders Approved or Declined","Stays with Shaw - not all lenders Approved or Declined")))))</f>
      </c>
    </row>
    <row r="543" spans="80:80">
      <c r="CB543" s="131">
        <f>IF($A543="","",_xlfn.LET(_xlpm.sfp,AND($P543&lt;&gt;"",$P543&lt;&gt;"N/A",$P543&lt;&gt;"No Min RQ"),_xlpm.slp,AND($T543&lt;&gt;"",$T543&lt;&gt;"N/A",$T543&lt;&gt;"No Min RQ"),_xlpm.ffp,AND($X543&lt;&gt;"",$X543&lt;&gt;"N/A",$X543&lt;&gt;"No Min RQ"),_xlpm.chp,AND($AB543&lt;&gt;"",$AB543&lt;&gt;"N/A",$AB543&lt;&gt;"No Min RQ"),_xlpm.usp,AND($AF543&lt;&gt;"",$AF543&lt;&gt;"N/A",$AF543&lt;&gt;"No Min RQ"),_xlpm.n,_xlpm.sfp+_xlpm.slp+_xlpm.ffp+_xlpm.chp+_xlpm.usp,_xlpm.sub,(_xlpm.sfp*($P543="Submitted"))+(_xlpm.slp*($T543="Submitted"))+(_xlpm.ffp*($X543="Submitted"))+(_xlpm.chp*($AB543="Submitted"))+(_xlpm.usp*($AF543="Submitted")),_xlpm.term,(_xlpm.sfp*OR($P543="Approved",$P543="Declined"))+(_xlpm.slp*OR($T543="Approved",$T543="Declined"))+(_xlpm.ffp*OR($X543="Approved",$X543="Declined"))+(_xlpm.chp*OR($AB543="Approved",$AB543="Declined"))+(_xlpm.usp*OR($AF543="Approved",$AF543="Declined")),IF(_xlpm.n=0,"No applicable lenders",IF(_xlpm.sub&gt;0,"Stays with Shaw - lender still Submitted",IF(_xlpm.term=_xlpm.n,"Clear - all applicable lenders Approved or Declined","Stays with Shaw - not all lenders Approved or Declined")))))</f>
      </c>
    </row>
    <row r="544" spans="80:80">
      <c r="CB544" s="131">
        <f>IF($A544="","",_xlfn.LET(_xlpm.sfp,AND($P544&lt;&gt;"",$P544&lt;&gt;"N/A",$P544&lt;&gt;"No Min RQ"),_xlpm.slp,AND($T544&lt;&gt;"",$T544&lt;&gt;"N/A",$T544&lt;&gt;"No Min RQ"),_xlpm.ffp,AND($X544&lt;&gt;"",$X544&lt;&gt;"N/A",$X544&lt;&gt;"No Min RQ"),_xlpm.chp,AND($AB544&lt;&gt;"",$AB544&lt;&gt;"N/A",$AB544&lt;&gt;"No Min RQ"),_xlpm.usp,AND($AF544&lt;&gt;"",$AF544&lt;&gt;"N/A",$AF544&lt;&gt;"No Min RQ"),_xlpm.n,_xlpm.sfp+_xlpm.slp+_xlpm.ffp+_xlpm.chp+_xlpm.usp,_xlpm.sub,(_xlpm.sfp*($P544="Submitted"))+(_xlpm.slp*($T544="Submitted"))+(_xlpm.ffp*($X544="Submitted"))+(_xlpm.chp*($AB544="Submitted"))+(_xlpm.usp*($AF544="Submitted")),_xlpm.term,(_xlpm.sfp*OR($P544="Approved",$P544="Declined"))+(_xlpm.slp*OR($T544="Approved",$T544="Declined"))+(_xlpm.ffp*OR($X544="Approved",$X544="Declined"))+(_xlpm.chp*OR($AB544="Approved",$AB544="Declined"))+(_xlpm.usp*OR($AF544="Approved",$AF544="Declined")),IF(_xlpm.n=0,"No applicable lenders",IF(_xlpm.sub&gt;0,"Stays with Shaw - lender still Submitted",IF(_xlpm.term=_xlpm.n,"Clear - all applicable lenders Approved or Declined","Stays with Shaw - not all lenders Approved or Declined")))))</f>
      </c>
    </row>
    <row r="545" spans="80:80">
      <c r="CB545" s="131">
        <f>IF($A545="","",_xlfn.LET(_xlpm.sfp,AND($P545&lt;&gt;"",$P545&lt;&gt;"N/A",$P545&lt;&gt;"No Min RQ"),_xlpm.slp,AND($T545&lt;&gt;"",$T545&lt;&gt;"N/A",$T545&lt;&gt;"No Min RQ"),_xlpm.ffp,AND($X545&lt;&gt;"",$X545&lt;&gt;"N/A",$X545&lt;&gt;"No Min RQ"),_xlpm.chp,AND($AB545&lt;&gt;"",$AB545&lt;&gt;"N/A",$AB545&lt;&gt;"No Min RQ"),_xlpm.usp,AND($AF545&lt;&gt;"",$AF545&lt;&gt;"N/A",$AF545&lt;&gt;"No Min RQ"),_xlpm.n,_xlpm.sfp+_xlpm.slp+_xlpm.ffp+_xlpm.chp+_xlpm.usp,_xlpm.sub,(_xlpm.sfp*($P545="Submitted"))+(_xlpm.slp*($T545="Submitted"))+(_xlpm.ffp*($X545="Submitted"))+(_xlpm.chp*($AB545="Submitted"))+(_xlpm.usp*($AF545="Submitted")),_xlpm.term,(_xlpm.sfp*OR($P545="Approved",$P545="Declined"))+(_xlpm.slp*OR($T545="Approved",$T545="Declined"))+(_xlpm.ffp*OR($X545="Approved",$X545="Declined"))+(_xlpm.chp*OR($AB545="Approved",$AB545="Declined"))+(_xlpm.usp*OR($AF545="Approved",$AF545="Declined")),IF(_xlpm.n=0,"No applicable lenders",IF(_xlpm.sub&gt;0,"Stays with Shaw - lender still Submitted",IF(_xlpm.term=_xlpm.n,"Clear - all applicable lenders Approved or Declined","Stays with Shaw - not all lenders Approved or Declined")))))</f>
      </c>
    </row>
    <row r="546" spans="80:80">
      <c r="CB546" s="131">
        <f>IF($A546="","",_xlfn.LET(_xlpm.sfp,AND($P546&lt;&gt;"",$P546&lt;&gt;"N/A",$P546&lt;&gt;"No Min RQ"),_xlpm.slp,AND($T546&lt;&gt;"",$T546&lt;&gt;"N/A",$T546&lt;&gt;"No Min RQ"),_xlpm.ffp,AND($X546&lt;&gt;"",$X546&lt;&gt;"N/A",$X546&lt;&gt;"No Min RQ"),_xlpm.chp,AND($AB546&lt;&gt;"",$AB546&lt;&gt;"N/A",$AB546&lt;&gt;"No Min RQ"),_xlpm.usp,AND($AF546&lt;&gt;"",$AF546&lt;&gt;"N/A",$AF546&lt;&gt;"No Min RQ"),_xlpm.n,_xlpm.sfp+_xlpm.slp+_xlpm.ffp+_xlpm.chp+_xlpm.usp,_xlpm.sub,(_xlpm.sfp*($P546="Submitted"))+(_xlpm.slp*($T546="Submitted"))+(_xlpm.ffp*($X546="Submitted"))+(_xlpm.chp*($AB546="Submitted"))+(_xlpm.usp*($AF546="Submitted")),_xlpm.term,(_xlpm.sfp*OR($P546="Approved",$P546="Declined"))+(_xlpm.slp*OR($T546="Approved",$T546="Declined"))+(_xlpm.ffp*OR($X546="Approved",$X546="Declined"))+(_xlpm.chp*OR($AB546="Approved",$AB546="Declined"))+(_xlpm.usp*OR($AF546="Approved",$AF546="Declined")),IF(_xlpm.n=0,"No applicable lenders",IF(_xlpm.sub&gt;0,"Stays with Shaw - lender still Submitted",IF(_xlpm.term=_xlpm.n,"Clear - all applicable lenders Approved or Declined","Stays with Shaw - not all lenders Approved or Declined")))))</f>
      </c>
    </row>
    <row r="547" spans="80:80">
      <c r="CB547" s="131">
        <f>IF($A547="","",_xlfn.LET(_xlpm.sfp,AND($P547&lt;&gt;"",$P547&lt;&gt;"N/A",$P547&lt;&gt;"No Min RQ"),_xlpm.slp,AND($T547&lt;&gt;"",$T547&lt;&gt;"N/A",$T547&lt;&gt;"No Min RQ"),_xlpm.ffp,AND($X547&lt;&gt;"",$X547&lt;&gt;"N/A",$X547&lt;&gt;"No Min RQ"),_xlpm.chp,AND($AB547&lt;&gt;"",$AB547&lt;&gt;"N/A",$AB547&lt;&gt;"No Min RQ"),_xlpm.usp,AND($AF547&lt;&gt;"",$AF547&lt;&gt;"N/A",$AF547&lt;&gt;"No Min RQ"),_xlpm.n,_xlpm.sfp+_xlpm.slp+_xlpm.ffp+_xlpm.chp+_xlpm.usp,_xlpm.sub,(_xlpm.sfp*($P547="Submitted"))+(_xlpm.slp*($T547="Submitted"))+(_xlpm.ffp*($X547="Submitted"))+(_xlpm.chp*($AB547="Submitted"))+(_xlpm.usp*($AF547="Submitted")),_xlpm.term,(_xlpm.sfp*OR($P547="Approved",$P547="Declined"))+(_xlpm.slp*OR($T547="Approved",$T547="Declined"))+(_xlpm.ffp*OR($X547="Approved",$X547="Declined"))+(_xlpm.chp*OR($AB547="Approved",$AB547="Declined"))+(_xlpm.usp*OR($AF547="Approved",$AF547="Declined")),IF(_xlpm.n=0,"No applicable lenders",IF(_xlpm.sub&gt;0,"Stays with Shaw - lender still Submitted",IF(_xlpm.term=_xlpm.n,"Clear - all applicable lenders Approved or Declined","Stays with Shaw - not all lenders Approved or Declined")))))</f>
      </c>
    </row>
    <row r="548" spans="80:80">
      <c r="CB548" s="131">
        <f>IF($A548="","",_xlfn.LET(_xlpm.sfp,AND($P548&lt;&gt;"",$P548&lt;&gt;"N/A",$P548&lt;&gt;"No Min RQ"),_xlpm.slp,AND($T548&lt;&gt;"",$T548&lt;&gt;"N/A",$T548&lt;&gt;"No Min RQ"),_xlpm.ffp,AND($X548&lt;&gt;"",$X548&lt;&gt;"N/A",$X548&lt;&gt;"No Min RQ"),_xlpm.chp,AND($AB548&lt;&gt;"",$AB548&lt;&gt;"N/A",$AB548&lt;&gt;"No Min RQ"),_xlpm.usp,AND($AF548&lt;&gt;"",$AF548&lt;&gt;"N/A",$AF548&lt;&gt;"No Min RQ"),_xlpm.n,_xlpm.sfp+_xlpm.slp+_xlpm.ffp+_xlpm.chp+_xlpm.usp,_xlpm.sub,(_xlpm.sfp*($P548="Submitted"))+(_xlpm.slp*($T548="Submitted"))+(_xlpm.ffp*($X548="Submitted"))+(_xlpm.chp*($AB548="Submitted"))+(_xlpm.usp*($AF548="Submitted")),_xlpm.term,(_xlpm.sfp*OR($P548="Approved",$P548="Declined"))+(_xlpm.slp*OR($T548="Approved",$T548="Declined"))+(_xlpm.ffp*OR($X548="Approved",$X548="Declined"))+(_xlpm.chp*OR($AB548="Approved",$AB548="Declined"))+(_xlpm.usp*OR($AF548="Approved",$AF548="Declined")),IF(_xlpm.n=0,"No applicable lenders",IF(_xlpm.sub&gt;0,"Stays with Shaw - lender still Submitted",IF(_xlpm.term=_xlpm.n,"Clear - all applicable lenders Approved or Declined","Stays with Shaw - not all lenders Approved or Declined")))))</f>
      </c>
    </row>
    <row r="549" spans="80:80">
      <c r="CB549" s="131">
        <f>IF($A549="","",_xlfn.LET(_xlpm.sfp,AND($P549&lt;&gt;"",$P549&lt;&gt;"N/A",$P549&lt;&gt;"No Min RQ"),_xlpm.slp,AND($T549&lt;&gt;"",$T549&lt;&gt;"N/A",$T549&lt;&gt;"No Min RQ"),_xlpm.ffp,AND($X549&lt;&gt;"",$X549&lt;&gt;"N/A",$X549&lt;&gt;"No Min RQ"),_xlpm.chp,AND($AB549&lt;&gt;"",$AB549&lt;&gt;"N/A",$AB549&lt;&gt;"No Min RQ"),_xlpm.usp,AND($AF549&lt;&gt;"",$AF549&lt;&gt;"N/A",$AF549&lt;&gt;"No Min RQ"),_xlpm.n,_xlpm.sfp+_xlpm.slp+_xlpm.ffp+_xlpm.chp+_xlpm.usp,_xlpm.sub,(_xlpm.sfp*($P549="Submitted"))+(_xlpm.slp*($T549="Submitted"))+(_xlpm.ffp*($X549="Submitted"))+(_xlpm.chp*($AB549="Submitted"))+(_xlpm.usp*($AF549="Submitted")),_xlpm.term,(_xlpm.sfp*OR($P549="Approved",$P549="Declined"))+(_xlpm.slp*OR($T549="Approved",$T549="Declined"))+(_xlpm.ffp*OR($X549="Approved",$X549="Declined"))+(_xlpm.chp*OR($AB549="Approved",$AB549="Declined"))+(_xlpm.usp*OR($AF549="Approved",$AF549="Declined")),IF(_xlpm.n=0,"No applicable lenders",IF(_xlpm.sub&gt;0,"Stays with Shaw - lender still Submitted",IF(_xlpm.term=_xlpm.n,"Clear - all applicable lenders Approved or Declined","Stays with Shaw - not all lenders Approved or Declined")))))</f>
      </c>
    </row>
    <row r="550" spans="80:80">
      <c r="CB550" s="131">
        <f>IF($A550="","",_xlfn.LET(_xlpm.sfp,AND($P550&lt;&gt;"",$P550&lt;&gt;"N/A",$P550&lt;&gt;"No Min RQ"),_xlpm.slp,AND($T550&lt;&gt;"",$T550&lt;&gt;"N/A",$T550&lt;&gt;"No Min RQ"),_xlpm.ffp,AND($X550&lt;&gt;"",$X550&lt;&gt;"N/A",$X550&lt;&gt;"No Min RQ"),_xlpm.chp,AND($AB550&lt;&gt;"",$AB550&lt;&gt;"N/A",$AB550&lt;&gt;"No Min RQ"),_xlpm.usp,AND($AF550&lt;&gt;"",$AF550&lt;&gt;"N/A",$AF550&lt;&gt;"No Min RQ"),_xlpm.n,_xlpm.sfp+_xlpm.slp+_xlpm.ffp+_xlpm.chp+_xlpm.usp,_xlpm.sub,(_xlpm.sfp*($P550="Submitted"))+(_xlpm.slp*($T550="Submitted"))+(_xlpm.ffp*($X550="Submitted"))+(_xlpm.chp*($AB550="Submitted"))+(_xlpm.usp*($AF550="Submitted")),_xlpm.term,(_xlpm.sfp*OR($P550="Approved",$P550="Declined"))+(_xlpm.slp*OR($T550="Approved",$T550="Declined"))+(_xlpm.ffp*OR($X550="Approved",$X550="Declined"))+(_xlpm.chp*OR($AB550="Approved",$AB550="Declined"))+(_xlpm.usp*OR($AF550="Approved",$AF550="Declined")),IF(_xlpm.n=0,"No applicable lenders",IF(_xlpm.sub&gt;0,"Stays with Shaw - lender still Submitted",IF(_xlpm.term=_xlpm.n,"Clear - all applicable lenders Approved or Declined","Stays with Shaw - not all lenders Approved or Declined")))))</f>
      </c>
    </row>
    <row r="551" spans="80:80">
      <c r="CB551" s="131">
        <f>IF($A551="","",_xlfn.LET(_xlpm.sfp,AND($P551&lt;&gt;"",$P551&lt;&gt;"N/A",$P551&lt;&gt;"No Min RQ"),_xlpm.slp,AND($T551&lt;&gt;"",$T551&lt;&gt;"N/A",$T551&lt;&gt;"No Min RQ"),_xlpm.ffp,AND($X551&lt;&gt;"",$X551&lt;&gt;"N/A",$X551&lt;&gt;"No Min RQ"),_xlpm.chp,AND($AB551&lt;&gt;"",$AB551&lt;&gt;"N/A",$AB551&lt;&gt;"No Min RQ"),_xlpm.usp,AND($AF551&lt;&gt;"",$AF551&lt;&gt;"N/A",$AF551&lt;&gt;"No Min RQ"),_xlpm.n,_xlpm.sfp+_xlpm.slp+_xlpm.ffp+_xlpm.chp+_xlpm.usp,_xlpm.sub,(_xlpm.sfp*($P551="Submitted"))+(_xlpm.slp*($T551="Submitted"))+(_xlpm.ffp*($X551="Submitted"))+(_xlpm.chp*($AB551="Submitted"))+(_xlpm.usp*($AF551="Submitted")),_xlpm.term,(_xlpm.sfp*OR($P551="Approved",$P551="Declined"))+(_xlpm.slp*OR($T551="Approved",$T551="Declined"))+(_xlpm.ffp*OR($X551="Approved",$X551="Declined"))+(_xlpm.chp*OR($AB551="Approved",$AB551="Declined"))+(_xlpm.usp*OR($AF551="Approved",$AF551="Declined")),IF(_xlpm.n=0,"No applicable lenders",IF(_xlpm.sub&gt;0,"Stays with Shaw - lender still Submitted",IF(_xlpm.term=_xlpm.n,"Clear - all applicable lenders Approved or Declined","Stays with Shaw - not all lenders Approved or Declined")))))</f>
      </c>
    </row>
    <row r="552" spans="80:80">
      <c r="CB552" s="131">
        <f>IF($A552="","",_xlfn.LET(_xlpm.sfp,AND($P552&lt;&gt;"",$P552&lt;&gt;"N/A",$P552&lt;&gt;"No Min RQ"),_xlpm.slp,AND($T552&lt;&gt;"",$T552&lt;&gt;"N/A",$T552&lt;&gt;"No Min RQ"),_xlpm.ffp,AND($X552&lt;&gt;"",$X552&lt;&gt;"N/A",$X552&lt;&gt;"No Min RQ"),_xlpm.chp,AND($AB552&lt;&gt;"",$AB552&lt;&gt;"N/A",$AB552&lt;&gt;"No Min RQ"),_xlpm.usp,AND($AF552&lt;&gt;"",$AF552&lt;&gt;"N/A",$AF552&lt;&gt;"No Min RQ"),_xlpm.n,_xlpm.sfp+_xlpm.slp+_xlpm.ffp+_xlpm.chp+_xlpm.usp,_xlpm.sub,(_xlpm.sfp*($P552="Submitted"))+(_xlpm.slp*($T552="Submitted"))+(_xlpm.ffp*($X552="Submitted"))+(_xlpm.chp*($AB552="Submitted"))+(_xlpm.usp*($AF552="Submitted")),_xlpm.term,(_xlpm.sfp*OR($P552="Approved",$P552="Declined"))+(_xlpm.slp*OR($T552="Approved",$T552="Declined"))+(_xlpm.ffp*OR($X552="Approved",$X552="Declined"))+(_xlpm.chp*OR($AB552="Approved",$AB552="Declined"))+(_xlpm.usp*OR($AF552="Approved",$AF552="Declined")),IF(_xlpm.n=0,"No applicable lenders",IF(_xlpm.sub&gt;0,"Stays with Shaw - lender still Submitted",IF(_xlpm.term=_xlpm.n,"Clear - all applicable lenders Approved or Declined","Stays with Shaw - not all lenders Approved or Declined")))))</f>
      </c>
    </row>
    <row r="553" spans="80:80">
      <c r="CB553" s="131">
        <f>IF($A553="","",_xlfn.LET(_xlpm.sfp,AND($P553&lt;&gt;"",$P553&lt;&gt;"N/A",$P553&lt;&gt;"No Min RQ"),_xlpm.slp,AND($T553&lt;&gt;"",$T553&lt;&gt;"N/A",$T553&lt;&gt;"No Min RQ"),_xlpm.ffp,AND($X553&lt;&gt;"",$X553&lt;&gt;"N/A",$X553&lt;&gt;"No Min RQ"),_xlpm.chp,AND($AB553&lt;&gt;"",$AB553&lt;&gt;"N/A",$AB553&lt;&gt;"No Min RQ"),_xlpm.usp,AND($AF553&lt;&gt;"",$AF553&lt;&gt;"N/A",$AF553&lt;&gt;"No Min RQ"),_xlpm.n,_xlpm.sfp+_xlpm.slp+_xlpm.ffp+_xlpm.chp+_xlpm.usp,_xlpm.sub,(_xlpm.sfp*($P553="Submitted"))+(_xlpm.slp*($T553="Submitted"))+(_xlpm.ffp*($X553="Submitted"))+(_xlpm.chp*($AB553="Submitted"))+(_xlpm.usp*($AF553="Submitted")),_xlpm.term,(_xlpm.sfp*OR($P553="Approved",$P553="Declined"))+(_xlpm.slp*OR($T553="Approved",$T553="Declined"))+(_xlpm.ffp*OR($X553="Approved",$X553="Declined"))+(_xlpm.chp*OR($AB553="Approved",$AB553="Declined"))+(_xlpm.usp*OR($AF553="Approved",$AF553="Declined")),IF(_xlpm.n=0,"No applicable lenders",IF(_xlpm.sub&gt;0,"Stays with Shaw - lender still Submitted",IF(_xlpm.term=_xlpm.n,"Clear - all applicable lenders Approved or Declined","Stays with Shaw - not all lenders Approved or Declined")))))</f>
      </c>
    </row>
    <row r="554" spans="80:80">
      <c r="CB554" s="131">
        <f>IF($A554="","",_xlfn.LET(_xlpm.sfp,AND($P554&lt;&gt;"",$P554&lt;&gt;"N/A",$P554&lt;&gt;"No Min RQ"),_xlpm.slp,AND($T554&lt;&gt;"",$T554&lt;&gt;"N/A",$T554&lt;&gt;"No Min RQ"),_xlpm.ffp,AND($X554&lt;&gt;"",$X554&lt;&gt;"N/A",$X554&lt;&gt;"No Min RQ"),_xlpm.chp,AND($AB554&lt;&gt;"",$AB554&lt;&gt;"N/A",$AB554&lt;&gt;"No Min RQ"),_xlpm.usp,AND($AF554&lt;&gt;"",$AF554&lt;&gt;"N/A",$AF554&lt;&gt;"No Min RQ"),_xlpm.n,_xlpm.sfp+_xlpm.slp+_xlpm.ffp+_xlpm.chp+_xlpm.usp,_xlpm.sub,(_xlpm.sfp*($P554="Submitted"))+(_xlpm.slp*($T554="Submitted"))+(_xlpm.ffp*($X554="Submitted"))+(_xlpm.chp*($AB554="Submitted"))+(_xlpm.usp*($AF554="Submitted")),_xlpm.term,(_xlpm.sfp*OR($P554="Approved",$P554="Declined"))+(_xlpm.slp*OR($T554="Approved",$T554="Declined"))+(_xlpm.ffp*OR($X554="Approved",$X554="Declined"))+(_xlpm.chp*OR($AB554="Approved",$AB554="Declined"))+(_xlpm.usp*OR($AF554="Approved",$AF554="Declined")),IF(_xlpm.n=0,"No applicable lenders",IF(_xlpm.sub&gt;0,"Stays with Shaw - lender still Submitted",IF(_xlpm.term=_xlpm.n,"Clear - all applicable lenders Approved or Declined","Stays with Shaw - not all lenders Approved or Declined")))))</f>
      </c>
    </row>
    <row r="555" spans="80:80">
      <c r="CB555" s="131">
        <f>IF($A555="","",_xlfn.LET(_xlpm.sfp,AND($P555&lt;&gt;"",$P555&lt;&gt;"N/A",$P555&lt;&gt;"No Min RQ"),_xlpm.slp,AND($T555&lt;&gt;"",$T555&lt;&gt;"N/A",$T555&lt;&gt;"No Min RQ"),_xlpm.ffp,AND($X555&lt;&gt;"",$X555&lt;&gt;"N/A",$X555&lt;&gt;"No Min RQ"),_xlpm.chp,AND($AB555&lt;&gt;"",$AB555&lt;&gt;"N/A",$AB555&lt;&gt;"No Min RQ"),_xlpm.usp,AND($AF555&lt;&gt;"",$AF555&lt;&gt;"N/A",$AF555&lt;&gt;"No Min RQ"),_xlpm.n,_xlpm.sfp+_xlpm.slp+_xlpm.ffp+_xlpm.chp+_xlpm.usp,_xlpm.sub,(_xlpm.sfp*($P555="Submitted"))+(_xlpm.slp*($T555="Submitted"))+(_xlpm.ffp*($X555="Submitted"))+(_xlpm.chp*($AB555="Submitted"))+(_xlpm.usp*($AF555="Submitted")),_xlpm.term,(_xlpm.sfp*OR($P555="Approved",$P555="Declined"))+(_xlpm.slp*OR($T555="Approved",$T555="Declined"))+(_xlpm.ffp*OR($X555="Approved",$X555="Declined"))+(_xlpm.chp*OR($AB555="Approved",$AB555="Declined"))+(_xlpm.usp*OR($AF555="Approved",$AF555="Declined")),IF(_xlpm.n=0,"No applicable lenders",IF(_xlpm.sub&gt;0,"Stays with Shaw - lender still Submitted",IF(_xlpm.term=_xlpm.n,"Clear - all applicable lenders Approved or Declined","Stays with Shaw - not all lenders Approved or Declined")))))</f>
      </c>
    </row>
    <row r="556" spans="80:80">
      <c r="CB556" s="131">
        <f>IF($A556="","",_xlfn.LET(_xlpm.sfp,AND($P556&lt;&gt;"",$P556&lt;&gt;"N/A",$P556&lt;&gt;"No Min RQ"),_xlpm.slp,AND($T556&lt;&gt;"",$T556&lt;&gt;"N/A",$T556&lt;&gt;"No Min RQ"),_xlpm.ffp,AND($X556&lt;&gt;"",$X556&lt;&gt;"N/A",$X556&lt;&gt;"No Min RQ"),_xlpm.chp,AND($AB556&lt;&gt;"",$AB556&lt;&gt;"N/A",$AB556&lt;&gt;"No Min RQ"),_xlpm.usp,AND($AF556&lt;&gt;"",$AF556&lt;&gt;"N/A",$AF556&lt;&gt;"No Min RQ"),_xlpm.n,_xlpm.sfp+_xlpm.slp+_xlpm.ffp+_xlpm.chp+_xlpm.usp,_xlpm.sub,(_xlpm.sfp*($P556="Submitted"))+(_xlpm.slp*($T556="Submitted"))+(_xlpm.ffp*($X556="Submitted"))+(_xlpm.chp*($AB556="Submitted"))+(_xlpm.usp*($AF556="Submitted")),_xlpm.term,(_xlpm.sfp*OR($P556="Approved",$P556="Declined"))+(_xlpm.slp*OR($T556="Approved",$T556="Declined"))+(_xlpm.ffp*OR($X556="Approved",$X556="Declined"))+(_xlpm.chp*OR($AB556="Approved",$AB556="Declined"))+(_xlpm.usp*OR($AF556="Approved",$AF556="Declined")),IF(_xlpm.n=0,"No applicable lenders",IF(_xlpm.sub&gt;0,"Stays with Shaw - lender still Submitted",IF(_xlpm.term=_xlpm.n,"Clear - all applicable lenders Approved or Declined","Stays with Shaw - not all lenders Approved or Declined")))))</f>
      </c>
    </row>
    <row r="557" spans="80:80">
      <c r="CB557" s="131">
        <f>IF($A557="","",_xlfn.LET(_xlpm.sfp,AND($P557&lt;&gt;"",$P557&lt;&gt;"N/A",$P557&lt;&gt;"No Min RQ"),_xlpm.slp,AND($T557&lt;&gt;"",$T557&lt;&gt;"N/A",$T557&lt;&gt;"No Min RQ"),_xlpm.ffp,AND($X557&lt;&gt;"",$X557&lt;&gt;"N/A",$X557&lt;&gt;"No Min RQ"),_xlpm.chp,AND($AB557&lt;&gt;"",$AB557&lt;&gt;"N/A",$AB557&lt;&gt;"No Min RQ"),_xlpm.usp,AND($AF557&lt;&gt;"",$AF557&lt;&gt;"N/A",$AF557&lt;&gt;"No Min RQ"),_xlpm.n,_xlpm.sfp+_xlpm.slp+_xlpm.ffp+_xlpm.chp+_xlpm.usp,_xlpm.sub,(_xlpm.sfp*($P557="Submitted"))+(_xlpm.slp*($T557="Submitted"))+(_xlpm.ffp*($X557="Submitted"))+(_xlpm.chp*($AB557="Submitted"))+(_xlpm.usp*($AF557="Submitted")),_xlpm.term,(_xlpm.sfp*OR($P557="Approved",$P557="Declined"))+(_xlpm.slp*OR($T557="Approved",$T557="Declined"))+(_xlpm.ffp*OR($X557="Approved",$X557="Declined"))+(_xlpm.chp*OR($AB557="Approved",$AB557="Declined"))+(_xlpm.usp*OR($AF557="Approved",$AF557="Declined")),IF(_xlpm.n=0,"No applicable lenders",IF(_xlpm.sub&gt;0,"Stays with Shaw - lender still Submitted",IF(_xlpm.term=_xlpm.n,"Clear - all applicable lenders Approved or Declined","Stays with Shaw - not all lenders Approved or Declined")))))</f>
      </c>
    </row>
    <row r="558" spans="80:80">
      <c r="CB558" s="131">
        <f>IF($A558="","",_xlfn.LET(_xlpm.sfp,AND($P558&lt;&gt;"",$P558&lt;&gt;"N/A",$P558&lt;&gt;"No Min RQ"),_xlpm.slp,AND($T558&lt;&gt;"",$T558&lt;&gt;"N/A",$T558&lt;&gt;"No Min RQ"),_xlpm.ffp,AND($X558&lt;&gt;"",$X558&lt;&gt;"N/A",$X558&lt;&gt;"No Min RQ"),_xlpm.chp,AND($AB558&lt;&gt;"",$AB558&lt;&gt;"N/A",$AB558&lt;&gt;"No Min RQ"),_xlpm.usp,AND($AF558&lt;&gt;"",$AF558&lt;&gt;"N/A",$AF558&lt;&gt;"No Min RQ"),_xlpm.n,_xlpm.sfp+_xlpm.slp+_xlpm.ffp+_xlpm.chp+_xlpm.usp,_xlpm.sub,(_xlpm.sfp*($P558="Submitted"))+(_xlpm.slp*($T558="Submitted"))+(_xlpm.ffp*($X558="Submitted"))+(_xlpm.chp*($AB558="Submitted"))+(_xlpm.usp*($AF558="Submitted")),_xlpm.term,(_xlpm.sfp*OR($P558="Approved",$P558="Declined"))+(_xlpm.slp*OR($T558="Approved",$T558="Declined"))+(_xlpm.ffp*OR($X558="Approved",$X558="Declined"))+(_xlpm.chp*OR($AB558="Approved",$AB558="Declined"))+(_xlpm.usp*OR($AF558="Approved",$AF558="Declined")),IF(_xlpm.n=0,"No applicable lenders",IF(_xlpm.sub&gt;0,"Stays with Shaw - lender still Submitted",IF(_xlpm.term=_xlpm.n,"Clear - all applicable lenders Approved or Declined","Stays with Shaw - not all lenders Approved or Declined")))))</f>
      </c>
    </row>
    <row r="559" spans="80:80">
      <c r="CB559" s="131">
        <f>IF($A559="","",_xlfn.LET(_xlpm.sfp,AND($P559&lt;&gt;"",$P559&lt;&gt;"N/A",$P559&lt;&gt;"No Min RQ"),_xlpm.slp,AND($T559&lt;&gt;"",$T559&lt;&gt;"N/A",$T559&lt;&gt;"No Min RQ"),_xlpm.ffp,AND($X559&lt;&gt;"",$X559&lt;&gt;"N/A",$X559&lt;&gt;"No Min RQ"),_xlpm.chp,AND($AB559&lt;&gt;"",$AB559&lt;&gt;"N/A",$AB559&lt;&gt;"No Min RQ"),_xlpm.usp,AND($AF559&lt;&gt;"",$AF559&lt;&gt;"N/A",$AF559&lt;&gt;"No Min RQ"),_xlpm.n,_xlpm.sfp+_xlpm.slp+_xlpm.ffp+_xlpm.chp+_xlpm.usp,_xlpm.sub,(_xlpm.sfp*($P559="Submitted"))+(_xlpm.slp*($T559="Submitted"))+(_xlpm.ffp*($X559="Submitted"))+(_xlpm.chp*($AB559="Submitted"))+(_xlpm.usp*($AF559="Submitted")),_xlpm.term,(_xlpm.sfp*OR($P559="Approved",$P559="Declined"))+(_xlpm.slp*OR($T559="Approved",$T559="Declined"))+(_xlpm.ffp*OR($X559="Approved",$X559="Declined"))+(_xlpm.chp*OR($AB559="Approved",$AB559="Declined"))+(_xlpm.usp*OR($AF559="Approved",$AF559="Declined")),IF(_xlpm.n=0,"No applicable lenders",IF(_xlpm.sub&gt;0,"Stays with Shaw - lender still Submitted",IF(_xlpm.term=_xlpm.n,"Clear - all applicable lenders Approved or Declined","Stays with Shaw - not all lenders Approved or Declined")))))</f>
      </c>
    </row>
    <row r="560" spans="80:80">
      <c r="CB560" s="131">
        <f>IF($A560="","",_xlfn.LET(_xlpm.sfp,AND($P560&lt;&gt;"",$P560&lt;&gt;"N/A",$P560&lt;&gt;"No Min RQ"),_xlpm.slp,AND($T560&lt;&gt;"",$T560&lt;&gt;"N/A",$T560&lt;&gt;"No Min RQ"),_xlpm.ffp,AND($X560&lt;&gt;"",$X560&lt;&gt;"N/A",$X560&lt;&gt;"No Min RQ"),_xlpm.chp,AND($AB560&lt;&gt;"",$AB560&lt;&gt;"N/A",$AB560&lt;&gt;"No Min RQ"),_xlpm.usp,AND($AF560&lt;&gt;"",$AF560&lt;&gt;"N/A",$AF560&lt;&gt;"No Min RQ"),_xlpm.n,_xlpm.sfp+_xlpm.slp+_xlpm.ffp+_xlpm.chp+_xlpm.usp,_xlpm.sub,(_xlpm.sfp*($P560="Submitted"))+(_xlpm.slp*($T560="Submitted"))+(_xlpm.ffp*($X560="Submitted"))+(_xlpm.chp*($AB560="Submitted"))+(_xlpm.usp*($AF560="Submitted")),_xlpm.term,(_xlpm.sfp*OR($P560="Approved",$P560="Declined"))+(_xlpm.slp*OR($T560="Approved",$T560="Declined"))+(_xlpm.ffp*OR($X560="Approved",$X560="Declined"))+(_xlpm.chp*OR($AB560="Approved",$AB560="Declined"))+(_xlpm.usp*OR($AF560="Approved",$AF560="Declined")),IF(_xlpm.n=0,"No applicable lenders",IF(_xlpm.sub&gt;0,"Stays with Shaw - lender still Submitted",IF(_xlpm.term=_xlpm.n,"Clear - all applicable lenders Approved or Declined","Stays with Shaw - not all lenders Approved or Declined")))))</f>
      </c>
    </row>
    <row r="561" spans="80:80">
      <c r="CB561" s="131">
        <f>IF($A561="","",_xlfn.LET(_xlpm.sfp,AND($P561&lt;&gt;"",$P561&lt;&gt;"N/A",$P561&lt;&gt;"No Min RQ"),_xlpm.slp,AND($T561&lt;&gt;"",$T561&lt;&gt;"N/A",$T561&lt;&gt;"No Min RQ"),_xlpm.ffp,AND($X561&lt;&gt;"",$X561&lt;&gt;"N/A",$X561&lt;&gt;"No Min RQ"),_xlpm.chp,AND($AB561&lt;&gt;"",$AB561&lt;&gt;"N/A",$AB561&lt;&gt;"No Min RQ"),_xlpm.usp,AND($AF561&lt;&gt;"",$AF561&lt;&gt;"N/A",$AF561&lt;&gt;"No Min RQ"),_xlpm.n,_xlpm.sfp+_xlpm.slp+_xlpm.ffp+_xlpm.chp+_xlpm.usp,_xlpm.sub,(_xlpm.sfp*($P561="Submitted"))+(_xlpm.slp*($T561="Submitted"))+(_xlpm.ffp*($X561="Submitted"))+(_xlpm.chp*($AB561="Submitted"))+(_xlpm.usp*($AF561="Submitted")),_xlpm.term,(_xlpm.sfp*OR($P561="Approved",$P561="Declined"))+(_xlpm.slp*OR($T561="Approved",$T561="Declined"))+(_xlpm.ffp*OR($X561="Approved",$X561="Declined"))+(_xlpm.chp*OR($AB561="Approved",$AB561="Declined"))+(_xlpm.usp*OR($AF561="Approved",$AF561="Declined")),IF(_xlpm.n=0,"No applicable lenders",IF(_xlpm.sub&gt;0,"Stays with Shaw - lender still Submitted",IF(_xlpm.term=_xlpm.n,"Clear - all applicable lenders Approved or Declined","Stays with Shaw - not all lenders Approved or Declined")))))</f>
      </c>
    </row>
    <row r="562" spans="80:80">
      <c r="CB562" s="131">
        <f>IF($A562="","",_xlfn.LET(_xlpm.sfp,AND($P562&lt;&gt;"",$P562&lt;&gt;"N/A",$P562&lt;&gt;"No Min RQ"),_xlpm.slp,AND($T562&lt;&gt;"",$T562&lt;&gt;"N/A",$T562&lt;&gt;"No Min RQ"),_xlpm.ffp,AND($X562&lt;&gt;"",$X562&lt;&gt;"N/A",$X562&lt;&gt;"No Min RQ"),_xlpm.chp,AND($AB562&lt;&gt;"",$AB562&lt;&gt;"N/A",$AB562&lt;&gt;"No Min RQ"),_xlpm.usp,AND($AF562&lt;&gt;"",$AF562&lt;&gt;"N/A",$AF562&lt;&gt;"No Min RQ"),_xlpm.n,_xlpm.sfp+_xlpm.slp+_xlpm.ffp+_xlpm.chp+_xlpm.usp,_xlpm.sub,(_xlpm.sfp*($P562="Submitted"))+(_xlpm.slp*($T562="Submitted"))+(_xlpm.ffp*($X562="Submitted"))+(_xlpm.chp*($AB562="Submitted"))+(_xlpm.usp*($AF562="Submitted")),_xlpm.term,(_xlpm.sfp*OR($P562="Approved",$P562="Declined"))+(_xlpm.slp*OR($T562="Approved",$T562="Declined"))+(_xlpm.ffp*OR($X562="Approved",$X562="Declined"))+(_xlpm.chp*OR($AB562="Approved",$AB562="Declined"))+(_xlpm.usp*OR($AF562="Approved",$AF562="Declined")),IF(_xlpm.n=0,"No applicable lenders",IF(_xlpm.sub&gt;0,"Stays with Shaw - lender still Submitted",IF(_xlpm.term=_xlpm.n,"Clear - all applicable lenders Approved or Declined","Stays with Shaw - not all lenders Approved or Declined")))))</f>
      </c>
    </row>
    <row r="563" spans="80:80">
      <c r="CB563" s="131">
        <f>IF($A563="","",_xlfn.LET(_xlpm.sfp,AND($P563&lt;&gt;"",$P563&lt;&gt;"N/A",$P563&lt;&gt;"No Min RQ"),_xlpm.slp,AND($T563&lt;&gt;"",$T563&lt;&gt;"N/A",$T563&lt;&gt;"No Min RQ"),_xlpm.ffp,AND($X563&lt;&gt;"",$X563&lt;&gt;"N/A",$X563&lt;&gt;"No Min RQ"),_xlpm.chp,AND($AB563&lt;&gt;"",$AB563&lt;&gt;"N/A",$AB563&lt;&gt;"No Min RQ"),_xlpm.usp,AND($AF563&lt;&gt;"",$AF563&lt;&gt;"N/A",$AF563&lt;&gt;"No Min RQ"),_xlpm.n,_xlpm.sfp+_xlpm.slp+_xlpm.ffp+_xlpm.chp+_xlpm.usp,_xlpm.sub,(_xlpm.sfp*($P563="Submitted"))+(_xlpm.slp*($T563="Submitted"))+(_xlpm.ffp*($X563="Submitted"))+(_xlpm.chp*($AB563="Submitted"))+(_xlpm.usp*($AF563="Submitted")),_xlpm.term,(_xlpm.sfp*OR($P563="Approved",$P563="Declined"))+(_xlpm.slp*OR($T563="Approved",$T563="Declined"))+(_xlpm.ffp*OR($X563="Approved",$X563="Declined"))+(_xlpm.chp*OR($AB563="Approved",$AB563="Declined"))+(_xlpm.usp*OR($AF563="Approved",$AF563="Declined")),IF(_xlpm.n=0,"No applicable lenders",IF(_xlpm.sub&gt;0,"Stays with Shaw - lender still Submitted",IF(_xlpm.term=_xlpm.n,"Clear - all applicable lenders Approved or Declined","Stays with Shaw - not all lenders Approved or Declined")))))</f>
      </c>
    </row>
    <row r="564" spans="80:80">
      <c r="CB564" s="131">
        <f>IF($A564="","",_xlfn.LET(_xlpm.sfp,AND($P564&lt;&gt;"",$P564&lt;&gt;"N/A",$P564&lt;&gt;"No Min RQ"),_xlpm.slp,AND($T564&lt;&gt;"",$T564&lt;&gt;"N/A",$T564&lt;&gt;"No Min RQ"),_xlpm.ffp,AND($X564&lt;&gt;"",$X564&lt;&gt;"N/A",$X564&lt;&gt;"No Min RQ"),_xlpm.chp,AND($AB564&lt;&gt;"",$AB564&lt;&gt;"N/A",$AB564&lt;&gt;"No Min RQ"),_xlpm.usp,AND($AF564&lt;&gt;"",$AF564&lt;&gt;"N/A",$AF564&lt;&gt;"No Min RQ"),_xlpm.n,_xlpm.sfp+_xlpm.slp+_xlpm.ffp+_xlpm.chp+_xlpm.usp,_xlpm.sub,(_xlpm.sfp*($P564="Submitted"))+(_xlpm.slp*($T564="Submitted"))+(_xlpm.ffp*($X564="Submitted"))+(_xlpm.chp*($AB564="Submitted"))+(_xlpm.usp*($AF564="Submitted")),_xlpm.term,(_xlpm.sfp*OR($P564="Approved",$P564="Declined"))+(_xlpm.slp*OR($T564="Approved",$T564="Declined"))+(_xlpm.ffp*OR($X564="Approved",$X564="Declined"))+(_xlpm.chp*OR($AB564="Approved",$AB564="Declined"))+(_xlpm.usp*OR($AF564="Approved",$AF564="Declined")),IF(_xlpm.n=0,"No applicable lenders",IF(_xlpm.sub&gt;0,"Stays with Shaw - lender still Submitted",IF(_xlpm.term=_xlpm.n,"Clear - all applicable lenders Approved or Declined","Stays with Shaw - not all lenders Approved or Declined")))))</f>
      </c>
    </row>
    <row r="565" spans="80:80">
      <c r="CB565" s="131">
        <f>IF($A565="","",_xlfn.LET(_xlpm.sfp,AND($P565&lt;&gt;"",$P565&lt;&gt;"N/A",$P565&lt;&gt;"No Min RQ"),_xlpm.slp,AND($T565&lt;&gt;"",$T565&lt;&gt;"N/A",$T565&lt;&gt;"No Min RQ"),_xlpm.ffp,AND($X565&lt;&gt;"",$X565&lt;&gt;"N/A",$X565&lt;&gt;"No Min RQ"),_xlpm.chp,AND($AB565&lt;&gt;"",$AB565&lt;&gt;"N/A",$AB565&lt;&gt;"No Min RQ"),_xlpm.usp,AND($AF565&lt;&gt;"",$AF565&lt;&gt;"N/A",$AF565&lt;&gt;"No Min RQ"),_xlpm.n,_xlpm.sfp+_xlpm.slp+_xlpm.ffp+_xlpm.chp+_xlpm.usp,_xlpm.sub,(_xlpm.sfp*($P565="Submitted"))+(_xlpm.slp*($T565="Submitted"))+(_xlpm.ffp*($X565="Submitted"))+(_xlpm.chp*($AB565="Submitted"))+(_xlpm.usp*($AF565="Submitted")),_xlpm.term,(_xlpm.sfp*OR($P565="Approved",$P565="Declined"))+(_xlpm.slp*OR($T565="Approved",$T565="Declined"))+(_xlpm.ffp*OR($X565="Approved",$X565="Declined"))+(_xlpm.chp*OR($AB565="Approved",$AB565="Declined"))+(_xlpm.usp*OR($AF565="Approved",$AF565="Declined")),IF(_xlpm.n=0,"No applicable lenders",IF(_xlpm.sub&gt;0,"Stays with Shaw - lender still Submitted",IF(_xlpm.term=_xlpm.n,"Clear - all applicable lenders Approved or Declined","Stays with Shaw - not all lenders Approved or Declined")))))</f>
      </c>
    </row>
    <row r="566" spans="80:80">
      <c r="CB566" s="131">
        <f>IF($A566="","",_xlfn.LET(_xlpm.sfp,AND($P566&lt;&gt;"",$P566&lt;&gt;"N/A",$P566&lt;&gt;"No Min RQ"),_xlpm.slp,AND($T566&lt;&gt;"",$T566&lt;&gt;"N/A",$T566&lt;&gt;"No Min RQ"),_xlpm.ffp,AND($X566&lt;&gt;"",$X566&lt;&gt;"N/A",$X566&lt;&gt;"No Min RQ"),_xlpm.chp,AND($AB566&lt;&gt;"",$AB566&lt;&gt;"N/A",$AB566&lt;&gt;"No Min RQ"),_xlpm.usp,AND($AF566&lt;&gt;"",$AF566&lt;&gt;"N/A",$AF566&lt;&gt;"No Min RQ"),_xlpm.n,_xlpm.sfp+_xlpm.slp+_xlpm.ffp+_xlpm.chp+_xlpm.usp,_xlpm.sub,(_xlpm.sfp*($P566="Submitted"))+(_xlpm.slp*($T566="Submitted"))+(_xlpm.ffp*($X566="Submitted"))+(_xlpm.chp*($AB566="Submitted"))+(_xlpm.usp*($AF566="Submitted")),_xlpm.term,(_xlpm.sfp*OR($P566="Approved",$P566="Declined"))+(_xlpm.slp*OR($T566="Approved",$T566="Declined"))+(_xlpm.ffp*OR($X566="Approved",$X566="Declined"))+(_xlpm.chp*OR($AB566="Approved",$AB566="Declined"))+(_xlpm.usp*OR($AF566="Approved",$AF566="Declined")),IF(_xlpm.n=0,"No applicable lenders",IF(_xlpm.sub&gt;0,"Stays with Shaw - lender still Submitted",IF(_xlpm.term=_xlpm.n,"Clear - all applicable lenders Approved or Declined","Stays with Shaw - not all lenders Approved or Declined")))))</f>
      </c>
    </row>
    <row r="567" spans="80:80">
      <c r="CB567" s="131">
        <f>IF($A567="","",_xlfn.LET(_xlpm.sfp,AND($P567&lt;&gt;"",$P567&lt;&gt;"N/A",$P567&lt;&gt;"No Min RQ"),_xlpm.slp,AND($T567&lt;&gt;"",$T567&lt;&gt;"N/A",$T567&lt;&gt;"No Min RQ"),_xlpm.ffp,AND($X567&lt;&gt;"",$X567&lt;&gt;"N/A",$X567&lt;&gt;"No Min RQ"),_xlpm.chp,AND($AB567&lt;&gt;"",$AB567&lt;&gt;"N/A",$AB567&lt;&gt;"No Min RQ"),_xlpm.usp,AND($AF567&lt;&gt;"",$AF567&lt;&gt;"N/A",$AF567&lt;&gt;"No Min RQ"),_xlpm.n,_xlpm.sfp+_xlpm.slp+_xlpm.ffp+_xlpm.chp+_xlpm.usp,_xlpm.sub,(_xlpm.sfp*($P567="Submitted"))+(_xlpm.slp*($T567="Submitted"))+(_xlpm.ffp*($X567="Submitted"))+(_xlpm.chp*($AB567="Submitted"))+(_xlpm.usp*($AF567="Submitted")),_xlpm.term,(_xlpm.sfp*OR($P567="Approved",$P567="Declined"))+(_xlpm.slp*OR($T567="Approved",$T567="Declined"))+(_xlpm.ffp*OR($X567="Approved",$X567="Declined"))+(_xlpm.chp*OR($AB567="Approved",$AB567="Declined"))+(_xlpm.usp*OR($AF567="Approved",$AF567="Declined")),IF(_xlpm.n=0,"No applicable lenders",IF(_xlpm.sub&gt;0,"Stays with Shaw - lender still Submitted",IF(_xlpm.term=_xlpm.n,"Clear - all applicable lenders Approved or Declined","Stays with Shaw - not all lenders Approved or Declined")))))</f>
      </c>
    </row>
    <row r="568" spans="80:80">
      <c r="CB568" s="131">
        <f>IF($A568="","",_xlfn.LET(_xlpm.sfp,AND($P568&lt;&gt;"",$P568&lt;&gt;"N/A",$P568&lt;&gt;"No Min RQ"),_xlpm.slp,AND($T568&lt;&gt;"",$T568&lt;&gt;"N/A",$T568&lt;&gt;"No Min RQ"),_xlpm.ffp,AND($X568&lt;&gt;"",$X568&lt;&gt;"N/A",$X568&lt;&gt;"No Min RQ"),_xlpm.chp,AND($AB568&lt;&gt;"",$AB568&lt;&gt;"N/A",$AB568&lt;&gt;"No Min RQ"),_xlpm.usp,AND($AF568&lt;&gt;"",$AF568&lt;&gt;"N/A",$AF568&lt;&gt;"No Min RQ"),_xlpm.n,_xlpm.sfp+_xlpm.slp+_xlpm.ffp+_xlpm.chp+_xlpm.usp,_xlpm.sub,(_xlpm.sfp*($P568="Submitted"))+(_xlpm.slp*($T568="Submitted"))+(_xlpm.ffp*($X568="Submitted"))+(_xlpm.chp*($AB568="Submitted"))+(_xlpm.usp*($AF568="Submitted")),_xlpm.term,(_xlpm.sfp*OR($P568="Approved",$P568="Declined"))+(_xlpm.slp*OR($T568="Approved",$T568="Declined"))+(_xlpm.ffp*OR($X568="Approved",$X568="Declined"))+(_xlpm.chp*OR($AB568="Approved",$AB568="Declined"))+(_xlpm.usp*OR($AF568="Approved",$AF568="Declined")),IF(_xlpm.n=0,"No applicable lenders",IF(_xlpm.sub&gt;0,"Stays with Shaw - lender still Submitted",IF(_xlpm.term=_xlpm.n,"Clear - all applicable lenders Approved or Declined","Stays with Shaw - not all lenders Approved or Declined")))))</f>
      </c>
    </row>
    <row r="569" spans="80:80">
      <c r="CB569" s="131">
        <f>IF($A569="","",_xlfn.LET(_xlpm.sfp,AND($P569&lt;&gt;"",$P569&lt;&gt;"N/A",$P569&lt;&gt;"No Min RQ"),_xlpm.slp,AND($T569&lt;&gt;"",$T569&lt;&gt;"N/A",$T569&lt;&gt;"No Min RQ"),_xlpm.ffp,AND($X569&lt;&gt;"",$X569&lt;&gt;"N/A",$X569&lt;&gt;"No Min RQ"),_xlpm.chp,AND($AB569&lt;&gt;"",$AB569&lt;&gt;"N/A",$AB569&lt;&gt;"No Min RQ"),_xlpm.usp,AND($AF569&lt;&gt;"",$AF569&lt;&gt;"N/A",$AF569&lt;&gt;"No Min RQ"),_xlpm.n,_xlpm.sfp+_xlpm.slp+_xlpm.ffp+_xlpm.chp+_xlpm.usp,_xlpm.sub,(_xlpm.sfp*($P569="Submitted"))+(_xlpm.slp*($T569="Submitted"))+(_xlpm.ffp*($X569="Submitted"))+(_xlpm.chp*($AB569="Submitted"))+(_xlpm.usp*($AF569="Submitted")),_xlpm.term,(_xlpm.sfp*OR($P569="Approved",$P569="Declined"))+(_xlpm.slp*OR($T569="Approved",$T569="Declined"))+(_xlpm.ffp*OR($X569="Approved",$X569="Declined"))+(_xlpm.chp*OR($AB569="Approved",$AB569="Declined"))+(_xlpm.usp*OR($AF569="Approved",$AF569="Declined")),IF(_xlpm.n=0,"No applicable lenders",IF(_xlpm.sub&gt;0,"Stays with Shaw - lender still Submitted",IF(_xlpm.term=_xlpm.n,"Clear - all applicable lenders Approved or Declined","Stays with Shaw - not all lenders Approved or Declined")))))</f>
      </c>
    </row>
    <row r="570" spans="80:80">
      <c r="CB570" s="131">
        <f>IF($A570="","",_xlfn.LET(_xlpm.sfp,AND($P570&lt;&gt;"",$P570&lt;&gt;"N/A",$P570&lt;&gt;"No Min RQ"),_xlpm.slp,AND($T570&lt;&gt;"",$T570&lt;&gt;"N/A",$T570&lt;&gt;"No Min RQ"),_xlpm.ffp,AND($X570&lt;&gt;"",$X570&lt;&gt;"N/A",$X570&lt;&gt;"No Min RQ"),_xlpm.chp,AND($AB570&lt;&gt;"",$AB570&lt;&gt;"N/A",$AB570&lt;&gt;"No Min RQ"),_xlpm.usp,AND($AF570&lt;&gt;"",$AF570&lt;&gt;"N/A",$AF570&lt;&gt;"No Min RQ"),_xlpm.n,_xlpm.sfp+_xlpm.slp+_xlpm.ffp+_xlpm.chp+_xlpm.usp,_xlpm.sub,(_xlpm.sfp*($P570="Submitted"))+(_xlpm.slp*($T570="Submitted"))+(_xlpm.ffp*($X570="Submitted"))+(_xlpm.chp*($AB570="Submitted"))+(_xlpm.usp*($AF570="Submitted")),_xlpm.term,(_xlpm.sfp*OR($P570="Approved",$P570="Declined"))+(_xlpm.slp*OR($T570="Approved",$T570="Declined"))+(_xlpm.ffp*OR($X570="Approved",$X570="Declined"))+(_xlpm.chp*OR($AB570="Approved",$AB570="Declined"))+(_xlpm.usp*OR($AF570="Approved",$AF570="Declined")),IF(_xlpm.n=0,"No applicable lenders",IF(_xlpm.sub&gt;0,"Stays with Shaw - lender still Submitted",IF(_xlpm.term=_xlpm.n,"Clear - all applicable lenders Approved or Declined","Stays with Shaw - not all lenders Approved or Declined")))))</f>
      </c>
    </row>
    <row r="571" spans="80:80">
      <c r="CB571" s="131">
        <f>IF($A571="","",_xlfn.LET(_xlpm.sfp,AND($P571&lt;&gt;"",$P571&lt;&gt;"N/A",$P571&lt;&gt;"No Min RQ"),_xlpm.slp,AND($T571&lt;&gt;"",$T571&lt;&gt;"N/A",$T571&lt;&gt;"No Min RQ"),_xlpm.ffp,AND($X571&lt;&gt;"",$X571&lt;&gt;"N/A",$X571&lt;&gt;"No Min RQ"),_xlpm.chp,AND($AB571&lt;&gt;"",$AB571&lt;&gt;"N/A",$AB571&lt;&gt;"No Min RQ"),_xlpm.usp,AND($AF571&lt;&gt;"",$AF571&lt;&gt;"N/A",$AF571&lt;&gt;"No Min RQ"),_xlpm.n,_xlpm.sfp+_xlpm.slp+_xlpm.ffp+_xlpm.chp+_xlpm.usp,_xlpm.sub,(_xlpm.sfp*($P571="Submitted"))+(_xlpm.slp*($T571="Submitted"))+(_xlpm.ffp*($X571="Submitted"))+(_xlpm.chp*($AB571="Submitted"))+(_xlpm.usp*($AF571="Submitted")),_xlpm.term,(_xlpm.sfp*OR($P571="Approved",$P571="Declined"))+(_xlpm.slp*OR($T571="Approved",$T571="Declined"))+(_xlpm.ffp*OR($X571="Approved",$X571="Declined"))+(_xlpm.chp*OR($AB571="Approved",$AB571="Declined"))+(_xlpm.usp*OR($AF571="Approved",$AF571="Declined")),IF(_xlpm.n=0,"No applicable lenders",IF(_xlpm.sub&gt;0,"Stays with Shaw - lender still Submitted",IF(_xlpm.term=_xlpm.n,"Clear - all applicable lenders Approved or Declined","Stays with Shaw - not all lenders Approved or Declined")))))</f>
      </c>
    </row>
    <row r="572" spans="80:80">
      <c r="CB572" s="131">
        <f>IF($A572="","",_xlfn.LET(_xlpm.sfp,AND($P572&lt;&gt;"",$P572&lt;&gt;"N/A",$P572&lt;&gt;"No Min RQ"),_xlpm.slp,AND($T572&lt;&gt;"",$T572&lt;&gt;"N/A",$T572&lt;&gt;"No Min RQ"),_xlpm.ffp,AND($X572&lt;&gt;"",$X572&lt;&gt;"N/A",$X572&lt;&gt;"No Min RQ"),_xlpm.chp,AND($AB572&lt;&gt;"",$AB572&lt;&gt;"N/A",$AB572&lt;&gt;"No Min RQ"),_xlpm.usp,AND($AF572&lt;&gt;"",$AF572&lt;&gt;"N/A",$AF572&lt;&gt;"No Min RQ"),_xlpm.n,_xlpm.sfp+_xlpm.slp+_xlpm.ffp+_xlpm.chp+_xlpm.usp,_xlpm.sub,(_xlpm.sfp*($P572="Submitted"))+(_xlpm.slp*($T572="Submitted"))+(_xlpm.ffp*($X572="Submitted"))+(_xlpm.chp*($AB572="Submitted"))+(_xlpm.usp*($AF572="Submitted")),_xlpm.term,(_xlpm.sfp*OR($P572="Approved",$P572="Declined"))+(_xlpm.slp*OR($T572="Approved",$T572="Declined"))+(_xlpm.ffp*OR($X572="Approved",$X572="Declined"))+(_xlpm.chp*OR($AB572="Approved",$AB572="Declined"))+(_xlpm.usp*OR($AF572="Approved",$AF572="Declined")),IF(_xlpm.n=0,"No applicable lenders",IF(_xlpm.sub&gt;0,"Stays with Shaw - lender still Submitted",IF(_xlpm.term=_xlpm.n,"Clear - all applicable lenders Approved or Declined","Stays with Shaw - not all lenders Approved or Declined")))))</f>
      </c>
    </row>
    <row r="573" spans="80:80">
      <c r="CB573" s="131">
        <f>IF($A573="","",_xlfn.LET(_xlpm.sfp,AND($P573&lt;&gt;"",$P573&lt;&gt;"N/A",$P573&lt;&gt;"No Min RQ"),_xlpm.slp,AND($T573&lt;&gt;"",$T573&lt;&gt;"N/A",$T573&lt;&gt;"No Min RQ"),_xlpm.ffp,AND($X573&lt;&gt;"",$X573&lt;&gt;"N/A",$X573&lt;&gt;"No Min RQ"),_xlpm.chp,AND($AB573&lt;&gt;"",$AB573&lt;&gt;"N/A",$AB573&lt;&gt;"No Min RQ"),_xlpm.usp,AND($AF573&lt;&gt;"",$AF573&lt;&gt;"N/A",$AF573&lt;&gt;"No Min RQ"),_xlpm.n,_xlpm.sfp+_xlpm.slp+_xlpm.ffp+_xlpm.chp+_xlpm.usp,_xlpm.sub,(_xlpm.sfp*($P573="Submitted"))+(_xlpm.slp*($T573="Submitted"))+(_xlpm.ffp*($X573="Submitted"))+(_xlpm.chp*($AB573="Submitted"))+(_xlpm.usp*($AF573="Submitted")),_xlpm.term,(_xlpm.sfp*OR($P573="Approved",$P573="Declined"))+(_xlpm.slp*OR($T573="Approved",$T573="Declined"))+(_xlpm.ffp*OR($X573="Approved",$X573="Declined"))+(_xlpm.chp*OR($AB573="Approved",$AB573="Declined"))+(_xlpm.usp*OR($AF573="Approved",$AF573="Declined")),IF(_xlpm.n=0,"No applicable lenders",IF(_xlpm.sub&gt;0,"Stays with Shaw - lender still Submitted",IF(_xlpm.term=_xlpm.n,"Clear - all applicable lenders Approved or Declined","Stays with Shaw - not all lenders Approved or Declined")))))</f>
      </c>
    </row>
    <row r="574" spans="80:80">
      <c r="CB574" s="131">
        <f>IF($A574="","",_xlfn.LET(_xlpm.sfp,AND($P574&lt;&gt;"",$P574&lt;&gt;"N/A",$P574&lt;&gt;"No Min RQ"),_xlpm.slp,AND($T574&lt;&gt;"",$T574&lt;&gt;"N/A",$T574&lt;&gt;"No Min RQ"),_xlpm.ffp,AND($X574&lt;&gt;"",$X574&lt;&gt;"N/A",$X574&lt;&gt;"No Min RQ"),_xlpm.chp,AND($AB574&lt;&gt;"",$AB574&lt;&gt;"N/A",$AB574&lt;&gt;"No Min RQ"),_xlpm.usp,AND($AF574&lt;&gt;"",$AF574&lt;&gt;"N/A",$AF574&lt;&gt;"No Min RQ"),_xlpm.n,_xlpm.sfp+_xlpm.slp+_xlpm.ffp+_xlpm.chp+_xlpm.usp,_xlpm.sub,(_xlpm.sfp*($P574="Submitted"))+(_xlpm.slp*($T574="Submitted"))+(_xlpm.ffp*($X574="Submitted"))+(_xlpm.chp*($AB574="Submitted"))+(_xlpm.usp*($AF574="Submitted")),_xlpm.term,(_xlpm.sfp*OR($P574="Approved",$P574="Declined"))+(_xlpm.slp*OR($T574="Approved",$T574="Declined"))+(_xlpm.ffp*OR($X574="Approved",$X574="Declined"))+(_xlpm.chp*OR($AB574="Approved",$AB574="Declined"))+(_xlpm.usp*OR($AF574="Approved",$AF574="Declined")),IF(_xlpm.n=0,"No applicable lenders",IF(_xlpm.sub&gt;0,"Stays with Shaw - lender still Submitted",IF(_xlpm.term=_xlpm.n,"Clear - all applicable lenders Approved or Declined","Stays with Shaw - not all lenders Approved or Declined")))))</f>
      </c>
    </row>
    <row r="575" spans="80:80">
      <c r="CB575" s="131">
        <f>IF($A575="","",_xlfn.LET(_xlpm.sfp,AND($P575&lt;&gt;"",$P575&lt;&gt;"N/A",$P575&lt;&gt;"No Min RQ"),_xlpm.slp,AND($T575&lt;&gt;"",$T575&lt;&gt;"N/A",$T575&lt;&gt;"No Min RQ"),_xlpm.ffp,AND($X575&lt;&gt;"",$X575&lt;&gt;"N/A",$X575&lt;&gt;"No Min RQ"),_xlpm.chp,AND($AB575&lt;&gt;"",$AB575&lt;&gt;"N/A",$AB575&lt;&gt;"No Min RQ"),_xlpm.usp,AND($AF575&lt;&gt;"",$AF575&lt;&gt;"N/A",$AF575&lt;&gt;"No Min RQ"),_xlpm.n,_xlpm.sfp+_xlpm.slp+_xlpm.ffp+_xlpm.chp+_xlpm.usp,_xlpm.sub,(_xlpm.sfp*($P575="Submitted"))+(_xlpm.slp*($T575="Submitted"))+(_xlpm.ffp*($X575="Submitted"))+(_xlpm.chp*($AB575="Submitted"))+(_xlpm.usp*($AF575="Submitted")),_xlpm.term,(_xlpm.sfp*OR($P575="Approved",$P575="Declined"))+(_xlpm.slp*OR($T575="Approved",$T575="Declined"))+(_xlpm.ffp*OR($X575="Approved",$X575="Declined"))+(_xlpm.chp*OR($AB575="Approved",$AB575="Declined"))+(_xlpm.usp*OR($AF575="Approved",$AF575="Declined")),IF(_xlpm.n=0,"No applicable lenders",IF(_xlpm.sub&gt;0,"Stays with Shaw - lender still Submitted",IF(_xlpm.term=_xlpm.n,"Clear - all applicable lenders Approved or Declined","Stays with Shaw - not all lenders Approved or Declined")))))</f>
      </c>
    </row>
    <row r="576" spans="80:80">
      <c r="CB576" s="131">
        <f>IF($A576="","",_xlfn.LET(_xlpm.sfp,AND($P576&lt;&gt;"",$P576&lt;&gt;"N/A",$P576&lt;&gt;"No Min RQ"),_xlpm.slp,AND($T576&lt;&gt;"",$T576&lt;&gt;"N/A",$T576&lt;&gt;"No Min RQ"),_xlpm.ffp,AND($X576&lt;&gt;"",$X576&lt;&gt;"N/A",$X576&lt;&gt;"No Min RQ"),_xlpm.chp,AND($AB576&lt;&gt;"",$AB576&lt;&gt;"N/A",$AB576&lt;&gt;"No Min RQ"),_xlpm.usp,AND($AF576&lt;&gt;"",$AF576&lt;&gt;"N/A",$AF576&lt;&gt;"No Min RQ"),_xlpm.n,_xlpm.sfp+_xlpm.slp+_xlpm.ffp+_xlpm.chp+_xlpm.usp,_xlpm.sub,(_xlpm.sfp*($P576="Submitted"))+(_xlpm.slp*($T576="Submitted"))+(_xlpm.ffp*($X576="Submitted"))+(_xlpm.chp*($AB576="Submitted"))+(_xlpm.usp*($AF576="Submitted")),_xlpm.term,(_xlpm.sfp*OR($P576="Approved",$P576="Declined"))+(_xlpm.slp*OR($T576="Approved",$T576="Declined"))+(_xlpm.ffp*OR($X576="Approved",$X576="Declined"))+(_xlpm.chp*OR($AB576="Approved",$AB576="Declined"))+(_xlpm.usp*OR($AF576="Approved",$AF576="Declined")),IF(_xlpm.n=0,"No applicable lenders",IF(_xlpm.sub&gt;0,"Stays with Shaw - lender still Submitted",IF(_xlpm.term=_xlpm.n,"Clear - all applicable lenders Approved or Declined","Stays with Shaw - not all lenders Approved or Declined")))))</f>
      </c>
    </row>
    <row r="577" spans="80:80">
      <c r="CB577" s="131">
        <f>IF($A577="","",_xlfn.LET(_xlpm.sfp,AND($P577&lt;&gt;"",$P577&lt;&gt;"N/A",$P577&lt;&gt;"No Min RQ"),_xlpm.slp,AND($T577&lt;&gt;"",$T577&lt;&gt;"N/A",$T577&lt;&gt;"No Min RQ"),_xlpm.ffp,AND($X577&lt;&gt;"",$X577&lt;&gt;"N/A",$X577&lt;&gt;"No Min RQ"),_xlpm.chp,AND($AB577&lt;&gt;"",$AB577&lt;&gt;"N/A",$AB577&lt;&gt;"No Min RQ"),_xlpm.usp,AND($AF577&lt;&gt;"",$AF577&lt;&gt;"N/A",$AF577&lt;&gt;"No Min RQ"),_xlpm.n,_xlpm.sfp+_xlpm.slp+_xlpm.ffp+_xlpm.chp+_xlpm.usp,_xlpm.sub,(_xlpm.sfp*($P577="Submitted"))+(_xlpm.slp*($T577="Submitted"))+(_xlpm.ffp*($X577="Submitted"))+(_xlpm.chp*($AB577="Submitted"))+(_xlpm.usp*($AF577="Submitted")),_xlpm.term,(_xlpm.sfp*OR($P577="Approved",$P577="Declined"))+(_xlpm.slp*OR($T577="Approved",$T577="Declined"))+(_xlpm.ffp*OR($X577="Approved",$X577="Declined"))+(_xlpm.chp*OR($AB577="Approved",$AB577="Declined"))+(_xlpm.usp*OR($AF577="Approved",$AF577="Declined")),IF(_xlpm.n=0,"No applicable lenders",IF(_xlpm.sub&gt;0,"Stays with Shaw - lender still Submitted",IF(_xlpm.term=_xlpm.n,"Clear - all applicable lenders Approved or Declined","Stays with Shaw - not all lenders Approved or Declined")))))</f>
      </c>
    </row>
    <row r="578" spans="80:80">
      <c r="CB578" s="131">
        <f>IF($A578="","",_xlfn.LET(_xlpm.sfp,AND($P578&lt;&gt;"",$P578&lt;&gt;"N/A",$P578&lt;&gt;"No Min RQ"),_xlpm.slp,AND($T578&lt;&gt;"",$T578&lt;&gt;"N/A",$T578&lt;&gt;"No Min RQ"),_xlpm.ffp,AND($X578&lt;&gt;"",$X578&lt;&gt;"N/A",$X578&lt;&gt;"No Min RQ"),_xlpm.chp,AND($AB578&lt;&gt;"",$AB578&lt;&gt;"N/A",$AB578&lt;&gt;"No Min RQ"),_xlpm.usp,AND($AF578&lt;&gt;"",$AF578&lt;&gt;"N/A",$AF578&lt;&gt;"No Min RQ"),_xlpm.n,_xlpm.sfp+_xlpm.slp+_xlpm.ffp+_xlpm.chp+_xlpm.usp,_xlpm.sub,(_xlpm.sfp*($P578="Submitted"))+(_xlpm.slp*($T578="Submitted"))+(_xlpm.ffp*($X578="Submitted"))+(_xlpm.chp*($AB578="Submitted"))+(_xlpm.usp*($AF578="Submitted")),_xlpm.term,(_xlpm.sfp*OR($P578="Approved",$P578="Declined"))+(_xlpm.slp*OR($T578="Approved",$T578="Declined"))+(_xlpm.ffp*OR($X578="Approved",$X578="Declined"))+(_xlpm.chp*OR($AB578="Approved",$AB578="Declined"))+(_xlpm.usp*OR($AF578="Approved",$AF578="Declined")),IF(_xlpm.n=0,"No applicable lenders",IF(_xlpm.sub&gt;0,"Stays with Shaw - lender still Submitted",IF(_xlpm.term=_xlpm.n,"Clear - all applicable lenders Approved or Declined","Stays with Shaw - not all lenders Approved or Declined")))))</f>
      </c>
    </row>
    <row r="579" spans="80:80">
      <c r="CB579" s="131">
        <f>IF($A579="","",_xlfn.LET(_xlpm.sfp,AND($P579&lt;&gt;"",$P579&lt;&gt;"N/A",$P579&lt;&gt;"No Min RQ"),_xlpm.slp,AND($T579&lt;&gt;"",$T579&lt;&gt;"N/A",$T579&lt;&gt;"No Min RQ"),_xlpm.ffp,AND($X579&lt;&gt;"",$X579&lt;&gt;"N/A",$X579&lt;&gt;"No Min RQ"),_xlpm.chp,AND($AB579&lt;&gt;"",$AB579&lt;&gt;"N/A",$AB579&lt;&gt;"No Min RQ"),_xlpm.usp,AND($AF579&lt;&gt;"",$AF579&lt;&gt;"N/A",$AF579&lt;&gt;"No Min RQ"),_xlpm.n,_xlpm.sfp+_xlpm.slp+_xlpm.ffp+_xlpm.chp+_xlpm.usp,_xlpm.sub,(_xlpm.sfp*($P579="Submitted"))+(_xlpm.slp*($T579="Submitted"))+(_xlpm.ffp*($X579="Submitted"))+(_xlpm.chp*($AB579="Submitted"))+(_xlpm.usp*($AF579="Submitted")),_xlpm.term,(_xlpm.sfp*OR($P579="Approved",$P579="Declined"))+(_xlpm.slp*OR($T579="Approved",$T579="Declined"))+(_xlpm.ffp*OR($X579="Approved",$X579="Declined"))+(_xlpm.chp*OR($AB579="Approved",$AB579="Declined"))+(_xlpm.usp*OR($AF579="Approved",$AF579="Declined")),IF(_xlpm.n=0,"No applicable lenders",IF(_xlpm.sub&gt;0,"Stays with Shaw - lender still Submitted",IF(_xlpm.term=_xlpm.n,"Clear - all applicable lenders Approved or Declined","Stays with Shaw - not all lenders Approved or Declined")))))</f>
      </c>
    </row>
    <row r="580" spans="80:80">
      <c r="CB580" s="131">
        <f>IF($A580="","",_xlfn.LET(_xlpm.sfp,AND($P580&lt;&gt;"",$P580&lt;&gt;"N/A",$P580&lt;&gt;"No Min RQ"),_xlpm.slp,AND($T580&lt;&gt;"",$T580&lt;&gt;"N/A",$T580&lt;&gt;"No Min RQ"),_xlpm.ffp,AND($X580&lt;&gt;"",$X580&lt;&gt;"N/A",$X580&lt;&gt;"No Min RQ"),_xlpm.chp,AND($AB580&lt;&gt;"",$AB580&lt;&gt;"N/A",$AB580&lt;&gt;"No Min RQ"),_xlpm.usp,AND($AF580&lt;&gt;"",$AF580&lt;&gt;"N/A",$AF580&lt;&gt;"No Min RQ"),_xlpm.n,_xlpm.sfp+_xlpm.slp+_xlpm.ffp+_xlpm.chp+_xlpm.usp,_xlpm.sub,(_xlpm.sfp*($P580="Submitted"))+(_xlpm.slp*($T580="Submitted"))+(_xlpm.ffp*($X580="Submitted"))+(_xlpm.chp*($AB580="Submitted"))+(_xlpm.usp*($AF580="Submitted")),_xlpm.term,(_xlpm.sfp*OR($P580="Approved",$P580="Declined"))+(_xlpm.slp*OR($T580="Approved",$T580="Declined"))+(_xlpm.ffp*OR($X580="Approved",$X580="Declined"))+(_xlpm.chp*OR($AB580="Approved",$AB580="Declined"))+(_xlpm.usp*OR($AF580="Approved",$AF580="Declined")),IF(_xlpm.n=0,"No applicable lenders",IF(_xlpm.sub&gt;0,"Stays with Shaw - lender still Submitted",IF(_xlpm.term=_xlpm.n,"Clear - all applicable lenders Approved or Declined","Stays with Shaw - not all lenders Approved or Declined")))))</f>
      </c>
    </row>
    <row r="581" spans="80:80">
      <c r="CB581" s="131">
        <f>IF($A581="","",_xlfn.LET(_xlpm.sfp,AND($P581&lt;&gt;"",$P581&lt;&gt;"N/A",$P581&lt;&gt;"No Min RQ"),_xlpm.slp,AND($T581&lt;&gt;"",$T581&lt;&gt;"N/A",$T581&lt;&gt;"No Min RQ"),_xlpm.ffp,AND($X581&lt;&gt;"",$X581&lt;&gt;"N/A",$X581&lt;&gt;"No Min RQ"),_xlpm.chp,AND($AB581&lt;&gt;"",$AB581&lt;&gt;"N/A",$AB581&lt;&gt;"No Min RQ"),_xlpm.usp,AND($AF581&lt;&gt;"",$AF581&lt;&gt;"N/A",$AF581&lt;&gt;"No Min RQ"),_xlpm.n,_xlpm.sfp+_xlpm.slp+_xlpm.ffp+_xlpm.chp+_xlpm.usp,_xlpm.sub,(_xlpm.sfp*($P581="Submitted"))+(_xlpm.slp*($T581="Submitted"))+(_xlpm.ffp*($X581="Submitted"))+(_xlpm.chp*($AB581="Submitted"))+(_xlpm.usp*($AF581="Submitted")),_xlpm.term,(_xlpm.sfp*OR($P581="Approved",$P581="Declined"))+(_xlpm.slp*OR($T581="Approved",$T581="Declined"))+(_xlpm.ffp*OR($X581="Approved",$X581="Declined"))+(_xlpm.chp*OR($AB581="Approved",$AB581="Declined"))+(_xlpm.usp*OR($AF581="Approved",$AF581="Declined")),IF(_xlpm.n=0,"No applicable lenders",IF(_xlpm.sub&gt;0,"Stays with Shaw - lender still Submitted",IF(_xlpm.term=_xlpm.n,"Clear - all applicable lenders Approved or Declined","Stays with Shaw - not all lenders Approved or Declined")))))</f>
      </c>
    </row>
    <row r="582" spans="80:80">
      <c r="CB582" s="131">
        <f>IF($A582="","",_xlfn.LET(_xlpm.sfp,AND($P582&lt;&gt;"",$P582&lt;&gt;"N/A",$P582&lt;&gt;"No Min RQ"),_xlpm.slp,AND($T582&lt;&gt;"",$T582&lt;&gt;"N/A",$T582&lt;&gt;"No Min RQ"),_xlpm.ffp,AND($X582&lt;&gt;"",$X582&lt;&gt;"N/A",$X582&lt;&gt;"No Min RQ"),_xlpm.chp,AND($AB582&lt;&gt;"",$AB582&lt;&gt;"N/A",$AB582&lt;&gt;"No Min RQ"),_xlpm.usp,AND($AF582&lt;&gt;"",$AF582&lt;&gt;"N/A",$AF582&lt;&gt;"No Min RQ"),_xlpm.n,_xlpm.sfp+_xlpm.slp+_xlpm.ffp+_xlpm.chp+_xlpm.usp,_xlpm.sub,(_xlpm.sfp*($P582="Submitted"))+(_xlpm.slp*($T582="Submitted"))+(_xlpm.ffp*($X582="Submitted"))+(_xlpm.chp*($AB582="Submitted"))+(_xlpm.usp*($AF582="Submitted")),_xlpm.term,(_xlpm.sfp*OR($P582="Approved",$P582="Declined"))+(_xlpm.slp*OR($T582="Approved",$T582="Declined"))+(_xlpm.ffp*OR($X582="Approved",$X582="Declined"))+(_xlpm.chp*OR($AB582="Approved",$AB582="Declined"))+(_xlpm.usp*OR($AF582="Approved",$AF582="Declined")),IF(_xlpm.n=0,"No applicable lenders",IF(_xlpm.sub&gt;0,"Stays with Shaw - lender still Submitted",IF(_xlpm.term=_xlpm.n,"Clear - all applicable lenders Approved or Declined","Stays with Shaw - not all lenders Approved or Declined")))))</f>
      </c>
    </row>
    <row r="583" spans="80:80">
      <c r="CB583" s="131">
        <f>IF($A583="","",_xlfn.LET(_xlpm.sfp,AND($P583&lt;&gt;"",$P583&lt;&gt;"N/A",$P583&lt;&gt;"No Min RQ"),_xlpm.slp,AND($T583&lt;&gt;"",$T583&lt;&gt;"N/A",$T583&lt;&gt;"No Min RQ"),_xlpm.ffp,AND($X583&lt;&gt;"",$X583&lt;&gt;"N/A",$X583&lt;&gt;"No Min RQ"),_xlpm.chp,AND($AB583&lt;&gt;"",$AB583&lt;&gt;"N/A",$AB583&lt;&gt;"No Min RQ"),_xlpm.usp,AND($AF583&lt;&gt;"",$AF583&lt;&gt;"N/A",$AF583&lt;&gt;"No Min RQ"),_xlpm.n,_xlpm.sfp+_xlpm.slp+_xlpm.ffp+_xlpm.chp+_xlpm.usp,_xlpm.sub,(_xlpm.sfp*($P583="Submitted"))+(_xlpm.slp*($T583="Submitted"))+(_xlpm.ffp*($X583="Submitted"))+(_xlpm.chp*($AB583="Submitted"))+(_xlpm.usp*($AF583="Submitted")),_xlpm.term,(_xlpm.sfp*OR($P583="Approved",$P583="Declined"))+(_xlpm.slp*OR($T583="Approved",$T583="Declined"))+(_xlpm.ffp*OR($X583="Approved",$X583="Declined"))+(_xlpm.chp*OR($AB583="Approved",$AB583="Declined"))+(_xlpm.usp*OR($AF583="Approved",$AF583="Declined")),IF(_xlpm.n=0,"No applicable lenders",IF(_xlpm.sub&gt;0,"Stays with Shaw - lender still Submitted",IF(_xlpm.term=_xlpm.n,"Clear - all applicable lenders Approved or Declined","Stays with Shaw - not all lenders Approved or Declined")))))</f>
      </c>
    </row>
    <row r="584" spans="80:80">
      <c r="CB584" s="131">
        <f>IF($A584="","",_xlfn.LET(_xlpm.sfp,AND($P584&lt;&gt;"",$P584&lt;&gt;"N/A",$P584&lt;&gt;"No Min RQ"),_xlpm.slp,AND($T584&lt;&gt;"",$T584&lt;&gt;"N/A",$T584&lt;&gt;"No Min RQ"),_xlpm.ffp,AND($X584&lt;&gt;"",$X584&lt;&gt;"N/A",$X584&lt;&gt;"No Min RQ"),_xlpm.chp,AND($AB584&lt;&gt;"",$AB584&lt;&gt;"N/A",$AB584&lt;&gt;"No Min RQ"),_xlpm.usp,AND($AF584&lt;&gt;"",$AF584&lt;&gt;"N/A",$AF584&lt;&gt;"No Min RQ"),_xlpm.n,_xlpm.sfp+_xlpm.slp+_xlpm.ffp+_xlpm.chp+_xlpm.usp,_xlpm.sub,(_xlpm.sfp*($P584="Submitted"))+(_xlpm.slp*($T584="Submitted"))+(_xlpm.ffp*($X584="Submitted"))+(_xlpm.chp*($AB584="Submitted"))+(_xlpm.usp*($AF584="Submitted")),_xlpm.term,(_xlpm.sfp*OR($P584="Approved",$P584="Declined"))+(_xlpm.slp*OR($T584="Approved",$T584="Declined"))+(_xlpm.ffp*OR($X584="Approved",$X584="Declined"))+(_xlpm.chp*OR($AB584="Approved",$AB584="Declined"))+(_xlpm.usp*OR($AF584="Approved",$AF584="Declined")),IF(_xlpm.n=0,"No applicable lenders",IF(_xlpm.sub&gt;0,"Stays with Shaw - lender still Submitted",IF(_xlpm.term=_xlpm.n,"Clear - all applicable lenders Approved or Declined","Stays with Shaw - not all lenders Approved or Declined")))))</f>
      </c>
    </row>
    <row r="585" spans="80:80">
      <c r="CB585" s="131">
        <f>IF($A585="","",_xlfn.LET(_xlpm.sfp,AND($P585&lt;&gt;"",$P585&lt;&gt;"N/A",$P585&lt;&gt;"No Min RQ"),_xlpm.slp,AND($T585&lt;&gt;"",$T585&lt;&gt;"N/A",$T585&lt;&gt;"No Min RQ"),_xlpm.ffp,AND($X585&lt;&gt;"",$X585&lt;&gt;"N/A",$X585&lt;&gt;"No Min RQ"),_xlpm.chp,AND($AB585&lt;&gt;"",$AB585&lt;&gt;"N/A",$AB585&lt;&gt;"No Min RQ"),_xlpm.usp,AND($AF585&lt;&gt;"",$AF585&lt;&gt;"N/A",$AF585&lt;&gt;"No Min RQ"),_xlpm.n,_xlpm.sfp+_xlpm.slp+_xlpm.ffp+_xlpm.chp+_xlpm.usp,_xlpm.sub,(_xlpm.sfp*($P585="Submitted"))+(_xlpm.slp*($T585="Submitted"))+(_xlpm.ffp*($X585="Submitted"))+(_xlpm.chp*($AB585="Submitted"))+(_xlpm.usp*($AF585="Submitted")),_xlpm.term,(_xlpm.sfp*OR($P585="Approved",$P585="Declined"))+(_xlpm.slp*OR($T585="Approved",$T585="Declined"))+(_xlpm.ffp*OR($X585="Approved",$X585="Declined"))+(_xlpm.chp*OR($AB585="Approved",$AB585="Declined"))+(_xlpm.usp*OR($AF585="Approved",$AF585="Declined")),IF(_xlpm.n=0,"No applicable lenders",IF(_xlpm.sub&gt;0,"Stays with Shaw - lender still Submitted",IF(_xlpm.term=_xlpm.n,"Clear - all applicable lenders Approved or Declined","Stays with Shaw - not all lenders Approved or Declined")))))</f>
      </c>
    </row>
    <row r="586" spans="80:80">
      <c r="CB586" s="131">
        <f>IF($A586="","",_xlfn.LET(_xlpm.sfp,AND($P586&lt;&gt;"",$P586&lt;&gt;"N/A",$P586&lt;&gt;"No Min RQ"),_xlpm.slp,AND($T586&lt;&gt;"",$T586&lt;&gt;"N/A",$T586&lt;&gt;"No Min RQ"),_xlpm.ffp,AND($X586&lt;&gt;"",$X586&lt;&gt;"N/A",$X586&lt;&gt;"No Min RQ"),_xlpm.chp,AND($AB586&lt;&gt;"",$AB586&lt;&gt;"N/A",$AB586&lt;&gt;"No Min RQ"),_xlpm.usp,AND($AF586&lt;&gt;"",$AF586&lt;&gt;"N/A",$AF586&lt;&gt;"No Min RQ"),_xlpm.n,_xlpm.sfp+_xlpm.slp+_xlpm.ffp+_xlpm.chp+_xlpm.usp,_xlpm.sub,(_xlpm.sfp*($P586="Submitted"))+(_xlpm.slp*($T586="Submitted"))+(_xlpm.ffp*($X586="Submitted"))+(_xlpm.chp*($AB586="Submitted"))+(_xlpm.usp*($AF586="Submitted")),_xlpm.term,(_xlpm.sfp*OR($P586="Approved",$P586="Declined"))+(_xlpm.slp*OR($T586="Approved",$T586="Declined"))+(_xlpm.ffp*OR($X586="Approved",$X586="Declined"))+(_xlpm.chp*OR($AB586="Approved",$AB586="Declined"))+(_xlpm.usp*OR($AF586="Approved",$AF586="Declined")),IF(_xlpm.n=0,"No applicable lenders",IF(_xlpm.sub&gt;0,"Stays with Shaw - lender still Submitted",IF(_xlpm.term=_xlpm.n,"Clear - all applicable lenders Approved or Declined","Stays with Shaw - not all lenders Approved or Declined")))))</f>
      </c>
    </row>
    <row r="587" spans="80:80">
      <c r="CB587" s="131">
        <f>IF($A587="","",_xlfn.LET(_xlpm.sfp,AND($P587&lt;&gt;"",$P587&lt;&gt;"N/A",$P587&lt;&gt;"No Min RQ"),_xlpm.slp,AND($T587&lt;&gt;"",$T587&lt;&gt;"N/A",$T587&lt;&gt;"No Min RQ"),_xlpm.ffp,AND($X587&lt;&gt;"",$X587&lt;&gt;"N/A",$X587&lt;&gt;"No Min RQ"),_xlpm.chp,AND($AB587&lt;&gt;"",$AB587&lt;&gt;"N/A",$AB587&lt;&gt;"No Min RQ"),_xlpm.usp,AND($AF587&lt;&gt;"",$AF587&lt;&gt;"N/A",$AF587&lt;&gt;"No Min RQ"),_xlpm.n,_xlpm.sfp+_xlpm.slp+_xlpm.ffp+_xlpm.chp+_xlpm.usp,_xlpm.sub,(_xlpm.sfp*($P587="Submitted"))+(_xlpm.slp*($T587="Submitted"))+(_xlpm.ffp*($X587="Submitted"))+(_xlpm.chp*($AB587="Submitted"))+(_xlpm.usp*($AF587="Submitted")),_xlpm.term,(_xlpm.sfp*OR($P587="Approved",$P587="Declined"))+(_xlpm.slp*OR($T587="Approved",$T587="Declined"))+(_xlpm.ffp*OR($X587="Approved",$X587="Declined"))+(_xlpm.chp*OR($AB587="Approved",$AB587="Declined"))+(_xlpm.usp*OR($AF587="Approved",$AF587="Declined")),IF(_xlpm.n=0,"No applicable lenders",IF(_xlpm.sub&gt;0,"Stays with Shaw - lender still Submitted",IF(_xlpm.term=_xlpm.n,"Clear - all applicable lenders Approved or Declined","Stays with Shaw - not all lenders Approved or Declined")))))</f>
      </c>
    </row>
    <row r="588" spans="80:80">
      <c r="CB588" s="131">
        <f>IF($A588="","",_xlfn.LET(_xlpm.sfp,AND($P588&lt;&gt;"",$P588&lt;&gt;"N/A",$P588&lt;&gt;"No Min RQ"),_xlpm.slp,AND($T588&lt;&gt;"",$T588&lt;&gt;"N/A",$T588&lt;&gt;"No Min RQ"),_xlpm.ffp,AND($X588&lt;&gt;"",$X588&lt;&gt;"N/A",$X588&lt;&gt;"No Min RQ"),_xlpm.chp,AND($AB588&lt;&gt;"",$AB588&lt;&gt;"N/A",$AB588&lt;&gt;"No Min RQ"),_xlpm.usp,AND($AF588&lt;&gt;"",$AF588&lt;&gt;"N/A",$AF588&lt;&gt;"No Min RQ"),_xlpm.n,_xlpm.sfp+_xlpm.slp+_xlpm.ffp+_xlpm.chp+_xlpm.usp,_xlpm.sub,(_xlpm.sfp*($P588="Submitted"))+(_xlpm.slp*($T588="Submitted"))+(_xlpm.ffp*($X588="Submitted"))+(_xlpm.chp*($AB588="Submitted"))+(_xlpm.usp*($AF588="Submitted")),_xlpm.term,(_xlpm.sfp*OR($P588="Approved",$P588="Declined"))+(_xlpm.slp*OR($T588="Approved",$T588="Declined"))+(_xlpm.ffp*OR($X588="Approved",$X588="Declined"))+(_xlpm.chp*OR($AB588="Approved",$AB588="Declined"))+(_xlpm.usp*OR($AF588="Approved",$AF588="Declined")),IF(_xlpm.n=0,"No applicable lenders",IF(_xlpm.sub&gt;0,"Stays with Shaw - lender still Submitted",IF(_xlpm.term=_xlpm.n,"Clear - all applicable lenders Approved or Declined","Stays with Shaw - not all lenders Approved or Declined")))))</f>
      </c>
    </row>
    <row r="589" spans="80:80">
      <c r="CB589" s="131">
        <f>IF($A589="","",_xlfn.LET(_xlpm.sfp,AND($P589&lt;&gt;"",$P589&lt;&gt;"N/A",$P589&lt;&gt;"No Min RQ"),_xlpm.slp,AND($T589&lt;&gt;"",$T589&lt;&gt;"N/A",$T589&lt;&gt;"No Min RQ"),_xlpm.ffp,AND($X589&lt;&gt;"",$X589&lt;&gt;"N/A",$X589&lt;&gt;"No Min RQ"),_xlpm.chp,AND($AB589&lt;&gt;"",$AB589&lt;&gt;"N/A",$AB589&lt;&gt;"No Min RQ"),_xlpm.usp,AND($AF589&lt;&gt;"",$AF589&lt;&gt;"N/A",$AF589&lt;&gt;"No Min RQ"),_xlpm.n,_xlpm.sfp+_xlpm.slp+_xlpm.ffp+_xlpm.chp+_xlpm.usp,_xlpm.sub,(_xlpm.sfp*($P589="Submitted"))+(_xlpm.slp*($T589="Submitted"))+(_xlpm.ffp*($X589="Submitted"))+(_xlpm.chp*($AB589="Submitted"))+(_xlpm.usp*($AF589="Submitted")),_xlpm.term,(_xlpm.sfp*OR($P589="Approved",$P589="Declined"))+(_xlpm.slp*OR($T589="Approved",$T589="Declined"))+(_xlpm.ffp*OR($X589="Approved",$X589="Declined"))+(_xlpm.chp*OR($AB589="Approved",$AB589="Declined"))+(_xlpm.usp*OR($AF589="Approved",$AF589="Declined")),IF(_xlpm.n=0,"No applicable lenders",IF(_xlpm.sub&gt;0,"Stays with Shaw - lender still Submitted",IF(_xlpm.term=_xlpm.n,"Clear - all applicable lenders Approved or Declined","Stays with Shaw - not all lenders Approved or Declined")))))</f>
      </c>
    </row>
    <row r="590" spans="80:80">
      <c r="CB590" s="131">
        <f>IF($A590="","",_xlfn.LET(_xlpm.sfp,AND($P590&lt;&gt;"",$P590&lt;&gt;"N/A",$P590&lt;&gt;"No Min RQ"),_xlpm.slp,AND($T590&lt;&gt;"",$T590&lt;&gt;"N/A",$T590&lt;&gt;"No Min RQ"),_xlpm.ffp,AND($X590&lt;&gt;"",$X590&lt;&gt;"N/A",$X590&lt;&gt;"No Min RQ"),_xlpm.chp,AND($AB590&lt;&gt;"",$AB590&lt;&gt;"N/A",$AB590&lt;&gt;"No Min RQ"),_xlpm.usp,AND($AF590&lt;&gt;"",$AF590&lt;&gt;"N/A",$AF590&lt;&gt;"No Min RQ"),_xlpm.n,_xlpm.sfp+_xlpm.slp+_xlpm.ffp+_xlpm.chp+_xlpm.usp,_xlpm.sub,(_xlpm.sfp*($P590="Submitted"))+(_xlpm.slp*($T590="Submitted"))+(_xlpm.ffp*($X590="Submitted"))+(_xlpm.chp*($AB590="Submitted"))+(_xlpm.usp*($AF590="Submitted")),_xlpm.term,(_xlpm.sfp*OR($P590="Approved",$P590="Declined"))+(_xlpm.slp*OR($T590="Approved",$T590="Declined"))+(_xlpm.ffp*OR($X590="Approved",$X590="Declined"))+(_xlpm.chp*OR($AB590="Approved",$AB590="Declined"))+(_xlpm.usp*OR($AF590="Approved",$AF590="Declined")),IF(_xlpm.n=0,"No applicable lenders",IF(_xlpm.sub&gt;0,"Stays with Shaw - lender still Submitted",IF(_xlpm.term=_xlpm.n,"Clear - all applicable lenders Approved or Declined","Stays with Shaw - not all lenders Approved or Declined")))))</f>
      </c>
    </row>
    <row r="591" spans="80:80">
      <c r="CB591" s="131">
        <f>IF($A591="","",_xlfn.LET(_xlpm.sfp,AND($P591&lt;&gt;"",$P591&lt;&gt;"N/A",$P591&lt;&gt;"No Min RQ"),_xlpm.slp,AND($T591&lt;&gt;"",$T591&lt;&gt;"N/A",$T591&lt;&gt;"No Min RQ"),_xlpm.ffp,AND($X591&lt;&gt;"",$X591&lt;&gt;"N/A",$X591&lt;&gt;"No Min RQ"),_xlpm.chp,AND($AB591&lt;&gt;"",$AB591&lt;&gt;"N/A",$AB591&lt;&gt;"No Min RQ"),_xlpm.usp,AND($AF591&lt;&gt;"",$AF591&lt;&gt;"N/A",$AF591&lt;&gt;"No Min RQ"),_xlpm.n,_xlpm.sfp+_xlpm.slp+_xlpm.ffp+_xlpm.chp+_xlpm.usp,_xlpm.sub,(_xlpm.sfp*($P591="Submitted"))+(_xlpm.slp*($T591="Submitted"))+(_xlpm.ffp*($X591="Submitted"))+(_xlpm.chp*($AB591="Submitted"))+(_xlpm.usp*($AF591="Submitted")),_xlpm.term,(_xlpm.sfp*OR($P591="Approved",$P591="Declined"))+(_xlpm.slp*OR($T591="Approved",$T591="Declined"))+(_xlpm.ffp*OR($X591="Approved",$X591="Declined"))+(_xlpm.chp*OR($AB591="Approved",$AB591="Declined"))+(_xlpm.usp*OR($AF591="Approved",$AF591="Declined")),IF(_xlpm.n=0,"No applicable lenders",IF(_xlpm.sub&gt;0,"Stays with Shaw - lender still Submitted",IF(_xlpm.term=_xlpm.n,"Clear - all applicable lenders Approved or Declined","Stays with Shaw - not all lenders Approved or Declined")))))</f>
      </c>
    </row>
    <row r="592" spans="80:80">
      <c r="CB592" s="131">
        <f>IF($A592="","",_xlfn.LET(_xlpm.sfp,AND($P592&lt;&gt;"",$P592&lt;&gt;"N/A",$P592&lt;&gt;"No Min RQ"),_xlpm.slp,AND($T592&lt;&gt;"",$T592&lt;&gt;"N/A",$T592&lt;&gt;"No Min RQ"),_xlpm.ffp,AND($X592&lt;&gt;"",$X592&lt;&gt;"N/A",$X592&lt;&gt;"No Min RQ"),_xlpm.chp,AND($AB592&lt;&gt;"",$AB592&lt;&gt;"N/A",$AB592&lt;&gt;"No Min RQ"),_xlpm.usp,AND($AF592&lt;&gt;"",$AF592&lt;&gt;"N/A",$AF592&lt;&gt;"No Min RQ"),_xlpm.n,_xlpm.sfp+_xlpm.slp+_xlpm.ffp+_xlpm.chp+_xlpm.usp,_xlpm.sub,(_xlpm.sfp*($P592="Submitted"))+(_xlpm.slp*($T592="Submitted"))+(_xlpm.ffp*($X592="Submitted"))+(_xlpm.chp*($AB592="Submitted"))+(_xlpm.usp*($AF592="Submitted")),_xlpm.term,(_xlpm.sfp*OR($P592="Approved",$P592="Declined"))+(_xlpm.slp*OR($T592="Approved",$T592="Declined"))+(_xlpm.ffp*OR($X592="Approved",$X592="Declined"))+(_xlpm.chp*OR($AB592="Approved",$AB592="Declined"))+(_xlpm.usp*OR($AF592="Approved",$AF592="Declined")),IF(_xlpm.n=0,"No applicable lenders",IF(_xlpm.sub&gt;0,"Stays with Shaw - lender still Submitted",IF(_xlpm.term=_xlpm.n,"Clear - all applicable lenders Approved or Declined","Stays with Shaw - not all lenders Approved or Declined")))))</f>
      </c>
    </row>
    <row r="593" spans="80:80">
      <c r="CB593" s="131">
        <f>IF($A593="","",_xlfn.LET(_xlpm.sfp,AND($P593&lt;&gt;"",$P593&lt;&gt;"N/A",$P593&lt;&gt;"No Min RQ"),_xlpm.slp,AND($T593&lt;&gt;"",$T593&lt;&gt;"N/A",$T593&lt;&gt;"No Min RQ"),_xlpm.ffp,AND($X593&lt;&gt;"",$X593&lt;&gt;"N/A",$X593&lt;&gt;"No Min RQ"),_xlpm.chp,AND($AB593&lt;&gt;"",$AB593&lt;&gt;"N/A",$AB593&lt;&gt;"No Min RQ"),_xlpm.usp,AND($AF593&lt;&gt;"",$AF593&lt;&gt;"N/A",$AF593&lt;&gt;"No Min RQ"),_xlpm.n,_xlpm.sfp+_xlpm.slp+_xlpm.ffp+_xlpm.chp+_xlpm.usp,_xlpm.sub,(_xlpm.sfp*($P593="Submitted"))+(_xlpm.slp*($T593="Submitted"))+(_xlpm.ffp*($X593="Submitted"))+(_xlpm.chp*($AB593="Submitted"))+(_xlpm.usp*($AF593="Submitted")),_xlpm.term,(_xlpm.sfp*OR($P593="Approved",$P593="Declined"))+(_xlpm.slp*OR($T593="Approved",$T593="Declined"))+(_xlpm.ffp*OR($X593="Approved",$X593="Declined"))+(_xlpm.chp*OR($AB593="Approved",$AB593="Declined"))+(_xlpm.usp*OR($AF593="Approved",$AF593="Declined")),IF(_xlpm.n=0,"No applicable lenders",IF(_xlpm.sub&gt;0,"Stays with Shaw - lender still Submitted",IF(_xlpm.term=_xlpm.n,"Clear - all applicable lenders Approved or Declined","Stays with Shaw - not all lenders Approved or Declined")))))</f>
      </c>
    </row>
    <row r="594" spans="80:80">
      <c r="CB594" s="131">
        <f>IF($A594="","",_xlfn.LET(_xlpm.sfp,AND($P594&lt;&gt;"",$P594&lt;&gt;"N/A",$P594&lt;&gt;"No Min RQ"),_xlpm.slp,AND($T594&lt;&gt;"",$T594&lt;&gt;"N/A",$T594&lt;&gt;"No Min RQ"),_xlpm.ffp,AND($X594&lt;&gt;"",$X594&lt;&gt;"N/A",$X594&lt;&gt;"No Min RQ"),_xlpm.chp,AND($AB594&lt;&gt;"",$AB594&lt;&gt;"N/A",$AB594&lt;&gt;"No Min RQ"),_xlpm.usp,AND($AF594&lt;&gt;"",$AF594&lt;&gt;"N/A",$AF594&lt;&gt;"No Min RQ"),_xlpm.n,_xlpm.sfp+_xlpm.slp+_xlpm.ffp+_xlpm.chp+_xlpm.usp,_xlpm.sub,(_xlpm.sfp*($P594="Submitted"))+(_xlpm.slp*($T594="Submitted"))+(_xlpm.ffp*($X594="Submitted"))+(_xlpm.chp*($AB594="Submitted"))+(_xlpm.usp*($AF594="Submitted")),_xlpm.term,(_xlpm.sfp*OR($P594="Approved",$P594="Declined"))+(_xlpm.slp*OR($T594="Approved",$T594="Declined"))+(_xlpm.ffp*OR($X594="Approved",$X594="Declined"))+(_xlpm.chp*OR($AB594="Approved",$AB594="Declined"))+(_xlpm.usp*OR($AF594="Approved",$AF594="Declined")),IF(_xlpm.n=0,"No applicable lenders",IF(_xlpm.sub&gt;0,"Stays with Shaw - lender still Submitted",IF(_xlpm.term=_xlpm.n,"Clear - all applicable lenders Approved or Declined","Stays with Shaw - not all lenders Approved or Declined")))))</f>
      </c>
    </row>
    <row r="595" spans="80:80">
      <c r="CB595" s="131">
        <f>IF($A595="","",_xlfn.LET(_xlpm.sfp,AND($P595&lt;&gt;"",$P595&lt;&gt;"N/A",$P595&lt;&gt;"No Min RQ"),_xlpm.slp,AND($T595&lt;&gt;"",$T595&lt;&gt;"N/A",$T595&lt;&gt;"No Min RQ"),_xlpm.ffp,AND($X595&lt;&gt;"",$X595&lt;&gt;"N/A",$X595&lt;&gt;"No Min RQ"),_xlpm.chp,AND($AB595&lt;&gt;"",$AB595&lt;&gt;"N/A",$AB595&lt;&gt;"No Min RQ"),_xlpm.usp,AND($AF595&lt;&gt;"",$AF595&lt;&gt;"N/A",$AF595&lt;&gt;"No Min RQ"),_xlpm.n,_xlpm.sfp+_xlpm.slp+_xlpm.ffp+_xlpm.chp+_xlpm.usp,_xlpm.sub,(_xlpm.sfp*($P595="Submitted"))+(_xlpm.slp*($T595="Submitted"))+(_xlpm.ffp*($X595="Submitted"))+(_xlpm.chp*($AB595="Submitted"))+(_xlpm.usp*($AF595="Submitted")),_xlpm.term,(_xlpm.sfp*OR($P595="Approved",$P595="Declined"))+(_xlpm.slp*OR($T595="Approved",$T595="Declined"))+(_xlpm.ffp*OR($X595="Approved",$X595="Declined"))+(_xlpm.chp*OR($AB595="Approved",$AB595="Declined"))+(_xlpm.usp*OR($AF595="Approved",$AF595="Declined")),IF(_xlpm.n=0,"No applicable lenders",IF(_xlpm.sub&gt;0,"Stays with Shaw - lender still Submitted",IF(_xlpm.term=_xlpm.n,"Clear - all applicable lenders Approved or Declined","Stays with Shaw - not all lenders Approved or Declined")))))</f>
      </c>
    </row>
    <row r="596" spans="80:80">
      <c r="CB596" s="131">
        <f>IF($A596="","",_xlfn.LET(_xlpm.sfp,AND($P596&lt;&gt;"",$P596&lt;&gt;"N/A",$P596&lt;&gt;"No Min RQ"),_xlpm.slp,AND($T596&lt;&gt;"",$T596&lt;&gt;"N/A",$T596&lt;&gt;"No Min RQ"),_xlpm.ffp,AND($X596&lt;&gt;"",$X596&lt;&gt;"N/A",$X596&lt;&gt;"No Min RQ"),_xlpm.chp,AND($AB596&lt;&gt;"",$AB596&lt;&gt;"N/A",$AB596&lt;&gt;"No Min RQ"),_xlpm.usp,AND($AF596&lt;&gt;"",$AF596&lt;&gt;"N/A",$AF596&lt;&gt;"No Min RQ"),_xlpm.n,_xlpm.sfp+_xlpm.slp+_xlpm.ffp+_xlpm.chp+_xlpm.usp,_xlpm.sub,(_xlpm.sfp*($P596="Submitted"))+(_xlpm.slp*($T596="Submitted"))+(_xlpm.ffp*($X596="Submitted"))+(_xlpm.chp*($AB596="Submitted"))+(_xlpm.usp*($AF596="Submitted")),_xlpm.term,(_xlpm.sfp*OR($P596="Approved",$P596="Declined"))+(_xlpm.slp*OR($T596="Approved",$T596="Declined"))+(_xlpm.ffp*OR($X596="Approved",$X596="Declined"))+(_xlpm.chp*OR($AB596="Approved",$AB596="Declined"))+(_xlpm.usp*OR($AF596="Approved",$AF596="Declined")),IF(_xlpm.n=0,"No applicable lenders",IF(_xlpm.sub&gt;0,"Stays with Shaw - lender still Submitted",IF(_xlpm.term=_xlpm.n,"Clear - all applicable lenders Approved or Declined","Stays with Shaw - not all lenders Approved or Declined")))))</f>
      </c>
    </row>
    <row r="597" spans="80:80">
      <c r="CB597" s="131">
        <f>IF($A597="","",_xlfn.LET(_xlpm.sfp,AND($P597&lt;&gt;"",$P597&lt;&gt;"N/A",$P597&lt;&gt;"No Min RQ"),_xlpm.slp,AND($T597&lt;&gt;"",$T597&lt;&gt;"N/A",$T597&lt;&gt;"No Min RQ"),_xlpm.ffp,AND($X597&lt;&gt;"",$X597&lt;&gt;"N/A",$X597&lt;&gt;"No Min RQ"),_xlpm.chp,AND($AB597&lt;&gt;"",$AB597&lt;&gt;"N/A",$AB597&lt;&gt;"No Min RQ"),_xlpm.usp,AND($AF597&lt;&gt;"",$AF597&lt;&gt;"N/A",$AF597&lt;&gt;"No Min RQ"),_xlpm.n,_xlpm.sfp+_xlpm.slp+_xlpm.ffp+_xlpm.chp+_xlpm.usp,_xlpm.sub,(_xlpm.sfp*($P597="Submitted"))+(_xlpm.slp*($T597="Submitted"))+(_xlpm.ffp*($X597="Submitted"))+(_xlpm.chp*($AB597="Submitted"))+(_xlpm.usp*($AF597="Submitted")),_xlpm.term,(_xlpm.sfp*OR($P597="Approved",$P597="Declined"))+(_xlpm.slp*OR($T597="Approved",$T597="Declined"))+(_xlpm.ffp*OR($X597="Approved",$X597="Declined"))+(_xlpm.chp*OR($AB597="Approved",$AB597="Declined"))+(_xlpm.usp*OR($AF597="Approved",$AF597="Declined")),IF(_xlpm.n=0,"No applicable lenders",IF(_xlpm.sub&gt;0,"Stays with Shaw - lender still Submitted",IF(_xlpm.term=_xlpm.n,"Clear - all applicable lenders Approved or Declined","Stays with Shaw - not all lenders Approved or Declined")))))</f>
      </c>
    </row>
    <row r="598" spans="80:80">
      <c r="CB598" s="131">
        <f>IF($A598="","",_xlfn.LET(_xlpm.sfp,AND($P598&lt;&gt;"",$P598&lt;&gt;"N/A",$P598&lt;&gt;"No Min RQ"),_xlpm.slp,AND($T598&lt;&gt;"",$T598&lt;&gt;"N/A",$T598&lt;&gt;"No Min RQ"),_xlpm.ffp,AND($X598&lt;&gt;"",$X598&lt;&gt;"N/A",$X598&lt;&gt;"No Min RQ"),_xlpm.chp,AND($AB598&lt;&gt;"",$AB598&lt;&gt;"N/A",$AB598&lt;&gt;"No Min RQ"),_xlpm.usp,AND($AF598&lt;&gt;"",$AF598&lt;&gt;"N/A",$AF598&lt;&gt;"No Min RQ"),_xlpm.n,_xlpm.sfp+_xlpm.slp+_xlpm.ffp+_xlpm.chp+_xlpm.usp,_xlpm.sub,(_xlpm.sfp*($P598="Submitted"))+(_xlpm.slp*($T598="Submitted"))+(_xlpm.ffp*($X598="Submitted"))+(_xlpm.chp*($AB598="Submitted"))+(_xlpm.usp*($AF598="Submitted")),_xlpm.term,(_xlpm.sfp*OR($P598="Approved",$P598="Declined"))+(_xlpm.slp*OR($T598="Approved",$T598="Declined"))+(_xlpm.ffp*OR($X598="Approved",$X598="Declined"))+(_xlpm.chp*OR($AB598="Approved",$AB598="Declined"))+(_xlpm.usp*OR($AF598="Approved",$AF598="Declined")),IF(_xlpm.n=0,"No applicable lenders",IF(_xlpm.sub&gt;0,"Stays with Shaw - lender still Submitted",IF(_xlpm.term=_xlpm.n,"Clear - all applicable lenders Approved or Declined","Stays with Shaw - not all lenders Approved or Declined")))))</f>
      </c>
    </row>
    <row r="599" spans="80:80">
      <c r="CB599" s="131">
        <f>IF($A599="","",_xlfn.LET(_xlpm.sfp,AND($P599&lt;&gt;"",$P599&lt;&gt;"N/A",$P599&lt;&gt;"No Min RQ"),_xlpm.slp,AND($T599&lt;&gt;"",$T599&lt;&gt;"N/A",$T599&lt;&gt;"No Min RQ"),_xlpm.ffp,AND($X599&lt;&gt;"",$X599&lt;&gt;"N/A",$X599&lt;&gt;"No Min RQ"),_xlpm.chp,AND($AB599&lt;&gt;"",$AB599&lt;&gt;"N/A",$AB599&lt;&gt;"No Min RQ"),_xlpm.usp,AND($AF599&lt;&gt;"",$AF599&lt;&gt;"N/A",$AF599&lt;&gt;"No Min RQ"),_xlpm.n,_xlpm.sfp+_xlpm.slp+_xlpm.ffp+_xlpm.chp+_xlpm.usp,_xlpm.sub,(_xlpm.sfp*($P599="Submitted"))+(_xlpm.slp*($T599="Submitted"))+(_xlpm.ffp*($X599="Submitted"))+(_xlpm.chp*($AB599="Submitted"))+(_xlpm.usp*($AF599="Submitted")),_xlpm.term,(_xlpm.sfp*OR($P599="Approved",$P599="Declined"))+(_xlpm.slp*OR($T599="Approved",$T599="Declined"))+(_xlpm.ffp*OR($X599="Approved",$X599="Declined"))+(_xlpm.chp*OR($AB599="Approved",$AB599="Declined"))+(_xlpm.usp*OR($AF599="Approved",$AF599="Declined")),IF(_xlpm.n=0,"No applicable lenders",IF(_xlpm.sub&gt;0,"Stays with Shaw - lender still Submitted",IF(_xlpm.term=_xlpm.n,"Clear - all applicable lenders Approved or Declined","Stays with Shaw - not all lenders Approved or Declined")))))</f>
      </c>
    </row>
    <row r="600" spans="80:80">
      <c r="CB600" s="131">
        <f>IF($A600="","",_xlfn.LET(_xlpm.sfp,AND($P600&lt;&gt;"",$P600&lt;&gt;"N/A",$P600&lt;&gt;"No Min RQ"),_xlpm.slp,AND($T600&lt;&gt;"",$T600&lt;&gt;"N/A",$T600&lt;&gt;"No Min RQ"),_xlpm.ffp,AND($X600&lt;&gt;"",$X600&lt;&gt;"N/A",$X600&lt;&gt;"No Min RQ"),_xlpm.chp,AND($AB600&lt;&gt;"",$AB600&lt;&gt;"N/A",$AB600&lt;&gt;"No Min RQ"),_xlpm.usp,AND($AF600&lt;&gt;"",$AF600&lt;&gt;"N/A",$AF600&lt;&gt;"No Min RQ"),_xlpm.n,_xlpm.sfp+_xlpm.slp+_xlpm.ffp+_xlpm.chp+_xlpm.usp,_xlpm.sub,(_xlpm.sfp*($P600="Submitted"))+(_xlpm.slp*($T600="Submitted"))+(_xlpm.ffp*($X600="Submitted"))+(_xlpm.chp*($AB600="Submitted"))+(_xlpm.usp*($AF600="Submitted")),_xlpm.term,(_xlpm.sfp*OR($P600="Approved",$P600="Declined"))+(_xlpm.slp*OR($T600="Approved",$T600="Declined"))+(_xlpm.ffp*OR($X600="Approved",$X600="Declined"))+(_xlpm.chp*OR($AB600="Approved",$AB600="Declined"))+(_xlpm.usp*OR($AF600="Approved",$AF600="Declined")),IF(_xlpm.n=0,"No applicable lenders",IF(_xlpm.sub&gt;0,"Stays with Shaw - lender still Submitted",IF(_xlpm.term=_xlpm.n,"Clear - all applicable lenders Approved or Declined","Stays with Shaw - not all lenders Approved or Declined")))))</f>
      </c>
    </row>
    <row r="601" spans="80:80">
      <c r="CB601" s="131">
        <f>IF($A601="","",_xlfn.LET(_xlpm.sfp,AND($P601&lt;&gt;"",$P601&lt;&gt;"N/A",$P601&lt;&gt;"No Min RQ"),_xlpm.slp,AND($T601&lt;&gt;"",$T601&lt;&gt;"N/A",$T601&lt;&gt;"No Min RQ"),_xlpm.ffp,AND($X601&lt;&gt;"",$X601&lt;&gt;"N/A",$X601&lt;&gt;"No Min RQ"),_xlpm.chp,AND($AB601&lt;&gt;"",$AB601&lt;&gt;"N/A",$AB601&lt;&gt;"No Min RQ"),_xlpm.usp,AND($AF601&lt;&gt;"",$AF601&lt;&gt;"N/A",$AF601&lt;&gt;"No Min RQ"),_xlpm.n,_xlpm.sfp+_xlpm.slp+_xlpm.ffp+_xlpm.chp+_xlpm.usp,_xlpm.sub,(_xlpm.sfp*($P601="Submitted"))+(_xlpm.slp*($T601="Submitted"))+(_xlpm.ffp*($X601="Submitted"))+(_xlpm.chp*($AB601="Submitted"))+(_xlpm.usp*($AF601="Submitted")),_xlpm.term,(_xlpm.sfp*OR($P601="Approved",$P601="Declined"))+(_xlpm.slp*OR($T601="Approved",$T601="Declined"))+(_xlpm.ffp*OR($X601="Approved",$X601="Declined"))+(_xlpm.chp*OR($AB601="Approved",$AB601="Declined"))+(_xlpm.usp*OR($AF601="Approved",$AF601="Declined")),IF(_xlpm.n=0,"No applicable lenders",IF(_xlpm.sub&gt;0,"Stays with Shaw - lender still Submitted",IF(_xlpm.term=_xlpm.n,"Clear - all applicable lenders Approved or Declined","Stays with Shaw - not all lenders Approved or Declined")))))</f>
      </c>
    </row>
    <row r="602" spans="80:80">
      <c r="CB602" s="131">
        <f>IF($A602="","",_xlfn.LET(_xlpm.sfp,AND($P602&lt;&gt;"",$P602&lt;&gt;"N/A",$P602&lt;&gt;"No Min RQ"),_xlpm.slp,AND($T602&lt;&gt;"",$T602&lt;&gt;"N/A",$T602&lt;&gt;"No Min RQ"),_xlpm.ffp,AND($X602&lt;&gt;"",$X602&lt;&gt;"N/A",$X602&lt;&gt;"No Min RQ"),_xlpm.chp,AND($AB602&lt;&gt;"",$AB602&lt;&gt;"N/A",$AB602&lt;&gt;"No Min RQ"),_xlpm.usp,AND($AF602&lt;&gt;"",$AF602&lt;&gt;"N/A",$AF602&lt;&gt;"No Min RQ"),_xlpm.n,_xlpm.sfp+_xlpm.slp+_xlpm.ffp+_xlpm.chp+_xlpm.usp,_xlpm.sub,(_xlpm.sfp*($P602="Submitted"))+(_xlpm.slp*($T602="Submitted"))+(_xlpm.ffp*($X602="Submitted"))+(_xlpm.chp*($AB602="Submitted"))+(_xlpm.usp*($AF602="Submitted")),_xlpm.term,(_xlpm.sfp*OR($P602="Approved",$P602="Declined"))+(_xlpm.slp*OR($T602="Approved",$T602="Declined"))+(_xlpm.ffp*OR($X602="Approved",$X602="Declined"))+(_xlpm.chp*OR($AB602="Approved",$AB602="Declined"))+(_xlpm.usp*OR($AF602="Approved",$AF602="Declined")),IF(_xlpm.n=0,"No applicable lenders",IF(_xlpm.sub&gt;0,"Stays with Shaw - lender still Submitted",IF(_xlpm.term=_xlpm.n,"Clear - all applicable lenders Approved or Declined","Stays with Shaw - not all lenders Approved or Declined")))))</f>
      </c>
    </row>
    <row r="603" spans="80:80">
      <c r="CB603" s="131">
        <f>IF($A603="","",_xlfn.LET(_xlpm.sfp,AND($P603&lt;&gt;"",$P603&lt;&gt;"N/A",$P603&lt;&gt;"No Min RQ"),_xlpm.slp,AND($T603&lt;&gt;"",$T603&lt;&gt;"N/A",$T603&lt;&gt;"No Min RQ"),_xlpm.ffp,AND($X603&lt;&gt;"",$X603&lt;&gt;"N/A",$X603&lt;&gt;"No Min RQ"),_xlpm.chp,AND($AB603&lt;&gt;"",$AB603&lt;&gt;"N/A",$AB603&lt;&gt;"No Min RQ"),_xlpm.usp,AND($AF603&lt;&gt;"",$AF603&lt;&gt;"N/A",$AF603&lt;&gt;"No Min RQ"),_xlpm.n,_xlpm.sfp+_xlpm.slp+_xlpm.ffp+_xlpm.chp+_xlpm.usp,_xlpm.sub,(_xlpm.sfp*($P603="Submitted"))+(_xlpm.slp*($T603="Submitted"))+(_xlpm.ffp*($X603="Submitted"))+(_xlpm.chp*($AB603="Submitted"))+(_xlpm.usp*($AF603="Submitted")),_xlpm.term,(_xlpm.sfp*OR($P603="Approved",$P603="Declined"))+(_xlpm.slp*OR($T603="Approved",$T603="Declined"))+(_xlpm.ffp*OR($X603="Approved",$X603="Declined"))+(_xlpm.chp*OR($AB603="Approved",$AB603="Declined"))+(_xlpm.usp*OR($AF603="Approved",$AF603="Declined")),IF(_xlpm.n=0,"No applicable lenders",IF(_xlpm.sub&gt;0,"Stays with Shaw - lender still Submitted",IF(_xlpm.term=_xlpm.n,"Clear - all applicable lenders Approved or Declined","Stays with Shaw - not all lenders Approved or Declined")))))</f>
      </c>
    </row>
    <row r="604" spans="80:80">
      <c r="CB604" s="131">
        <f>IF($A604="","",_xlfn.LET(_xlpm.sfp,AND($P604&lt;&gt;"",$P604&lt;&gt;"N/A",$P604&lt;&gt;"No Min RQ"),_xlpm.slp,AND($T604&lt;&gt;"",$T604&lt;&gt;"N/A",$T604&lt;&gt;"No Min RQ"),_xlpm.ffp,AND($X604&lt;&gt;"",$X604&lt;&gt;"N/A",$X604&lt;&gt;"No Min RQ"),_xlpm.chp,AND($AB604&lt;&gt;"",$AB604&lt;&gt;"N/A",$AB604&lt;&gt;"No Min RQ"),_xlpm.usp,AND($AF604&lt;&gt;"",$AF604&lt;&gt;"N/A",$AF604&lt;&gt;"No Min RQ"),_xlpm.n,_xlpm.sfp+_xlpm.slp+_xlpm.ffp+_xlpm.chp+_xlpm.usp,_xlpm.sub,(_xlpm.sfp*($P604="Submitted"))+(_xlpm.slp*($T604="Submitted"))+(_xlpm.ffp*($X604="Submitted"))+(_xlpm.chp*($AB604="Submitted"))+(_xlpm.usp*($AF604="Submitted")),_xlpm.term,(_xlpm.sfp*OR($P604="Approved",$P604="Declined"))+(_xlpm.slp*OR($T604="Approved",$T604="Declined"))+(_xlpm.ffp*OR($X604="Approved",$X604="Declined"))+(_xlpm.chp*OR($AB604="Approved",$AB604="Declined"))+(_xlpm.usp*OR($AF604="Approved",$AF604="Declined")),IF(_xlpm.n=0,"No applicable lenders",IF(_xlpm.sub&gt;0,"Stays with Shaw - lender still Submitted",IF(_xlpm.term=_xlpm.n,"Clear - all applicable lenders Approved or Declined","Stays with Shaw - not all lenders Approved or Declined")))))</f>
      </c>
    </row>
    <row r="605" spans="80:80">
      <c r="CB605" s="131">
        <f>IF($A605="","",_xlfn.LET(_xlpm.sfp,AND($P605&lt;&gt;"",$P605&lt;&gt;"N/A",$P605&lt;&gt;"No Min RQ"),_xlpm.slp,AND($T605&lt;&gt;"",$T605&lt;&gt;"N/A",$T605&lt;&gt;"No Min RQ"),_xlpm.ffp,AND($X605&lt;&gt;"",$X605&lt;&gt;"N/A",$X605&lt;&gt;"No Min RQ"),_xlpm.chp,AND($AB605&lt;&gt;"",$AB605&lt;&gt;"N/A",$AB605&lt;&gt;"No Min RQ"),_xlpm.usp,AND($AF605&lt;&gt;"",$AF605&lt;&gt;"N/A",$AF605&lt;&gt;"No Min RQ"),_xlpm.n,_xlpm.sfp+_xlpm.slp+_xlpm.ffp+_xlpm.chp+_xlpm.usp,_xlpm.sub,(_xlpm.sfp*($P605="Submitted"))+(_xlpm.slp*($T605="Submitted"))+(_xlpm.ffp*($X605="Submitted"))+(_xlpm.chp*($AB605="Submitted"))+(_xlpm.usp*($AF605="Submitted")),_xlpm.term,(_xlpm.sfp*OR($P605="Approved",$P605="Declined"))+(_xlpm.slp*OR($T605="Approved",$T605="Declined"))+(_xlpm.ffp*OR($X605="Approved",$X605="Declined"))+(_xlpm.chp*OR($AB605="Approved",$AB605="Declined"))+(_xlpm.usp*OR($AF605="Approved",$AF605="Declined")),IF(_xlpm.n=0,"No applicable lenders",IF(_xlpm.sub&gt;0,"Stays with Shaw - lender still Submitted",IF(_xlpm.term=_xlpm.n,"Clear - all applicable lenders Approved or Declined","Stays with Shaw - not all lenders Approved or Declined")))))</f>
      </c>
    </row>
    <row r="606" spans="80:80">
      <c r="CB606" s="131">
        <f>IF($A606="","",_xlfn.LET(_xlpm.sfp,AND($P606&lt;&gt;"",$P606&lt;&gt;"N/A",$P606&lt;&gt;"No Min RQ"),_xlpm.slp,AND($T606&lt;&gt;"",$T606&lt;&gt;"N/A",$T606&lt;&gt;"No Min RQ"),_xlpm.ffp,AND($X606&lt;&gt;"",$X606&lt;&gt;"N/A",$X606&lt;&gt;"No Min RQ"),_xlpm.chp,AND($AB606&lt;&gt;"",$AB606&lt;&gt;"N/A",$AB606&lt;&gt;"No Min RQ"),_xlpm.usp,AND($AF606&lt;&gt;"",$AF606&lt;&gt;"N/A",$AF606&lt;&gt;"No Min RQ"),_xlpm.n,_xlpm.sfp+_xlpm.slp+_xlpm.ffp+_xlpm.chp+_xlpm.usp,_xlpm.sub,(_xlpm.sfp*($P606="Submitted"))+(_xlpm.slp*($T606="Submitted"))+(_xlpm.ffp*($X606="Submitted"))+(_xlpm.chp*($AB606="Submitted"))+(_xlpm.usp*($AF606="Submitted")),_xlpm.term,(_xlpm.sfp*OR($P606="Approved",$P606="Declined"))+(_xlpm.slp*OR($T606="Approved",$T606="Declined"))+(_xlpm.ffp*OR($X606="Approved",$X606="Declined"))+(_xlpm.chp*OR($AB606="Approved",$AB606="Declined"))+(_xlpm.usp*OR($AF606="Approved",$AF606="Declined")),IF(_xlpm.n=0,"No applicable lenders",IF(_xlpm.sub&gt;0,"Stays with Shaw - lender still Submitted",IF(_xlpm.term=_xlpm.n,"Clear - all applicable lenders Approved or Declined","Stays with Shaw - not all lenders Approved or Declined")))))</f>
      </c>
    </row>
    <row r="607" spans="80:80">
      <c r="CB607" s="131">
        <f>IF($A607="","",_xlfn.LET(_xlpm.sfp,AND($P607&lt;&gt;"",$P607&lt;&gt;"N/A",$P607&lt;&gt;"No Min RQ"),_xlpm.slp,AND($T607&lt;&gt;"",$T607&lt;&gt;"N/A",$T607&lt;&gt;"No Min RQ"),_xlpm.ffp,AND($X607&lt;&gt;"",$X607&lt;&gt;"N/A",$X607&lt;&gt;"No Min RQ"),_xlpm.chp,AND($AB607&lt;&gt;"",$AB607&lt;&gt;"N/A",$AB607&lt;&gt;"No Min RQ"),_xlpm.usp,AND($AF607&lt;&gt;"",$AF607&lt;&gt;"N/A",$AF607&lt;&gt;"No Min RQ"),_xlpm.n,_xlpm.sfp+_xlpm.slp+_xlpm.ffp+_xlpm.chp+_xlpm.usp,_xlpm.sub,(_xlpm.sfp*($P607="Submitted"))+(_xlpm.slp*($T607="Submitted"))+(_xlpm.ffp*($X607="Submitted"))+(_xlpm.chp*($AB607="Submitted"))+(_xlpm.usp*($AF607="Submitted")),_xlpm.term,(_xlpm.sfp*OR($P607="Approved",$P607="Declined"))+(_xlpm.slp*OR($T607="Approved",$T607="Declined"))+(_xlpm.ffp*OR($X607="Approved",$X607="Declined"))+(_xlpm.chp*OR($AB607="Approved",$AB607="Declined"))+(_xlpm.usp*OR($AF607="Approved",$AF607="Declined")),IF(_xlpm.n=0,"No applicable lenders",IF(_xlpm.sub&gt;0,"Stays with Shaw - lender still Submitted",IF(_xlpm.term=_xlpm.n,"Clear - all applicable lenders Approved or Declined","Stays with Shaw - not all lenders Approved or Declined")))))</f>
      </c>
    </row>
    <row r="608" spans="80:80">
      <c r="CB608" s="131">
        <f>IF($A608="","",_xlfn.LET(_xlpm.sfp,AND($P608&lt;&gt;"",$P608&lt;&gt;"N/A",$P608&lt;&gt;"No Min RQ"),_xlpm.slp,AND($T608&lt;&gt;"",$T608&lt;&gt;"N/A",$T608&lt;&gt;"No Min RQ"),_xlpm.ffp,AND($X608&lt;&gt;"",$X608&lt;&gt;"N/A",$X608&lt;&gt;"No Min RQ"),_xlpm.chp,AND($AB608&lt;&gt;"",$AB608&lt;&gt;"N/A",$AB608&lt;&gt;"No Min RQ"),_xlpm.usp,AND($AF608&lt;&gt;"",$AF608&lt;&gt;"N/A",$AF608&lt;&gt;"No Min RQ"),_xlpm.n,_xlpm.sfp+_xlpm.slp+_xlpm.ffp+_xlpm.chp+_xlpm.usp,_xlpm.sub,(_xlpm.sfp*($P608="Submitted"))+(_xlpm.slp*($T608="Submitted"))+(_xlpm.ffp*($X608="Submitted"))+(_xlpm.chp*($AB608="Submitted"))+(_xlpm.usp*($AF608="Submitted")),_xlpm.term,(_xlpm.sfp*OR($P608="Approved",$P608="Declined"))+(_xlpm.slp*OR($T608="Approved",$T608="Declined"))+(_xlpm.ffp*OR($X608="Approved",$X608="Declined"))+(_xlpm.chp*OR($AB608="Approved",$AB608="Declined"))+(_xlpm.usp*OR($AF608="Approved",$AF608="Declined")),IF(_xlpm.n=0,"No applicable lenders",IF(_xlpm.sub&gt;0,"Stays with Shaw - lender still Submitted",IF(_xlpm.term=_xlpm.n,"Clear - all applicable lenders Approved or Declined","Stays with Shaw - not all lenders Approved or Declined")))))</f>
      </c>
    </row>
    <row r="609" spans="80:80">
      <c r="CB609" s="131">
        <f>IF($A609="","",_xlfn.LET(_xlpm.sfp,AND($P609&lt;&gt;"",$P609&lt;&gt;"N/A",$P609&lt;&gt;"No Min RQ"),_xlpm.slp,AND($T609&lt;&gt;"",$T609&lt;&gt;"N/A",$T609&lt;&gt;"No Min RQ"),_xlpm.ffp,AND($X609&lt;&gt;"",$X609&lt;&gt;"N/A",$X609&lt;&gt;"No Min RQ"),_xlpm.chp,AND($AB609&lt;&gt;"",$AB609&lt;&gt;"N/A",$AB609&lt;&gt;"No Min RQ"),_xlpm.usp,AND($AF609&lt;&gt;"",$AF609&lt;&gt;"N/A",$AF609&lt;&gt;"No Min RQ"),_xlpm.n,_xlpm.sfp+_xlpm.slp+_xlpm.ffp+_xlpm.chp+_xlpm.usp,_xlpm.sub,(_xlpm.sfp*($P609="Submitted"))+(_xlpm.slp*($T609="Submitted"))+(_xlpm.ffp*($X609="Submitted"))+(_xlpm.chp*($AB609="Submitted"))+(_xlpm.usp*($AF609="Submitted")),_xlpm.term,(_xlpm.sfp*OR($P609="Approved",$P609="Declined"))+(_xlpm.slp*OR($T609="Approved",$T609="Declined"))+(_xlpm.ffp*OR($X609="Approved",$X609="Declined"))+(_xlpm.chp*OR($AB609="Approved",$AB609="Declined"))+(_xlpm.usp*OR($AF609="Approved",$AF609="Declined")),IF(_xlpm.n=0,"No applicable lenders",IF(_xlpm.sub&gt;0,"Stays with Shaw - lender still Submitted",IF(_xlpm.term=_xlpm.n,"Clear - all applicable lenders Approved or Declined","Stays with Shaw - not all lenders Approved or Declined")))))</f>
      </c>
    </row>
    <row r="610" spans="80:80">
      <c r="CB610" s="131">
        <f>IF($A610="","",_xlfn.LET(_xlpm.sfp,AND($P610&lt;&gt;"",$P610&lt;&gt;"N/A",$P610&lt;&gt;"No Min RQ"),_xlpm.slp,AND($T610&lt;&gt;"",$T610&lt;&gt;"N/A",$T610&lt;&gt;"No Min RQ"),_xlpm.ffp,AND($X610&lt;&gt;"",$X610&lt;&gt;"N/A",$X610&lt;&gt;"No Min RQ"),_xlpm.chp,AND($AB610&lt;&gt;"",$AB610&lt;&gt;"N/A",$AB610&lt;&gt;"No Min RQ"),_xlpm.usp,AND($AF610&lt;&gt;"",$AF610&lt;&gt;"N/A",$AF610&lt;&gt;"No Min RQ"),_xlpm.n,_xlpm.sfp+_xlpm.slp+_xlpm.ffp+_xlpm.chp+_xlpm.usp,_xlpm.sub,(_xlpm.sfp*($P610="Submitted"))+(_xlpm.slp*($T610="Submitted"))+(_xlpm.ffp*($X610="Submitted"))+(_xlpm.chp*($AB610="Submitted"))+(_xlpm.usp*($AF610="Submitted")),_xlpm.term,(_xlpm.sfp*OR($P610="Approved",$P610="Declined"))+(_xlpm.slp*OR($T610="Approved",$T610="Declined"))+(_xlpm.ffp*OR($X610="Approved",$X610="Declined"))+(_xlpm.chp*OR($AB610="Approved",$AB610="Declined"))+(_xlpm.usp*OR($AF610="Approved",$AF610="Declined")),IF(_xlpm.n=0,"No applicable lenders",IF(_xlpm.sub&gt;0,"Stays with Shaw - lender still Submitted",IF(_xlpm.term=_xlpm.n,"Clear - all applicable lenders Approved or Declined","Stays with Shaw - not all lenders Approved or Declined")))))</f>
      </c>
    </row>
    <row r="611" spans="80:80">
      <c r="CB611" s="131">
        <f>IF($A611="","",_xlfn.LET(_xlpm.sfp,AND($P611&lt;&gt;"",$P611&lt;&gt;"N/A",$P611&lt;&gt;"No Min RQ"),_xlpm.slp,AND($T611&lt;&gt;"",$T611&lt;&gt;"N/A",$T611&lt;&gt;"No Min RQ"),_xlpm.ffp,AND($X611&lt;&gt;"",$X611&lt;&gt;"N/A",$X611&lt;&gt;"No Min RQ"),_xlpm.chp,AND($AB611&lt;&gt;"",$AB611&lt;&gt;"N/A",$AB611&lt;&gt;"No Min RQ"),_xlpm.usp,AND($AF611&lt;&gt;"",$AF611&lt;&gt;"N/A",$AF611&lt;&gt;"No Min RQ"),_xlpm.n,_xlpm.sfp+_xlpm.slp+_xlpm.ffp+_xlpm.chp+_xlpm.usp,_xlpm.sub,(_xlpm.sfp*($P611="Submitted"))+(_xlpm.slp*($T611="Submitted"))+(_xlpm.ffp*($X611="Submitted"))+(_xlpm.chp*($AB611="Submitted"))+(_xlpm.usp*($AF611="Submitted")),_xlpm.term,(_xlpm.sfp*OR($P611="Approved",$P611="Declined"))+(_xlpm.slp*OR($T611="Approved",$T611="Declined"))+(_xlpm.ffp*OR($X611="Approved",$X611="Declined"))+(_xlpm.chp*OR($AB611="Approved",$AB611="Declined"))+(_xlpm.usp*OR($AF611="Approved",$AF611="Declined")),IF(_xlpm.n=0,"No applicable lenders",IF(_xlpm.sub&gt;0,"Stays with Shaw - lender still Submitted",IF(_xlpm.term=_xlpm.n,"Clear - all applicable lenders Approved or Declined","Stays with Shaw - not all lenders Approved or Declined")))))</f>
      </c>
    </row>
    <row r="612" spans="80:80">
      <c r="CB612" s="131">
        <f>IF($A612="","",_xlfn.LET(_xlpm.sfp,AND($P612&lt;&gt;"",$P612&lt;&gt;"N/A",$P612&lt;&gt;"No Min RQ"),_xlpm.slp,AND($T612&lt;&gt;"",$T612&lt;&gt;"N/A",$T612&lt;&gt;"No Min RQ"),_xlpm.ffp,AND($X612&lt;&gt;"",$X612&lt;&gt;"N/A",$X612&lt;&gt;"No Min RQ"),_xlpm.chp,AND($AB612&lt;&gt;"",$AB612&lt;&gt;"N/A",$AB612&lt;&gt;"No Min RQ"),_xlpm.usp,AND($AF612&lt;&gt;"",$AF612&lt;&gt;"N/A",$AF612&lt;&gt;"No Min RQ"),_xlpm.n,_xlpm.sfp+_xlpm.slp+_xlpm.ffp+_xlpm.chp+_xlpm.usp,_xlpm.sub,(_xlpm.sfp*($P612="Submitted"))+(_xlpm.slp*($T612="Submitted"))+(_xlpm.ffp*($X612="Submitted"))+(_xlpm.chp*($AB612="Submitted"))+(_xlpm.usp*($AF612="Submitted")),_xlpm.term,(_xlpm.sfp*OR($P612="Approved",$P612="Declined"))+(_xlpm.slp*OR($T612="Approved",$T612="Declined"))+(_xlpm.ffp*OR($X612="Approved",$X612="Declined"))+(_xlpm.chp*OR($AB612="Approved",$AB612="Declined"))+(_xlpm.usp*OR($AF612="Approved",$AF612="Declined")),IF(_xlpm.n=0,"No applicable lenders",IF(_xlpm.sub&gt;0,"Stays with Shaw - lender still Submitted",IF(_xlpm.term=_xlpm.n,"Clear - all applicable lenders Approved or Declined","Stays with Shaw - not all lenders Approved or Declined")))))</f>
      </c>
    </row>
    <row r="613" spans="80:80">
      <c r="CB613" s="131">
        <f>IF($A613="","",_xlfn.LET(_xlpm.sfp,AND($P613&lt;&gt;"",$P613&lt;&gt;"N/A",$P613&lt;&gt;"No Min RQ"),_xlpm.slp,AND($T613&lt;&gt;"",$T613&lt;&gt;"N/A",$T613&lt;&gt;"No Min RQ"),_xlpm.ffp,AND($X613&lt;&gt;"",$X613&lt;&gt;"N/A",$X613&lt;&gt;"No Min RQ"),_xlpm.chp,AND($AB613&lt;&gt;"",$AB613&lt;&gt;"N/A",$AB613&lt;&gt;"No Min RQ"),_xlpm.usp,AND($AF613&lt;&gt;"",$AF613&lt;&gt;"N/A",$AF613&lt;&gt;"No Min RQ"),_xlpm.n,_xlpm.sfp+_xlpm.slp+_xlpm.ffp+_xlpm.chp+_xlpm.usp,_xlpm.sub,(_xlpm.sfp*($P613="Submitted"))+(_xlpm.slp*($T613="Submitted"))+(_xlpm.ffp*($X613="Submitted"))+(_xlpm.chp*($AB613="Submitted"))+(_xlpm.usp*($AF613="Submitted")),_xlpm.term,(_xlpm.sfp*OR($P613="Approved",$P613="Declined"))+(_xlpm.slp*OR($T613="Approved",$T613="Declined"))+(_xlpm.ffp*OR($X613="Approved",$X613="Declined"))+(_xlpm.chp*OR($AB613="Approved",$AB613="Declined"))+(_xlpm.usp*OR($AF613="Approved",$AF613="Declined")),IF(_xlpm.n=0,"No applicable lenders",IF(_xlpm.sub&gt;0,"Stays with Shaw - lender still Submitted",IF(_xlpm.term=_xlpm.n,"Clear - all applicable lenders Approved or Declined","Stays with Shaw - not all lenders Approved or Declined")))))</f>
      </c>
    </row>
    <row r="614" spans="80:80">
      <c r="CB614" s="131">
        <f>IF($A614="","",_xlfn.LET(_xlpm.sfp,AND($P614&lt;&gt;"",$P614&lt;&gt;"N/A",$P614&lt;&gt;"No Min RQ"),_xlpm.slp,AND($T614&lt;&gt;"",$T614&lt;&gt;"N/A",$T614&lt;&gt;"No Min RQ"),_xlpm.ffp,AND($X614&lt;&gt;"",$X614&lt;&gt;"N/A",$X614&lt;&gt;"No Min RQ"),_xlpm.chp,AND($AB614&lt;&gt;"",$AB614&lt;&gt;"N/A",$AB614&lt;&gt;"No Min RQ"),_xlpm.usp,AND($AF614&lt;&gt;"",$AF614&lt;&gt;"N/A",$AF614&lt;&gt;"No Min RQ"),_xlpm.n,_xlpm.sfp+_xlpm.slp+_xlpm.ffp+_xlpm.chp+_xlpm.usp,_xlpm.sub,(_xlpm.sfp*($P614="Submitted"))+(_xlpm.slp*($T614="Submitted"))+(_xlpm.ffp*($X614="Submitted"))+(_xlpm.chp*($AB614="Submitted"))+(_xlpm.usp*($AF614="Submitted")),_xlpm.term,(_xlpm.sfp*OR($P614="Approved",$P614="Declined"))+(_xlpm.slp*OR($T614="Approved",$T614="Declined"))+(_xlpm.ffp*OR($X614="Approved",$X614="Declined"))+(_xlpm.chp*OR($AB614="Approved",$AB614="Declined"))+(_xlpm.usp*OR($AF614="Approved",$AF614="Declined")),IF(_xlpm.n=0,"No applicable lenders",IF(_xlpm.sub&gt;0,"Stays with Shaw - lender still Submitted",IF(_xlpm.term=_xlpm.n,"Clear - all applicable lenders Approved or Declined","Stays with Shaw - not all lenders Approved or Declined")))))</f>
      </c>
    </row>
    <row r="615" spans="80:80">
      <c r="CB615" s="131">
        <f>IF($A615="","",_xlfn.LET(_xlpm.sfp,AND($P615&lt;&gt;"",$P615&lt;&gt;"N/A",$P615&lt;&gt;"No Min RQ"),_xlpm.slp,AND($T615&lt;&gt;"",$T615&lt;&gt;"N/A",$T615&lt;&gt;"No Min RQ"),_xlpm.ffp,AND($X615&lt;&gt;"",$X615&lt;&gt;"N/A",$X615&lt;&gt;"No Min RQ"),_xlpm.chp,AND($AB615&lt;&gt;"",$AB615&lt;&gt;"N/A",$AB615&lt;&gt;"No Min RQ"),_xlpm.usp,AND($AF615&lt;&gt;"",$AF615&lt;&gt;"N/A",$AF615&lt;&gt;"No Min RQ"),_xlpm.n,_xlpm.sfp+_xlpm.slp+_xlpm.ffp+_xlpm.chp+_xlpm.usp,_xlpm.sub,(_xlpm.sfp*($P615="Submitted"))+(_xlpm.slp*($T615="Submitted"))+(_xlpm.ffp*($X615="Submitted"))+(_xlpm.chp*($AB615="Submitted"))+(_xlpm.usp*($AF615="Submitted")),_xlpm.term,(_xlpm.sfp*OR($P615="Approved",$P615="Declined"))+(_xlpm.slp*OR($T615="Approved",$T615="Declined"))+(_xlpm.ffp*OR($X615="Approved",$X615="Declined"))+(_xlpm.chp*OR($AB615="Approved",$AB615="Declined"))+(_xlpm.usp*OR($AF615="Approved",$AF615="Declined")),IF(_xlpm.n=0,"No applicable lenders",IF(_xlpm.sub&gt;0,"Stays with Shaw - lender still Submitted",IF(_xlpm.term=_xlpm.n,"Clear - all applicable lenders Approved or Declined","Stays with Shaw - not all lenders Approved or Declined")))))</f>
      </c>
    </row>
    <row r="616" spans="80:80">
      <c r="CB616" s="131">
        <f>IF($A616="","",_xlfn.LET(_xlpm.sfp,AND($P616&lt;&gt;"",$P616&lt;&gt;"N/A",$P616&lt;&gt;"No Min RQ"),_xlpm.slp,AND($T616&lt;&gt;"",$T616&lt;&gt;"N/A",$T616&lt;&gt;"No Min RQ"),_xlpm.ffp,AND($X616&lt;&gt;"",$X616&lt;&gt;"N/A",$X616&lt;&gt;"No Min RQ"),_xlpm.chp,AND($AB616&lt;&gt;"",$AB616&lt;&gt;"N/A",$AB616&lt;&gt;"No Min RQ"),_xlpm.usp,AND($AF616&lt;&gt;"",$AF616&lt;&gt;"N/A",$AF616&lt;&gt;"No Min RQ"),_xlpm.n,_xlpm.sfp+_xlpm.slp+_xlpm.ffp+_xlpm.chp+_xlpm.usp,_xlpm.sub,(_xlpm.sfp*($P616="Submitted"))+(_xlpm.slp*($T616="Submitted"))+(_xlpm.ffp*($X616="Submitted"))+(_xlpm.chp*($AB616="Submitted"))+(_xlpm.usp*($AF616="Submitted")),_xlpm.term,(_xlpm.sfp*OR($P616="Approved",$P616="Declined"))+(_xlpm.slp*OR($T616="Approved",$T616="Declined"))+(_xlpm.ffp*OR($X616="Approved",$X616="Declined"))+(_xlpm.chp*OR($AB616="Approved",$AB616="Declined"))+(_xlpm.usp*OR($AF616="Approved",$AF616="Declined")),IF(_xlpm.n=0,"No applicable lenders",IF(_xlpm.sub&gt;0,"Stays with Shaw - lender still Submitted",IF(_xlpm.term=_xlpm.n,"Clear - all applicable lenders Approved or Declined","Stays with Shaw - not all lenders Approved or Declined")))))</f>
      </c>
    </row>
    <row r="617" spans="80:80">
      <c r="CB617" s="131">
        <f>IF($A617="","",_xlfn.LET(_xlpm.sfp,AND($P617&lt;&gt;"",$P617&lt;&gt;"N/A",$P617&lt;&gt;"No Min RQ"),_xlpm.slp,AND($T617&lt;&gt;"",$T617&lt;&gt;"N/A",$T617&lt;&gt;"No Min RQ"),_xlpm.ffp,AND($X617&lt;&gt;"",$X617&lt;&gt;"N/A",$X617&lt;&gt;"No Min RQ"),_xlpm.chp,AND($AB617&lt;&gt;"",$AB617&lt;&gt;"N/A",$AB617&lt;&gt;"No Min RQ"),_xlpm.usp,AND($AF617&lt;&gt;"",$AF617&lt;&gt;"N/A",$AF617&lt;&gt;"No Min RQ"),_xlpm.n,_xlpm.sfp+_xlpm.slp+_xlpm.ffp+_xlpm.chp+_xlpm.usp,_xlpm.sub,(_xlpm.sfp*($P617="Submitted"))+(_xlpm.slp*($T617="Submitted"))+(_xlpm.ffp*($X617="Submitted"))+(_xlpm.chp*($AB617="Submitted"))+(_xlpm.usp*($AF617="Submitted")),_xlpm.term,(_xlpm.sfp*OR($P617="Approved",$P617="Declined"))+(_xlpm.slp*OR($T617="Approved",$T617="Declined"))+(_xlpm.ffp*OR($X617="Approved",$X617="Declined"))+(_xlpm.chp*OR($AB617="Approved",$AB617="Declined"))+(_xlpm.usp*OR($AF617="Approved",$AF617="Declined")),IF(_xlpm.n=0,"No applicable lenders",IF(_xlpm.sub&gt;0,"Stays with Shaw - lender still Submitted",IF(_xlpm.term=_xlpm.n,"Clear - all applicable lenders Approved or Declined","Stays with Shaw - not all lenders Approved or Declined")))))</f>
      </c>
    </row>
    <row r="618" spans="80:80">
      <c r="CB618" s="131">
        <f>IF($A618="","",_xlfn.LET(_xlpm.sfp,AND($P618&lt;&gt;"",$P618&lt;&gt;"N/A",$P618&lt;&gt;"No Min RQ"),_xlpm.slp,AND($T618&lt;&gt;"",$T618&lt;&gt;"N/A",$T618&lt;&gt;"No Min RQ"),_xlpm.ffp,AND($X618&lt;&gt;"",$X618&lt;&gt;"N/A",$X618&lt;&gt;"No Min RQ"),_xlpm.chp,AND($AB618&lt;&gt;"",$AB618&lt;&gt;"N/A",$AB618&lt;&gt;"No Min RQ"),_xlpm.usp,AND($AF618&lt;&gt;"",$AF618&lt;&gt;"N/A",$AF618&lt;&gt;"No Min RQ"),_xlpm.n,_xlpm.sfp+_xlpm.slp+_xlpm.ffp+_xlpm.chp+_xlpm.usp,_xlpm.sub,(_xlpm.sfp*($P618="Submitted"))+(_xlpm.slp*($T618="Submitted"))+(_xlpm.ffp*($X618="Submitted"))+(_xlpm.chp*($AB618="Submitted"))+(_xlpm.usp*($AF618="Submitted")),_xlpm.term,(_xlpm.sfp*OR($P618="Approved",$P618="Declined"))+(_xlpm.slp*OR($T618="Approved",$T618="Declined"))+(_xlpm.ffp*OR($X618="Approved",$X618="Declined"))+(_xlpm.chp*OR($AB618="Approved",$AB618="Declined"))+(_xlpm.usp*OR($AF618="Approved",$AF618="Declined")),IF(_xlpm.n=0,"No applicable lenders",IF(_xlpm.sub&gt;0,"Stays with Shaw - lender still Submitted",IF(_xlpm.term=_xlpm.n,"Clear - all applicable lenders Approved or Declined","Stays with Shaw - not all lenders Approved or Declined")))))</f>
      </c>
    </row>
    <row r="619" spans="80:80">
      <c r="CB619" s="131">
        <f>IF($A619="","",_xlfn.LET(_xlpm.sfp,AND($P619&lt;&gt;"",$P619&lt;&gt;"N/A",$P619&lt;&gt;"No Min RQ"),_xlpm.slp,AND($T619&lt;&gt;"",$T619&lt;&gt;"N/A",$T619&lt;&gt;"No Min RQ"),_xlpm.ffp,AND($X619&lt;&gt;"",$X619&lt;&gt;"N/A",$X619&lt;&gt;"No Min RQ"),_xlpm.chp,AND($AB619&lt;&gt;"",$AB619&lt;&gt;"N/A",$AB619&lt;&gt;"No Min RQ"),_xlpm.usp,AND($AF619&lt;&gt;"",$AF619&lt;&gt;"N/A",$AF619&lt;&gt;"No Min RQ"),_xlpm.n,_xlpm.sfp+_xlpm.slp+_xlpm.ffp+_xlpm.chp+_xlpm.usp,_xlpm.sub,(_xlpm.sfp*($P619="Submitted"))+(_xlpm.slp*($T619="Submitted"))+(_xlpm.ffp*($X619="Submitted"))+(_xlpm.chp*($AB619="Submitted"))+(_xlpm.usp*($AF619="Submitted")),_xlpm.term,(_xlpm.sfp*OR($P619="Approved",$P619="Declined"))+(_xlpm.slp*OR($T619="Approved",$T619="Declined"))+(_xlpm.ffp*OR($X619="Approved",$X619="Declined"))+(_xlpm.chp*OR($AB619="Approved",$AB619="Declined"))+(_xlpm.usp*OR($AF619="Approved",$AF619="Declined")),IF(_xlpm.n=0,"No applicable lenders",IF(_xlpm.sub&gt;0,"Stays with Shaw - lender still Submitted",IF(_xlpm.term=_xlpm.n,"Clear - all applicable lenders Approved or Declined","Stays with Shaw - not all lenders Approved or Declined")))))</f>
      </c>
    </row>
    <row r="620" spans="80:80">
      <c r="CB620" s="131">
        <f>IF($A620="","",_xlfn.LET(_xlpm.sfp,AND($P620&lt;&gt;"",$P620&lt;&gt;"N/A",$P620&lt;&gt;"No Min RQ"),_xlpm.slp,AND($T620&lt;&gt;"",$T620&lt;&gt;"N/A",$T620&lt;&gt;"No Min RQ"),_xlpm.ffp,AND($X620&lt;&gt;"",$X620&lt;&gt;"N/A",$X620&lt;&gt;"No Min RQ"),_xlpm.chp,AND($AB620&lt;&gt;"",$AB620&lt;&gt;"N/A",$AB620&lt;&gt;"No Min RQ"),_xlpm.usp,AND($AF620&lt;&gt;"",$AF620&lt;&gt;"N/A",$AF620&lt;&gt;"No Min RQ"),_xlpm.n,_xlpm.sfp+_xlpm.slp+_xlpm.ffp+_xlpm.chp+_xlpm.usp,_xlpm.sub,(_xlpm.sfp*($P620="Submitted"))+(_xlpm.slp*($T620="Submitted"))+(_xlpm.ffp*($X620="Submitted"))+(_xlpm.chp*($AB620="Submitted"))+(_xlpm.usp*($AF620="Submitted")),_xlpm.term,(_xlpm.sfp*OR($P620="Approved",$P620="Declined"))+(_xlpm.slp*OR($T620="Approved",$T620="Declined"))+(_xlpm.ffp*OR($X620="Approved",$X620="Declined"))+(_xlpm.chp*OR($AB620="Approved",$AB620="Declined"))+(_xlpm.usp*OR($AF620="Approved",$AF620="Declined")),IF(_xlpm.n=0,"No applicable lenders",IF(_xlpm.sub&gt;0,"Stays with Shaw - lender still Submitted",IF(_xlpm.term=_xlpm.n,"Clear - all applicable lenders Approved or Declined","Stays with Shaw - not all lenders Approved or Declined")))))</f>
      </c>
    </row>
    <row r="621" spans="80:80">
      <c r="CB621" s="131">
        <f>IF($A621="","",_xlfn.LET(_xlpm.sfp,AND($P621&lt;&gt;"",$P621&lt;&gt;"N/A",$P621&lt;&gt;"No Min RQ"),_xlpm.slp,AND($T621&lt;&gt;"",$T621&lt;&gt;"N/A",$T621&lt;&gt;"No Min RQ"),_xlpm.ffp,AND($X621&lt;&gt;"",$X621&lt;&gt;"N/A",$X621&lt;&gt;"No Min RQ"),_xlpm.chp,AND($AB621&lt;&gt;"",$AB621&lt;&gt;"N/A",$AB621&lt;&gt;"No Min RQ"),_xlpm.usp,AND($AF621&lt;&gt;"",$AF621&lt;&gt;"N/A",$AF621&lt;&gt;"No Min RQ"),_xlpm.n,_xlpm.sfp+_xlpm.slp+_xlpm.ffp+_xlpm.chp+_xlpm.usp,_xlpm.sub,(_xlpm.sfp*($P621="Submitted"))+(_xlpm.slp*($T621="Submitted"))+(_xlpm.ffp*($X621="Submitted"))+(_xlpm.chp*($AB621="Submitted"))+(_xlpm.usp*($AF621="Submitted")),_xlpm.term,(_xlpm.sfp*OR($P621="Approved",$P621="Declined"))+(_xlpm.slp*OR($T621="Approved",$T621="Declined"))+(_xlpm.ffp*OR($X621="Approved",$X621="Declined"))+(_xlpm.chp*OR($AB621="Approved",$AB621="Declined"))+(_xlpm.usp*OR($AF621="Approved",$AF621="Declined")),IF(_xlpm.n=0,"No applicable lenders",IF(_xlpm.sub&gt;0,"Stays with Shaw - lender still Submitted",IF(_xlpm.term=_xlpm.n,"Clear - all applicable lenders Approved or Declined","Stays with Shaw - not all lenders Approved or Declined")))))</f>
      </c>
    </row>
    <row r="622" spans="80:80">
      <c r="CB622" s="131">
        <f>IF($A622="","",_xlfn.LET(_xlpm.sfp,AND($P622&lt;&gt;"",$P622&lt;&gt;"N/A",$P622&lt;&gt;"No Min RQ"),_xlpm.slp,AND($T622&lt;&gt;"",$T622&lt;&gt;"N/A",$T622&lt;&gt;"No Min RQ"),_xlpm.ffp,AND($X622&lt;&gt;"",$X622&lt;&gt;"N/A",$X622&lt;&gt;"No Min RQ"),_xlpm.chp,AND($AB622&lt;&gt;"",$AB622&lt;&gt;"N/A",$AB622&lt;&gt;"No Min RQ"),_xlpm.usp,AND($AF622&lt;&gt;"",$AF622&lt;&gt;"N/A",$AF622&lt;&gt;"No Min RQ"),_xlpm.n,_xlpm.sfp+_xlpm.slp+_xlpm.ffp+_xlpm.chp+_xlpm.usp,_xlpm.sub,(_xlpm.sfp*($P622="Submitted"))+(_xlpm.slp*($T622="Submitted"))+(_xlpm.ffp*($X622="Submitted"))+(_xlpm.chp*($AB622="Submitted"))+(_xlpm.usp*($AF622="Submitted")),_xlpm.term,(_xlpm.sfp*OR($P622="Approved",$P622="Declined"))+(_xlpm.slp*OR($T622="Approved",$T622="Declined"))+(_xlpm.ffp*OR($X622="Approved",$X622="Declined"))+(_xlpm.chp*OR($AB622="Approved",$AB622="Declined"))+(_xlpm.usp*OR($AF622="Approved",$AF622="Declined")),IF(_xlpm.n=0,"No applicable lenders",IF(_xlpm.sub&gt;0,"Stays with Shaw - lender still Submitted",IF(_xlpm.term=_xlpm.n,"Clear - all applicable lenders Approved or Declined","Stays with Shaw - not all lenders Approved or Declined")))))</f>
      </c>
    </row>
    <row r="623" spans="80:80">
      <c r="CB623" s="131">
        <f>IF($A623="","",_xlfn.LET(_xlpm.sfp,AND($P623&lt;&gt;"",$P623&lt;&gt;"N/A",$P623&lt;&gt;"No Min RQ"),_xlpm.slp,AND($T623&lt;&gt;"",$T623&lt;&gt;"N/A",$T623&lt;&gt;"No Min RQ"),_xlpm.ffp,AND($X623&lt;&gt;"",$X623&lt;&gt;"N/A",$X623&lt;&gt;"No Min RQ"),_xlpm.chp,AND($AB623&lt;&gt;"",$AB623&lt;&gt;"N/A",$AB623&lt;&gt;"No Min RQ"),_xlpm.usp,AND($AF623&lt;&gt;"",$AF623&lt;&gt;"N/A",$AF623&lt;&gt;"No Min RQ"),_xlpm.n,_xlpm.sfp+_xlpm.slp+_xlpm.ffp+_xlpm.chp+_xlpm.usp,_xlpm.sub,(_xlpm.sfp*($P623="Submitted"))+(_xlpm.slp*($T623="Submitted"))+(_xlpm.ffp*($X623="Submitted"))+(_xlpm.chp*($AB623="Submitted"))+(_xlpm.usp*($AF623="Submitted")),_xlpm.term,(_xlpm.sfp*OR($P623="Approved",$P623="Declined"))+(_xlpm.slp*OR($T623="Approved",$T623="Declined"))+(_xlpm.ffp*OR($X623="Approved",$X623="Declined"))+(_xlpm.chp*OR($AB623="Approved",$AB623="Declined"))+(_xlpm.usp*OR($AF623="Approved",$AF623="Declined")),IF(_xlpm.n=0,"No applicable lenders",IF(_xlpm.sub&gt;0,"Stays with Shaw - lender still Submitted",IF(_xlpm.term=_xlpm.n,"Clear - all applicable lenders Approved or Declined","Stays with Shaw - not all lenders Approved or Declined")))))</f>
      </c>
    </row>
    <row r="624" spans="80:80">
      <c r="CB624" s="131">
        <f>IF($A624="","",_xlfn.LET(_xlpm.sfp,AND($P624&lt;&gt;"",$P624&lt;&gt;"N/A",$P624&lt;&gt;"No Min RQ"),_xlpm.slp,AND($T624&lt;&gt;"",$T624&lt;&gt;"N/A",$T624&lt;&gt;"No Min RQ"),_xlpm.ffp,AND($X624&lt;&gt;"",$X624&lt;&gt;"N/A",$X624&lt;&gt;"No Min RQ"),_xlpm.chp,AND($AB624&lt;&gt;"",$AB624&lt;&gt;"N/A",$AB624&lt;&gt;"No Min RQ"),_xlpm.usp,AND($AF624&lt;&gt;"",$AF624&lt;&gt;"N/A",$AF624&lt;&gt;"No Min RQ"),_xlpm.n,_xlpm.sfp+_xlpm.slp+_xlpm.ffp+_xlpm.chp+_xlpm.usp,_xlpm.sub,(_xlpm.sfp*($P624="Submitted"))+(_xlpm.slp*($T624="Submitted"))+(_xlpm.ffp*($X624="Submitted"))+(_xlpm.chp*($AB624="Submitted"))+(_xlpm.usp*($AF624="Submitted")),_xlpm.term,(_xlpm.sfp*OR($P624="Approved",$P624="Declined"))+(_xlpm.slp*OR($T624="Approved",$T624="Declined"))+(_xlpm.ffp*OR($X624="Approved",$X624="Declined"))+(_xlpm.chp*OR($AB624="Approved",$AB624="Declined"))+(_xlpm.usp*OR($AF624="Approved",$AF624="Declined")),IF(_xlpm.n=0,"No applicable lenders",IF(_xlpm.sub&gt;0,"Stays with Shaw - lender still Submitted",IF(_xlpm.term=_xlpm.n,"Clear - all applicable lenders Approved or Declined","Stays with Shaw - not all lenders Approved or Declined")))))</f>
      </c>
    </row>
    <row r="625" spans="80:80">
      <c r="CB625" s="131">
        <f>IF($A625="","",_xlfn.LET(_xlpm.sfp,AND($P625&lt;&gt;"",$P625&lt;&gt;"N/A",$P625&lt;&gt;"No Min RQ"),_xlpm.slp,AND($T625&lt;&gt;"",$T625&lt;&gt;"N/A",$T625&lt;&gt;"No Min RQ"),_xlpm.ffp,AND($X625&lt;&gt;"",$X625&lt;&gt;"N/A",$X625&lt;&gt;"No Min RQ"),_xlpm.chp,AND($AB625&lt;&gt;"",$AB625&lt;&gt;"N/A",$AB625&lt;&gt;"No Min RQ"),_xlpm.usp,AND($AF625&lt;&gt;"",$AF625&lt;&gt;"N/A",$AF625&lt;&gt;"No Min RQ"),_xlpm.n,_xlpm.sfp+_xlpm.slp+_xlpm.ffp+_xlpm.chp+_xlpm.usp,_xlpm.sub,(_xlpm.sfp*($P625="Submitted"))+(_xlpm.slp*($T625="Submitted"))+(_xlpm.ffp*($X625="Submitted"))+(_xlpm.chp*($AB625="Submitted"))+(_xlpm.usp*($AF625="Submitted")),_xlpm.term,(_xlpm.sfp*OR($P625="Approved",$P625="Declined"))+(_xlpm.slp*OR($T625="Approved",$T625="Declined"))+(_xlpm.ffp*OR($X625="Approved",$X625="Declined"))+(_xlpm.chp*OR($AB625="Approved",$AB625="Declined"))+(_xlpm.usp*OR($AF625="Approved",$AF625="Declined")),IF(_xlpm.n=0,"No applicable lenders",IF(_xlpm.sub&gt;0,"Stays with Shaw - lender still Submitted",IF(_xlpm.term=_xlpm.n,"Clear - all applicable lenders Approved or Declined","Stays with Shaw - not all lenders Approved or Declined")))))</f>
      </c>
    </row>
    <row r="626" spans="80:80">
      <c r="CB626" s="131">
        <f>IF($A626="","",_xlfn.LET(_xlpm.sfp,AND($P626&lt;&gt;"",$P626&lt;&gt;"N/A",$P626&lt;&gt;"No Min RQ"),_xlpm.slp,AND($T626&lt;&gt;"",$T626&lt;&gt;"N/A",$T626&lt;&gt;"No Min RQ"),_xlpm.ffp,AND($X626&lt;&gt;"",$X626&lt;&gt;"N/A",$X626&lt;&gt;"No Min RQ"),_xlpm.chp,AND($AB626&lt;&gt;"",$AB626&lt;&gt;"N/A",$AB626&lt;&gt;"No Min RQ"),_xlpm.usp,AND($AF626&lt;&gt;"",$AF626&lt;&gt;"N/A",$AF626&lt;&gt;"No Min RQ"),_xlpm.n,_xlpm.sfp+_xlpm.slp+_xlpm.ffp+_xlpm.chp+_xlpm.usp,_xlpm.sub,(_xlpm.sfp*($P626="Submitted"))+(_xlpm.slp*($T626="Submitted"))+(_xlpm.ffp*($X626="Submitted"))+(_xlpm.chp*($AB626="Submitted"))+(_xlpm.usp*($AF626="Submitted")),_xlpm.term,(_xlpm.sfp*OR($P626="Approved",$P626="Declined"))+(_xlpm.slp*OR($T626="Approved",$T626="Declined"))+(_xlpm.ffp*OR($X626="Approved",$X626="Declined"))+(_xlpm.chp*OR($AB626="Approved",$AB626="Declined"))+(_xlpm.usp*OR($AF626="Approved",$AF626="Declined")),IF(_xlpm.n=0,"No applicable lenders",IF(_xlpm.sub&gt;0,"Stays with Shaw - lender still Submitted",IF(_xlpm.term=_xlpm.n,"Clear - all applicable lenders Approved or Declined","Stays with Shaw - not all lenders Approved or Declined")))))</f>
      </c>
    </row>
    <row r="627" spans="80:80">
      <c r="CB627" s="131">
        <f>IF($A627="","",_xlfn.LET(_xlpm.sfp,AND($P627&lt;&gt;"",$P627&lt;&gt;"N/A",$P627&lt;&gt;"No Min RQ"),_xlpm.slp,AND($T627&lt;&gt;"",$T627&lt;&gt;"N/A",$T627&lt;&gt;"No Min RQ"),_xlpm.ffp,AND($X627&lt;&gt;"",$X627&lt;&gt;"N/A",$X627&lt;&gt;"No Min RQ"),_xlpm.chp,AND($AB627&lt;&gt;"",$AB627&lt;&gt;"N/A",$AB627&lt;&gt;"No Min RQ"),_xlpm.usp,AND($AF627&lt;&gt;"",$AF627&lt;&gt;"N/A",$AF627&lt;&gt;"No Min RQ"),_xlpm.n,_xlpm.sfp+_xlpm.slp+_xlpm.ffp+_xlpm.chp+_xlpm.usp,_xlpm.sub,(_xlpm.sfp*($P627="Submitted"))+(_xlpm.slp*($T627="Submitted"))+(_xlpm.ffp*($X627="Submitted"))+(_xlpm.chp*($AB627="Submitted"))+(_xlpm.usp*($AF627="Submitted")),_xlpm.term,(_xlpm.sfp*OR($P627="Approved",$P627="Declined"))+(_xlpm.slp*OR($T627="Approved",$T627="Declined"))+(_xlpm.ffp*OR($X627="Approved",$X627="Declined"))+(_xlpm.chp*OR($AB627="Approved",$AB627="Declined"))+(_xlpm.usp*OR($AF627="Approved",$AF627="Declined")),IF(_xlpm.n=0,"No applicable lenders",IF(_xlpm.sub&gt;0,"Stays with Shaw - lender still Submitted",IF(_xlpm.term=_xlpm.n,"Clear - all applicable lenders Approved or Declined","Stays with Shaw - not all lenders Approved or Declined")))))</f>
      </c>
    </row>
    <row r="628" spans="80:80">
      <c r="CB628" s="131">
        <f>IF($A628="","",_xlfn.LET(_xlpm.sfp,AND($P628&lt;&gt;"",$P628&lt;&gt;"N/A",$P628&lt;&gt;"No Min RQ"),_xlpm.slp,AND($T628&lt;&gt;"",$T628&lt;&gt;"N/A",$T628&lt;&gt;"No Min RQ"),_xlpm.ffp,AND($X628&lt;&gt;"",$X628&lt;&gt;"N/A",$X628&lt;&gt;"No Min RQ"),_xlpm.chp,AND($AB628&lt;&gt;"",$AB628&lt;&gt;"N/A",$AB628&lt;&gt;"No Min RQ"),_xlpm.usp,AND($AF628&lt;&gt;"",$AF628&lt;&gt;"N/A",$AF628&lt;&gt;"No Min RQ"),_xlpm.n,_xlpm.sfp+_xlpm.slp+_xlpm.ffp+_xlpm.chp+_xlpm.usp,_xlpm.sub,(_xlpm.sfp*($P628="Submitted"))+(_xlpm.slp*($T628="Submitted"))+(_xlpm.ffp*($X628="Submitted"))+(_xlpm.chp*($AB628="Submitted"))+(_xlpm.usp*($AF628="Submitted")),_xlpm.term,(_xlpm.sfp*OR($P628="Approved",$P628="Declined"))+(_xlpm.slp*OR($T628="Approved",$T628="Declined"))+(_xlpm.ffp*OR($X628="Approved",$X628="Declined"))+(_xlpm.chp*OR($AB628="Approved",$AB628="Declined"))+(_xlpm.usp*OR($AF628="Approved",$AF628="Declined")),IF(_xlpm.n=0,"No applicable lenders",IF(_xlpm.sub&gt;0,"Stays with Shaw - lender still Submitted",IF(_xlpm.term=_xlpm.n,"Clear - all applicable lenders Approved or Declined","Stays with Shaw - not all lenders Approved or Declined")))))</f>
      </c>
    </row>
    <row r="629" spans="80:80">
      <c r="CB629" s="131">
        <f>IF($A629="","",_xlfn.LET(_xlpm.sfp,AND($P629&lt;&gt;"",$P629&lt;&gt;"N/A",$P629&lt;&gt;"No Min RQ"),_xlpm.slp,AND($T629&lt;&gt;"",$T629&lt;&gt;"N/A",$T629&lt;&gt;"No Min RQ"),_xlpm.ffp,AND($X629&lt;&gt;"",$X629&lt;&gt;"N/A",$X629&lt;&gt;"No Min RQ"),_xlpm.chp,AND($AB629&lt;&gt;"",$AB629&lt;&gt;"N/A",$AB629&lt;&gt;"No Min RQ"),_xlpm.usp,AND($AF629&lt;&gt;"",$AF629&lt;&gt;"N/A",$AF629&lt;&gt;"No Min RQ"),_xlpm.n,_xlpm.sfp+_xlpm.slp+_xlpm.ffp+_xlpm.chp+_xlpm.usp,_xlpm.sub,(_xlpm.sfp*($P629="Submitted"))+(_xlpm.slp*($T629="Submitted"))+(_xlpm.ffp*($X629="Submitted"))+(_xlpm.chp*($AB629="Submitted"))+(_xlpm.usp*($AF629="Submitted")),_xlpm.term,(_xlpm.sfp*OR($P629="Approved",$P629="Declined"))+(_xlpm.slp*OR($T629="Approved",$T629="Declined"))+(_xlpm.ffp*OR($X629="Approved",$X629="Declined"))+(_xlpm.chp*OR($AB629="Approved",$AB629="Declined"))+(_xlpm.usp*OR($AF629="Approved",$AF629="Declined")),IF(_xlpm.n=0,"No applicable lenders",IF(_xlpm.sub&gt;0,"Stays with Shaw - lender still Submitted",IF(_xlpm.term=_xlpm.n,"Clear - all applicable lenders Approved or Declined","Stays with Shaw - not all lenders Approved or Declined")))))</f>
      </c>
    </row>
    <row r="630" spans="80:80">
      <c r="CB630" s="131">
        <f>IF($A630="","",_xlfn.LET(_xlpm.sfp,AND($P630&lt;&gt;"",$P630&lt;&gt;"N/A",$P630&lt;&gt;"No Min RQ"),_xlpm.slp,AND($T630&lt;&gt;"",$T630&lt;&gt;"N/A",$T630&lt;&gt;"No Min RQ"),_xlpm.ffp,AND($X630&lt;&gt;"",$X630&lt;&gt;"N/A",$X630&lt;&gt;"No Min RQ"),_xlpm.chp,AND($AB630&lt;&gt;"",$AB630&lt;&gt;"N/A",$AB630&lt;&gt;"No Min RQ"),_xlpm.usp,AND($AF630&lt;&gt;"",$AF630&lt;&gt;"N/A",$AF630&lt;&gt;"No Min RQ"),_xlpm.n,_xlpm.sfp+_xlpm.slp+_xlpm.ffp+_xlpm.chp+_xlpm.usp,_xlpm.sub,(_xlpm.sfp*($P630="Submitted"))+(_xlpm.slp*($T630="Submitted"))+(_xlpm.ffp*($X630="Submitted"))+(_xlpm.chp*($AB630="Submitted"))+(_xlpm.usp*($AF630="Submitted")),_xlpm.term,(_xlpm.sfp*OR($P630="Approved",$P630="Declined"))+(_xlpm.slp*OR($T630="Approved",$T630="Declined"))+(_xlpm.ffp*OR($X630="Approved",$X630="Declined"))+(_xlpm.chp*OR($AB630="Approved",$AB630="Declined"))+(_xlpm.usp*OR($AF630="Approved",$AF630="Declined")),IF(_xlpm.n=0,"No applicable lenders",IF(_xlpm.sub&gt;0,"Stays with Shaw - lender still Submitted",IF(_xlpm.term=_xlpm.n,"Clear - all applicable lenders Approved or Declined","Stays with Shaw - not all lenders Approved or Declined")))))</f>
      </c>
    </row>
    <row r="631" spans="80:80">
      <c r="CB631" s="131">
        <f>IF($A631="","",_xlfn.LET(_xlpm.sfp,AND($P631&lt;&gt;"",$P631&lt;&gt;"N/A",$P631&lt;&gt;"No Min RQ"),_xlpm.slp,AND($T631&lt;&gt;"",$T631&lt;&gt;"N/A",$T631&lt;&gt;"No Min RQ"),_xlpm.ffp,AND($X631&lt;&gt;"",$X631&lt;&gt;"N/A",$X631&lt;&gt;"No Min RQ"),_xlpm.chp,AND($AB631&lt;&gt;"",$AB631&lt;&gt;"N/A",$AB631&lt;&gt;"No Min RQ"),_xlpm.usp,AND($AF631&lt;&gt;"",$AF631&lt;&gt;"N/A",$AF631&lt;&gt;"No Min RQ"),_xlpm.n,_xlpm.sfp+_xlpm.slp+_xlpm.ffp+_xlpm.chp+_xlpm.usp,_xlpm.sub,(_xlpm.sfp*($P631="Submitted"))+(_xlpm.slp*($T631="Submitted"))+(_xlpm.ffp*($X631="Submitted"))+(_xlpm.chp*($AB631="Submitted"))+(_xlpm.usp*($AF631="Submitted")),_xlpm.term,(_xlpm.sfp*OR($P631="Approved",$P631="Declined"))+(_xlpm.slp*OR($T631="Approved",$T631="Declined"))+(_xlpm.ffp*OR($X631="Approved",$X631="Declined"))+(_xlpm.chp*OR($AB631="Approved",$AB631="Declined"))+(_xlpm.usp*OR($AF631="Approved",$AF631="Declined")),IF(_xlpm.n=0,"No applicable lenders",IF(_xlpm.sub&gt;0,"Stays with Shaw - lender still Submitted",IF(_xlpm.term=_xlpm.n,"Clear - all applicable lenders Approved or Declined","Stays with Shaw - not all lenders Approved or Declined")))))</f>
      </c>
    </row>
    <row r="632" spans="80:80">
      <c r="CB632" s="131">
        <f>IF($A632="","",_xlfn.LET(_xlpm.sfp,AND($P632&lt;&gt;"",$P632&lt;&gt;"N/A",$P632&lt;&gt;"No Min RQ"),_xlpm.slp,AND($T632&lt;&gt;"",$T632&lt;&gt;"N/A",$T632&lt;&gt;"No Min RQ"),_xlpm.ffp,AND($X632&lt;&gt;"",$X632&lt;&gt;"N/A",$X632&lt;&gt;"No Min RQ"),_xlpm.chp,AND($AB632&lt;&gt;"",$AB632&lt;&gt;"N/A",$AB632&lt;&gt;"No Min RQ"),_xlpm.usp,AND($AF632&lt;&gt;"",$AF632&lt;&gt;"N/A",$AF632&lt;&gt;"No Min RQ"),_xlpm.n,_xlpm.sfp+_xlpm.slp+_xlpm.ffp+_xlpm.chp+_xlpm.usp,_xlpm.sub,(_xlpm.sfp*($P632="Submitted"))+(_xlpm.slp*($T632="Submitted"))+(_xlpm.ffp*($X632="Submitted"))+(_xlpm.chp*($AB632="Submitted"))+(_xlpm.usp*($AF632="Submitted")),_xlpm.term,(_xlpm.sfp*OR($P632="Approved",$P632="Declined"))+(_xlpm.slp*OR($T632="Approved",$T632="Declined"))+(_xlpm.ffp*OR($X632="Approved",$X632="Declined"))+(_xlpm.chp*OR($AB632="Approved",$AB632="Declined"))+(_xlpm.usp*OR($AF632="Approved",$AF632="Declined")),IF(_xlpm.n=0,"No applicable lenders",IF(_xlpm.sub&gt;0,"Stays with Shaw - lender still Submitted",IF(_xlpm.term=_xlpm.n,"Clear - all applicable lenders Approved or Declined","Stays with Shaw - not all lenders Approved or Declined")))))</f>
      </c>
    </row>
    <row r="633" spans="80:80">
      <c r="CB633" s="131">
        <f>IF($A633="","",_xlfn.LET(_xlpm.sfp,AND($P633&lt;&gt;"",$P633&lt;&gt;"N/A",$P633&lt;&gt;"No Min RQ"),_xlpm.slp,AND($T633&lt;&gt;"",$T633&lt;&gt;"N/A",$T633&lt;&gt;"No Min RQ"),_xlpm.ffp,AND($X633&lt;&gt;"",$X633&lt;&gt;"N/A",$X633&lt;&gt;"No Min RQ"),_xlpm.chp,AND($AB633&lt;&gt;"",$AB633&lt;&gt;"N/A",$AB633&lt;&gt;"No Min RQ"),_xlpm.usp,AND($AF633&lt;&gt;"",$AF633&lt;&gt;"N/A",$AF633&lt;&gt;"No Min RQ"),_xlpm.n,_xlpm.sfp+_xlpm.slp+_xlpm.ffp+_xlpm.chp+_xlpm.usp,_xlpm.sub,(_xlpm.sfp*($P633="Submitted"))+(_xlpm.slp*($T633="Submitted"))+(_xlpm.ffp*($X633="Submitted"))+(_xlpm.chp*($AB633="Submitted"))+(_xlpm.usp*($AF633="Submitted")),_xlpm.term,(_xlpm.sfp*OR($P633="Approved",$P633="Declined"))+(_xlpm.slp*OR($T633="Approved",$T633="Declined"))+(_xlpm.ffp*OR($X633="Approved",$X633="Declined"))+(_xlpm.chp*OR($AB633="Approved",$AB633="Declined"))+(_xlpm.usp*OR($AF633="Approved",$AF633="Declined")),IF(_xlpm.n=0,"No applicable lenders",IF(_xlpm.sub&gt;0,"Stays with Shaw - lender still Submitted",IF(_xlpm.term=_xlpm.n,"Clear - all applicable lenders Approved or Declined","Stays with Shaw - not all lenders Approved or Declined")))))</f>
      </c>
    </row>
    <row r="634" spans="80:80">
      <c r="CB634" s="131">
        <f>IF($A634="","",_xlfn.LET(_xlpm.sfp,AND($P634&lt;&gt;"",$P634&lt;&gt;"N/A",$P634&lt;&gt;"No Min RQ"),_xlpm.slp,AND($T634&lt;&gt;"",$T634&lt;&gt;"N/A",$T634&lt;&gt;"No Min RQ"),_xlpm.ffp,AND($X634&lt;&gt;"",$X634&lt;&gt;"N/A",$X634&lt;&gt;"No Min RQ"),_xlpm.chp,AND($AB634&lt;&gt;"",$AB634&lt;&gt;"N/A",$AB634&lt;&gt;"No Min RQ"),_xlpm.usp,AND($AF634&lt;&gt;"",$AF634&lt;&gt;"N/A",$AF634&lt;&gt;"No Min RQ"),_xlpm.n,_xlpm.sfp+_xlpm.slp+_xlpm.ffp+_xlpm.chp+_xlpm.usp,_xlpm.sub,(_xlpm.sfp*($P634="Submitted"))+(_xlpm.slp*($T634="Submitted"))+(_xlpm.ffp*($X634="Submitted"))+(_xlpm.chp*($AB634="Submitted"))+(_xlpm.usp*($AF634="Submitted")),_xlpm.term,(_xlpm.sfp*OR($P634="Approved",$P634="Declined"))+(_xlpm.slp*OR($T634="Approved",$T634="Declined"))+(_xlpm.ffp*OR($X634="Approved",$X634="Declined"))+(_xlpm.chp*OR($AB634="Approved",$AB634="Declined"))+(_xlpm.usp*OR($AF634="Approved",$AF634="Declined")),IF(_xlpm.n=0,"No applicable lenders",IF(_xlpm.sub&gt;0,"Stays with Shaw - lender still Submitted",IF(_xlpm.term=_xlpm.n,"Clear - all applicable lenders Approved or Declined","Stays with Shaw - not all lenders Approved or Declined")))))</f>
      </c>
    </row>
    <row r="635" spans="80:80">
      <c r="CB635" s="131">
        <f>IF($A635="","",_xlfn.LET(_xlpm.sfp,AND($P635&lt;&gt;"",$P635&lt;&gt;"N/A",$P635&lt;&gt;"No Min RQ"),_xlpm.slp,AND($T635&lt;&gt;"",$T635&lt;&gt;"N/A",$T635&lt;&gt;"No Min RQ"),_xlpm.ffp,AND($X635&lt;&gt;"",$X635&lt;&gt;"N/A",$X635&lt;&gt;"No Min RQ"),_xlpm.chp,AND($AB635&lt;&gt;"",$AB635&lt;&gt;"N/A",$AB635&lt;&gt;"No Min RQ"),_xlpm.usp,AND($AF635&lt;&gt;"",$AF635&lt;&gt;"N/A",$AF635&lt;&gt;"No Min RQ"),_xlpm.n,_xlpm.sfp+_xlpm.slp+_xlpm.ffp+_xlpm.chp+_xlpm.usp,_xlpm.sub,(_xlpm.sfp*($P635="Submitted"))+(_xlpm.slp*($T635="Submitted"))+(_xlpm.ffp*($X635="Submitted"))+(_xlpm.chp*($AB635="Submitted"))+(_xlpm.usp*($AF635="Submitted")),_xlpm.term,(_xlpm.sfp*OR($P635="Approved",$P635="Declined"))+(_xlpm.slp*OR($T635="Approved",$T635="Declined"))+(_xlpm.ffp*OR($X635="Approved",$X635="Declined"))+(_xlpm.chp*OR($AB635="Approved",$AB635="Declined"))+(_xlpm.usp*OR($AF635="Approved",$AF635="Declined")),IF(_xlpm.n=0,"No applicable lenders",IF(_xlpm.sub&gt;0,"Stays with Shaw - lender still Submitted",IF(_xlpm.term=_xlpm.n,"Clear - all applicable lenders Approved or Declined","Stays with Shaw - not all lenders Approved or Declined")))))</f>
      </c>
    </row>
    <row r="636" spans="80:80">
      <c r="CB636" s="131">
        <f>IF($A636="","",_xlfn.LET(_xlpm.sfp,AND($P636&lt;&gt;"",$P636&lt;&gt;"N/A",$P636&lt;&gt;"No Min RQ"),_xlpm.slp,AND($T636&lt;&gt;"",$T636&lt;&gt;"N/A",$T636&lt;&gt;"No Min RQ"),_xlpm.ffp,AND($X636&lt;&gt;"",$X636&lt;&gt;"N/A",$X636&lt;&gt;"No Min RQ"),_xlpm.chp,AND($AB636&lt;&gt;"",$AB636&lt;&gt;"N/A",$AB636&lt;&gt;"No Min RQ"),_xlpm.usp,AND($AF636&lt;&gt;"",$AF636&lt;&gt;"N/A",$AF636&lt;&gt;"No Min RQ"),_xlpm.n,_xlpm.sfp+_xlpm.slp+_xlpm.ffp+_xlpm.chp+_xlpm.usp,_xlpm.sub,(_xlpm.sfp*($P636="Submitted"))+(_xlpm.slp*($T636="Submitted"))+(_xlpm.ffp*($X636="Submitted"))+(_xlpm.chp*($AB636="Submitted"))+(_xlpm.usp*($AF636="Submitted")),_xlpm.term,(_xlpm.sfp*OR($P636="Approved",$P636="Declined"))+(_xlpm.slp*OR($T636="Approved",$T636="Declined"))+(_xlpm.ffp*OR($X636="Approved",$X636="Declined"))+(_xlpm.chp*OR($AB636="Approved",$AB636="Declined"))+(_xlpm.usp*OR($AF636="Approved",$AF636="Declined")),IF(_xlpm.n=0,"No applicable lenders",IF(_xlpm.sub&gt;0,"Stays with Shaw - lender still Submitted",IF(_xlpm.term=_xlpm.n,"Clear - all applicable lenders Approved or Declined","Stays with Shaw - not all lenders Approved or Declined")))))</f>
      </c>
    </row>
    <row r="637" spans="80:80">
      <c r="CB637" s="131">
        <f>IF($A637="","",_xlfn.LET(_xlpm.sfp,AND($P637&lt;&gt;"",$P637&lt;&gt;"N/A",$P637&lt;&gt;"No Min RQ"),_xlpm.slp,AND($T637&lt;&gt;"",$T637&lt;&gt;"N/A",$T637&lt;&gt;"No Min RQ"),_xlpm.ffp,AND($X637&lt;&gt;"",$X637&lt;&gt;"N/A",$X637&lt;&gt;"No Min RQ"),_xlpm.chp,AND($AB637&lt;&gt;"",$AB637&lt;&gt;"N/A",$AB637&lt;&gt;"No Min RQ"),_xlpm.usp,AND($AF637&lt;&gt;"",$AF637&lt;&gt;"N/A",$AF637&lt;&gt;"No Min RQ"),_xlpm.n,_xlpm.sfp+_xlpm.slp+_xlpm.ffp+_xlpm.chp+_xlpm.usp,_xlpm.sub,(_xlpm.sfp*($P637="Submitted"))+(_xlpm.slp*($T637="Submitted"))+(_xlpm.ffp*($X637="Submitted"))+(_xlpm.chp*($AB637="Submitted"))+(_xlpm.usp*($AF637="Submitted")),_xlpm.term,(_xlpm.sfp*OR($P637="Approved",$P637="Declined"))+(_xlpm.slp*OR($T637="Approved",$T637="Declined"))+(_xlpm.ffp*OR($X637="Approved",$X637="Declined"))+(_xlpm.chp*OR($AB637="Approved",$AB637="Declined"))+(_xlpm.usp*OR($AF637="Approved",$AF637="Declined")),IF(_xlpm.n=0,"No applicable lenders",IF(_xlpm.sub&gt;0,"Stays with Shaw - lender still Submitted",IF(_xlpm.term=_xlpm.n,"Clear - all applicable lenders Approved or Declined","Stays with Shaw - not all lenders Approved or Declined")))))</f>
      </c>
    </row>
    <row r="638" spans="80:80">
      <c r="CB638" s="131">
        <f>IF($A638="","",_xlfn.LET(_xlpm.sfp,AND($P638&lt;&gt;"",$P638&lt;&gt;"N/A",$P638&lt;&gt;"No Min RQ"),_xlpm.slp,AND($T638&lt;&gt;"",$T638&lt;&gt;"N/A",$T638&lt;&gt;"No Min RQ"),_xlpm.ffp,AND($X638&lt;&gt;"",$X638&lt;&gt;"N/A",$X638&lt;&gt;"No Min RQ"),_xlpm.chp,AND($AB638&lt;&gt;"",$AB638&lt;&gt;"N/A",$AB638&lt;&gt;"No Min RQ"),_xlpm.usp,AND($AF638&lt;&gt;"",$AF638&lt;&gt;"N/A",$AF638&lt;&gt;"No Min RQ"),_xlpm.n,_xlpm.sfp+_xlpm.slp+_xlpm.ffp+_xlpm.chp+_xlpm.usp,_xlpm.sub,(_xlpm.sfp*($P638="Submitted"))+(_xlpm.slp*($T638="Submitted"))+(_xlpm.ffp*($X638="Submitted"))+(_xlpm.chp*($AB638="Submitted"))+(_xlpm.usp*($AF638="Submitted")),_xlpm.term,(_xlpm.sfp*OR($P638="Approved",$P638="Declined"))+(_xlpm.slp*OR($T638="Approved",$T638="Declined"))+(_xlpm.ffp*OR($X638="Approved",$X638="Declined"))+(_xlpm.chp*OR($AB638="Approved",$AB638="Declined"))+(_xlpm.usp*OR($AF638="Approved",$AF638="Declined")),IF(_xlpm.n=0,"No applicable lenders",IF(_xlpm.sub&gt;0,"Stays with Shaw - lender still Submitted",IF(_xlpm.term=_xlpm.n,"Clear - all applicable lenders Approved or Declined","Stays with Shaw - not all lenders Approved or Declined")))))</f>
      </c>
    </row>
    <row r="639" spans="80:80">
      <c r="CB639" s="131">
        <f>IF($A639="","",_xlfn.LET(_xlpm.sfp,AND($P639&lt;&gt;"",$P639&lt;&gt;"N/A",$P639&lt;&gt;"No Min RQ"),_xlpm.slp,AND($T639&lt;&gt;"",$T639&lt;&gt;"N/A",$T639&lt;&gt;"No Min RQ"),_xlpm.ffp,AND($X639&lt;&gt;"",$X639&lt;&gt;"N/A",$X639&lt;&gt;"No Min RQ"),_xlpm.chp,AND($AB639&lt;&gt;"",$AB639&lt;&gt;"N/A",$AB639&lt;&gt;"No Min RQ"),_xlpm.usp,AND($AF639&lt;&gt;"",$AF639&lt;&gt;"N/A",$AF639&lt;&gt;"No Min RQ"),_xlpm.n,_xlpm.sfp+_xlpm.slp+_xlpm.ffp+_xlpm.chp+_xlpm.usp,_xlpm.sub,(_xlpm.sfp*($P639="Submitted"))+(_xlpm.slp*($T639="Submitted"))+(_xlpm.ffp*($X639="Submitted"))+(_xlpm.chp*($AB639="Submitted"))+(_xlpm.usp*($AF639="Submitted")),_xlpm.term,(_xlpm.sfp*OR($P639="Approved",$P639="Declined"))+(_xlpm.slp*OR($T639="Approved",$T639="Declined"))+(_xlpm.ffp*OR($X639="Approved",$X639="Declined"))+(_xlpm.chp*OR($AB639="Approved",$AB639="Declined"))+(_xlpm.usp*OR($AF639="Approved",$AF639="Declined")),IF(_xlpm.n=0,"No applicable lenders",IF(_xlpm.sub&gt;0,"Stays with Shaw - lender still Submitted",IF(_xlpm.term=_xlpm.n,"Clear - all applicable lenders Approved or Declined","Stays with Shaw - not all lenders Approved or Declined")))))</f>
      </c>
    </row>
    <row r="640" spans="80:80">
      <c r="CB640" s="131">
        <f>IF($A640="","",_xlfn.LET(_xlpm.sfp,AND($P640&lt;&gt;"",$P640&lt;&gt;"N/A",$P640&lt;&gt;"No Min RQ"),_xlpm.slp,AND($T640&lt;&gt;"",$T640&lt;&gt;"N/A",$T640&lt;&gt;"No Min RQ"),_xlpm.ffp,AND($X640&lt;&gt;"",$X640&lt;&gt;"N/A",$X640&lt;&gt;"No Min RQ"),_xlpm.chp,AND($AB640&lt;&gt;"",$AB640&lt;&gt;"N/A",$AB640&lt;&gt;"No Min RQ"),_xlpm.usp,AND($AF640&lt;&gt;"",$AF640&lt;&gt;"N/A",$AF640&lt;&gt;"No Min RQ"),_xlpm.n,_xlpm.sfp+_xlpm.slp+_xlpm.ffp+_xlpm.chp+_xlpm.usp,_xlpm.sub,(_xlpm.sfp*($P640="Submitted"))+(_xlpm.slp*($T640="Submitted"))+(_xlpm.ffp*($X640="Submitted"))+(_xlpm.chp*($AB640="Submitted"))+(_xlpm.usp*($AF640="Submitted")),_xlpm.term,(_xlpm.sfp*OR($P640="Approved",$P640="Declined"))+(_xlpm.slp*OR($T640="Approved",$T640="Declined"))+(_xlpm.ffp*OR($X640="Approved",$X640="Declined"))+(_xlpm.chp*OR($AB640="Approved",$AB640="Declined"))+(_xlpm.usp*OR($AF640="Approved",$AF640="Declined")),IF(_xlpm.n=0,"No applicable lenders",IF(_xlpm.sub&gt;0,"Stays with Shaw - lender still Submitted",IF(_xlpm.term=_xlpm.n,"Clear - all applicable lenders Approved or Declined","Stays with Shaw - not all lenders Approved or Declined")))))</f>
      </c>
    </row>
    <row r="641" spans="80:80">
      <c r="CB641" s="131">
        <f>IF($A641="","",_xlfn.LET(_xlpm.sfp,AND($P641&lt;&gt;"",$P641&lt;&gt;"N/A",$P641&lt;&gt;"No Min RQ"),_xlpm.slp,AND($T641&lt;&gt;"",$T641&lt;&gt;"N/A",$T641&lt;&gt;"No Min RQ"),_xlpm.ffp,AND($X641&lt;&gt;"",$X641&lt;&gt;"N/A",$X641&lt;&gt;"No Min RQ"),_xlpm.chp,AND($AB641&lt;&gt;"",$AB641&lt;&gt;"N/A",$AB641&lt;&gt;"No Min RQ"),_xlpm.usp,AND($AF641&lt;&gt;"",$AF641&lt;&gt;"N/A",$AF641&lt;&gt;"No Min RQ"),_xlpm.n,_xlpm.sfp+_xlpm.slp+_xlpm.ffp+_xlpm.chp+_xlpm.usp,_xlpm.sub,(_xlpm.sfp*($P641="Submitted"))+(_xlpm.slp*($T641="Submitted"))+(_xlpm.ffp*($X641="Submitted"))+(_xlpm.chp*($AB641="Submitted"))+(_xlpm.usp*($AF641="Submitted")),_xlpm.term,(_xlpm.sfp*OR($P641="Approved",$P641="Declined"))+(_xlpm.slp*OR($T641="Approved",$T641="Declined"))+(_xlpm.ffp*OR($X641="Approved",$X641="Declined"))+(_xlpm.chp*OR($AB641="Approved",$AB641="Declined"))+(_xlpm.usp*OR($AF641="Approved",$AF641="Declined")),IF(_xlpm.n=0,"No applicable lenders",IF(_xlpm.sub&gt;0,"Stays with Shaw - lender still Submitted",IF(_xlpm.term=_xlpm.n,"Clear - all applicable lenders Approved or Declined","Stays with Shaw - not all lenders Approved or Declined")))))</f>
      </c>
    </row>
    <row r="642" spans="80:80">
      <c r="CB642" s="131">
        <f>IF($A642="","",_xlfn.LET(_xlpm.sfp,AND($P642&lt;&gt;"",$P642&lt;&gt;"N/A",$P642&lt;&gt;"No Min RQ"),_xlpm.slp,AND($T642&lt;&gt;"",$T642&lt;&gt;"N/A",$T642&lt;&gt;"No Min RQ"),_xlpm.ffp,AND($X642&lt;&gt;"",$X642&lt;&gt;"N/A",$X642&lt;&gt;"No Min RQ"),_xlpm.chp,AND($AB642&lt;&gt;"",$AB642&lt;&gt;"N/A",$AB642&lt;&gt;"No Min RQ"),_xlpm.usp,AND($AF642&lt;&gt;"",$AF642&lt;&gt;"N/A",$AF642&lt;&gt;"No Min RQ"),_xlpm.n,_xlpm.sfp+_xlpm.slp+_xlpm.ffp+_xlpm.chp+_xlpm.usp,_xlpm.sub,(_xlpm.sfp*($P642="Submitted"))+(_xlpm.slp*($T642="Submitted"))+(_xlpm.ffp*($X642="Submitted"))+(_xlpm.chp*($AB642="Submitted"))+(_xlpm.usp*($AF642="Submitted")),_xlpm.term,(_xlpm.sfp*OR($P642="Approved",$P642="Declined"))+(_xlpm.slp*OR($T642="Approved",$T642="Declined"))+(_xlpm.ffp*OR($X642="Approved",$X642="Declined"))+(_xlpm.chp*OR($AB642="Approved",$AB642="Declined"))+(_xlpm.usp*OR($AF642="Approved",$AF642="Declined")),IF(_xlpm.n=0,"No applicable lenders",IF(_xlpm.sub&gt;0,"Stays with Shaw - lender still Submitted",IF(_xlpm.term=_xlpm.n,"Clear - all applicable lenders Approved or Declined","Stays with Shaw - not all lenders Approved or Declined")))))</f>
      </c>
    </row>
    <row r="643" spans="80:80">
      <c r="CB643" s="131">
        <f>IF($A643="","",_xlfn.LET(_xlpm.sfp,AND($P643&lt;&gt;"",$P643&lt;&gt;"N/A",$P643&lt;&gt;"No Min RQ"),_xlpm.slp,AND($T643&lt;&gt;"",$T643&lt;&gt;"N/A",$T643&lt;&gt;"No Min RQ"),_xlpm.ffp,AND($X643&lt;&gt;"",$X643&lt;&gt;"N/A",$X643&lt;&gt;"No Min RQ"),_xlpm.chp,AND($AB643&lt;&gt;"",$AB643&lt;&gt;"N/A",$AB643&lt;&gt;"No Min RQ"),_xlpm.usp,AND($AF643&lt;&gt;"",$AF643&lt;&gt;"N/A",$AF643&lt;&gt;"No Min RQ"),_xlpm.n,_xlpm.sfp+_xlpm.slp+_xlpm.ffp+_xlpm.chp+_xlpm.usp,_xlpm.sub,(_xlpm.sfp*($P643="Submitted"))+(_xlpm.slp*($T643="Submitted"))+(_xlpm.ffp*($X643="Submitted"))+(_xlpm.chp*($AB643="Submitted"))+(_xlpm.usp*($AF643="Submitted")),_xlpm.term,(_xlpm.sfp*OR($P643="Approved",$P643="Declined"))+(_xlpm.slp*OR($T643="Approved",$T643="Declined"))+(_xlpm.ffp*OR($X643="Approved",$X643="Declined"))+(_xlpm.chp*OR($AB643="Approved",$AB643="Declined"))+(_xlpm.usp*OR($AF643="Approved",$AF643="Declined")),IF(_xlpm.n=0,"No applicable lenders",IF(_xlpm.sub&gt;0,"Stays with Shaw - lender still Submitted",IF(_xlpm.term=_xlpm.n,"Clear - all applicable lenders Approved or Declined","Stays with Shaw - not all lenders Approved or Declined")))))</f>
      </c>
    </row>
    <row r="644" spans="80:80">
      <c r="CB644" s="131">
        <f>IF($A644="","",_xlfn.LET(_xlpm.sfp,AND($P644&lt;&gt;"",$P644&lt;&gt;"N/A",$P644&lt;&gt;"No Min RQ"),_xlpm.slp,AND($T644&lt;&gt;"",$T644&lt;&gt;"N/A",$T644&lt;&gt;"No Min RQ"),_xlpm.ffp,AND($X644&lt;&gt;"",$X644&lt;&gt;"N/A",$X644&lt;&gt;"No Min RQ"),_xlpm.chp,AND($AB644&lt;&gt;"",$AB644&lt;&gt;"N/A",$AB644&lt;&gt;"No Min RQ"),_xlpm.usp,AND($AF644&lt;&gt;"",$AF644&lt;&gt;"N/A",$AF644&lt;&gt;"No Min RQ"),_xlpm.n,_xlpm.sfp+_xlpm.slp+_xlpm.ffp+_xlpm.chp+_xlpm.usp,_xlpm.sub,(_xlpm.sfp*($P644="Submitted"))+(_xlpm.slp*($T644="Submitted"))+(_xlpm.ffp*($X644="Submitted"))+(_xlpm.chp*($AB644="Submitted"))+(_xlpm.usp*($AF644="Submitted")),_xlpm.term,(_xlpm.sfp*OR($P644="Approved",$P644="Declined"))+(_xlpm.slp*OR($T644="Approved",$T644="Declined"))+(_xlpm.ffp*OR($X644="Approved",$X644="Declined"))+(_xlpm.chp*OR($AB644="Approved",$AB644="Declined"))+(_xlpm.usp*OR($AF644="Approved",$AF644="Declined")),IF(_xlpm.n=0,"No applicable lenders",IF(_xlpm.sub&gt;0,"Stays with Shaw - lender still Submitted",IF(_xlpm.term=_xlpm.n,"Clear - all applicable lenders Approved or Declined","Stays with Shaw - not all lenders Approved or Declined")))))</f>
      </c>
    </row>
    <row r="645" spans="80:80">
      <c r="CB645" s="131">
        <f>IF($A645="","",_xlfn.LET(_xlpm.sfp,AND($P645&lt;&gt;"",$P645&lt;&gt;"N/A",$P645&lt;&gt;"No Min RQ"),_xlpm.slp,AND($T645&lt;&gt;"",$T645&lt;&gt;"N/A",$T645&lt;&gt;"No Min RQ"),_xlpm.ffp,AND($X645&lt;&gt;"",$X645&lt;&gt;"N/A",$X645&lt;&gt;"No Min RQ"),_xlpm.chp,AND($AB645&lt;&gt;"",$AB645&lt;&gt;"N/A",$AB645&lt;&gt;"No Min RQ"),_xlpm.usp,AND($AF645&lt;&gt;"",$AF645&lt;&gt;"N/A",$AF645&lt;&gt;"No Min RQ"),_xlpm.n,_xlpm.sfp+_xlpm.slp+_xlpm.ffp+_xlpm.chp+_xlpm.usp,_xlpm.sub,(_xlpm.sfp*($P645="Submitted"))+(_xlpm.slp*($T645="Submitted"))+(_xlpm.ffp*($X645="Submitted"))+(_xlpm.chp*($AB645="Submitted"))+(_xlpm.usp*($AF645="Submitted")),_xlpm.term,(_xlpm.sfp*OR($P645="Approved",$P645="Declined"))+(_xlpm.slp*OR($T645="Approved",$T645="Declined"))+(_xlpm.ffp*OR($X645="Approved",$X645="Declined"))+(_xlpm.chp*OR($AB645="Approved",$AB645="Declined"))+(_xlpm.usp*OR($AF645="Approved",$AF645="Declined")),IF(_xlpm.n=0,"No applicable lenders",IF(_xlpm.sub&gt;0,"Stays with Shaw - lender still Submitted",IF(_xlpm.term=_xlpm.n,"Clear - all applicable lenders Approved or Declined","Stays with Shaw - not all lenders Approved or Declined")))))</f>
      </c>
    </row>
    <row r="646" spans="80:80">
      <c r="CB646" s="131">
        <f>IF($A646="","",_xlfn.LET(_xlpm.sfp,AND($P646&lt;&gt;"",$P646&lt;&gt;"N/A",$P646&lt;&gt;"No Min RQ"),_xlpm.slp,AND($T646&lt;&gt;"",$T646&lt;&gt;"N/A",$T646&lt;&gt;"No Min RQ"),_xlpm.ffp,AND($X646&lt;&gt;"",$X646&lt;&gt;"N/A",$X646&lt;&gt;"No Min RQ"),_xlpm.chp,AND($AB646&lt;&gt;"",$AB646&lt;&gt;"N/A",$AB646&lt;&gt;"No Min RQ"),_xlpm.usp,AND($AF646&lt;&gt;"",$AF646&lt;&gt;"N/A",$AF646&lt;&gt;"No Min RQ"),_xlpm.n,_xlpm.sfp+_xlpm.slp+_xlpm.ffp+_xlpm.chp+_xlpm.usp,_xlpm.sub,(_xlpm.sfp*($P646="Submitted"))+(_xlpm.slp*($T646="Submitted"))+(_xlpm.ffp*($X646="Submitted"))+(_xlpm.chp*($AB646="Submitted"))+(_xlpm.usp*($AF646="Submitted")),_xlpm.term,(_xlpm.sfp*OR($P646="Approved",$P646="Declined"))+(_xlpm.slp*OR($T646="Approved",$T646="Declined"))+(_xlpm.ffp*OR($X646="Approved",$X646="Declined"))+(_xlpm.chp*OR($AB646="Approved",$AB646="Declined"))+(_xlpm.usp*OR($AF646="Approved",$AF646="Declined")),IF(_xlpm.n=0,"No applicable lenders",IF(_xlpm.sub&gt;0,"Stays with Shaw - lender still Submitted",IF(_xlpm.term=_xlpm.n,"Clear - all applicable lenders Approved or Declined","Stays with Shaw - not all lenders Approved or Declined")))))</f>
      </c>
    </row>
    <row r="647" spans="80:80">
      <c r="CB647" s="131">
        <f>IF($A647="","",_xlfn.LET(_xlpm.sfp,AND($P647&lt;&gt;"",$P647&lt;&gt;"N/A",$P647&lt;&gt;"No Min RQ"),_xlpm.slp,AND($T647&lt;&gt;"",$T647&lt;&gt;"N/A",$T647&lt;&gt;"No Min RQ"),_xlpm.ffp,AND($X647&lt;&gt;"",$X647&lt;&gt;"N/A",$X647&lt;&gt;"No Min RQ"),_xlpm.chp,AND($AB647&lt;&gt;"",$AB647&lt;&gt;"N/A",$AB647&lt;&gt;"No Min RQ"),_xlpm.usp,AND($AF647&lt;&gt;"",$AF647&lt;&gt;"N/A",$AF647&lt;&gt;"No Min RQ"),_xlpm.n,_xlpm.sfp+_xlpm.slp+_xlpm.ffp+_xlpm.chp+_xlpm.usp,_xlpm.sub,(_xlpm.sfp*($P647="Submitted"))+(_xlpm.slp*($T647="Submitted"))+(_xlpm.ffp*($X647="Submitted"))+(_xlpm.chp*($AB647="Submitted"))+(_xlpm.usp*($AF647="Submitted")),_xlpm.term,(_xlpm.sfp*OR($P647="Approved",$P647="Declined"))+(_xlpm.slp*OR($T647="Approved",$T647="Declined"))+(_xlpm.ffp*OR($X647="Approved",$X647="Declined"))+(_xlpm.chp*OR($AB647="Approved",$AB647="Declined"))+(_xlpm.usp*OR($AF647="Approved",$AF647="Declined")),IF(_xlpm.n=0,"No applicable lenders",IF(_xlpm.sub&gt;0,"Stays with Shaw - lender still Submitted",IF(_xlpm.term=_xlpm.n,"Clear - all applicable lenders Approved or Declined","Stays with Shaw - not all lenders Approved or Declined")))))</f>
      </c>
    </row>
    <row r="648" spans="80:80">
      <c r="CB648" s="131">
        <f>IF($A648="","",_xlfn.LET(_xlpm.sfp,AND($P648&lt;&gt;"",$P648&lt;&gt;"N/A",$P648&lt;&gt;"No Min RQ"),_xlpm.slp,AND($T648&lt;&gt;"",$T648&lt;&gt;"N/A",$T648&lt;&gt;"No Min RQ"),_xlpm.ffp,AND($X648&lt;&gt;"",$X648&lt;&gt;"N/A",$X648&lt;&gt;"No Min RQ"),_xlpm.chp,AND($AB648&lt;&gt;"",$AB648&lt;&gt;"N/A",$AB648&lt;&gt;"No Min RQ"),_xlpm.usp,AND($AF648&lt;&gt;"",$AF648&lt;&gt;"N/A",$AF648&lt;&gt;"No Min RQ"),_xlpm.n,_xlpm.sfp+_xlpm.slp+_xlpm.ffp+_xlpm.chp+_xlpm.usp,_xlpm.sub,(_xlpm.sfp*($P648="Submitted"))+(_xlpm.slp*($T648="Submitted"))+(_xlpm.ffp*($X648="Submitted"))+(_xlpm.chp*($AB648="Submitted"))+(_xlpm.usp*($AF648="Submitted")),_xlpm.term,(_xlpm.sfp*OR($P648="Approved",$P648="Declined"))+(_xlpm.slp*OR($T648="Approved",$T648="Declined"))+(_xlpm.ffp*OR($X648="Approved",$X648="Declined"))+(_xlpm.chp*OR($AB648="Approved",$AB648="Declined"))+(_xlpm.usp*OR($AF648="Approved",$AF648="Declined")),IF(_xlpm.n=0,"No applicable lenders",IF(_xlpm.sub&gt;0,"Stays with Shaw - lender still Submitted",IF(_xlpm.term=_xlpm.n,"Clear - all applicable lenders Approved or Declined","Stays with Shaw - not all lenders Approved or Declined")))))</f>
      </c>
    </row>
    <row r="649" spans="80:80">
      <c r="CB649" s="131">
        <f>IF($A649="","",_xlfn.LET(_xlpm.sfp,AND($P649&lt;&gt;"",$P649&lt;&gt;"N/A",$P649&lt;&gt;"No Min RQ"),_xlpm.slp,AND($T649&lt;&gt;"",$T649&lt;&gt;"N/A",$T649&lt;&gt;"No Min RQ"),_xlpm.ffp,AND($X649&lt;&gt;"",$X649&lt;&gt;"N/A",$X649&lt;&gt;"No Min RQ"),_xlpm.chp,AND($AB649&lt;&gt;"",$AB649&lt;&gt;"N/A",$AB649&lt;&gt;"No Min RQ"),_xlpm.usp,AND($AF649&lt;&gt;"",$AF649&lt;&gt;"N/A",$AF649&lt;&gt;"No Min RQ"),_xlpm.n,_xlpm.sfp+_xlpm.slp+_xlpm.ffp+_xlpm.chp+_xlpm.usp,_xlpm.sub,(_xlpm.sfp*($P649="Submitted"))+(_xlpm.slp*($T649="Submitted"))+(_xlpm.ffp*($X649="Submitted"))+(_xlpm.chp*($AB649="Submitted"))+(_xlpm.usp*($AF649="Submitted")),_xlpm.term,(_xlpm.sfp*OR($P649="Approved",$P649="Declined"))+(_xlpm.slp*OR($T649="Approved",$T649="Declined"))+(_xlpm.ffp*OR($X649="Approved",$X649="Declined"))+(_xlpm.chp*OR($AB649="Approved",$AB649="Declined"))+(_xlpm.usp*OR($AF649="Approved",$AF649="Declined")),IF(_xlpm.n=0,"No applicable lenders",IF(_xlpm.sub&gt;0,"Stays with Shaw - lender still Submitted",IF(_xlpm.term=_xlpm.n,"Clear - all applicable lenders Approved or Declined","Stays with Shaw - not all lenders Approved or Declined")))))</f>
      </c>
    </row>
    <row r="650" spans="80:80">
      <c r="CB650" s="131">
        <f>IF($A650="","",_xlfn.LET(_xlpm.sfp,AND($P650&lt;&gt;"",$P650&lt;&gt;"N/A",$P650&lt;&gt;"No Min RQ"),_xlpm.slp,AND($T650&lt;&gt;"",$T650&lt;&gt;"N/A",$T650&lt;&gt;"No Min RQ"),_xlpm.ffp,AND($X650&lt;&gt;"",$X650&lt;&gt;"N/A",$X650&lt;&gt;"No Min RQ"),_xlpm.chp,AND($AB650&lt;&gt;"",$AB650&lt;&gt;"N/A",$AB650&lt;&gt;"No Min RQ"),_xlpm.usp,AND($AF650&lt;&gt;"",$AF650&lt;&gt;"N/A",$AF650&lt;&gt;"No Min RQ"),_xlpm.n,_xlpm.sfp+_xlpm.slp+_xlpm.ffp+_xlpm.chp+_xlpm.usp,_xlpm.sub,(_xlpm.sfp*($P650="Submitted"))+(_xlpm.slp*($T650="Submitted"))+(_xlpm.ffp*($X650="Submitted"))+(_xlpm.chp*($AB650="Submitted"))+(_xlpm.usp*($AF650="Submitted")),_xlpm.term,(_xlpm.sfp*OR($P650="Approved",$P650="Declined"))+(_xlpm.slp*OR($T650="Approved",$T650="Declined"))+(_xlpm.ffp*OR($X650="Approved",$X650="Declined"))+(_xlpm.chp*OR($AB650="Approved",$AB650="Declined"))+(_xlpm.usp*OR($AF650="Approved",$AF650="Declined")),IF(_xlpm.n=0,"No applicable lenders",IF(_xlpm.sub&gt;0,"Stays with Shaw - lender still Submitted",IF(_xlpm.term=_xlpm.n,"Clear - all applicable lenders Approved or Declined","Stays with Shaw - not all lenders Approved or Declined")))))</f>
      </c>
    </row>
    <row r="651" spans="80:80">
      <c r="CB651" s="131">
        <f>IF($A651="","",_xlfn.LET(_xlpm.sfp,AND($P651&lt;&gt;"",$P651&lt;&gt;"N/A",$P651&lt;&gt;"No Min RQ"),_xlpm.slp,AND($T651&lt;&gt;"",$T651&lt;&gt;"N/A",$T651&lt;&gt;"No Min RQ"),_xlpm.ffp,AND($X651&lt;&gt;"",$X651&lt;&gt;"N/A",$X651&lt;&gt;"No Min RQ"),_xlpm.chp,AND($AB651&lt;&gt;"",$AB651&lt;&gt;"N/A",$AB651&lt;&gt;"No Min RQ"),_xlpm.usp,AND($AF651&lt;&gt;"",$AF651&lt;&gt;"N/A",$AF651&lt;&gt;"No Min RQ"),_xlpm.n,_xlpm.sfp+_xlpm.slp+_xlpm.ffp+_xlpm.chp+_xlpm.usp,_xlpm.sub,(_xlpm.sfp*($P651="Submitted"))+(_xlpm.slp*($T651="Submitted"))+(_xlpm.ffp*($X651="Submitted"))+(_xlpm.chp*($AB651="Submitted"))+(_xlpm.usp*($AF651="Submitted")),_xlpm.term,(_xlpm.sfp*OR($P651="Approved",$P651="Declined"))+(_xlpm.slp*OR($T651="Approved",$T651="Declined"))+(_xlpm.ffp*OR($X651="Approved",$X651="Declined"))+(_xlpm.chp*OR($AB651="Approved",$AB651="Declined"))+(_xlpm.usp*OR($AF651="Approved",$AF651="Declined")),IF(_xlpm.n=0,"No applicable lenders",IF(_xlpm.sub&gt;0,"Stays with Shaw - lender still Submitted",IF(_xlpm.term=_xlpm.n,"Clear - all applicable lenders Approved or Declined","Stays with Shaw - not all lenders Approved or Declined")))))</f>
      </c>
    </row>
    <row r="652" spans="80:80">
      <c r="CB652" s="131">
        <f>IF($A652="","",_xlfn.LET(_xlpm.sfp,AND($P652&lt;&gt;"",$P652&lt;&gt;"N/A",$P652&lt;&gt;"No Min RQ"),_xlpm.slp,AND($T652&lt;&gt;"",$T652&lt;&gt;"N/A",$T652&lt;&gt;"No Min RQ"),_xlpm.ffp,AND($X652&lt;&gt;"",$X652&lt;&gt;"N/A",$X652&lt;&gt;"No Min RQ"),_xlpm.chp,AND($AB652&lt;&gt;"",$AB652&lt;&gt;"N/A",$AB652&lt;&gt;"No Min RQ"),_xlpm.usp,AND($AF652&lt;&gt;"",$AF652&lt;&gt;"N/A",$AF652&lt;&gt;"No Min RQ"),_xlpm.n,_xlpm.sfp+_xlpm.slp+_xlpm.ffp+_xlpm.chp+_xlpm.usp,_xlpm.sub,(_xlpm.sfp*($P652="Submitted"))+(_xlpm.slp*($T652="Submitted"))+(_xlpm.ffp*($X652="Submitted"))+(_xlpm.chp*($AB652="Submitted"))+(_xlpm.usp*($AF652="Submitted")),_xlpm.term,(_xlpm.sfp*OR($P652="Approved",$P652="Declined"))+(_xlpm.slp*OR($T652="Approved",$T652="Declined"))+(_xlpm.ffp*OR($X652="Approved",$X652="Declined"))+(_xlpm.chp*OR($AB652="Approved",$AB652="Declined"))+(_xlpm.usp*OR($AF652="Approved",$AF652="Declined")),IF(_xlpm.n=0,"No applicable lenders",IF(_xlpm.sub&gt;0,"Stays with Shaw - lender still Submitted",IF(_xlpm.term=_xlpm.n,"Clear - all applicable lenders Approved or Declined","Stays with Shaw - not all lenders Approved or Declined")))))</f>
      </c>
    </row>
    <row r="653" spans="80:80">
      <c r="CB653" s="131">
        <f>IF($A653="","",_xlfn.LET(_xlpm.sfp,AND($P653&lt;&gt;"",$P653&lt;&gt;"N/A",$P653&lt;&gt;"No Min RQ"),_xlpm.slp,AND($T653&lt;&gt;"",$T653&lt;&gt;"N/A",$T653&lt;&gt;"No Min RQ"),_xlpm.ffp,AND($X653&lt;&gt;"",$X653&lt;&gt;"N/A",$X653&lt;&gt;"No Min RQ"),_xlpm.chp,AND($AB653&lt;&gt;"",$AB653&lt;&gt;"N/A",$AB653&lt;&gt;"No Min RQ"),_xlpm.usp,AND($AF653&lt;&gt;"",$AF653&lt;&gt;"N/A",$AF653&lt;&gt;"No Min RQ"),_xlpm.n,_xlpm.sfp+_xlpm.slp+_xlpm.ffp+_xlpm.chp+_xlpm.usp,_xlpm.sub,(_xlpm.sfp*($P653="Submitted"))+(_xlpm.slp*($T653="Submitted"))+(_xlpm.ffp*($X653="Submitted"))+(_xlpm.chp*($AB653="Submitted"))+(_xlpm.usp*($AF653="Submitted")),_xlpm.term,(_xlpm.sfp*OR($P653="Approved",$P653="Declined"))+(_xlpm.slp*OR($T653="Approved",$T653="Declined"))+(_xlpm.ffp*OR($X653="Approved",$X653="Declined"))+(_xlpm.chp*OR($AB653="Approved",$AB653="Declined"))+(_xlpm.usp*OR($AF653="Approved",$AF653="Declined")),IF(_xlpm.n=0,"No applicable lenders",IF(_xlpm.sub&gt;0,"Stays with Shaw - lender still Submitted",IF(_xlpm.term=_xlpm.n,"Clear - all applicable lenders Approved or Declined","Stays with Shaw - not all lenders Approved or Declined")))))</f>
      </c>
    </row>
    <row r="654" spans="80:80">
      <c r="CB654" s="131">
        <f>IF($A654="","",_xlfn.LET(_xlpm.sfp,AND($P654&lt;&gt;"",$P654&lt;&gt;"N/A",$P654&lt;&gt;"No Min RQ"),_xlpm.slp,AND($T654&lt;&gt;"",$T654&lt;&gt;"N/A",$T654&lt;&gt;"No Min RQ"),_xlpm.ffp,AND($X654&lt;&gt;"",$X654&lt;&gt;"N/A",$X654&lt;&gt;"No Min RQ"),_xlpm.chp,AND($AB654&lt;&gt;"",$AB654&lt;&gt;"N/A",$AB654&lt;&gt;"No Min RQ"),_xlpm.usp,AND($AF654&lt;&gt;"",$AF654&lt;&gt;"N/A",$AF654&lt;&gt;"No Min RQ"),_xlpm.n,_xlpm.sfp+_xlpm.slp+_xlpm.ffp+_xlpm.chp+_xlpm.usp,_xlpm.sub,(_xlpm.sfp*($P654="Submitted"))+(_xlpm.slp*($T654="Submitted"))+(_xlpm.ffp*($X654="Submitted"))+(_xlpm.chp*($AB654="Submitted"))+(_xlpm.usp*($AF654="Submitted")),_xlpm.term,(_xlpm.sfp*OR($P654="Approved",$P654="Declined"))+(_xlpm.slp*OR($T654="Approved",$T654="Declined"))+(_xlpm.ffp*OR($X654="Approved",$X654="Declined"))+(_xlpm.chp*OR($AB654="Approved",$AB654="Declined"))+(_xlpm.usp*OR($AF654="Approved",$AF654="Declined")),IF(_xlpm.n=0,"No applicable lenders",IF(_xlpm.sub&gt;0,"Stays with Shaw - lender still Submitted",IF(_xlpm.term=_xlpm.n,"Clear - all applicable lenders Approved or Declined","Stays with Shaw - not all lenders Approved or Declined")))))</f>
      </c>
    </row>
    <row r="655" spans="80:80">
      <c r="CB655" s="131">
        <f>IF($A655="","",_xlfn.LET(_xlpm.sfp,AND($P655&lt;&gt;"",$P655&lt;&gt;"N/A",$P655&lt;&gt;"No Min RQ"),_xlpm.slp,AND($T655&lt;&gt;"",$T655&lt;&gt;"N/A",$T655&lt;&gt;"No Min RQ"),_xlpm.ffp,AND($X655&lt;&gt;"",$X655&lt;&gt;"N/A",$X655&lt;&gt;"No Min RQ"),_xlpm.chp,AND($AB655&lt;&gt;"",$AB655&lt;&gt;"N/A",$AB655&lt;&gt;"No Min RQ"),_xlpm.usp,AND($AF655&lt;&gt;"",$AF655&lt;&gt;"N/A",$AF655&lt;&gt;"No Min RQ"),_xlpm.n,_xlpm.sfp+_xlpm.slp+_xlpm.ffp+_xlpm.chp+_xlpm.usp,_xlpm.sub,(_xlpm.sfp*($P655="Submitted"))+(_xlpm.slp*($T655="Submitted"))+(_xlpm.ffp*($X655="Submitted"))+(_xlpm.chp*($AB655="Submitted"))+(_xlpm.usp*($AF655="Submitted")),_xlpm.term,(_xlpm.sfp*OR($P655="Approved",$P655="Declined"))+(_xlpm.slp*OR($T655="Approved",$T655="Declined"))+(_xlpm.ffp*OR($X655="Approved",$X655="Declined"))+(_xlpm.chp*OR($AB655="Approved",$AB655="Declined"))+(_xlpm.usp*OR($AF655="Approved",$AF655="Declined")),IF(_xlpm.n=0,"No applicable lenders",IF(_xlpm.sub&gt;0,"Stays with Shaw - lender still Submitted",IF(_xlpm.term=_xlpm.n,"Clear - all applicable lenders Approved or Declined","Stays with Shaw - not all lenders Approved or Declined")))))</f>
      </c>
    </row>
    <row r="656" spans="80:80">
      <c r="CB656" s="131">
        <f>IF($A656="","",_xlfn.LET(_xlpm.sfp,AND($P656&lt;&gt;"",$P656&lt;&gt;"N/A",$P656&lt;&gt;"No Min RQ"),_xlpm.slp,AND($T656&lt;&gt;"",$T656&lt;&gt;"N/A",$T656&lt;&gt;"No Min RQ"),_xlpm.ffp,AND($X656&lt;&gt;"",$X656&lt;&gt;"N/A",$X656&lt;&gt;"No Min RQ"),_xlpm.chp,AND($AB656&lt;&gt;"",$AB656&lt;&gt;"N/A",$AB656&lt;&gt;"No Min RQ"),_xlpm.usp,AND($AF656&lt;&gt;"",$AF656&lt;&gt;"N/A",$AF656&lt;&gt;"No Min RQ"),_xlpm.n,_xlpm.sfp+_xlpm.slp+_xlpm.ffp+_xlpm.chp+_xlpm.usp,_xlpm.sub,(_xlpm.sfp*($P656="Submitted"))+(_xlpm.slp*($T656="Submitted"))+(_xlpm.ffp*($X656="Submitted"))+(_xlpm.chp*($AB656="Submitted"))+(_xlpm.usp*($AF656="Submitted")),_xlpm.term,(_xlpm.sfp*OR($P656="Approved",$P656="Declined"))+(_xlpm.slp*OR($T656="Approved",$T656="Declined"))+(_xlpm.ffp*OR($X656="Approved",$X656="Declined"))+(_xlpm.chp*OR($AB656="Approved",$AB656="Declined"))+(_xlpm.usp*OR($AF656="Approved",$AF656="Declined")),IF(_xlpm.n=0,"No applicable lenders",IF(_xlpm.sub&gt;0,"Stays with Shaw - lender still Submitted",IF(_xlpm.term=_xlpm.n,"Clear - all applicable lenders Approved or Declined","Stays with Shaw - not all lenders Approved or Declined")))))</f>
      </c>
    </row>
    <row r="657" spans="80:80">
      <c r="CB657" s="131">
        <f>IF($A657="","",_xlfn.LET(_xlpm.sfp,AND($P657&lt;&gt;"",$P657&lt;&gt;"N/A",$P657&lt;&gt;"No Min RQ"),_xlpm.slp,AND($T657&lt;&gt;"",$T657&lt;&gt;"N/A",$T657&lt;&gt;"No Min RQ"),_xlpm.ffp,AND($X657&lt;&gt;"",$X657&lt;&gt;"N/A",$X657&lt;&gt;"No Min RQ"),_xlpm.chp,AND($AB657&lt;&gt;"",$AB657&lt;&gt;"N/A",$AB657&lt;&gt;"No Min RQ"),_xlpm.usp,AND($AF657&lt;&gt;"",$AF657&lt;&gt;"N/A",$AF657&lt;&gt;"No Min RQ"),_xlpm.n,_xlpm.sfp+_xlpm.slp+_xlpm.ffp+_xlpm.chp+_xlpm.usp,_xlpm.sub,(_xlpm.sfp*($P657="Submitted"))+(_xlpm.slp*($T657="Submitted"))+(_xlpm.ffp*($X657="Submitted"))+(_xlpm.chp*($AB657="Submitted"))+(_xlpm.usp*($AF657="Submitted")),_xlpm.term,(_xlpm.sfp*OR($P657="Approved",$P657="Declined"))+(_xlpm.slp*OR($T657="Approved",$T657="Declined"))+(_xlpm.ffp*OR($X657="Approved",$X657="Declined"))+(_xlpm.chp*OR($AB657="Approved",$AB657="Declined"))+(_xlpm.usp*OR($AF657="Approved",$AF657="Declined")),IF(_xlpm.n=0,"No applicable lenders",IF(_xlpm.sub&gt;0,"Stays with Shaw - lender still Submitted",IF(_xlpm.term=_xlpm.n,"Clear - all applicable lenders Approved or Declined","Stays with Shaw - not all lenders Approved or Declined")))))</f>
      </c>
    </row>
    <row r="658" spans="80:80">
      <c r="CB658" s="131">
        <f>IF($A658="","",_xlfn.LET(_xlpm.sfp,AND($P658&lt;&gt;"",$P658&lt;&gt;"N/A",$P658&lt;&gt;"No Min RQ"),_xlpm.slp,AND($T658&lt;&gt;"",$T658&lt;&gt;"N/A",$T658&lt;&gt;"No Min RQ"),_xlpm.ffp,AND($X658&lt;&gt;"",$X658&lt;&gt;"N/A",$X658&lt;&gt;"No Min RQ"),_xlpm.chp,AND($AB658&lt;&gt;"",$AB658&lt;&gt;"N/A",$AB658&lt;&gt;"No Min RQ"),_xlpm.usp,AND($AF658&lt;&gt;"",$AF658&lt;&gt;"N/A",$AF658&lt;&gt;"No Min RQ"),_xlpm.n,_xlpm.sfp+_xlpm.slp+_xlpm.ffp+_xlpm.chp+_xlpm.usp,_xlpm.sub,(_xlpm.sfp*($P658="Submitted"))+(_xlpm.slp*($T658="Submitted"))+(_xlpm.ffp*($X658="Submitted"))+(_xlpm.chp*($AB658="Submitted"))+(_xlpm.usp*($AF658="Submitted")),_xlpm.term,(_xlpm.sfp*OR($P658="Approved",$P658="Declined"))+(_xlpm.slp*OR($T658="Approved",$T658="Declined"))+(_xlpm.ffp*OR($X658="Approved",$X658="Declined"))+(_xlpm.chp*OR($AB658="Approved",$AB658="Declined"))+(_xlpm.usp*OR($AF658="Approved",$AF658="Declined")),IF(_xlpm.n=0,"No applicable lenders",IF(_xlpm.sub&gt;0,"Stays with Shaw - lender still Submitted",IF(_xlpm.term=_xlpm.n,"Clear - all applicable lenders Approved or Declined","Stays with Shaw - not all lenders Approved or Declined")))))</f>
      </c>
    </row>
    <row r="659" spans="80:80">
      <c r="CB659" s="131">
        <f>IF($A659="","",_xlfn.LET(_xlpm.sfp,AND($P659&lt;&gt;"",$P659&lt;&gt;"N/A",$P659&lt;&gt;"No Min RQ"),_xlpm.slp,AND($T659&lt;&gt;"",$T659&lt;&gt;"N/A",$T659&lt;&gt;"No Min RQ"),_xlpm.ffp,AND($X659&lt;&gt;"",$X659&lt;&gt;"N/A",$X659&lt;&gt;"No Min RQ"),_xlpm.chp,AND($AB659&lt;&gt;"",$AB659&lt;&gt;"N/A",$AB659&lt;&gt;"No Min RQ"),_xlpm.usp,AND($AF659&lt;&gt;"",$AF659&lt;&gt;"N/A",$AF659&lt;&gt;"No Min RQ"),_xlpm.n,_xlpm.sfp+_xlpm.slp+_xlpm.ffp+_xlpm.chp+_xlpm.usp,_xlpm.sub,(_xlpm.sfp*($P659="Submitted"))+(_xlpm.slp*($T659="Submitted"))+(_xlpm.ffp*($X659="Submitted"))+(_xlpm.chp*($AB659="Submitted"))+(_xlpm.usp*($AF659="Submitted")),_xlpm.term,(_xlpm.sfp*OR($P659="Approved",$P659="Declined"))+(_xlpm.slp*OR($T659="Approved",$T659="Declined"))+(_xlpm.ffp*OR($X659="Approved",$X659="Declined"))+(_xlpm.chp*OR($AB659="Approved",$AB659="Declined"))+(_xlpm.usp*OR($AF659="Approved",$AF659="Declined")),IF(_xlpm.n=0,"No applicable lenders",IF(_xlpm.sub&gt;0,"Stays with Shaw - lender still Submitted",IF(_xlpm.term=_xlpm.n,"Clear - all applicable lenders Approved or Declined","Stays with Shaw - not all lenders Approved or Declined")))))</f>
      </c>
    </row>
    <row r="660" spans="80:80">
      <c r="CB660" s="131">
        <f>IF($A660="","",_xlfn.LET(_xlpm.sfp,AND($P660&lt;&gt;"",$P660&lt;&gt;"N/A",$P660&lt;&gt;"No Min RQ"),_xlpm.slp,AND($T660&lt;&gt;"",$T660&lt;&gt;"N/A",$T660&lt;&gt;"No Min RQ"),_xlpm.ffp,AND($X660&lt;&gt;"",$X660&lt;&gt;"N/A",$X660&lt;&gt;"No Min RQ"),_xlpm.chp,AND($AB660&lt;&gt;"",$AB660&lt;&gt;"N/A",$AB660&lt;&gt;"No Min RQ"),_xlpm.usp,AND($AF660&lt;&gt;"",$AF660&lt;&gt;"N/A",$AF660&lt;&gt;"No Min RQ"),_xlpm.n,_xlpm.sfp+_xlpm.slp+_xlpm.ffp+_xlpm.chp+_xlpm.usp,_xlpm.sub,(_xlpm.sfp*($P660="Submitted"))+(_xlpm.slp*($T660="Submitted"))+(_xlpm.ffp*($X660="Submitted"))+(_xlpm.chp*($AB660="Submitted"))+(_xlpm.usp*($AF660="Submitted")),_xlpm.term,(_xlpm.sfp*OR($P660="Approved",$P660="Declined"))+(_xlpm.slp*OR($T660="Approved",$T660="Declined"))+(_xlpm.ffp*OR($X660="Approved",$X660="Declined"))+(_xlpm.chp*OR($AB660="Approved",$AB660="Declined"))+(_xlpm.usp*OR($AF660="Approved",$AF660="Declined")),IF(_xlpm.n=0,"No applicable lenders",IF(_xlpm.sub&gt;0,"Stays with Shaw - lender still Submitted",IF(_xlpm.term=_xlpm.n,"Clear - all applicable lenders Approved or Declined","Stays with Shaw - not all lenders Approved or Declined")))))</f>
      </c>
    </row>
    <row r="661" spans="80:80">
      <c r="CB661" s="131">
        <f>IF($A661="","",_xlfn.LET(_xlpm.sfp,AND($P661&lt;&gt;"",$P661&lt;&gt;"N/A",$P661&lt;&gt;"No Min RQ"),_xlpm.slp,AND($T661&lt;&gt;"",$T661&lt;&gt;"N/A",$T661&lt;&gt;"No Min RQ"),_xlpm.ffp,AND($X661&lt;&gt;"",$X661&lt;&gt;"N/A",$X661&lt;&gt;"No Min RQ"),_xlpm.chp,AND($AB661&lt;&gt;"",$AB661&lt;&gt;"N/A",$AB661&lt;&gt;"No Min RQ"),_xlpm.usp,AND($AF661&lt;&gt;"",$AF661&lt;&gt;"N/A",$AF661&lt;&gt;"No Min RQ"),_xlpm.n,_xlpm.sfp+_xlpm.slp+_xlpm.ffp+_xlpm.chp+_xlpm.usp,_xlpm.sub,(_xlpm.sfp*($P661="Submitted"))+(_xlpm.slp*($T661="Submitted"))+(_xlpm.ffp*($X661="Submitted"))+(_xlpm.chp*($AB661="Submitted"))+(_xlpm.usp*($AF661="Submitted")),_xlpm.term,(_xlpm.sfp*OR($P661="Approved",$P661="Declined"))+(_xlpm.slp*OR($T661="Approved",$T661="Declined"))+(_xlpm.ffp*OR($X661="Approved",$X661="Declined"))+(_xlpm.chp*OR($AB661="Approved",$AB661="Declined"))+(_xlpm.usp*OR($AF661="Approved",$AF661="Declined")),IF(_xlpm.n=0,"No applicable lenders",IF(_xlpm.sub&gt;0,"Stays with Shaw - lender still Submitted",IF(_xlpm.term=_xlpm.n,"Clear - all applicable lenders Approved or Declined","Stays with Shaw - not all lenders Approved or Declined")))))</f>
      </c>
    </row>
    <row r="662" spans="80:80">
      <c r="CB662" s="131">
        <f>IF($A662="","",_xlfn.LET(_xlpm.sfp,AND($P662&lt;&gt;"",$P662&lt;&gt;"N/A",$P662&lt;&gt;"No Min RQ"),_xlpm.slp,AND($T662&lt;&gt;"",$T662&lt;&gt;"N/A",$T662&lt;&gt;"No Min RQ"),_xlpm.ffp,AND($X662&lt;&gt;"",$X662&lt;&gt;"N/A",$X662&lt;&gt;"No Min RQ"),_xlpm.chp,AND($AB662&lt;&gt;"",$AB662&lt;&gt;"N/A",$AB662&lt;&gt;"No Min RQ"),_xlpm.usp,AND($AF662&lt;&gt;"",$AF662&lt;&gt;"N/A",$AF662&lt;&gt;"No Min RQ"),_xlpm.n,_xlpm.sfp+_xlpm.slp+_xlpm.ffp+_xlpm.chp+_xlpm.usp,_xlpm.sub,(_xlpm.sfp*($P662="Submitted"))+(_xlpm.slp*($T662="Submitted"))+(_xlpm.ffp*($X662="Submitted"))+(_xlpm.chp*($AB662="Submitted"))+(_xlpm.usp*($AF662="Submitted")),_xlpm.term,(_xlpm.sfp*OR($P662="Approved",$P662="Declined"))+(_xlpm.slp*OR($T662="Approved",$T662="Declined"))+(_xlpm.ffp*OR($X662="Approved",$X662="Declined"))+(_xlpm.chp*OR($AB662="Approved",$AB662="Declined"))+(_xlpm.usp*OR($AF662="Approved",$AF662="Declined")),IF(_xlpm.n=0,"No applicable lenders",IF(_xlpm.sub&gt;0,"Stays with Shaw - lender still Submitted",IF(_xlpm.term=_xlpm.n,"Clear - all applicable lenders Approved or Declined","Stays with Shaw - not all lenders Approved or Declined")))))</f>
      </c>
    </row>
    <row r="663" spans="80:80">
      <c r="CB663" s="131">
        <f>IF($A663="","",_xlfn.LET(_xlpm.sfp,AND($P663&lt;&gt;"",$P663&lt;&gt;"N/A",$P663&lt;&gt;"No Min RQ"),_xlpm.slp,AND($T663&lt;&gt;"",$T663&lt;&gt;"N/A",$T663&lt;&gt;"No Min RQ"),_xlpm.ffp,AND($X663&lt;&gt;"",$X663&lt;&gt;"N/A",$X663&lt;&gt;"No Min RQ"),_xlpm.chp,AND($AB663&lt;&gt;"",$AB663&lt;&gt;"N/A",$AB663&lt;&gt;"No Min RQ"),_xlpm.usp,AND($AF663&lt;&gt;"",$AF663&lt;&gt;"N/A",$AF663&lt;&gt;"No Min RQ"),_xlpm.n,_xlpm.sfp+_xlpm.slp+_xlpm.ffp+_xlpm.chp+_xlpm.usp,_xlpm.sub,(_xlpm.sfp*($P663="Submitted"))+(_xlpm.slp*($T663="Submitted"))+(_xlpm.ffp*($X663="Submitted"))+(_xlpm.chp*($AB663="Submitted"))+(_xlpm.usp*($AF663="Submitted")),_xlpm.term,(_xlpm.sfp*OR($P663="Approved",$P663="Declined"))+(_xlpm.slp*OR($T663="Approved",$T663="Declined"))+(_xlpm.ffp*OR($X663="Approved",$X663="Declined"))+(_xlpm.chp*OR($AB663="Approved",$AB663="Declined"))+(_xlpm.usp*OR($AF663="Approved",$AF663="Declined")),IF(_xlpm.n=0,"No applicable lenders",IF(_xlpm.sub&gt;0,"Stays with Shaw - lender still Submitted",IF(_xlpm.term=_xlpm.n,"Clear - all applicable lenders Approved or Declined","Stays with Shaw - not all lenders Approved or Declined")))))</f>
      </c>
    </row>
    <row r="664" spans="80:80">
      <c r="CB664" s="131">
        <f>IF($A664="","",_xlfn.LET(_xlpm.sfp,AND($P664&lt;&gt;"",$P664&lt;&gt;"N/A",$P664&lt;&gt;"No Min RQ"),_xlpm.slp,AND($T664&lt;&gt;"",$T664&lt;&gt;"N/A",$T664&lt;&gt;"No Min RQ"),_xlpm.ffp,AND($X664&lt;&gt;"",$X664&lt;&gt;"N/A",$X664&lt;&gt;"No Min RQ"),_xlpm.chp,AND($AB664&lt;&gt;"",$AB664&lt;&gt;"N/A",$AB664&lt;&gt;"No Min RQ"),_xlpm.usp,AND($AF664&lt;&gt;"",$AF664&lt;&gt;"N/A",$AF664&lt;&gt;"No Min RQ"),_xlpm.n,_xlpm.sfp+_xlpm.slp+_xlpm.ffp+_xlpm.chp+_xlpm.usp,_xlpm.sub,(_xlpm.sfp*($P664="Submitted"))+(_xlpm.slp*($T664="Submitted"))+(_xlpm.ffp*($X664="Submitted"))+(_xlpm.chp*($AB664="Submitted"))+(_xlpm.usp*($AF664="Submitted")),_xlpm.term,(_xlpm.sfp*OR($P664="Approved",$P664="Declined"))+(_xlpm.slp*OR($T664="Approved",$T664="Declined"))+(_xlpm.ffp*OR($X664="Approved",$X664="Declined"))+(_xlpm.chp*OR($AB664="Approved",$AB664="Declined"))+(_xlpm.usp*OR($AF664="Approved",$AF664="Declined")),IF(_xlpm.n=0,"No applicable lenders",IF(_xlpm.sub&gt;0,"Stays with Shaw - lender still Submitted",IF(_xlpm.term=_xlpm.n,"Clear - all applicable lenders Approved or Declined","Stays with Shaw - not all lenders Approved or Declined")))))</f>
      </c>
    </row>
    <row r="665" spans="80:80">
      <c r="CB665" s="131">
        <f>IF($A665="","",_xlfn.LET(_xlpm.sfp,AND($P665&lt;&gt;"",$P665&lt;&gt;"N/A",$P665&lt;&gt;"No Min RQ"),_xlpm.slp,AND($T665&lt;&gt;"",$T665&lt;&gt;"N/A",$T665&lt;&gt;"No Min RQ"),_xlpm.ffp,AND($X665&lt;&gt;"",$X665&lt;&gt;"N/A",$X665&lt;&gt;"No Min RQ"),_xlpm.chp,AND($AB665&lt;&gt;"",$AB665&lt;&gt;"N/A",$AB665&lt;&gt;"No Min RQ"),_xlpm.usp,AND($AF665&lt;&gt;"",$AF665&lt;&gt;"N/A",$AF665&lt;&gt;"No Min RQ"),_xlpm.n,_xlpm.sfp+_xlpm.slp+_xlpm.ffp+_xlpm.chp+_xlpm.usp,_xlpm.sub,(_xlpm.sfp*($P665="Submitted"))+(_xlpm.slp*($T665="Submitted"))+(_xlpm.ffp*($X665="Submitted"))+(_xlpm.chp*($AB665="Submitted"))+(_xlpm.usp*($AF665="Submitted")),_xlpm.term,(_xlpm.sfp*OR($P665="Approved",$P665="Declined"))+(_xlpm.slp*OR($T665="Approved",$T665="Declined"))+(_xlpm.ffp*OR($X665="Approved",$X665="Declined"))+(_xlpm.chp*OR($AB665="Approved",$AB665="Declined"))+(_xlpm.usp*OR($AF665="Approved",$AF665="Declined")),IF(_xlpm.n=0,"No applicable lenders",IF(_xlpm.sub&gt;0,"Stays with Shaw - lender still Submitted",IF(_xlpm.term=_xlpm.n,"Clear - all applicable lenders Approved or Declined","Stays with Shaw - not all lenders Approved or Declined")))))</f>
      </c>
    </row>
    <row r="666" spans="80:80">
      <c r="CB666" s="131">
        <f>IF($A666="","",_xlfn.LET(_xlpm.sfp,AND($P666&lt;&gt;"",$P666&lt;&gt;"N/A",$P666&lt;&gt;"No Min RQ"),_xlpm.slp,AND($T666&lt;&gt;"",$T666&lt;&gt;"N/A",$T666&lt;&gt;"No Min RQ"),_xlpm.ffp,AND($X666&lt;&gt;"",$X666&lt;&gt;"N/A",$X666&lt;&gt;"No Min RQ"),_xlpm.chp,AND($AB666&lt;&gt;"",$AB666&lt;&gt;"N/A",$AB666&lt;&gt;"No Min RQ"),_xlpm.usp,AND($AF666&lt;&gt;"",$AF666&lt;&gt;"N/A",$AF666&lt;&gt;"No Min RQ"),_xlpm.n,_xlpm.sfp+_xlpm.slp+_xlpm.ffp+_xlpm.chp+_xlpm.usp,_xlpm.sub,(_xlpm.sfp*($P666="Submitted"))+(_xlpm.slp*($T666="Submitted"))+(_xlpm.ffp*($X666="Submitted"))+(_xlpm.chp*($AB666="Submitted"))+(_xlpm.usp*($AF666="Submitted")),_xlpm.term,(_xlpm.sfp*OR($P666="Approved",$P666="Declined"))+(_xlpm.slp*OR($T666="Approved",$T666="Declined"))+(_xlpm.ffp*OR($X666="Approved",$X666="Declined"))+(_xlpm.chp*OR($AB666="Approved",$AB666="Declined"))+(_xlpm.usp*OR($AF666="Approved",$AF666="Declined")),IF(_xlpm.n=0,"No applicable lenders",IF(_xlpm.sub&gt;0,"Stays with Shaw - lender still Submitted",IF(_xlpm.term=_xlpm.n,"Clear - all applicable lenders Approved or Declined","Stays with Shaw - not all lenders Approved or Declined")))))</f>
      </c>
    </row>
    <row r="667" spans="80:80">
      <c r="CB667" s="131">
        <f>IF($A667="","",_xlfn.LET(_xlpm.sfp,AND($P667&lt;&gt;"",$P667&lt;&gt;"N/A",$P667&lt;&gt;"No Min RQ"),_xlpm.slp,AND($T667&lt;&gt;"",$T667&lt;&gt;"N/A",$T667&lt;&gt;"No Min RQ"),_xlpm.ffp,AND($X667&lt;&gt;"",$X667&lt;&gt;"N/A",$X667&lt;&gt;"No Min RQ"),_xlpm.chp,AND($AB667&lt;&gt;"",$AB667&lt;&gt;"N/A",$AB667&lt;&gt;"No Min RQ"),_xlpm.usp,AND($AF667&lt;&gt;"",$AF667&lt;&gt;"N/A",$AF667&lt;&gt;"No Min RQ"),_xlpm.n,_xlpm.sfp+_xlpm.slp+_xlpm.ffp+_xlpm.chp+_xlpm.usp,_xlpm.sub,(_xlpm.sfp*($P667="Submitted"))+(_xlpm.slp*($T667="Submitted"))+(_xlpm.ffp*($X667="Submitted"))+(_xlpm.chp*($AB667="Submitted"))+(_xlpm.usp*($AF667="Submitted")),_xlpm.term,(_xlpm.sfp*OR($P667="Approved",$P667="Declined"))+(_xlpm.slp*OR($T667="Approved",$T667="Declined"))+(_xlpm.ffp*OR($X667="Approved",$X667="Declined"))+(_xlpm.chp*OR($AB667="Approved",$AB667="Declined"))+(_xlpm.usp*OR($AF667="Approved",$AF667="Declined")),IF(_xlpm.n=0,"No applicable lenders",IF(_xlpm.sub&gt;0,"Stays with Shaw - lender still Submitted",IF(_xlpm.term=_xlpm.n,"Clear - all applicable lenders Approved or Declined","Stays with Shaw - not all lenders Approved or Declined")))))</f>
      </c>
    </row>
    <row r="668" spans="80:80">
      <c r="CB668" s="131">
        <f>IF($A668="","",_xlfn.LET(_xlpm.sfp,AND($P668&lt;&gt;"",$P668&lt;&gt;"N/A",$P668&lt;&gt;"No Min RQ"),_xlpm.slp,AND($T668&lt;&gt;"",$T668&lt;&gt;"N/A",$T668&lt;&gt;"No Min RQ"),_xlpm.ffp,AND($X668&lt;&gt;"",$X668&lt;&gt;"N/A",$X668&lt;&gt;"No Min RQ"),_xlpm.chp,AND($AB668&lt;&gt;"",$AB668&lt;&gt;"N/A",$AB668&lt;&gt;"No Min RQ"),_xlpm.usp,AND($AF668&lt;&gt;"",$AF668&lt;&gt;"N/A",$AF668&lt;&gt;"No Min RQ"),_xlpm.n,_xlpm.sfp+_xlpm.slp+_xlpm.ffp+_xlpm.chp+_xlpm.usp,_xlpm.sub,(_xlpm.sfp*($P668="Submitted"))+(_xlpm.slp*($T668="Submitted"))+(_xlpm.ffp*($X668="Submitted"))+(_xlpm.chp*($AB668="Submitted"))+(_xlpm.usp*($AF668="Submitted")),_xlpm.term,(_xlpm.sfp*OR($P668="Approved",$P668="Declined"))+(_xlpm.slp*OR($T668="Approved",$T668="Declined"))+(_xlpm.ffp*OR($X668="Approved",$X668="Declined"))+(_xlpm.chp*OR($AB668="Approved",$AB668="Declined"))+(_xlpm.usp*OR($AF668="Approved",$AF668="Declined")),IF(_xlpm.n=0,"No applicable lenders",IF(_xlpm.sub&gt;0,"Stays with Shaw - lender still Submitted",IF(_xlpm.term=_xlpm.n,"Clear - all applicable lenders Approved or Declined","Stays with Shaw - not all lenders Approved or Declined")))))</f>
      </c>
    </row>
    <row r="669" spans="80:80">
      <c r="CB669" s="131">
        <f>IF($A669="","",_xlfn.LET(_xlpm.sfp,AND($P669&lt;&gt;"",$P669&lt;&gt;"N/A",$P669&lt;&gt;"No Min RQ"),_xlpm.slp,AND($T669&lt;&gt;"",$T669&lt;&gt;"N/A",$T669&lt;&gt;"No Min RQ"),_xlpm.ffp,AND($X669&lt;&gt;"",$X669&lt;&gt;"N/A",$X669&lt;&gt;"No Min RQ"),_xlpm.chp,AND($AB669&lt;&gt;"",$AB669&lt;&gt;"N/A",$AB669&lt;&gt;"No Min RQ"),_xlpm.usp,AND($AF669&lt;&gt;"",$AF669&lt;&gt;"N/A",$AF669&lt;&gt;"No Min RQ"),_xlpm.n,_xlpm.sfp+_xlpm.slp+_xlpm.ffp+_xlpm.chp+_xlpm.usp,_xlpm.sub,(_xlpm.sfp*($P669="Submitted"))+(_xlpm.slp*($T669="Submitted"))+(_xlpm.ffp*($X669="Submitted"))+(_xlpm.chp*($AB669="Submitted"))+(_xlpm.usp*($AF669="Submitted")),_xlpm.term,(_xlpm.sfp*OR($P669="Approved",$P669="Declined"))+(_xlpm.slp*OR($T669="Approved",$T669="Declined"))+(_xlpm.ffp*OR($X669="Approved",$X669="Declined"))+(_xlpm.chp*OR($AB669="Approved",$AB669="Declined"))+(_xlpm.usp*OR($AF669="Approved",$AF669="Declined")),IF(_xlpm.n=0,"No applicable lenders",IF(_xlpm.sub&gt;0,"Stays with Shaw - lender still Submitted",IF(_xlpm.term=_xlpm.n,"Clear - all applicable lenders Approved or Declined","Stays with Shaw - not all lenders Approved or Declined")))))</f>
      </c>
    </row>
    <row r="670" spans="80:80">
      <c r="CB670" s="131">
        <f>IF($A670="","",_xlfn.LET(_xlpm.sfp,AND($P670&lt;&gt;"",$P670&lt;&gt;"N/A",$P670&lt;&gt;"No Min RQ"),_xlpm.slp,AND($T670&lt;&gt;"",$T670&lt;&gt;"N/A",$T670&lt;&gt;"No Min RQ"),_xlpm.ffp,AND($X670&lt;&gt;"",$X670&lt;&gt;"N/A",$X670&lt;&gt;"No Min RQ"),_xlpm.chp,AND($AB670&lt;&gt;"",$AB670&lt;&gt;"N/A",$AB670&lt;&gt;"No Min RQ"),_xlpm.usp,AND($AF670&lt;&gt;"",$AF670&lt;&gt;"N/A",$AF670&lt;&gt;"No Min RQ"),_xlpm.n,_xlpm.sfp+_xlpm.slp+_xlpm.ffp+_xlpm.chp+_xlpm.usp,_xlpm.sub,(_xlpm.sfp*($P670="Submitted"))+(_xlpm.slp*($T670="Submitted"))+(_xlpm.ffp*($X670="Submitted"))+(_xlpm.chp*($AB670="Submitted"))+(_xlpm.usp*($AF670="Submitted")),_xlpm.term,(_xlpm.sfp*OR($P670="Approved",$P670="Declined"))+(_xlpm.slp*OR($T670="Approved",$T670="Declined"))+(_xlpm.ffp*OR($X670="Approved",$X670="Declined"))+(_xlpm.chp*OR($AB670="Approved",$AB670="Declined"))+(_xlpm.usp*OR($AF670="Approved",$AF670="Declined")),IF(_xlpm.n=0,"No applicable lenders",IF(_xlpm.sub&gt;0,"Stays with Shaw - lender still Submitted",IF(_xlpm.term=_xlpm.n,"Clear - all applicable lenders Approved or Declined","Stays with Shaw - not all lenders Approved or Declined")))))</f>
      </c>
    </row>
    <row r="671" spans="80:80">
      <c r="CB671" s="131">
        <f>IF($A671="","",_xlfn.LET(_xlpm.sfp,AND($P671&lt;&gt;"",$P671&lt;&gt;"N/A",$P671&lt;&gt;"No Min RQ"),_xlpm.slp,AND($T671&lt;&gt;"",$T671&lt;&gt;"N/A",$T671&lt;&gt;"No Min RQ"),_xlpm.ffp,AND($X671&lt;&gt;"",$X671&lt;&gt;"N/A",$X671&lt;&gt;"No Min RQ"),_xlpm.chp,AND($AB671&lt;&gt;"",$AB671&lt;&gt;"N/A",$AB671&lt;&gt;"No Min RQ"),_xlpm.usp,AND($AF671&lt;&gt;"",$AF671&lt;&gt;"N/A",$AF671&lt;&gt;"No Min RQ"),_xlpm.n,_xlpm.sfp+_xlpm.slp+_xlpm.ffp+_xlpm.chp+_xlpm.usp,_xlpm.sub,(_xlpm.sfp*($P671="Submitted"))+(_xlpm.slp*($T671="Submitted"))+(_xlpm.ffp*($X671="Submitted"))+(_xlpm.chp*($AB671="Submitted"))+(_xlpm.usp*($AF671="Submitted")),_xlpm.term,(_xlpm.sfp*OR($P671="Approved",$P671="Declined"))+(_xlpm.slp*OR($T671="Approved",$T671="Declined"))+(_xlpm.ffp*OR($X671="Approved",$X671="Declined"))+(_xlpm.chp*OR($AB671="Approved",$AB671="Declined"))+(_xlpm.usp*OR($AF671="Approved",$AF671="Declined")),IF(_xlpm.n=0,"No applicable lenders",IF(_xlpm.sub&gt;0,"Stays with Shaw - lender still Submitted",IF(_xlpm.term=_xlpm.n,"Clear - all applicable lenders Approved or Declined","Stays with Shaw - not all lenders Approved or Declined")))))</f>
      </c>
    </row>
    <row r="672" spans="80:80">
      <c r="CB672" s="131">
        <f>IF($A672="","",_xlfn.LET(_xlpm.sfp,AND($P672&lt;&gt;"",$P672&lt;&gt;"N/A",$P672&lt;&gt;"No Min RQ"),_xlpm.slp,AND($T672&lt;&gt;"",$T672&lt;&gt;"N/A",$T672&lt;&gt;"No Min RQ"),_xlpm.ffp,AND($X672&lt;&gt;"",$X672&lt;&gt;"N/A",$X672&lt;&gt;"No Min RQ"),_xlpm.chp,AND($AB672&lt;&gt;"",$AB672&lt;&gt;"N/A",$AB672&lt;&gt;"No Min RQ"),_xlpm.usp,AND($AF672&lt;&gt;"",$AF672&lt;&gt;"N/A",$AF672&lt;&gt;"No Min RQ"),_xlpm.n,_xlpm.sfp+_xlpm.slp+_xlpm.ffp+_xlpm.chp+_xlpm.usp,_xlpm.sub,(_xlpm.sfp*($P672="Submitted"))+(_xlpm.slp*($T672="Submitted"))+(_xlpm.ffp*($X672="Submitted"))+(_xlpm.chp*($AB672="Submitted"))+(_xlpm.usp*($AF672="Submitted")),_xlpm.term,(_xlpm.sfp*OR($P672="Approved",$P672="Declined"))+(_xlpm.slp*OR($T672="Approved",$T672="Declined"))+(_xlpm.ffp*OR($X672="Approved",$X672="Declined"))+(_xlpm.chp*OR($AB672="Approved",$AB672="Declined"))+(_xlpm.usp*OR($AF672="Approved",$AF672="Declined")),IF(_xlpm.n=0,"No applicable lenders",IF(_xlpm.sub&gt;0,"Stays with Shaw - lender still Submitted",IF(_xlpm.term=_xlpm.n,"Clear - all applicable lenders Approved or Declined","Stays with Shaw - not all lenders Approved or Declined")))))</f>
      </c>
    </row>
    <row r="673" spans="80:80">
      <c r="CB673" s="131">
        <f>IF($A673="","",_xlfn.LET(_xlpm.sfp,AND($P673&lt;&gt;"",$P673&lt;&gt;"N/A",$P673&lt;&gt;"No Min RQ"),_xlpm.slp,AND($T673&lt;&gt;"",$T673&lt;&gt;"N/A",$T673&lt;&gt;"No Min RQ"),_xlpm.ffp,AND($X673&lt;&gt;"",$X673&lt;&gt;"N/A",$X673&lt;&gt;"No Min RQ"),_xlpm.chp,AND($AB673&lt;&gt;"",$AB673&lt;&gt;"N/A",$AB673&lt;&gt;"No Min RQ"),_xlpm.usp,AND($AF673&lt;&gt;"",$AF673&lt;&gt;"N/A",$AF673&lt;&gt;"No Min RQ"),_xlpm.n,_xlpm.sfp+_xlpm.slp+_xlpm.ffp+_xlpm.chp+_xlpm.usp,_xlpm.sub,(_xlpm.sfp*($P673="Submitted"))+(_xlpm.slp*($T673="Submitted"))+(_xlpm.ffp*($X673="Submitted"))+(_xlpm.chp*($AB673="Submitted"))+(_xlpm.usp*($AF673="Submitted")),_xlpm.term,(_xlpm.sfp*OR($P673="Approved",$P673="Declined"))+(_xlpm.slp*OR($T673="Approved",$T673="Declined"))+(_xlpm.ffp*OR($X673="Approved",$X673="Declined"))+(_xlpm.chp*OR($AB673="Approved",$AB673="Declined"))+(_xlpm.usp*OR($AF673="Approved",$AF673="Declined")),IF(_xlpm.n=0,"No applicable lenders",IF(_xlpm.sub&gt;0,"Stays with Shaw - lender still Submitted",IF(_xlpm.term=_xlpm.n,"Clear - all applicable lenders Approved or Declined","Stays with Shaw - not all lenders Approved or Declined")))))</f>
      </c>
    </row>
    <row r="674" spans="80:80">
      <c r="CB674" s="131">
        <f>IF($A674="","",_xlfn.LET(_xlpm.sfp,AND($P674&lt;&gt;"",$P674&lt;&gt;"N/A",$P674&lt;&gt;"No Min RQ"),_xlpm.slp,AND($T674&lt;&gt;"",$T674&lt;&gt;"N/A",$T674&lt;&gt;"No Min RQ"),_xlpm.ffp,AND($X674&lt;&gt;"",$X674&lt;&gt;"N/A",$X674&lt;&gt;"No Min RQ"),_xlpm.chp,AND($AB674&lt;&gt;"",$AB674&lt;&gt;"N/A",$AB674&lt;&gt;"No Min RQ"),_xlpm.usp,AND($AF674&lt;&gt;"",$AF674&lt;&gt;"N/A",$AF674&lt;&gt;"No Min RQ"),_xlpm.n,_xlpm.sfp+_xlpm.slp+_xlpm.ffp+_xlpm.chp+_xlpm.usp,_xlpm.sub,(_xlpm.sfp*($P674="Submitted"))+(_xlpm.slp*($T674="Submitted"))+(_xlpm.ffp*($X674="Submitted"))+(_xlpm.chp*($AB674="Submitted"))+(_xlpm.usp*($AF674="Submitted")),_xlpm.term,(_xlpm.sfp*OR($P674="Approved",$P674="Declined"))+(_xlpm.slp*OR($T674="Approved",$T674="Declined"))+(_xlpm.ffp*OR($X674="Approved",$X674="Declined"))+(_xlpm.chp*OR($AB674="Approved",$AB674="Declined"))+(_xlpm.usp*OR($AF674="Approved",$AF674="Declined")),IF(_xlpm.n=0,"No applicable lenders",IF(_xlpm.sub&gt;0,"Stays with Shaw - lender still Submitted",IF(_xlpm.term=_xlpm.n,"Clear - all applicable lenders Approved or Declined","Stays with Shaw - not all lenders Approved or Declined")))))</f>
      </c>
    </row>
    <row r="675" spans="80:80">
      <c r="CB675" s="131">
        <f>IF($A675="","",_xlfn.LET(_xlpm.sfp,AND($P675&lt;&gt;"",$P675&lt;&gt;"N/A",$P675&lt;&gt;"No Min RQ"),_xlpm.slp,AND($T675&lt;&gt;"",$T675&lt;&gt;"N/A",$T675&lt;&gt;"No Min RQ"),_xlpm.ffp,AND($X675&lt;&gt;"",$X675&lt;&gt;"N/A",$X675&lt;&gt;"No Min RQ"),_xlpm.chp,AND($AB675&lt;&gt;"",$AB675&lt;&gt;"N/A",$AB675&lt;&gt;"No Min RQ"),_xlpm.usp,AND($AF675&lt;&gt;"",$AF675&lt;&gt;"N/A",$AF675&lt;&gt;"No Min RQ"),_xlpm.n,_xlpm.sfp+_xlpm.slp+_xlpm.ffp+_xlpm.chp+_xlpm.usp,_xlpm.sub,(_xlpm.sfp*($P675="Submitted"))+(_xlpm.slp*($T675="Submitted"))+(_xlpm.ffp*($X675="Submitted"))+(_xlpm.chp*($AB675="Submitted"))+(_xlpm.usp*($AF675="Submitted")),_xlpm.term,(_xlpm.sfp*OR($P675="Approved",$P675="Declined"))+(_xlpm.slp*OR($T675="Approved",$T675="Declined"))+(_xlpm.ffp*OR($X675="Approved",$X675="Declined"))+(_xlpm.chp*OR($AB675="Approved",$AB675="Declined"))+(_xlpm.usp*OR($AF675="Approved",$AF675="Declined")),IF(_xlpm.n=0,"No applicable lenders",IF(_xlpm.sub&gt;0,"Stays with Shaw - lender still Submitted",IF(_xlpm.term=_xlpm.n,"Clear - all applicable lenders Approved or Declined","Stays with Shaw - not all lenders Approved or Declined")))))</f>
      </c>
    </row>
    <row r="676" spans="80:80">
      <c r="CB676" s="131">
        <f>IF($A676="","",_xlfn.LET(_xlpm.sfp,AND($P676&lt;&gt;"",$P676&lt;&gt;"N/A",$P676&lt;&gt;"No Min RQ"),_xlpm.slp,AND($T676&lt;&gt;"",$T676&lt;&gt;"N/A",$T676&lt;&gt;"No Min RQ"),_xlpm.ffp,AND($X676&lt;&gt;"",$X676&lt;&gt;"N/A",$X676&lt;&gt;"No Min RQ"),_xlpm.chp,AND($AB676&lt;&gt;"",$AB676&lt;&gt;"N/A",$AB676&lt;&gt;"No Min RQ"),_xlpm.usp,AND($AF676&lt;&gt;"",$AF676&lt;&gt;"N/A",$AF676&lt;&gt;"No Min RQ"),_xlpm.n,_xlpm.sfp+_xlpm.slp+_xlpm.ffp+_xlpm.chp+_xlpm.usp,_xlpm.sub,(_xlpm.sfp*($P676="Submitted"))+(_xlpm.slp*($T676="Submitted"))+(_xlpm.ffp*($X676="Submitted"))+(_xlpm.chp*($AB676="Submitted"))+(_xlpm.usp*($AF676="Submitted")),_xlpm.term,(_xlpm.sfp*OR($P676="Approved",$P676="Declined"))+(_xlpm.slp*OR($T676="Approved",$T676="Declined"))+(_xlpm.ffp*OR($X676="Approved",$X676="Declined"))+(_xlpm.chp*OR($AB676="Approved",$AB676="Declined"))+(_xlpm.usp*OR($AF676="Approved",$AF676="Declined")),IF(_xlpm.n=0,"No applicable lenders",IF(_xlpm.sub&gt;0,"Stays with Shaw - lender still Submitted",IF(_xlpm.term=_xlpm.n,"Clear - all applicable lenders Approved or Declined","Stays with Shaw - not all lenders Approved or Declined")))))</f>
      </c>
    </row>
    <row r="677" spans="80:80">
      <c r="CB677" s="131">
        <f>IF($A677="","",_xlfn.LET(_xlpm.sfp,AND($P677&lt;&gt;"",$P677&lt;&gt;"N/A",$P677&lt;&gt;"No Min RQ"),_xlpm.slp,AND($T677&lt;&gt;"",$T677&lt;&gt;"N/A",$T677&lt;&gt;"No Min RQ"),_xlpm.ffp,AND($X677&lt;&gt;"",$X677&lt;&gt;"N/A",$X677&lt;&gt;"No Min RQ"),_xlpm.chp,AND($AB677&lt;&gt;"",$AB677&lt;&gt;"N/A",$AB677&lt;&gt;"No Min RQ"),_xlpm.usp,AND($AF677&lt;&gt;"",$AF677&lt;&gt;"N/A",$AF677&lt;&gt;"No Min RQ"),_xlpm.n,_xlpm.sfp+_xlpm.slp+_xlpm.ffp+_xlpm.chp+_xlpm.usp,_xlpm.sub,(_xlpm.sfp*($P677="Submitted"))+(_xlpm.slp*($T677="Submitted"))+(_xlpm.ffp*($X677="Submitted"))+(_xlpm.chp*($AB677="Submitted"))+(_xlpm.usp*($AF677="Submitted")),_xlpm.term,(_xlpm.sfp*OR($P677="Approved",$P677="Declined"))+(_xlpm.slp*OR($T677="Approved",$T677="Declined"))+(_xlpm.ffp*OR($X677="Approved",$X677="Declined"))+(_xlpm.chp*OR($AB677="Approved",$AB677="Declined"))+(_xlpm.usp*OR($AF677="Approved",$AF677="Declined")),IF(_xlpm.n=0,"No applicable lenders",IF(_xlpm.sub&gt;0,"Stays with Shaw - lender still Submitted",IF(_xlpm.term=_xlpm.n,"Clear - all applicable lenders Approved or Declined","Stays with Shaw - not all lenders Approved or Declined")))))</f>
      </c>
    </row>
    <row r="678" spans="80:80">
      <c r="CB678" s="131">
        <f>IF($A678="","",_xlfn.LET(_xlpm.sfp,AND($P678&lt;&gt;"",$P678&lt;&gt;"N/A",$P678&lt;&gt;"No Min RQ"),_xlpm.slp,AND($T678&lt;&gt;"",$T678&lt;&gt;"N/A",$T678&lt;&gt;"No Min RQ"),_xlpm.ffp,AND($X678&lt;&gt;"",$X678&lt;&gt;"N/A",$X678&lt;&gt;"No Min RQ"),_xlpm.chp,AND($AB678&lt;&gt;"",$AB678&lt;&gt;"N/A",$AB678&lt;&gt;"No Min RQ"),_xlpm.usp,AND($AF678&lt;&gt;"",$AF678&lt;&gt;"N/A",$AF678&lt;&gt;"No Min RQ"),_xlpm.n,_xlpm.sfp+_xlpm.slp+_xlpm.ffp+_xlpm.chp+_xlpm.usp,_xlpm.sub,(_xlpm.sfp*($P678="Submitted"))+(_xlpm.slp*($T678="Submitted"))+(_xlpm.ffp*($X678="Submitted"))+(_xlpm.chp*($AB678="Submitted"))+(_xlpm.usp*($AF678="Submitted")),_xlpm.term,(_xlpm.sfp*OR($P678="Approved",$P678="Declined"))+(_xlpm.slp*OR($T678="Approved",$T678="Declined"))+(_xlpm.ffp*OR($X678="Approved",$X678="Declined"))+(_xlpm.chp*OR($AB678="Approved",$AB678="Declined"))+(_xlpm.usp*OR($AF678="Approved",$AF678="Declined")),IF(_xlpm.n=0,"No applicable lenders",IF(_xlpm.sub&gt;0,"Stays with Shaw - lender still Submitted",IF(_xlpm.term=_xlpm.n,"Clear - all applicable lenders Approved or Declined","Stays with Shaw - not all lenders Approved or Declined")))))</f>
      </c>
    </row>
    <row r="679" spans="80:80">
      <c r="CB679" s="131">
        <f>IF($A679="","",_xlfn.LET(_xlpm.sfp,AND($P679&lt;&gt;"",$P679&lt;&gt;"N/A",$P679&lt;&gt;"No Min RQ"),_xlpm.slp,AND($T679&lt;&gt;"",$T679&lt;&gt;"N/A",$T679&lt;&gt;"No Min RQ"),_xlpm.ffp,AND($X679&lt;&gt;"",$X679&lt;&gt;"N/A",$X679&lt;&gt;"No Min RQ"),_xlpm.chp,AND($AB679&lt;&gt;"",$AB679&lt;&gt;"N/A",$AB679&lt;&gt;"No Min RQ"),_xlpm.usp,AND($AF679&lt;&gt;"",$AF679&lt;&gt;"N/A",$AF679&lt;&gt;"No Min RQ"),_xlpm.n,_xlpm.sfp+_xlpm.slp+_xlpm.ffp+_xlpm.chp+_xlpm.usp,_xlpm.sub,(_xlpm.sfp*($P679="Submitted"))+(_xlpm.slp*($T679="Submitted"))+(_xlpm.ffp*($X679="Submitted"))+(_xlpm.chp*($AB679="Submitted"))+(_xlpm.usp*($AF679="Submitted")),_xlpm.term,(_xlpm.sfp*OR($P679="Approved",$P679="Declined"))+(_xlpm.slp*OR($T679="Approved",$T679="Declined"))+(_xlpm.ffp*OR($X679="Approved",$X679="Declined"))+(_xlpm.chp*OR($AB679="Approved",$AB679="Declined"))+(_xlpm.usp*OR($AF679="Approved",$AF679="Declined")),IF(_xlpm.n=0,"No applicable lenders",IF(_xlpm.sub&gt;0,"Stays with Shaw - lender still Submitted",IF(_xlpm.term=_xlpm.n,"Clear - all applicable lenders Approved or Declined","Stays with Shaw - not all lenders Approved or Declined")))))</f>
      </c>
    </row>
    <row r="680" spans="80:80">
      <c r="CB680" s="131">
        <f>IF($A680="","",_xlfn.LET(_xlpm.sfp,AND($P680&lt;&gt;"",$P680&lt;&gt;"N/A",$P680&lt;&gt;"No Min RQ"),_xlpm.slp,AND($T680&lt;&gt;"",$T680&lt;&gt;"N/A",$T680&lt;&gt;"No Min RQ"),_xlpm.ffp,AND($X680&lt;&gt;"",$X680&lt;&gt;"N/A",$X680&lt;&gt;"No Min RQ"),_xlpm.chp,AND($AB680&lt;&gt;"",$AB680&lt;&gt;"N/A",$AB680&lt;&gt;"No Min RQ"),_xlpm.usp,AND($AF680&lt;&gt;"",$AF680&lt;&gt;"N/A",$AF680&lt;&gt;"No Min RQ"),_xlpm.n,_xlpm.sfp+_xlpm.slp+_xlpm.ffp+_xlpm.chp+_xlpm.usp,_xlpm.sub,(_xlpm.sfp*($P680="Submitted"))+(_xlpm.slp*($T680="Submitted"))+(_xlpm.ffp*($X680="Submitted"))+(_xlpm.chp*($AB680="Submitted"))+(_xlpm.usp*($AF680="Submitted")),_xlpm.term,(_xlpm.sfp*OR($P680="Approved",$P680="Declined"))+(_xlpm.slp*OR($T680="Approved",$T680="Declined"))+(_xlpm.ffp*OR($X680="Approved",$X680="Declined"))+(_xlpm.chp*OR($AB680="Approved",$AB680="Declined"))+(_xlpm.usp*OR($AF680="Approved",$AF680="Declined")),IF(_xlpm.n=0,"No applicable lenders",IF(_xlpm.sub&gt;0,"Stays with Shaw - lender still Submitted",IF(_xlpm.term=_xlpm.n,"Clear - all applicable lenders Approved or Declined","Stays with Shaw - not all lenders Approved or Declined")))))</f>
      </c>
    </row>
    <row r="681" spans="80:80">
      <c r="CB681" s="131">
        <f>IF($A681="","",_xlfn.LET(_xlpm.sfp,AND($P681&lt;&gt;"",$P681&lt;&gt;"N/A",$P681&lt;&gt;"No Min RQ"),_xlpm.slp,AND($T681&lt;&gt;"",$T681&lt;&gt;"N/A",$T681&lt;&gt;"No Min RQ"),_xlpm.ffp,AND($X681&lt;&gt;"",$X681&lt;&gt;"N/A",$X681&lt;&gt;"No Min RQ"),_xlpm.chp,AND($AB681&lt;&gt;"",$AB681&lt;&gt;"N/A",$AB681&lt;&gt;"No Min RQ"),_xlpm.usp,AND($AF681&lt;&gt;"",$AF681&lt;&gt;"N/A",$AF681&lt;&gt;"No Min RQ"),_xlpm.n,_xlpm.sfp+_xlpm.slp+_xlpm.ffp+_xlpm.chp+_xlpm.usp,_xlpm.sub,(_xlpm.sfp*($P681="Submitted"))+(_xlpm.slp*($T681="Submitted"))+(_xlpm.ffp*($X681="Submitted"))+(_xlpm.chp*($AB681="Submitted"))+(_xlpm.usp*($AF681="Submitted")),_xlpm.term,(_xlpm.sfp*OR($P681="Approved",$P681="Declined"))+(_xlpm.slp*OR($T681="Approved",$T681="Declined"))+(_xlpm.ffp*OR($X681="Approved",$X681="Declined"))+(_xlpm.chp*OR($AB681="Approved",$AB681="Declined"))+(_xlpm.usp*OR($AF681="Approved",$AF681="Declined")),IF(_xlpm.n=0,"No applicable lenders",IF(_xlpm.sub&gt;0,"Stays with Shaw - lender still Submitted",IF(_xlpm.term=_xlpm.n,"Clear - all applicable lenders Approved or Declined","Stays with Shaw - not all lenders Approved or Declined")))))</f>
      </c>
    </row>
    <row r="682" spans="80:80">
      <c r="CB682" s="131">
        <f>IF($A682="","",_xlfn.LET(_xlpm.sfp,AND($P682&lt;&gt;"",$P682&lt;&gt;"N/A",$P682&lt;&gt;"No Min RQ"),_xlpm.slp,AND($T682&lt;&gt;"",$T682&lt;&gt;"N/A",$T682&lt;&gt;"No Min RQ"),_xlpm.ffp,AND($X682&lt;&gt;"",$X682&lt;&gt;"N/A",$X682&lt;&gt;"No Min RQ"),_xlpm.chp,AND($AB682&lt;&gt;"",$AB682&lt;&gt;"N/A",$AB682&lt;&gt;"No Min RQ"),_xlpm.usp,AND($AF682&lt;&gt;"",$AF682&lt;&gt;"N/A",$AF682&lt;&gt;"No Min RQ"),_xlpm.n,_xlpm.sfp+_xlpm.slp+_xlpm.ffp+_xlpm.chp+_xlpm.usp,_xlpm.sub,(_xlpm.sfp*($P682="Submitted"))+(_xlpm.slp*($T682="Submitted"))+(_xlpm.ffp*($X682="Submitted"))+(_xlpm.chp*($AB682="Submitted"))+(_xlpm.usp*($AF682="Submitted")),_xlpm.term,(_xlpm.sfp*OR($P682="Approved",$P682="Declined"))+(_xlpm.slp*OR($T682="Approved",$T682="Declined"))+(_xlpm.ffp*OR($X682="Approved",$X682="Declined"))+(_xlpm.chp*OR($AB682="Approved",$AB682="Declined"))+(_xlpm.usp*OR($AF682="Approved",$AF682="Declined")),IF(_xlpm.n=0,"No applicable lenders",IF(_xlpm.sub&gt;0,"Stays with Shaw - lender still Submitted",IF(_xlpm.term=_xlpm.n,"Clear - all applicable lenders Approved or Declined","Stays with Shaw - not all lenders Approved or Declined")))))</f>
      </c>
    </row>
    <row r="683" spans="80:80">
      <c r="CB683" s="131">
        <f>IF($A683="","",_xlfn.LET(_xlpm.sfp,AND($P683&lt;&gt;"",$P683&lt;&gt;"N/A",$P683&lt;&gt;"No Min RQ"),_xlpm.slp,AND($T683&lt;&gt;"",$T683&lt;&gt;"N/A",$T683&lt;&gt;"No Min RQ"),_xlpm.ffp,AND($X683&lt;&gt;"",$X683&lt;&gt;"N/A",$X683&lt;&gt;"No Min RQ"),_xlpm.chp,AND($AB683&lt;&gt;"",$AB683&lt;&gt;"N/A",$AB683&lt;&gt;"No Min RQ"),_xlpm.usp,AND($AF683&lt;&gt;"",$AF683&lt;&gt;"N/A",$AF683&lt;&gt;"No Min RQ"),_xlpm.n,_xlpm.sfp+_xlpm.slp+_xlpm.ffp+_xlpm.chp+_xlpm.usp,_xlpm.sub,(_xlpm.sfp*($P683="Submitted"))+(_xlpm.slp*($T683="Submitted"))+(_xlpm.ffp*($X683="Submitted"))+(_xlpm.chp*($AB683="Submitted"))+(_xlpm.usp*($AF683="Submitted")),_xlpm.term,(_xlpm.sfp*OR($P683="Approved",$P683="Declined"))+(_xlpm.slp*OR($T683="Approved",$T683="Declined"))+(_xlpm.ffp*OR($X683="Approved",$X683="Declined"))+(_xlpm.chp*OR($AB683="Approved",$AB683="Declined"))+(_xlpm.usp*OR($AF683="Approved",$AF683="Declined")),IF(_xlpm.n=0,"No applicable lenders",IF(_xlpm.sub&gt;0,"Stays with Shaw - lender still Submitted",IF(_xlpm.term=_xlpm.n,"Clear - all applicable lenders Approved or Declined","Stays with Shaw - not all lenders Approved or Declined")))))</f>
      </c>
    </row>
    <row r="684" spans="80:80">
      <c r="CB684" s="131">
        <f>IF($A684="","",_xlfn.LET(_xlpm.sfp,AND($P684&lt;&gt;"",$P684&lt;&gt;"N/A",$P684&lt;&gt;"No Min RQ"),_xlpm.slp,AND($T684&lt;&gt;"",$T684&lt;&gt;"N/A",$T684&lt;&gt;"No Min RQ"),_xlpm.ffp,AND($X684&lt;&gt;"",$X684&lt;&gt;"N/A",$X684&lt;&gt;"No Min RQ"),_xlpm.chp,AND($AB684&lt;&gt;"",$AB684&lt;&gt;"N/A",$AB684&lt;&gt;"No Min RQ"),_xlpm.usp,AND($AF684&lt;&gt;"",$AF684&lt;&gt;"N/A",$AF684&lt;&gt;"No Min RQ"),_xlpm.n,_xlpm.sfp+_xlpm.slp+_xlpm.ffp+_xlpm.chp+_xlpm.usp,_xlpm.sub,(_xlpm.sfp*($P684="Submitted"))+(_xlpm.slp*($T684="Submitted"))+(_xlpm.ffp*($X684="Submitted"))+(_xlpm.chp*($AB684="Submitted"))+(_xlpm.usp*($AF684="Submitted")),_xlpm.term,(_xlpm.sfp*OR($P684="Approved",$P684="Declined"))+(_xlpm.slp*OR($T684="Approved",$T684="Declined"))+(_xlpm.ffp*OR($X684="Approved",$X684="Declined"))+(_xlpm.chp*OR($AB684="Approved",$AB684="Declined"))+(_xlpm.usp*OR($AF684="Approved",$AF684="Declined")),IF(_xlpm.n=0,"No applicable lenders",IF(_xlpm.sub&gt;0,"Stays with Shaw - lender still Submitted",IF(_xlpm.term=_xlpm.n,"Clear - all applicable lenders Approved or Declined","Stays with Shaw - not all lenders Approved or Declined")))))</f>
      </c>
    </row>
    <row r="685" spans="80:80">
      <c r="CB685" s="131">
        <f>IF($A685="","",_xlfn.LET(_xlpm.sfp,AND($P685&lt;&gt;"",$P685&lt;&gt;"N/A",$P685&lt;&gt;"No Min RQ"),_xlpm.slp,AND($T685&lt;&gt;"",$T685&lt;&gt;"N/A",$T685&lt;&gt;"No Min RQ"),_xlpm.ffp,AND($X685&lt;&gt;"",$X685&lt;&gt;"N/A",$X685&lt;&gt;"No Min RQ"),_xlpm.chp,AND($AB685&lt;&gt;"",$AB685&lt;&gt;"N/A",$AB685&lt;&gt;"No Min RQ"),_xlpm.usp,AND($AF685&lt;&gt;"",$AF685&lt;&gt;"N/A",$AF685&lt;&gt;"No Min RQ"),_xlpm.n,_xlpm.sfp+_xlpm.slp+_xlpm.ffp+_xlpm.chp+_xlpm.usp,_xlpm.sub,(_xlpm.sfp*($P685="Submitted"))+(_xlpm.slp*($T685="Submitted"))+(_xlpm.ffp*($X685="Submitted"))+(_xlpm.chp*($AB685="Submitted"))+(_xlpm.usp*($AF685="Submitted")),_xlpm.term,(_xlpm.sfp*OR($P685="Approved",$P685="Declined"))+(_xlpm.slp*OR($T685="Approved",$T685="Declined"))+(_xlpm.ffp*OR($X685="Approved",$X685="Declined"))+(_xlpm.chp*OR($AB685="Approved",$AB685="Declined"))+(_xlpm.usp*OR($AF685="Approved",$AF685="Declined")),IF(_xlpm.n=0,"No applicable lenders",IF(_xlpm.sub&gt;0,"Stays with Shaw - lender still Submitted",IF(_xlpm.term=_xlpm.n,"Clear - all applicable lenders Approved or Declined","Stays with Shaw - not all lenders Approved or Declined")))))</f>
      </c>
    </row>
    <row r="686" spans="80:80">
      <c r="CB686" s="131">
        <f>IF($A686="","",_xlfn.LET(_xlpm.sfp,AND($P686&lt;&gt;"",$P686&lt;&gt;"N/A",$P686&lt;&gt;"No Min RQ"),_xlpm.slp,AND($T686&lt;&gt;"",$T686&lt;&gt;"N/A",$T686&lt;&gt;"No Min RQ"),_xlpm.ffp,AND($X686&lt;&gt;"",$X686&lt;&gt;"N/A",$X686&lt;&gt;"No Min RQ"),_xlpm.chp,AND($AB686&lt;&gt;"",$AB686&lt;&gt;"N/A",$AB686&lt;&gt;"No Min RQ"),_xlpm.usp,AND($AF686&lt;&gt;"",$AF686&lt;&gt;"N/A",$AF686&lt;&gt;"No Min RQ"),_xlpm.n,_xlpm.sfp+_xlpm.slp+_xlpm.ffp+_xlpm.chp+_xlpm.usp,_xlpm.sub,(_xlpm.sfp*($P686="Submitted"))+(_xlpm.slp*($T686="Submitted"))+(_xlpm.ffp*($X686="Submitted"))+(_xlpm.chp*($AB686="Submitted"))+(_xlpm.usp*($AF686="Submitted")),_xlpm.term,(_xlpm.sfp*OR($P686="Approved",$P686="Declined"))+(_xlpm.slp*OR($T686="Approved",$T686="Declined"))+(_xlpm.ffp*OR($X686="Approved",$X686="Declined"))+(_xlpm.chp*OR($AB686="Approved",$AB686="Declined"))+(_xlpm.usp*OR($AF686="Approved",$AF686="Declined")),IF(_xlpm.n=0,"No applicable lenders",IF(_xlpm.sub&gt;0,"Stays with Shaw - lender still Submitted",IF(_xlpm.term=_xlpm.n,"Clear - all applicable lenders Approved or Declined","Stays with Shaw - not all lenders Approved or Declined")))))</f>
      </c>
    </row>
    <row r="687" spans="80:80">
      <c r="CB687" s="131">
        <f>IF($A687="","",_xlfn.LET(_xlpm.sfp,AND($P687&lt;&gt;"",$P687&lt;&gt;"N/A",$P687&lt;&gt;"No Min RQ"),_xlpm.slp,AND($T687&lt;&gt;"",$T687&lt;&gt;"N/A",$T687&lt;&gt;"No Min RQ"),_xlpm.ffp,AND($X687&lt;&gt;"",$X687&lt;&gt;"N/A",$X687&lt;&gt;"No Min RQ"),_xlpm.chp,AND($AB687&lt;&gt;"",$AB687&lt;&gt;"N/A",$AB687&lt;&gt;"No Min RQ"),_xlpm.usp,AND($AF687&lt;&gt;"",$AF687&lt;&gt;"N/A",$AF687&lt;&gt;"No Min RQ"),_xlpm.n,_xlpm.sfp+_xlpm.slp+_xlpm.ffp+_xlpm.chp+_xlpm.usp,_xlpm.sub,(_xlpm.sfp*($P687="Submitted"))+(_xlpm.slp*($T687="Submitted"))+(_xlpm.ffp*($X687="Submitted"))+(_xlpm.chp*($AB687="Submitted"))+(_xlpm.usp*($AF687="Submitted")),_xlpm.term,(_xlpm.sfp*OR($P687="Approved",$P687="Declined"))+(_xlpm.slp*OR($T687="Approved",$T687="Declined"))+(_xlpm.ffp*OR($X687="Approved",$X687="Declined"))+(_xlpm.chp*OR($AB687="Approved",$AB687="Declined"))+(_xlpm.usp*OR($AF687="Approved",$AF687="Declined")),IF(_xlpm.n=0,"No applicable lenders",IF(_xlpm.sub&gt;0,"Stays with Shaw - lender still Submitted",IF(_xlpm.term=_xlpm.n,"Clear - all applicable lenders Approved or Declined","Stays with Shaw - not all lenders Approved or Declined")))))</f>
      </c>
    </row>
    <row r="688" spans="80:80">
      <c r="CB688" s="131">
        <f>IF($A688="","",_xlfn.LET(_xlpm.sfp,AND($P688&lt;&gt;"",$P688&lt;&gt;"N/A",$P688&lt;&gt;"No Min RQ"),_xlpm.slp,AND($T688&lt;&gt;"",$T688&lt;&gt;"N/A",$T688&lt;&gt;"No Min RQ"),_xlpm.ffp,AND($X688&lt;&gt;"",$X688&lt;&gt;"N/A",$X688&lt;&gt;"No Min RQ"),_xlpm.chp,AND($AB688&lt;&gt;"",$AB688&lt;&gt;"N/A",$AB688&lt;&gt;"No Min RQ"),_xlpm.usp,AND($AF688&lt;&gt;"",$AF688&lt;&gt;"N/A",$AF688&lt;&gt;"No Min RQ"),_xlpm.n,_xlpm.sfp+_xlpm.slp+_xlpm.ffp+_xlpm.chp+_xlpm.usp,_xlpm.sub,(_xlpm.sfp*($P688="Submitted"))+(_xlpm.slp*($T688="Submitted"))+(_xlpm.ffp*($X688="Submitted"))+(_xlpm.chp*($AB688="Submitted"))+(_xlpm.usp*($AF688="Submitted")),_xlpm.term,(_xlpm.sfp*OR($P688="Approved",$P688="Declined"))+(_xlpm.slp*OR($T688="Approved",$T688="Declined"))+(_xlpm.ffp*OR($X688="Approved",$X688="Declined"))+(_xlpm.chp*OR($AB688="Approved",$AB688="Declined"))+(_xlpm.usp*OR($AF688="Approved",$AF688="Declined")),IF(_xlpm.n=0,"No applicable lenders",IF(_xlpm.sub&gt;0,"Stays with Shaw - lender still Submitted",IF(_xlpm.term=_xlpm.n,"Clear - all applicable lenders Approved or Declined","Stays with Shaw - not all lenders Approved or Declined")))))</f>
      </c>
    </row>
    <row r="689" spans="80:80">
      <c r="CB689" s="131">
        <f>IF($A689="","",_xlfn.LET(_xlpm.sfp,AND($P689&lt;&gt;"",$P689&lt;&gt;"N/A",$P689&lt;&gt;"No Min RQ"),_xlpm.slp,AND($T689&lt;&gt;"",$T689&lt;&gt;"N/A",$T689&lt;&gt;"No Min RQ"),_xlpm.ffp,AND($X689&lt;&gt;"",$X689&lt;&gt;"N/A",$X689&lt;&gt;"No Min RQ"),_xlpm.chp,AND($AB689&lt;&gt;"",$AB689&lt;&gt;"N/A",$AB689&lt;&gt;"No Min RQ"),_xlpm.usp,AND($AF689&lt;&gt;"",$AF689&lt;&gt;"N/A",$AF689&lt;&gt;"No Min RQ"),_xlpm.n,_xlpm.sfp+_xlpm.slp+_xlpm.ffp+_xlpm.chp+_xlpm.usp,_xlpm.sub,(_xlpm.sfp*($P689="Submitted"))+(_xlpm.slp*($T689="Submitted"))+(_xlpm.ffp*($X689="Submitted"))+(_xlpm.chp*($AB689="Submitted"))+(_xlpm.usp*($AF689="Submitted")),_xlpm.term,(_xlpm.sfp*OR($P689="Approved",$P689="Declined"))+(_xlpm.slp*OR($T689="Approved",$T689="Declined"))+(_xlpm.ffp*OR($X689="Approved",$X689="Declined"))+(_xlpm.chp*OR($AB689="Approved",$AB689="Declined"))+(_xlpm.usp*OR($AF689="Approved",$AF689="Declined")),IF(_xlpm.n=0,"No applicable lenders",IF(_xlpm.sub&gt;0,"Stays with Shaw - lender still Submitted",IF(_xlpm.term=_xlpm.n,"Clear - all applicable lenders Approved or Declined","Stays with Shaw - not all lenders Approved or Declined")))))</f>
      </c>
    </row>
    <row r="690" spans="80:80">
      <c r="CB690" s="131">
        <f>IF($A690="","",_xlfn.LET(_xlpm.sfp,AND($P690&lt;&gt;"",$P690&lt;&gt;"N/A",$P690&lt;&gt;"No Min RQ"),_xlpm.slp,AND($T690&lt;&gt;"",$T690&lt;&gt;"N/A",$T690&lt;&gt;"No Min RQ"),_xlpm.ffp,AND($X690&lt;&gt;"",$X690&lt;&gt;"N/A",$X690&lt;&gt;"No Min RQ"),_xlpm.chp,AND($AB690&lt;&gt;"",$AB690&lt;&gt;"N/A",$AB690&lt;&gt;"No Min RQ"),_xlpm.usp,AND($AF690&lt;&gt;"",$AF690&lt;&gt;"N/A",$AF690&lt;&gt;"No Min RQ"),_xlpm.n,_xlpm.sfp+_xlpm.slp+_xlpm.ffp+_xlpm.chp+_xlpm.usp,_xlpm.sub,(_xlpm.sfp*($P690="Submitted"))+(_xlpm.slp*($T690="Submitted"))+(_xlpm.ffp*($X690="Submitted"))+(_xlpm.chp*($AB690="Submitted"))+(_xlpm.usp*($AF690="Submitted")),_xlpm.term,(_xlpm.sfp*OR($P690="Approved",$P690="Declined"))+(_xlpm.slp*OR($T690="Approved",$T690="Declined"))+(_xlpm.ffp*OR($X690="Approved",$X690="Declined"))+(_xlpm.chp*OR($AB690="Approved",$AB690="Declined"))+(_xlpm.usp*OR($AF690="Approved",$AF690="Declined")),IF(_xlpm.n=0,"No applicable lenders",IF(_xlpm.sub&gt;0,"Stays with Shaw - lender still Submitted",IF(_xlpm.term=_xlpm.n,"Clear - all applicable lenders Approved or Declined","Stays with Shaw - not all lenders Approved or Declined")))))</f>
      </c>
    </row>
    <row r="691" spans="80:80">
      <c r="CB691" s="131">
        <f>IF($A691="","",_xlfn.LET(_xlpm.sfp,AND($P691&lt;&gt;"",$P691&lt;&gt;"N/A",$P691&lt;&gt;"No Min RQ"),_xlpm.slp,AND($T691&lt;&gt;"",$T691&lt;&gt;"N/A",$T691&lt;&gt;"No Min RQ"),_xlpm.ffp,AND($X691&lt;&gt;"",$X691&lt;&gt;"N/A",$X691&lt;&gt;"No Min RQ"),_xlpm.chp,AND($AB691&lt;&gt;"",$AB691&lt;&gt;"N/A",$AB691&lt;&gt;"No Min RQ"),_xlpm.usp,AND($AF691&lt;&gt;"",$AF691&lt;&gt;"N/A",$AF691&lt;&gt;"No Min RQ"),_xlpm.n,_xlpm.sfp+_xlpm.slp+_xlpm.ffp+_xlpm.chp+_xlpm.usp,_xlpm.sub,(_xlpm.sfp*($P691="Submitted"))+(_xlpm.slp*($T691="Submitted"))+(_xlpm.ffp*($X691="Submitted"))+(_xlpm.chp*($AB691="Submitted"))+(_xlpm.usp*($AF691="Submitted")),_xlpm.term,(_xlpm.sfp*OR($P691="Approved",$P691="Declined"))+(_xlpm.slp*OR($T691="Approved",$T691="Declined"))+(_xlpm.ffp*OR($X691="Approved",$X691="Declined"))+(_xlpm.chp*OR($AB691="Approved",$AB691="Declined"))+(_xlpm.usp*OR($AF691="Approved",$AF691="Declined")),IF(_xlpm.n=0,"No applicable lenders",IF(_xlpm.sub&gt;0,"Stays with Shaw - lender still Submitted",IF(_xlpm.term=_xlpm.n,"Clear - all applicable lenders Approved or Declined","Stays with Shaw - not all lenders Approved or Declined")))))</f>
      </c>
    </row>
    <row r="692" spans="80:80">
      <c r="CB692" s="131">
        <f>IF($A692="","",_xlfn.LET(_xlpm.sfp,AND($P692&lt;&gt;"",$P692&lt;&gt;"N/A",$P692&lt;&gt;"No Min RQ"),_xlpm.slp,AND($T692&lt;&gt;"",$T692&lt;&gt;"N/A",$T692&lt;&gt;"No Min RQ"),_xlpm.ffp,AND($X692&lt;&gt;"",$X692&lt;&gt;"N/A",$X692&lt;&gt;"No Min RQ"),_xlpm.chp,AND($AB692&lt;&gt;"",$AB692&lt;&gt;"N/A",$AB692&lt;&gt;"No Min RQ"),_xlpm.usp,AND($AF692&lt;&gt;"",$AF692&lt;&gt;"N/A",$AF692&lt;&gt;"No Min RQ"),_xlpm.n,_xlpm.sfp+_xlpm.slp+_xlpm.ffp+_xlpm.chp+_xlpm.usp,_xlpm.sub,(_xlpm.sfp*($P692="Submitted"))+(_xlpm.slp*($T692="Submitted"))+(_xlpm.ffp*($X692="Submitted"))+(_xlpm.chp*($AB692="Submitted"))+(_xlpm.usp*($AF692="Submitted")),_xlpm.term,(_xlpm.sfp*OR($P692="Approved",$P692="Declined"))+(_xlpm.slp*OR($T692="Approved",$T692="Declined"))+(_xlpm.ffp*OR($X692="Approved",$X692="Declined"))+(_xlpm.chp*OR($AB692="Approved",$AB692="Declined"))+(_xlpm.usp*OR($AF692="Approved",$AF692="Declined")),IF(_xlpm.n=0,"No applicable lenders",IF(_xlpm.sub&gt;0,"Stays with Shaw - lender still Submitted",IF(_xlpm.term=_xlpm.n,"Clear - all applicable lenders Approved or Declined","Stays with Shaw - not all lenders Approved or Declined")))))</f>
      </c>
    </row>
    <row r="693" spans="80:80">
      <c r="CB693" s="131">
        <f>IF($A693="","",_xlfn.LET(_xlpm.sfp,AND($P693&lt;&gt;"",$P693&lt;&gt;"N/A",$P693&lt;&gt;"No Min RQ"),_xlpm.slp,AND($T693&lt;&gt;"",$T693&lt;&gt;"N/A",$T693&lt;&gt;"No Min RQ"),_xlpm.ffp,AND($X693&lt;&gt;"",$X693&lt;&gt;"N/A",$X693&lt;&gt;"No Min RQ"),_xlpm.chp,AND($AB693&lt;&gt;"",$AB693&lt;&gt;"N/A",$AB693&lt;&gt;"No Min RQ"),_xlpm.usp,AND($AF693&lt;&gt;"",$AF693&lt;&gt;"N/A",$AF693&lt;&gt;"No Min RQ"),_xlpm.n,_xlpm.sfp+_xlpm.slp+_xlpm.ffp+_xlpm.chp+_xlpm.usp,_xlpm.sub,(_xlpm.sfp*($P693="Submitted"))+(_xlpm.slp*($T693="Submitted"))+(_xlpm.ffp*($X693="Submitted"))+(_xlpm.chp*($AB693="Submitted"))+(_xlpm.usp*($AF693="Submitted")),_xlpm.term,(_xlpm.sfp*OR($P693="Approved",$P693="Declined"))+(_xlpm.slp*OR($T693="Approved",$T693="Declined"))+(_xlpm.ffp*OR($X693="Approved",$X693="Declined"))+(_xlpm.chp*OR($AB693="Approved",$AB693="Declined"))+(_xlpm.usp*OR($AF693="Approved",$AF693="Declined")),IF(_xlpm.n=0,"No applicable lenders",IF(_xlpm.sub&gt;0,"Stays with Shaw - lender still Submitted",IF(_xlpm.term=_xlpm.n,"Clear - all applicable lenders Approved or Declined","Stays with Shaw - not all lenders Approved or Declined")))))</f>
      </c>
    </row>
    <row r="694" spans="80:80">
      <c r="CB694" s="131">
        <f>IF($A694="","",_xlfn.LET(_xlpm.sfp,AND($P694&lt;&gt;"",$P694&lt;&gt;"N/A",$P694&lt;&gt;"No Min RQ"),_xlpm.slp,AND($T694&lt;&gt;"",$T694&lt;&gt;"N/A",$T694&lt;&gt;"No Min RQ"),_xlpm.ffp,AND($X694&lt;&gt;"",$X694&lt;&gt;"N/A",$X694&lt;&gt;"No Min RQ"),_xlpm.chp,AND($AB694&lt;&gt;"",$AB694&lt;&gt;"N/A",$AB694&lt;&gt;"No Min RQ"),_xlpm.usp,AND($AF694&lt;&gt;"",$AF694&lt;&gt;"N/A",$AF694&lt;&gt;"No Min RQ"),_xlpm.n,_xlpm.sfp+_xlpm.slp+_xlpm.ffp+_xlpm.chp+_xlpm.usp,_xlpm.sub,(_xlpm.sfp*($P694="Submitted"))+(_xlpm.slp*($T694="Submitted"))+(_xlpm.ffp*($X694="Submitted"))+(_xlpm.chp*($AB694="Submitted"))+(_xlpm.usp*($AF694="Submitted")),_xlpm.term,(_xlpm.sfp*OR($P694="Approved",$P694="Declined"))+(_xlpm.slp*OR($T694="Approved",$T694="Declined"))+(_xlpm.ffp*OR($X694="Approved",$X694="Declined"))+(_xlpm.chp*OR($AB694="Approved",$AB694="Declined"))+(_xlpm.usp*OR($AF694="Approved",$AF694="Declined")),IF(_xlpm.n=0,"No applicable lenders",IF(_xlpm.sub&gt;0,"Stays with Shaw - lender still Submitted",IF(_xlpm.term=_xlpm.n,"Clear - all applicable lenders Approved or Declined","Stays with Shaw - not all lenders Approved or Declined")))))</f>
      </c>
    </row>
    <row r="695" spans="80:80">
      <c r="CB695" s="131">
        <f>IF($A695="","",_xlfn.LET(_xlpm.sfp,AND($P695&lt;&gt;"",$P695&lt;&gt;"N/A",$P695&lt;&gt;"No Min RQ"),_xlpm.slp,AND($T695&lt;&gt;"",$T695&lt;&gt;"N/A",$T695&lt;&gt;"No Min RQ"),_xlpm.ffp,AND($X695&lt;&gt;"",$X695&lt;&gt;"N/A",$X695&lt;&gt;"No Min RQ"),_xlpm.chp,AND($AB695&lt;&gt;"",$AB695&lt;&gt;"N/A",$AB695&lt;&gt;"No Min RQ"),_xlpm.usp,AND($AF695&lt;&gt;"",$AF695&lt;&gt;"N/A",$AF695&lt;&gt;"No Min RQ"),_xlpm.n,_xlpm.sfp+_xlpm.slp+_xlpm.ffp+_xlpm.chp+_xlpm.usp,_xlpm.sub,(_xlpm.sfp*($P695="Submitted"))+(_xlpm.slp*($T695="Submitted"))+(_xlpm.ffp*($X695="Submitted"))+(_xlpm.chp*($AB695="Submitted"))+(_xlpm.usp*($AF695="Submitted")),_xlpm.term,(_xlpm.sfp*OR($P695="Approved",$P695="Declined"))+(_xlpm.slp*OR($T695="Approved",$T695="Declined"))+(_xlpm.ffp*OR($X695="Approved",$X695="Declined"))+(_xlpm.chp*OR($AB695="Approved",$AB695="Declined"))+(_xlpm.usp*OR($AF695="Approved",$AF695="Declined")),IF(_xlpm.n=0,"No applicable lenders",IF(_xlpm.sub&gt;0,"Stays with Shaw - lender still Submitted",IF(_xlpm.term=_xlpm.n,"Clear - all applicable lenders Approved or Declined","Stays with Shaw - not all lenders Approved or Declined")))))</f>
      </c>
    </row>
    <row r="696" spans="80:80">
      <c r="CB696" s="131">
        <f>IF($A696="","",_xlfn.LET(_xlpm.sfp,AND($P696&lt;&gt;"",$P696&lt;&gt;"N/A",$P696&lt;&gt;"No Min RQ"),_xlpm.slp,AND($T696&lt;&gt;"",$T696&lt;&gt;"N/A",$T696&lt;&gt;"No Min RQ"),_xlpm.ffp,AND($X696&lt;&gt;"",$X696&lt;&gt;"N/A",$X696&lt;&gt;"No Min RQ"),_xlpm.chp,AND($AB696&lt;&gt;"",$AB696&lt;&gt;"N/A",$AB696&lt;&gt;"No Min RQ"),_xlpm.usp,AND($AF696&lt;&gt;"",$AF696&lt;&gt;"N/A",$AF696&lt;&gt;"No Min RQ"),_xlpm.n,_xlpm.sfp+_xlpm.slp+_xlpm.ffp+_xlpm.chp+_xlpm.usp,_xlpm.sub,(_xlpm.sfp*($P696="Submitted"))+(_xlpm.slp*($T696="Submitted"))+(_xlpm.ffp*($X696="Submitted"))+(_xlpm.chp*($AB696="Submitted"))+(_xlpm.usp*($AF696="Submitted")),_xlpm.term,(_xlpm.sfp*OR($P696="Approved",$P696="Declined"))+(_xlpm.slp*OR($T696="Approved",$T696="Declined"))+(_xlpm.ffp*OR($X696="Approved",$X696="Declined"))+(_xlpm.chp*OR($AB696="Approved",$AB696="Declined"))+(_xlpm.usp*OR($AF696="Approved",$AF696="Declined")),IF(_xlpm.n=0,"No applicable lenders",IF(_xlpm.sub&gt;0,"Stays with Shaw - lender still Submitted",IF(_xlpm.term=_xlpm.n,"Clear - all applicable lenders Approved or Declined","Stays with Shaw - not all lenders Approved or Declined")))))</f>
      </c>
    </row>
    <row r="697" spans="80:80">
      <c r="CB697" s="131">
        <f>IF($A697="","",_xlfn.LET(_xlpm.sfp,AND($P697&lt;&gt;"",$P697&lt;&gt;"N/A",$P697&lt;&gt;"No Min RQ"),_xlpm.slp,AND($T697&lt;&gt;"",$T697&lt;&gt;"N/A",$T697&lt;&gt;"No Min RQ"),_xlpm.ffp,AND($X697&lt;&gt;"",$X697&lt;&gt;"N/A",$X697&lt;&gt;"No Min RQ"),_xlpm.chp,AND($AB697&lt;&gt;"",$AB697&lt;&gt;"N/A",$AB697&lt;&gt;"No Min RQ"),_xlpm.usp,AND($AF697&lt;&gt;"",$AF697&lt;&gt;"N/A",$AF697&lt;&gt;"No Min RQ"),_xlpm.n,_xlpm.sfp+_xlpm.slp+_xlpm.ffp+_xlpm.chp+_xlpm.usp,_xlpm.sub,(_xlpm.sfp*($P697="Submitted"))+(_xlpm.slp*($T697="Submitted"))+(_xlpm.ffp*($X697="Submitted"))+(_xlpm.chp*($AB697="Submitted"))+(_xlpm.usp*($AF697="Submitted")),_xlpm.term,(_xlpm.sfp*OR($P697="Approved",$P697="Declined"))+(_xlpm.slp*OR($T697="Approved",$T697="Declined"))+(_xlpm.ffp*OR($X697="Approved",$X697="Declined"))+(_xlpm.chp*OR($AB697="Approved",$AB697="Declined"))+(_xlpm.usp*OR($AF697="Approved",$AF697="Declined")),IF(_xlpm.n=0,"No applicable lenders",IF(_xlpm.sub&gt;0,"Stays with Shaw - lender still Submitted",IF(_xlpm.term=_xlpm.n,"Clear - all applicable lenders Approved or Declined","Stays with Shaw - not all lenders Approved or Declined")))))</f>
      </c>
    </row>
    <row r="698" spans="80:80">
      <c r="CB698" s="131">
        <f>IF($A698="","",_xlfn.LET(_xlpm.sfp,AND($P698&lt;&gt;"",$P698&lt;&gt;"N/A",$P698&lt;&gt;"No Min RQ"),_xlpm.slp,AND($T698&lt;&gt;"",$T698&lt;&gt;"N/A",$T698&lt;&gt;"No Min RQ"),_xlpm.ffp,AND($X698&lt;&gt;"",$X698&lt;&gt;"N/A",$X698&lt;&gt;"No Min RQ"),_xlpm.chp,AND($AB698&lt;&gt;"",$AB698&lt;&gt;"N/A",$AB698&lt;&gt;"No Min RQ"),_xlpm.usp,AND($AF698&lt;&gt;"",$AF698&lt;&gt;"N/A",$AF698&lt;&gt;"No Min RQ"),_xlpm.n,_xlpm.sfp+_xlpm.slp+_xlpm.ffp+_xlpm.chp+_xlpm.usp,_xlpm.sub,(_xlpm.sfp*($P698="Submitted"))+(_xlpm.slp*($T698="Submitted"))+(_xlpm.ffp*($X698="Submitted"))+(_xlpm.chp*($AB698="Submitted"))+(_xlpm.usp*($AF698="Submitted")),_xlpm.term,(_xlpm.sfp*OR($P698="Approved",$P698="Declined"))+(_xlpm.slp*OR($T698="Approved",$T698="Declined"))+(_xlpm.ffp*OR($X698="Approved",$X698="Declined"))+(_xlpm.chp*OR($AB698="Approved",$AB698="Declined"))+(_xlpm.usp*OR($AF698="Approved",$AF698="Declined")),IF(_xlpm.n=0,"No applicable lenders",IF(_xlpm.sub&gt;0,"Stays with Shaw - lender still Submitted",IF(_xlpm.term=_xlpm.n,"Clear - all applicable lenders Approved or Declined","Stays with Shaw - not all lenders Approved or Declined")))))</f>
      </c>
    </row>
    <row r="699" spans="80:80">
      <c r="CB699" s="131">
        <f>IF($A699="","",_xlfn.LET(_xlpm.sfp,AND($P699&lt;&gt;"",$P699&lt;&gt;"N/A",$P699&lt;&gt;"No Min RQ"),_xlpm.slp,AND($T699&lt;&gt;"",$T699&lt;&gt;"N/A",$T699&lt;&gt;"No Min RQ"),_xlpm.ffp,AND($X699&lt;&gt;"",$X699&lt;&gt;"N/A",$X699&lt;&gt;"No Min RQ"),_xlpm.chp,AND($AB699&lt;&gt;"",$AB699&lt;&gt;"N/A",$AB699&lt;&gt;"No Min RQ"),_xlpm.usp,AND($AF699&lt;&gt;"",$AF699&lt;&gt;"N/A",$AF699&lt;&gt;"No Min RQ"),_xlpm.n,_xlpm.sfp+_xlpm.slp+_xlpm.ffp+_xlpm.chp+_xlpm.usp,_xlpm.sub,(_xlpm.sfp*($P699="Submitted"))+(_xlpm.slp*($T699="Submitted"))+(_xlpm.ffp*($X699="Submitted"))+(_xlpm.chp*($AB699="Submitted"))+(_xlpm.usp*($AF699="Submitted")),_xlpm.term,(_xlpm.sfp*OR($P699="Approved",$P699="Declined"))+(_xlpm.slp*OR($T699="Approved",$T699="Declined"))+(_xlpm.ffp*OR($X699="Approved",$X699="Declined"))+(_xlpm.chp*OR($AB699="Approved",$AB699="Declined"))+(_xlpm.usp*OR($AF699="Approved",$AF699="Declined")),IF(_xlpm.n=0,"No applicable lenders",IF(_xlpm.sub&gt;0,"Stays with Shaw - lender still Submitted",IF(_xlpm.term=_xlpm.n,"Clear - all applicable lenders Approved or Declined","Stays with Shaw - not all lenders Approved or Declined")))))</f>
      </c>
    </row>
    <row r="700" spans="80:80">
      <c r="CB700" s="131">
        <f>IF($A700="","",_xlfn.LET(_xlpm.sfp,AND($P700&lt;&gt;"",$P700&lt;&gt;"N/A",$P700&lt;&gt;"No Min RQ"),_xlpm.slp,AND($T700&lt;&gt;"",$T700&lt;&gt;"N/A",$T700&lt;&gt;"No Min RQ"),_xlpm.ffp,AND($X700&lt;&gt;"",$X700&lt;&gt;"N/A",$X700&lt;&gt;"No Min RQ"),_xlpm.chp,AND($AB700&lt;&gt;"",$AB700&lt;&gt;"N/A",$AB700&lt;&gt;"No Min RQ"),_xlpm.usp,AND($AF700&lt;&gt;"",$AF700&lt;&gt;"N/A",$AF700&lt;&gt;"No Min RQ"),_xlpm.n,_xlpm.sfp+_xlpm.slp+_xlpm.ffp+_xlpm.chp+_xlpm.usp,_xlpm.sub,(_xlpm.sfp*($P700="Submitted"))+(_xlpm.slp*($T700="Submitted"))+(_xlpm.ffp*($X700="Submitted"))+(_xlpm.chp*($AB700="Submitted"))+(_xlpm.usp*($AF700="Submitted")),_xlpm.term,(_xlpm.sfp*OR($P700="Approved",$P700="Declined"))+(_xlpm.slp*OR($T700="Approved",$T700="Declined"))+(_xlpm.ffp*OR($X700="Approved",$X700="Declined"))+(_xlpm.chp*OR($AB700="Approved",$AB700="Declined"))+(_xlpm.usp*OR($AF700="Approved",$AF700="Declined")),IF(_xlpm.n=0,"No applicable lenders",IF(_xlpm.sub&gt;0,"Stays with Shaw - lender still Submitted",IF(_xlpm.term=_xlpm.n,"Clear - all applicable lenders Approved or Declined","Stays with Shaw - not all lenders Approved or Declined")))))</f>
      </c>
    </row>
    <row r="701" spans="80:80">
      <c r="CB701" s="131">
        <f>IF($A701="","",_xlfn.LET(_xlpm.sfp,AND($P701&lt;&gt;"",$P701&lt;&gt;"N/A",$P701&lt;&gt;"No Min RQ"),_xlpm.slp,AND($T701&lt;&gt;"",$T701&lt;&gt;"N/A",$T701&lt;&gt;"No Min RQ"),_xlpm.ffp,AND($X701&lt;&gt;"",$X701&lt;&gt;"N/A",$X701&lt;&gt;"No Min RQ"),_xlpm.chp,AND($AB701&lt;&gt;"",$AB701&lt;&gt;"N/A",$AB701&lt;&gt;"No Min RQ"),_xlpm.usp,AND($AF701&lt;&gt;"",$AF701&lt;&gt;"N/A",$AF701&lt;&gt;"No Min RQ"),_xlpm.n,_xlpm.sfp+_xlpm.slp+_xlpm.ffp+_xlpm.chp+_xlpm.usp,_xlpm.sub,(_xlpm.sfp*($P701="Submitted"))+(_xlpm.slp*($T701="Submitted"))+(_xlpm.ffp*($X701="Submitted"))+(_xlpm.chp*($AB701="Submitted"))+(_xlpm.usp*($AF701="Submitted")),_xlpm.term,(_xlpm.sfp*OR($P701="Approved",$P701="Declined"))+(_xlpm.slp*OR($T701="Approved",$T701="Declined"))+(_xlpm.ffp*OR($X701="Approved",$X701="Declined"))+(_xlpm.chp*OR($AB701="Approved",$AB701="Declined"))+(_xlpm.usp*OR($AF701="Approved",$AF701="Declined")),IF(_xlpm.n=0,"No applicable lenders",IF(_xlpm.sub&gt;0,"Stays with Shaw - lender still Submitted",IF(_xlpm.term=_xlpm.n,"Clear - all applicable lenders Approved or Declined","Stays with Shaw - not all lenders Approved or Declined")))))</f>
      </c>
    </row>
    <row r="702" spans="80:80">
      <c r="CB702" s="131">
        <f>IF($A702="","",_xlfn.LET(_xlpm.sfp,AND($P702&lt;&gt;"",$P702&lt;&gt;"N/A",$P702&lt;&gt;"No Min RQ"),_xlpm.slp,AND($T702&lt;&gt;"",$T702&lt;&gt;"N/A",$T702&lt;&gt;"No Min RQ"),_xlpm.ffp,AND($X702&lt;&gt;"",$X702&lt;&gt;"N/A",$X702&lt;&gt;"No Min RQ"),_xlpm.chp,AND($AB702&lt;&gt;"",$AB702&lt;&gt;"N/A",$AB702&lt;&gt;"No Min RQ"),_xlpm.usp,AND($AF702&lt;&gt;"",$AF702&lt;&gt;"N/A",$AF702&lt;&gt;"No Min RQ"),_xlpm.n,_xlpm.sfp+_xlpm.slp+_xlpm.ffp+_xlpm.chp+_xlpm.usp,_xlpm.sub,(_xlpm.sfp*($P702="Submitted"))+(_xlpm.slp*($T702="Submitted"))+(_xlpm.ffp*($X702="Submitted"))+(_xlpm.chp*($AB702="Submitted"))+(_xlpm.usp*($AF702="Submitted")),_xlpm.term,(_xlpm.sfp*OR($P702="Approved",$P702="Declined"))+(_xlpm.slp*OR($T702="Approved",$T702="Declined"))+(_xlpm.ffp*OR($X702="Approved",$X702="Declined"))+(_xlpm.chp*OR($AB702="Approved",$AB702="Declined"))+(_xlpm.usp*OR($AF702="Approved",$AF702="Declined")),IF(_xlpm.n=0,"No applicable lenders",IF(_xlpm.sub&gt;0,"Stays with Shaw - lender still Submitted",IF(_xlpm.term=_xlpm.n,"Clear - all applicable lenders Approved or Declined","Stays with Shaw - not all lenders Approved or Declined")))))</f>
      </c>
    </row>
    <row r="703" spans="80:80">
      <c r="CB703" s="131">
        <f>IF($A703="","",_xlfn.LET(_xlpm.sfp,AND($P703&lt;&gt;"",$P703&lt;&gt;"N/A",$P703&lt;&gt;"No Min RQ"),_xlpm.slp,AND($T703&lt;&gt;"",$T703&lt;&gt;"N/A",$T703&lt;&gt;"No Min RQ"),_xlpm.ffp,AND($X703&lt;&gt;"",$X703&lt;&gt;"N/A",$X703&lt;&gt;"No Min RQ"),_xlpm.chp,AND($AB703&lt;&gt;"",$AB703&lt;&gt;"N/A",$AB703&lt;&gt;"No Min RQ"),_xlpm.usp,AND($AF703&lt;&gt;"",$AF703&lt;&gt;"N/A",$AF703&lt;&gt;"No Min RQ"),_xlpm.n,_xlpm.sfp+_xlpm.slp+_xlpm.ffp+_xlpm.chp+_xlpm.usp,_xlpm.sub,(_xlpm.sfp*($P703="Submitted"))+(_xlpm.slp*($T703="Submitted"))+(_xlpm.ffp*($X703="Submitted"))+(_xlpm.chp*($AB703="Submitted"))+(_xlpm.usp*($AF703="Submitted")),_xlpm.term,(_xlpm.sfp*OR($P703="Approved",$P703="Declined"))+(_xlpm.slp*OR($T703="Approved",$T703="Declined"))+(_xlpm.ffp*OR($X703="Approved",$X703="Declined"))+(_xlpm.chp*OR($AB703="Approved",$AB703="Declined"))+(_xlpm.usp*OR($AF703="Approved",$AF703="Declined")),IF(_xlpm.n=0,"No applicable lenders",IF(_xlpm.sub&gt;0,"Stays with Shaw - lender still Submitted",IF(_xlpm.term=_xlpm.n,"Clear - all applicable lenders Approved or Declined","Stays with Shaw - not all lenders Approved or Declined")))))</f>
      </c>
    </row>
    <row r="704" spans="80:80">
      <c r="CB704" s="131">
        <f>IF($A704="","",_xlfn.LET(_xlpm.sfp,AND($P704&lt;&gt;"",$P704&lt;&gt;"N/A",$P704&lt;&gt;"No Min RQ"),_xlpm.slp,AND($T704&lt;&gt;"",$T704&lt;&gt;"N/A",$T704&lt;&gt;"No Min RQ"),_xlpm.ffp,AND($X704&lt;&gt;"",$X704&lt;&gt;"N/A",$X704&lt;&gt;"No Min RQ"),_xlpm.chp,AND($AB704&lt;&gt;"",$AB704&lt;&gt;"N/A",$AB704&lt;&gt;"No Min RQ"),_xlpm.usp,AND($AF704&lt;&gt;"",$AF704&lt;&gt;"N/A",$AF704&lt;&gt;"No Min RQ"),_xlpm.n,_xlpm.sfp+_xlpm.slp+_xlpm.ffp+_xlpm.chp+_xlpm.usp,_xlpm.sub,(_xlpm.sfp*($P704="Submitted"))+(_xlpm.slp*($T704="Submitted"))+(_xlpm.ffp*($X704="Submitted"))+(_xlpm.chp*($AB704="Submitted"))+(_xlpm.usp*($AF704="Submitted")),_xlpm.term,(_xlpm.sfp*OR($P704="Approved",$P704="Declined"))+(_xlpm.slp*OR($T704="Approved",$T704="Declined"))+(_xlpm.ffp*OR($X704="Approved",$X704="Declined"))+(_xlpm.chp*OR($AB704="Approved",$AB704="Declined"))+(_xlpm.usp*OR($AF704="Approved",$AF704="Declined")),IF(_xlpm.n=0,"No applicable lenders",IF(_xlpm.sub&gt;0,"Stays with Shaw - lender still Submitted",IF(_xlpm.term=_xlpm.n,"Clear - all applicable lenders Approved or Declined","Stays with Shaw - not all lenders Approved or Declined")))))</f>
      </c>
    </row>
    <row r="705" spans="80:80">
      <c r="CB705" s="131">
        <f>IF($A705="","",_xlfn.LET(_xlpm.sfp,AND($P705&lt;&gt;"",$P705&lt;&gt;"N/A",$P705&lt;&gt;"No Min RQ"),_xlpm.slp,AND($T705&lt;&gt;"",$T705&lt;&gt;"N/A",$T705&lt;&gt;"No Min RQ"),_xlpm.ffp,AND($X705&lt;&gt;"",$X705&lt;&gt;"N/A",$X705&lt;&gt;"No Min RQ"),_xlpm.chp,AND($AB705&lt;&gt;"",$AB705&lt;&gt;"N/A",$AB705&lt;&gt;"No Min RQ"),_xlpm.usp,AND($AF705&lt;&gt;"",$AF705&lt;&gt;"N/A",$AF705&lt;&gt;"No Min RQ"),_xlpm.n,_xlpm.sfp+_xlpm.slp+_xlpm.ffp+_xlpm.chp+_xlpm.usp,_xlpm.sub,(_xlpm.sfp*($P705="Submitted"))+(_xlpm.slp*($T705="Submitted"))+(_xlpm.ffp*($X705="Submitted"))+(_xlpm.chp*($AB705="Submitted"))+(_xlpm.usp*($AF705="Submitted")),_xlpm.term,(_xlpm.sfp*OR($P705="Approved",$P705="Declined"))+(_xlpm.slp*OR($T705="Approved",$T705="Declined"))+(_xlpm.ffp*OR($X705="Approved",$X705="Declined"))+(_xlpm.chp*OR($AB705="Approved",$AB705="Declined"))+(_xlpm.usp*OR($AF705="Approved",$AF705="Declined")),IF(_xlpm.n=0,"No applicable lenders",IF(_xlpm.sub&gt;0,"Stays with Shaw - lender still Submitted",IF(_xlpm.term=_xlpm.n,"Clear - all applicable lenders Approved or Declined","Stays with Shaw - not all lenders Approved or Declined")))))</f>
      </c>
    </row>
    <row r="706" spans="80:80">
      <c r="CB706" s="131">
        <f>IF($A706="","",_xlfn.LET(_xlpm.sfp,AND($P706&lt;&gt;"",$P706&lt;&gt;"N/A",$P706&lt;&gt;"No Min RQ"),_xlpm.slp,AND($T706&lt;&gt;"",$T706&lt;&gt;"N/A",$T706&lt;&gt;"No Min RQ"),_xlpm.ffp,AND($X706&lt;&gt;"",$X706&lt;&gt;"N/A",$X706&lt;&gt;"No Min RQ"),_xlpm.chp,AND($AB706&lt;&gt;"",$AB706&lt;&gt;"N/A",$AB706&lt;&gt;"No Min RQ"),_xlpm.usp,AND($AF706&lt;&gt;"",$AF706&lt;&gt;"N/A",$AF706&lt;&gt;"No Min RQ"),_xlpm.n,_xlpm.sfp+_xlpm.slp+_xlpm.ffp+_xlpm.chp+_xlpm.usp,_xlpm.sub,(_xlpm.sfp*($P706="Submitted"))+(_xlpm.slp*($T706="Submitted"))+(_xlpm.ffp*($X706="Submitted"))+(_xlpm.chp*($AB706="Submitted"))+(_xlpm.usp*($AF706="Submitted")),_xlpm.term,(_xlpm.sfp*OR($P706="Approved",$P706="Declined"))+(_xlpm.slp*OR($T706="Approved",$T706="Declined"))+(_xlpm.ffp*OR($X706="Approved",$X706="Declined"))+(_xlpm.chp*OR($AB706="Approved",$AB706="Declined"))+(_xlpm.usp*OR($AF706="Approved",$AF706="Declined")),IF(_xlpm.n=0,"No applicable lenders",IF(_xlpm.sub&gt;0,"Stays with Shaw - lender still Submitted",IF(_xlpm.term=_xlpm.n,"Clear - all applicable lenders Approved or Declined","Stays with Shaw - not all lenders Approved or Declined")))))</f>
      </c>
    </row>
    <row r="707" spans="80:80">
      <c r="CB707" s="131">
        <f>IF($A707="","",_xlfn.LET(_xlpm.sfp,AND($P707&lt;&gt;"",$P707&lt;&gt;"N/A",$P707&lt;&gt;"No Min RQ"),_xlpm.slp,AND($T707&lt;&gt;"",$T707&lt;&gt;"N/A",$T707&lt;&gt;"No Min RQ"),_xlpm.ffp,AND($X707&lt;&gt;"",$X707&lt;&gt;"N/A",$X707&lt;&gt;"No Min RQ"),_xlpm.chp,AND($AB707&lt;&gt;"",$AB707&lt;&gt;"N/A",$AB707&lt;&gt;"No Min RQ"),_xlpm.usp,AND($AF707&lt;&gt;"",$AF707&lt;&gt;"N/A",$AF707&lt;&gt;"No Min RQ"),_xlpm.n,_xlpm.sfp+_xlpm.slp+_xlpm.ffp+_xlpm.chp+_xlpm.usp,_xlpm.sub,(_xlpm.sfp*($P707="Submitted"))+(_xlpm.slp*($T707="Submitted"))+(_xlpm.ffp*($X707="Submitted"))+(_xlpm.chp*($AB707="Submitted"))+(_xlpm.usp*($AF707="Submitted")),_xlpm.term,(_xlpm.sfp*OR($P707="Approved",$P707="Declined"))+(_xlpm.slp*OR($T707="Approved",$T707="Declined"))+(_xlpm.ffp*OR($X707="Approved",$X707="Declined"))+(_xlpm.chp*OR($AB707="Approved",$AB707="Declined"))+(_xlpm.usp*OR($AF707="Approved",$AF707="Declined")),IF(_xlpm.n=0,"No applicable lenders",IF(_xlpm.sub&gt;0,"Stays with Shaw - lender still Submitted",IF(_xlpm.term=_xlpm.n,"Clear - all applicable lenders Approved or Declined","Stays with Shaw - not all lenders Approved or Declined")))))</f>
      </c>
    </row>
    <row r="708" spans="80:80">
      <c r="CB708" s="131">
        <f>IF($A708="","",_xlfn.LET(_xlpm.sfp,AND($P708&lt;&gt;"",$P708&lt;&gt;"N/A",$P708&lt;&gt;"No Min RQ"),_xlpm.slp,AND($T708&lt;&gt;"",$T708&lt;&gt;"N/A",$T708&lt;&gt;"No Min RQ"),_xlpm.ffp,AND($X708&lt;&gt;"",$X708&lt;&gt;"N/A",$X708&lt;&gt;"No Min RQ"),_xlpm.chp,AND($AB708&lt;&gt;"",$AB708&lt;&gt;"N/A",$AB708&lt;&gt;"No Min RQ"),_xlpm.usp,AND($AF708&lt;&gt;"",$AF708&lt;&gt;"N/A",$AF708&lt;&gt;"No Min RQ"),_xlpm.n,_xlpm.sfp+_xlpm.slp+_xlpm.ffp+_xlpm.chp+_xlpm.usp,_xlpm.sub,(_xlpm.sfp*($P708="Submitted"))+(_xlpm.slp*($T708="Submitted"))+(_xlpm.ffp*($X708="Submitted"))+(_xlpm.chp*($AB708="Submitted"))+(_xlpm.usp*($AF708="Submitted")),_xlpm.term,(_xlpm.sfp*OR($P708="Approved",$P708="Declined"))+(_xlpm.slp*OR($T708="Approved",$T708="Declined"))+(_xlpm.ffp*OR($X708="Approved",$X708="Declined"))+(_xlpm.chp*OR($AB708="Approved",$AB708="Declined"))+(_xlpm.usp*OR($AF708="Approved",$AF708="Declined")),IF(_xlpm.n=0,"No applicable lenders",IF(_xlpm.sub&gt;0,"Stays with Shaw - lender still Submitted",IF(_xlpm.term=_xlpm.n,"Clear - all applicable lenders Approved or Declined","Stays with Shaw - not all lenders Approved or Declined")))))</f>
      </c>
    </row>
    <row r="709" spans="80:80">
      <c r="CB709" s="131">
        <f>IF($A709="","",_xlfn.LET(_xlpm.sfp,AND($P709&lt;&gt;"",$P709&lt;&gt;"N/A",$P709&lt;&gt;"No Min RQ"),_xlpm.slp,AND($T709&lt;&gt;"",$T709&lt;&gt;"N/A",$T709&lt;&gt;"No Min RQ"),_xlpm.ffp,AND($X709&lt;&gt;"",$X709&lt;&gt;"N/A",$X709&lt;&gt;"No Min RQ"),_xlpm.chp,AND($AB709&lt;&gt;"",$AB709&lt;&gt;"N/A",$AB709&lt;&gt;"No Min RQ"),_xlpm.usp,AND($AF709&lt;&gt;"",$AF709&lt;&gt;"N/A",$AF709&lt;&gt;"No Min RQ"),_xlpm.n,_xlpm.sfp+_xlpm.slp+_xlpm.ffp+_xlpm.chp+_xlpm.usp,_xlpm.sub,(_xlpm.sfp*($P709="Submitted"))+(_xlpm.slp*($T709="Submitted"))+(_xlpm.ffp*($X709="Submitted"))+(_xlpm.chp*($AB709="Submitted"))+(_xlpm.usp*($AF709="Submitted")),_xlpm.term,(_xlpm.sfp*OR($P709="Approved",$P709="Declined"))+(_xlpm.slp*OR($T709="Approved",$T709="Declined"))+(_xlpm.ffp*OR($X709="Approved",$X709="Declined"))+(_xlpm.chp*OR($AB709="Approved",$AB709="Declined"))+(_xlpm.usp*OR($AF709="Approved",$AF709="Declined")),IF(_xlpm.n=0,"No applicable lenders",IF(_xlpm.sub&gt;0,"Stays with Shaw - lender still Submitted",IF(_xlpm.term=_xlpm.n,"Clear - all applicable lenders Approved or Declined","Stays with Shaw - not all lenders Approved or Declined")))))</f>
      </c>
    </row>
    <row r="710" spans="80:80">
      <c r="CB710" s="131">
        <f>IF($A710="","",_xlfn.LET(_xlpm.sfp,AND($P710&lt;&gt;"",$P710&lt;&gt;"N/A",$P710&lt;&gt;"No Min RQ"),_xlpm.slp,AND($T710&lt;&gt;"",$T710&lt;&gt;"N/A",$T710&lt;&gt;"No Min RQ"),_xlpm.ffp,AND($X710&lt;&gt;"",$X710&lt;&gt;"N/A",$X710&lt;&gt;"No Min RQ"),_xlpm.chp,AND($AB710&lt;&gt;"",$AB710&lt;&gt;"N/A",$AB710&lt;&gt;"No Min RQ"),_xlpm.usp,AND($AF710&lt;&gt;"",$AF710&lt;&gt;"N/A",$AF710&lt;&gt;"No Min RQ"),_xlpm.n,_xlpm.sfp+_xlpm.slp+_xlpm.ffp+_xlpm.chp+_xlpm.usp,_xlpm.sub,(_xlpm.sfp*($P710="Submitted"))+(_xlpm.slp*($T710="Submitted"))+(_xlpm.ffp*($X710="Submitted"))+(_xlpm.chp*($AB710="Submitted"))+(_xlpm.usp*($AF710="Submitted")),_xlpm.term,(_xlpm.sfp*OR($P710="Approved",$P710="Declined"))+(_xlpm.slp*OR($T710="Approved",$T710="Declined"))+(_xlpm.ffp*OR($X710="Approved",$X710="Declined"))+(_xlpm.chp*OR($AB710="Approved",$AB710="Declined"))+(_xlpm.usp*OR($AF710="Approved",$AF710="Declined")),IF(_xlpm.n=0,"No applicable lenders",IF(_xlpm.sub&gt;0,"Stays with Shaw - lender still Submitted",IF(_xlpm.term=_xlpm.n,"Clear - all applicable lenders Approved or Declined","Stays with Shaw - not all lenders Approved or Declined")))))</f>
      </c>
    </row>
    <row r="711" spans="80:80">
      <c r="CB711" s="131">
        <f>IF($A711="","",_xlfn.LET(_xlpm.sfp,AND($P711&lt;&gt;"",$P711&lt;&gt;"N/A",$P711&lt;&gt;"No Min RQ"),_xlpm.slp,AND($T711&lt;&gt;"",$T711&lt;&gt;"N/A",$T711&lt;&gt;"No Min RQ"),_xlpm.ffp,AND($X711&lt;&gt;"",$X711&lt;&gt;"N/A",$X711&lt;&gt;"No Min RQ"),_xlpm.chp,AND($AB711&lt;&gt;"",$AB711&lt;&gt;"N/A",$AB711&lt;&gt;"No Min RQ"),_xlpm.usp,AND($AF711&lt;&gt;"",$AF711&lt;&gt;"N/A",$AF711&lt;&gt;"No Min RQ"),_xlpm.n,_xlpm.sfp+_xlpm.slp+_xlpm.ffp+_xlpm.chp+_xlpm.usp,_xlpm.sub,(_xlpm.sfp*($P711="Submitted"))+(_xlpm.slp*($T711="Submitted"))+(_xlpm.ffp*($X711="Submitted"))+(_xlpm.chp*($AB711="Submitted"))+(_xlpm.usp*($AF711="Submitted")),_xlpm.term,(_xlpm.sfp*OR($P711="Approved",$P711="Declined"))+(_xlpm.slp*OR($T711="Approved",$T711="Declined"))+(_xlpm.ffp*OR($X711="Approved",$X711="Declined"))+(_xlpm.chp*OR($AB711="Approved",$AB711="Declined"))+(_xlpm.usp*OR($AF711="Approved",$AF711="Declined")),IF(_xlpm.n=0,"No applicable lenders",IF(_xlpm.sub&gt;0,"Stays with Shaw - lender still Submitted",IF(_xlpm.term=_xlpm.n,"Clear - all applicable lenders Approved or Declined","Stays with Shaw - not all lenders Approved or Declined")))))</f>
      </c>
    </row>
    <row r="712" spans="80:80">
      <c r="CB712" s="131">
        <f>IF($A712="","",_xlfn.LET(_xlpm.sfp,AND($P712&lt;&gt;"",$P712&lt;&gt;"N/A",$P712&lt;&gt;"No Min RQ"),_xlpm.slp,AND($T712&lt;&gt;"",$T712&lt;&gt;"N/A",$T712&lt;&gt;"No Min RQ"),_xlpm.ffp,AND($X712&lt;&gt;"",$X712&lt;&gt;"N/A",$X712&lt;&gt;"No Min RQ"),_xlpm.chp,AND($AB712&lt;&gt;"",$AB712&lt;&gt;"N/A",$AB712&lt;&gt;"No Min RQ"),_xlpm.usp,AND($AF712&lt;&gt;"",$AF712&lt;&gt;"N/A",$AF712&lt;&gt;"No Min RQ"),_xlpm.n,_xlpm.sfp+_xlpm.slp+_xlpm.ffp+_xlpm.chp+_xlpm.usp,_xlpm.sub,(_xlpm.sfp*($P712="Submitted"))+(_xlpm.slp*($T712="Submitted"))+(_xlpm.ffp*($X712="Submitted"))+(_xlpm.chp*($AB712="Submitted"))+(_xlpm.usp*($AF712="Submitted")),_xlpm.term,(_xlpm.sfp*OR($P712="Approved",$P712="Declined"))+(_xlpm.slp*OR($T712="Approved",$T712="Declined"))+(_xlpm.ffp*OR($X712="Approved",$X712="Declined"))+(_xlpm.chp*OR($AB712="Approved",$AB712="Declined"))+(_xlpm.usp*OR($AF712="Approved",$AF712="Declined")),IF(_xlpm.n=0,"No applicable lenders",IF(_xlpm.sub&gt;0,"Stays with Shaw - lender still Submitted",IF(_xlpm.term=_xlpm.n,"Clear - all applicable lenders Approved or Declined","Stays with Shaw - not all lenders Approved or Declined")))))</f>
      </c>
    </row>
    <row r="713" spans="80:80">
      <c r="CB713" s="131">
        <f>IF($A713="","",_xlfn.LET(_xlpm.sfp,AND($P713&lt;&gt;"",$P713&lt;&gt;"N/A",$P713&lt;&gt;"No Min RQ"),_xlpm.slp,AND($T713&lt;&gt;"",$T713&lt;&gt;"N/A",$T713&lt;&gt;"No Min RQ"),_xlpm.ffp,AND($X713&lt;&gt;"",$X713&lt;&gt;"N/A",$X713&lt;&gt;"No Min RQ"),_xlpm.chp,AND($AB713&lt;&gt;"",$AB713&lt;&gt;"N/A",$AB713&lt;&gt;"No Min RQ"),_xlpm.usp,AND($AF713&lt;&gt;"",$AF713&lt;&gt;"N/A",$AF713&lt;&gt;"No Min RQ"),_xlpm.n,_xlpm.sfp+_xlpm.slp+_xlpm.ffp+_xlpm.chp+_xlpm.usp,_xlpm.sub,(_xlpm.sfp*($P713="Submitted"))+(_xlpm.slp*($T713="Submitted"))+(_xlpm.ffp*($X713="Submitted"))+(_xlpm.chp*($AB713="Submitted"))+(_xlpm.usp*($AF713="Submitted")),_xlpm.term,(_xlpm.sfp*OR($P713="Approved",$P713="Declined"))+(_xlpm.slp*OR($T713="Approved",$T713="Declined"))+(_xlpm.ffp*OR($X713="Approved",$X713="Declined"))+(_xlpm.chp*OR($AB713="Approved",$AB713="Declined"))+(_xlpm.usp*OR($AF713="Approved",$AF713="Declined")),IF(_xlpm.n=0,"No applicable lenders",IF(_xlpm.sub&gt;0,"Stays with Shaw - lender still Submitted",IF(_xlpm.term=_xlpm.n,"Clear - all applicable lenders Approved or Declined","Stays with Shaw - not all lenders Approved or Declined")))))</f>
      </c>
    </row>
    <row r="714" spans="80:80">
      <c r="CB714" s="131">
        <f>IF($A714="","",_xlfn.LET(_xlpm.sfp,AND($P714&lt;&gt;"",$P714&lt;&gt;"N/A",$P714&lt;&gt;"No Min RQ"),_xlpm.slp,AND($T714&lt;&gt;"",$T714&lt;&gt;"N/A",$T714&lt;&gt;"No Min RQ"),_xlpm.ffp,AND($X714&lt;&gt;"",$X714&lt;&gt;"N/A",$X714&lt;&gt;"No Min RQ"),_xlpm.chp,AND($AB714&lt;&gt;"",$AB714&lt;&gt;"N/A",$AB714&lt;&gt;"No Min RQ"),_xlpm.usp,AND($AF714&lt;&gt;"",$AF714&lt;&gt;"N/A",$AF714&lt;&gt;"No Min RQ"),_xlpm.n,_xlpm.sfp+_xlpm.slp+_xlpm.ffp+_xlpm.chp+_xlpm.usp,_xlpm.sub,(_xlpm.sfp*($P714="Submitted"))+(_xlpm.slp*($T714="Submitted"))+(_xlpm.ffp*($X714="Submitted"))+(_xlpm.chp*($AB714="Submitted"))+(_xlpm.usp*($AF714="Submitted")),_xlpm.term,(_xlpm.sfp*OR($P714="Approved",$P714="Declined"))+(_xlpm.slp*OR($T714="Approved",$T714="Declined"))+(_xlpm.ffp*OR($X714="Approved",$X714="Declined"))+(_xlpm.chp*OR($AB714="Approved",$AB714="Declined"))+(_xlpm.usp*OR($AF714="Approved",$AF714="Declined")),IF(_xlpm.n=0,"No applicable lenders",IF(_xlpm.sub&gt;0,"Stays with Shaw - lender still Submitted",IF(_xlpm.term=_xlpm.n,"Clear - all applicable lenders Approved or Declined","Stays with Shaw - not all lenders Approved or Declined")))))</f>
      </c>
    </row>
    <row r="715" spans="80:80">
      <c r="CB715" s="131">
        <f>IF($A715="","",_xlfn.LET(_xlpm.sfp,AND($P715&lt;&gt;"",$P715&lt;&gt;"N/A",$P715&lt;&gt;"No Min RQ"),_xlpm.slp,AND($T715&lt;&gt;"",$T715&lt;&gt;"N/A",$T715&lt;&gt;"No Min RQ"),_xlpm.ffp,AND($X715&lt;&gt;"",$X715&lt;&gt;"N/A",$X715&lt;&gt;"No Min RQ"),_xlpm.chp,AND($AB715&lt;&gt;"",$AB715&lt;&gt;"N/A",$AB715&lt;&gt;"No Min RQ"),_xlpm.usp,AND($AF715&lt;&gt;"",$AF715&lt;&gt;"N/A",$AF715&lt;&gt;"No Min RQ"),_xlpm.n,_xlpm.sfp+_xlpm.slp+_xlpm.ffp+_xlpm.chp+_xlpm.usp,_xlpm.sub,(_xlpm.sfp*($P715="Submitted"))+(_xlpm.slp*($T715="Submitted"))+(_xlpm.ffp*($X715="Submitted"))+(_xlpm.chp*($AB715="Submitted"))+(_xlpm.usp*($AF715="Submitted")),_xlpm.term,(_xlpm.sfp*OR($P715="Approved",$P715="Declined"))+(_xlpm.slp*OR($T715="Approved",$T715="Declined"))+(_xlpm.ffp*OR($X715="Approved",$X715="Declined"))+(_xlpm.chp*OR($AB715="Approved",$AB715="Declined"))+(_xlpm.usp*OR($AF715="Approved",$AF715="Declined")),IF(_xlpm.n=0,"No applicable lenders",IF(_xlpm.sub&gt;0,"Stays with Shaw - lender still Submitted",IF(_xlpm.term=_xlpm.n,"Clear - all applicable lenders Approved or Declined","Stays with Shaw - not all lenders Approved or Declined")))))</f>
      </c>
    </row>
    <row r="716" spans="80:80">
      <c r="CB716" s="131">
        <f>IF($A716="","",_xlfn.LET(_xlpm.sfp,AND($P716&lt;&gt;"",$P716&lt;&gt;"N/A",$P716&lt;&gt;"No Min RQ"),_xlpm.slp,AND($T716&lt;&gt;"",$T716&lt;&gt;"N/A",$T716&lt;&gt;"No Min RQ"),_xlpm.ffp,AND($X716&lt;&gt;"",$X716&lt;&gt;"N/A",$X716&lt;&gt;"No Min RQ"),_xlpm.chp,AND($AB716&lt;&gt;"",$AB716&lt;&gt;"N/A",$AB716&lt;&gt;"No Min RQ"),_xlpm.usp,AND($AF716&lt;&gt;"",$AF716&lt;&gt;"N/A",$AF716&lt;&gt;"No Min RQ"),_xlpm.n,_xlpm.sfp+_xlpm.slp+_xlpm.ffp+_xlpm.chp+_xlpm.usp,_xlpm.sub,(_xlpm.sfp*($P716="Submitted"))+(_xlpm.slp*($T716="Submitted"))+(_xlpm.ffp*($X716="Submitted"))+(_xlpm.chp*($AB716="Submitted"))+(_xlpm.usp*($AF716="Submitted")),_xlpm.term,(_xlpm.sfp*OR($P716="Approved",$P716="Declined"))+(_xlpm.slp*OR($T716="Approved",$T716="Declined"))+(_xlpm.ffp*OR($X716="Approved",$X716="Declined"))+(_xlpm.chp*OR($AB716="Approved",$AB716="Declined"))+(_xlpm.usp*OR($AF716="Approved",$AF716="Declined")),IF(_xlpm.n=0,"No applicable lenders",IF(_xlpm.sub&gt;0,"Stays with Shaw - lender still Submitted",IF(_xlpm.term=_xlpm.n,"Clear - all applicable lenders Approved or Declined","Stays with Shaw - not all lenders Approved or Declined")))))</f>
      </c>
    </row>
    <row r="717" spans="80:80">
      <c r="CB717" s="131">
        <f>IF($A717="","",_xlfn.LET(_xlpm.sfp,AND($P717&lt;&gt;"",$P717&lt;&gt;"N/A",$P717&lt;&gt;"No Min RQ"),_xlpm.slp,AND($T717&lt;&gt;"",$T717&lt;&gt;"N/A",$T717&lt;&gt;"No Min RQ"),_xlpm.ffp,AND($X717&lt;&gt;"",$X717&lt;&gt;"N/A",$X717&lt;&gt;"No Min RQ"),_xlpm.chp,AND($AB717&lt;&gt;"",$AB717&lt;&gt;"N/A",$AB717&lt;&gt;"No Min RQ"),_xlpm.usp,AND($AF717&lt;&gt;"",$AF717&lt;&gt;"N/A",$AF717&lt;&gt;"No Min RQ"),_xlpm.n,_xlpm.sfp+_xlpm.slp+_xlpm.ffp+_xlpm.chp+_xlpm.usp,_xlpm.sub,(_xlpm.sfp*($P717="Submitted"))+(_xlpm.slp*($T717="Submitted"))+(_xlpm.ffp*($X717="Submitted"))+(_xlpm.chp*($AB717="Submitted"))+(_xlpm.usp*($AF717="Submitted")),_xlpm.term,(_xlpm.sfp*OR($P717="Approved",$P717="Declined"))+(_xlpm.slp*OR($T717="Approved",$T717="Declined"))+(_xlpm.ffp*OR($X717="Approved",$X717="Declined"))+(_xlpm.chp*OR($AB717="Approved",$AB717="Declined"))+(_xlpm.usp*OR($AF717="Approved",$AF717="Declined")),IF(_xlpm.n=0,"No applicable lenders",IF(_xlpm.sub&gt;0,"Stays with Shaw - lender still Submitted",IF(_xlpm.term=_xlpm.n,"Clear - all applicable lenders Approved or Declined","Stays with Shaw - not all lenders Approved or Declined")))))</f>
      </c>
    </row>
    <row r="718" spans="80:80">
      <c r="CB718" s="131">
        <f>IF($A718="","",_xlfn.LET(_xlpm.sfp,AND($P718&lt;&gt;"",$P718&lt;&gt;"N/A",$P718&lt;&gt;"No Min RQ"),_xlpm.slp,AND($T718&lt;&gt;"",$T718&lt;&gt;"N/A",$T718&lt;&gt;"No Min RQ"),_xlpm.ffp,AND($X718&lt;&gt;"",$X718&lt;&gt;"N/A",$X718&lt;&gt;"No Min RQ"),_xlpm.chp,AND($AB718&lt;&gt;"",$AB718&lt;&gt;"N/A",$AB718&lt;&gt;"No Min RQ"),_xlpm.usp,AND($AF718&lt;&gt;"",$AF718&lt;&gt;"N/A",$AF718&lt;&gt;"No Min RQ"),_xlpm.n,_xlpm.sfp+_xlpm.slp+_xlpm.ffp+_xlpm.chp+_xlpm.usp,_xlpm.sub,(_xlpm.sfp*($P718="Submitted"))+(_xlpm.slp*($T718="Submitted"))+(_xlpm.ffp*($X718="Submitted"))+(_xlpm.chp*($AB718="Submitted"))+(_xlpm.usp*($AF718="Submitted")),_xlpm.term,(_xlpm.sfp*OR($P718="Approved",$P718="Declined"))+(_xlpm.slp*OR($T718="Approved",$T718="Declined"))+(_xlpm.ffp*OR($X718="Approved",$X718="Declined"))+(_xlpm.chp*OR($AB718="Approved",$AB718="Declined"))+(_xlpm.usp*OR($AF718="Approved",$AF718="Declined")),IF(_xlpm.n=0,"No applicable lenders",IF(_xlpm.sub&gt;0,"Stays with Shaw - lender still Submitted",IF(_xlpm.term=_xlpm.n,"Clear - all applicable lenders Approved or Declined","Stays with Shaw - not all lenders Approved or Declined")))))</f>
      </c>
    </row>
    <row r="719" spans="80:80">
      <c r="CB719" s="131">
        <f>IF($A719="","",_xlfn.LET(_xlpm.sfp,AND($P719&lt;&gt;"",$P719&lt;&gt;"N/A",$P719&lt;&gt;"No Min RQ"),_xlpm.slp,AND($T719&lt;&gt;"",$T719&lt;&gt;"N/A",$T719&lt;&gt;"No Min RQ"),_xlpm.ffp,AND($X719&lt;&gt;"",$X719&lt;&gt;"N/A",$X719&lt;&gt;"No Min RQ"),_xlpm.chp,AND($AB719&lt;&gt;"",$AB719&lt;&gt;"N/A",$AB719&lt;&gt;"No Min RQ"),_xlpm.usp,AND($AF719&lt;&gt;"",$AF719&lt;&gt;"N/A",$AF719&lt;&gt;"No Min RQ"),_xlpm.n,_xlpm.sfp+_xlpm.slp+_xlpm.ffp+_xlpm.chp+_xlpm.usp,_xlpm.sub,(_xlpm.sfp*($P719="Submitted"))+(_xlpm.slp*($T719="Submitted"))+(_xlpm.ffp*($X719="Submitted"))+(_xlpm.chp*($AB719="Submitted"))+(_xlpm.usp*($AF719="Submitted")),_xlpm.term,(_xlpm.sfp*OR($P719="Approved",$P719="Declined"))+(_xlpm.slp*OR($T719="Approved",$T719="Declined"))+(_xlpm.ffp*OR($X719="Approved",$X719="Declined"))+(_xlpm.chp*OR($AB719="Approved",$AB719="Declined"))+(_xlpm.usp*OR($AF719="Approved",$AF719="Declined")),IF(_xlpm.n=0,"No applicable lenders",IF(_xlpm.sub&gt;0,"Stays with Shaw - lender still Submitted",IF(_xlpm.term=_xlpm.n,"Clear - all applicable lenders Approved or Declined","Stays with Shaw - not all lenders Approved or Declined")))))</f>
      </c>
    </row>
    <row r="720" spans="80:80">
      <c r="CB720" s="131">
        <f>IF($A720="","",_xlfn.LET(_xlpm.sfp,AND($P720&lt;&gt;"",$P720&lt;&gt;"N/A",$P720&lt;&gt;"No Min RQ"),_xlpm.slp,AND($T720&lt;&gt;"",$T720&lt;&gt;"N/A",$T720&lt;&gt;"No Min RQ"),_xlpm.ffp,AND($X720&lt;&gt;"",$X720&lt;&gt;"N/A",$X720&lt;&gt;"No Min RQ"),_xlpm.chp,AND($AB720&lt;&gt;"",$AB720&lt;&gt;"N/A",$AB720&lt;&gt;"No Min RQ"),_xlpm.usp,AND($AF720&lt;&gt;"",$AF720&lt;&gt;"N/A",$AF720&lt;&gt;"No Min RQ"),_xlpm.n,_xlpm.sfp+_xlpm.slp+_xlpm.ffp+_xlpm.chp+_xlpm.usp,_xlpm.sub,(_xlpm.sfp*($P720="Submitted"))+(_xlpm.slp*($T720="Submitted"))+(_xlpm.ffp*($X720="Submitted"))+(_xlpm.chp*($AB720="Submitted"))+(_xlpm.usp*($AF720="Submitted")),_xlpm.term,(_xlpm.sfp*OR($P720="Approved",$P720="Declined"))+(_xlpm.slp*OR($T720="Approved",$T720="Declined"))+(_xlpm.ffp*OR($X720="Approved",$X720="Declined"))+(_xlpm.chp*OR($AB720="Approved",$AB720="Declined"))+(_xlpm.usp*OR($AF720="Approved",$AF720="Declined")),IF(_xlpm.n=0,"No applicable lenders",IF(_xlpm.sub&gt;0,"Stays with Shaw - lender still Submitted",IF(_xlpm.term=_xlpm.n,"Clear - all applicable lenders Approved or Declined","Stays with Shaw - not all lenders Approved or Declined")))))</f>
      </c>
    </row>
    <row r="721" spans="80:80">
      <c r="CB721" s="131">
        <f>IF($A721="","",_xlfn.LET(_xlpm.sfp,AND($P721&lt;&gt;"",$P721&lt;&gt;"N/A",$P721&lt;&gt;"No Min RQ"),_xlpm.slp,AND($T721&lt;&gt;"",$T721&lt;&gt;"N/A",$T721&lt;&gt;"No Min RQ"),_xlpm.ffp,AND($X721&lt;&gt;"",$X721&lt;&gt;"N/A",$X721&lt;&gt;"No Min RQ"),_xlpm.chp,AND($AB721&lt;&gt;"",$AB721&lt;&gt;"N/A",$AB721&lt;&gt;"No Min RQ"),_xlpm.usp,AND($AF721&lt;&gt;"",$AF721&lt;&gt;"N/A",$AF721&lt;&gt;"No Min RQ"),_xlpm.n,_xlpm.sfp+_xlpm.slp+_xlpm.ffp+_xlpm.chp+_xlpm.usp,_xlpm.sub,(_xlpm.sfp*($P721="Submitted"))+(_xlpm.slp*($T721="Submitted"))+(_xlpm.ffp*($X721="Submitted"))+(_xlpm.chp*($AB721="Submitted"))+(_xlpm.usp*($AF721="Submitted")),_xlpm.term,(_xlpm.sfp*OR($P721="Approved",$P721="Declined"))+(_xlpm.slp*OR($T721="Approved",$T721="Declined"))+(_xlpm.ffp*OR($X721="Approved",$X721="Declined"))+(_xlpm.chp*OR($AB721="Approved",$AB721="Declined"))+(_xlpm.usp*OR($AF721="Approved",$AF721="Declined")),IF(_xlpm.n=0,"No applicable lenders",IF(_xlpm.sub&gt;0,"Stays with Shaw - lender still Submitted",IF(_xlpm.term=_xlpm.n,"Clear - all applicable lenders Approved or Declined","Stays with Shaw - not all lenders Approved or Declined")))))</f>
      </c>
    </row>
    <row r="722" spans="80:80">
      <c r="CB722" s="131">
        <f>IF($A722="","",_xlfn.LET(_xlpm.sfp,AND($P722&lt;&gt;"",$P722&lt;&gt;"N/A",$P722&lt;&gt;"No Min RQ"),_xlpm.slp,AND($T722&lt;&gt;"",$T722&lt;&gt;"N/A",$T722&lt;&gt;"No Min RQ"),_xlpm.ffp,AND($X722&lt;&gt;"",$X722&lt;&gt;"N/A",$X722&lt;&gt;"No Min RQ"),_xlpm.chp,AND($AB722&lt;&gt;"",$AB722&lt;&gt;"N/A",$AB722&lt;&gt;"No Min RQ"),_xlpm.usp,AND($AF722&lt;&gt;"",$AF722&lt;&gt;"N/A",$AF722&lt;&gt;"No Min RQ"),_xlpm.n,_xlpm.sfp+_xlpm.slp+_xlpm.ffp+_xlpm.chp+_xlpm.usp,_xlpm.sub,(_xlpm.sfp*($P722="Submitted"))+(_xlpm.slp*($T722="Submitted"))+(_xlpm.ffp*($X722="Submitted"))+(_xlpm.chp*($AB722="Submitted"))+(_xlpm.usp*($AF722="Submitted")),_xlpm.term,(_xlpm.sfp*OR($P722="Approved",$P722="Declined"))+(_xlpm.slp*OR($T722="Approved",$T722="Declined"))+(_xlpm.ffp*OR($X722="Approved",$X722="Declined"))+(_xlpm.chp*OR($AB722="Approved",$AB722="Declined"))+(_xlpm.usp*OR($AF722="Approved",$AF722="Declined")),IF(_xlpm.n=0,"No applicable lenders",IF(_xlpm.sub&gt;0,"Stays with Shaw - lender still Submitted",IF(_xlpm.term=_xlpm.n,"Clear - all applicable lenders Approved or Declined","Stays with Shaw - not all lenders Approved or Declined")))))</f>
      </c>
    </row>
    <row r="723" spans="80:80">
      <c r="CB723" s="131">
        <f>IF($A723="","",_xlfn.LET(_xlpm.sfp,AND($P723&lt;&gt;"",$P723&lt;&gt;"N/A",$P723&lt;&gt;"No Min RQ"),_xlpm.slp,AND($T723&lt;&gt;"",$T723&lt;&gt;"N/A",$T723&lt;&gt;"No Min RQ"),_xlpm.ffp,AND($X723&lt;&gt;"",$X723&lt;&gt;"N/A",$X723&lt;&gt;"No Min RQ"),_xlpm.chp,AND($AB723&lt;&gt;"",$AB723&lt;&gt;"N/A",$AB723&lt;&gt;"No Min RQ"),_xlpm.usp,AND($AF723&lt;&gt;"",$AF723&lt;&gt;"N/A",$AF723&lt;&gt;"No Min RQ"),_xlpm.n,_xlpm.sfp+_xlpm.slp+_xlpm.ffp+_xlpm.chp+_xlpm.usp,_xlpm.sub,(_xlpm.sfp*($P723="Submitted"))+(_xlpm.slp*($T723="Submitted"))+(_xlpm.ffp*($X723="Submitted"))+(_xlpm.chp*($AB723="Submitted"))+(_xlpm.usp*($AF723="Submitted")),_xlpm.term,(_xlpm.sfp*OR($P723="Approved",$P723="Declined"))+(_xlpm.slp*OR($T723="Approved",$T723="Declined"))+(_xlpm.ffp*OR($X723="Approved",$X723="Declined"))+(_xlpm.chp*OR($AB723="Approved",$AB723="Declined"))+(_xlpm.usp*OR($AF723="Approved",$AF723="Declined")),IF(_xlpm.n=0,"No applicable lenders",IF(_xlpm.sub&gt;0,"Stays with Shaw - lender still Submitted",IF(_xlpm.term=_xlpm.n,"Clear - all applicable lenders Approved or Declined","Stays with Shaw - not all lenders Approved or Declined")))))</f>
      </c>
    </row>
    <row r="724" spans="80:80">
      <c r="CB724" s="131">
        <f>IF($A724="","",_xlfn.LET(_xlpm.sfp,AND($P724&lt;&gt;"",$P724&lt;&gt;"N/A",$P724&lt;&gt;"No Min RQ"),_xlpm.slp,AND($T724&lt;&gt;"",$T724&lt;&gt;"N/A",$T724&lt;&gt;"No Min RQ"),_xlpm.ffp,AND($X724&lt;&gt;"",$X724&lt;&gt;"N/A",$X724&lt;&gt;"No Min RQ"),_xlpm.chp,AND($AB724&lt;&gt;"",$AB724&lt;&gt;"N/A",$AB724&lt;&gt;"No Min RQ"),_xlpm.usp,AND($AF724&lt;&gt;"",$AF724&lt;&gt;"N/A",$AF724&lt;&gt;"No Min RQ"),_xlpm.n,_xlpm.sfp+_xlpm.slp+_xlpm.ffp+_xlpm.chp+_xlpm.usp,_xlpm.sub,(_xlpm.sfp*($P724="Submitted"))+(_xlpm.slp*($T724="Submitted"))+(_xlpm.ffp*($X724="Submitted"))+(_xlpm.chp*($AB724="Submitted"))+(_xlpm.usp*($AF724="Submitted")),_xlpm.term,(_xlpm.sfp*OR($P724="Approved",$P724="Declined"))+(_xlpm.slp*OR($T724="Approved",$T724="Declined"))+(_xlpm.ffp*OR($X724="Approved",$X724="Declined"))+(_xlpm.chp*OR($AB724="Approved",$AB724="Declined"))+(_xlpm.usp*OR($AF724="Approved",$AF724="Declined")),IF(_xlpm.n=0,"No applicable lenders",IF(_xlpm.sub&gt;0,"Stays with Shaw - lender still Submitted",IF(_xlpm.term=_xlpm.n,"Clear - all applicable lenders Approved or Declined","Stays with Shaw - not all lenders Approved or Declined")))))</f>
      </c>
    </row>
    <row r="725" spans="80:80">
      <c r="CB725" s="131">
        <f>IF($A725="","",_xlfn.LET(_xlpm.sfp,AND($P725&lt;&gt;"",$P725&lt;&gt;"N/A",$P725&lt;&gt;"No Min RQ"),_xlpm.slp,AND($T725&lt;&gt;"",$T725&lt;&gt;"N/A",$T725&lt;&gt;"No Min RQ"),_xlpm.ffp,AND($X725&lt;&gt;"",$X725&lt;&gt;"N/A",$X725&lt;&gt;"No Min RQ"),_xlpm.chp,AND($AB725&lt;&gt;"",$AB725&lt;&gt;"N/A",$AB725&lt;&gt;"No Min RQ"),_xlpm.usp,AND($AF725&lt;&gt;"",$AF725&lt;&gt;"N/A",$AF725&lt;&gt;"No Min RQ"),_xlpm.n,_xlpm.sfp+_xlpm.slp+_xlpm.ffp+_xlpm.chp+_xlpm.usp,_xlpm.sub,(_xlpm.sfp*($P725="Submitted"))+(_xlpm.slp*($T725="Submitted"))+(_xlpm.ffp*($X725="Submitted"))+(_xlpm.chp*($AB725="Submitted"))+(_xlpm.usp*($AF725="Submitted")),_xlpm.term,(_xlpm.sfp*OR($P725="Approved",$P725="Declined"))+(_xlpm.slp*OR($T725="Approved",$T725="Declined"))+(_xlpm.ffp*OR($X725="Approved",$X725="Declined"))+(_xlpm.chp*OR($AB725="Approved",$AB725="Declined"))+(_xlpm.usp*OR($AF725="Approved",$AF725="Declined")),IF(_xlpm.n=0,"No applicable lenders",IF(_xlpm.sub&gt;0,"Stays with Shaw - lender still Submitted",IF(_xlpm.term=_xlpm.n,"Clear - all applicable lenders Approved or Declined","Stays with Shaw - not all lenders Approved or Declined")))))</f>
      </c>
    </row>
    <row r="726" spans="80:80">
      <c r="CB726" s="131">
        <f>IF($A726="","",_xlfn.LET(_xlpm.sfp,AND($P726&lt;&gt;"",$P726&lt;&gt;"N/A",$P726&lt;&gt;"No Min RQ"),_xlpm.slp,AND($T726&lt;&gt;"",$T726&lt;&gt;"N/A",$T726&lt;&gt;"No Min RQ"),_xlpm.ffp,AND($X726&lt;&gt;"",$X726&lt;&gt;"N/A",$X726&lt;&gt;"No Min RQ"),_xlpm.chp,AND($AB726&lt;&gt;"",$AB726&lt;&gt;"N/A",$AB726&lt;&gt;"No Min RQ"),_xlpm.usp,AND($AF726&lt;&gt;"",$AF726&lt;&gt;"N/A",$AF726&lt;&gt;"No Min RQ"),_xlpm.n,_xlpm.sfp+_xlpm.slp+_xlpm.ffp+_xlpm.chp+_xlpm.usp,_xlpm.sub,(_xlpm.sfp*($P726="Submitted"))+(_xlpm.slp*($T726="Submitted"))+(_xlpm.ffp*($X726="Submitted"))+(_xlpm.chp*($AB726="Submitted"))+(_xlpm.usp*($AF726="Submitted")),_xlpm.term,(_xlpm.sfp*OR($P726="Approved",$P726="Declined"))+(_xlpm.slp*OR($T726="Approved",$T726="Declined"))+(_xlpm.ffp*OR($X726="Approved",$X726="Declined"))+(_xlpm.chp*OR($AB726="Approved",$AB726="Declined"))+(_xlpm.usp*OR($AF726="Approved",$AF726="Declined")),IF(_xlpm.n=0,"No applicable lenders",IF(_xlpm.sub&gt;0,"Stays with Shaw - lender still Submitted",IF(_xlpm.term=_xlpm.n,"Clear - all applicable lenders Approved or Declined","Stays with Shaw - not all lenders Approved or Declined")))))</f>
      </c>
    </row>
    <row r="727" spans="80:80">
      <c r="CB727" s="131">
        <f>IF($A727="","",_xlfn.LET(_xlpm.sfp,AND($P727&lt;&gt;"",$P727&lt;&gt;"N/A",$P727&lt;&gt;"No Min RQ"),_xlpm.slp,AND($T727&lt;&gt;"",$T727&lt;&gt;"N/A",$T727&lt;&gt;"No Min RQ"),_xlpm.ffp,AND($X727&lt;&gt;"",$X727&lt;&gt;"N/A",$X727&lt;&gt;"No Min RQ"),_xlpm.chp,AND($AB727&lt;&gt;"",$AB727&lt;&gt;"N/A",$AB727&lt;&gt;"No Min RQ"),_xlpm.usp,AND($AF727&lt;&gt;"",$AF727&lt;&gt;"N/A",$AF727&lt;&gt;"No Min RQ"),_xlpm.n,_xlpm.sfp+_xlpm.slp+_xlpm.ffp+_xlpm.chp+_xlpm.usp,_xlpm.sub,(_xlpm.sfp*($P727="Submitted"))+(_xlpm.slp*($T727="Submitted"))+(_xlpm.ffp*($X727="Submitted"))+(_xlpm.chp*($AB727="Submitted"))+(_xlpm.usp*($AF727="Submitted")),_xlpm.term,(_xlpm.sfp*OR($P727="Approved",$P727="Declined"))+(_xlpm.slp*OR($T727="Approved",$T727="Declined"))+(_xlpm.ffp*OR($X727="Approved",$X727="Declined"))+(_xlpm.chp*OR($AB727="Approved",$AB727="Declined"))+(_xlpm.usp*OR($AF727="Approved",$AF727="Declined")),IF(_xlpm.n=0,"No applicable lenders",IF(_xlpm.sub&gt;0,"Stays with Shaw - lender still Submitted",IF(_xlpm.term=_xlpm.n,"Clear - all applicable lenders Approved or Declined","Stays with Shaw - not all lenders Approved or Declined")))))</f>
      </c>
    </row>
    <row r="728" spans="80:80">
      <c r="CB728" s="131">
        <f>IF($A728="","",_xlfn.LET(_xlpm.sfp,AND($P728&lt;&gt;"",$P728&lt;&gt;"N/A",$P728&lt;&gt;"No Min RQ"),_xlpm.slp,AND($T728&lt;&gt;"",$T728&lt;&gt;"N/A",$T728&lt;&gt;"No Min RQ"),_xlpm.ffp,AND($X728&lt;&gt;"",$X728&lt;&gt;"N/A",$X728&lt;&gt;"No Min RQ"),_xlpm.chp,AND($AB728&lt;&gt;"",$AB728&lt;&gt;"N/A",$AB728&lt;&gt;"No Min RQ"),_xlpm.usp,AND($AF728&lt;&gt;"",$AF728&lt;&gt;"N/A",$AF728&lt;&gt;"No Min RQ"),_xlpm.n,_xlpm.sfp+_xlpm.slp+_xlpm.ffp+_xlpm.chp+_xlpm.usp,_xlpm.sub,(_xlpm.sfp*($P728="Submitted"))+(_xlpm.slp*($T728="Submitted"))+(_xlpm.ffp*($X728="Submitted"))+(_xlpm.chp*($AB728="Submitted"))+(_xlpm.usp*($AF728="Submitted")),_xlpm.term,(_xlpm.sfp*OR($P728="Approved",$P728="Declined"))+(_xlpm.slp*OR($T728="Approved",$T728="Declined"))+(_xlpm.ffp*OR($X728="Approved",$X728="Declined"))+(_xlpm.chp*OR($AB728="Approved",$AB728="Declined"))+(_xlpm.usp*OR($AF728="Approved",$AF728="Declined")),IF(_xlpm.n=0,"No applicable lenders",IF(_xlpm.sub&gt;0,"Stays with Shaw - lender still Submitted",IF(_xlpm.term=_xlpm.n,"Clear - all applicable lenders Approved or Declined","Stays with Shaw - not all lenders Approved or Declined")))))</f>
      </c>
    </row>
    <row r="729" spans="80:80">
      <c r="CB729" s="131">
        <f>IF($A729="","",_xlfn.LET(_xlpm.sfp,AND($P729&lt;&gt;"",$P729&lt;&gt;"N/A",$P729&lt;&gt;"No Min RQ"),_xlpm.slp,AND($T729&lt;&gt;"",$T729&lt;&gt;"N/A",$T729&lt;&gt;"No Min RQ"),_xlpm.ffp,AND($X729&lt;&gt;"",$X729&lt;&gt;"N/A",$X729&lt;&gt;"No Min RQ"),_xlpm.chp,AND($AB729&lt;&gt;"",$AB729&lt;&gt;"N/A",$AB729&lt;&gt;"No Min RQ"),_xlpm.usp,AND($AF729&lt;&gt;"",$AF729&lt;&gt;"N/A",$AF729&lt;&gt;"No Min RQ"),_xlpm.n,_xlpm.sfp+_xlpm.slp+_xlpm.ffp+_xlpm.chp+_xlpm.usp,_xlpm.sub,(_xlpm.sfp*($P729="Submitted"))+(_xlpm.slp*($T729="Submitted"))+(_xlpm.ffp*($X729="Submitted"))+(_xlpm.chp*($AB729="Submitted"))+(_xlpm.usp*($AF729="Submitted")),_xlpm.term,(_xlpm.sfp*OR($P729="Approved",$P729="Declined"))+(_xlpm.slp*OR($T729="Approved",$T729="Declined"))+(_xlpm.ffp*OR($X729="Approved",$X729="Declined"))+(_xlpm.chp*OR($AB729="Approved",$AB729="Declined"))+(_xlpm.usp*OR($AF729="Approved",$AF729="Declined")),IF(_xlpm.n=0,"No applicable lenders",IF(_xlpm.sub&gt;0,"Stays with Shaw - lender still Submitted",IF(_xlpm.term=_xlpm.n,"Clear - all applicable lenders Approved or Declined","Stays with Shaw - not all lenders Approved or Declined")))))</f>
      </c>
    </row>
    <row r="730" spans="80:80">
      <c r="CB730" s="131">
        <f>IF($A730="","",_xlfn.LET(_xlpm.sfp,AND($P730&lt;&gt;"",$P730&lt;&gt;"N/A",$P730&lt;&gt;"No Min RQ"),_xlpm.slp,AND($T730&lt;&gt;"",$T730&lt;&gt;"N/A",$T730&lt;&gt;"No Min RQ"),_xlpm.ffp,AND($X730&lt;&gt;"",$X730&lt;&gt;"N/A",$X730&lt;&gt;"No Min RQ"),_xlpm.chp,AND($AB730&lt;&gt;"",$AB730&lt;&gt;"N/A",$AB730&lt;&gt;"No Min RQ"),_xlpm.usp,AND($AF730&lt;&gt;"",$AF730&lt;&gt;"N/A",$AF730&lt;&gt;"No Min RQ"),_xlpm.n,_xlpm.sfp+_xlpm.slp+_xlpm.ffp+_xlpm.chp+_xlpm.usp,_xlpm.sub,(_xlpm.sfp*($P730="Submitted"))+(_xlpm.slp*($T730="Submitted"))+(_xlpm.ffp*($X730="Submitted"))+(_xlpm.chp*($AB730="Submitted"))+(_xlpm.usp*($AF730="Submitted")),_xlpm.term,(_xlpm.sfp*OR($P730="Approved",$P730="Declined"))+(_xlpm.slp*OR($T730="Approved",$T730="Declined"))+(_xlpm.ffp*OR($X730="Approved",$X730="Declined"))+(_xlpm.chp*OR($AB730="Approved",$AB730="Declined"))+(_xlpm.usp*OR($AF730="Approved",$AF730="Declined")),IF(_xlpm.n=0,"No applicable lenders",IF(_xlpm.sub&gt;0,"Stays with Shaw - lender still Submitted",IF(_xlpm.term=_xlpm.n,"Clear - all applicable lenders Approved or Declined","Stays with Shaw - not all lenders Approved or Declined")))))</f>
      </c>
    </row>
    <row r="731" spans="80:80">
      <c r="CB731" s="131">
        <f>IF($A731="","",_xlfn.LET(_xlpm.sfp,AND($P731&lt;&gt;"",$P731&lt;&gt;"N/A",$P731&lt;&gt;"No Min RQ"),_xlpm.slp,AND($T731&lt;&gt;"",$T731&lt;&gt;"N/A",$T731&lt;&gt;"No Min RQ"),_xlpm.ffp,AND($X731&lt;&gt;"",$X731&lt;&gt;"N/A",$X731&lt;&gt;"No Min RQ"),_xlpm.chp,AND($AB731&lt;&gt;"",$AB731&lt;&gt;"N/A",$AB731&lt;&gt;"No Min RQ"),_xlpm.usp,AND($AF731&lt;&gt;"",$AF731&lt;&gt;"N/A",$AF731&lt;&gt;"No Min RQ"),_xlpm.n,_xlpm.sfp+_xlpm.slp+_xlpm.ffp+_xlpm.chp+_xlpm.usp,_xlpm.sub,(_xlpm.sfp*($P731="Submitted"))+(_xlpm.slp*($T731="Submitted"))+(_xlpm.ffp*($X731="Submitted"))+(_xlpm.chp*($AB731="Submitted"))+(_xlpm.usp*($AF731="Submitted")),_xlpm.term,(_xlpm.sfp*OR($P731="Approved",$P731="Declined"))+(_xlpm.slp*OR($T731="Approved",$T731="Declined"))+(_xlpm.ffp*OR($X731="Approved",$X731="Declined"))+(_xlpm.chp*OR($AB731="Approved",$AB731="Declined"))+(_xlpm.usp*OR($AF731="Approved",$AF731="Declined")),IF(_xlpm.n=0,"No applicable lenders",IF(_xlpm.sub&gt;0,"Stays with Shaw - lender still Submitted",IF(_xlpm.term=_xlpm.n,"Clear - all applicable lenders Approved or Declined","Stays with Shaw - not all lenders Approved or Declined")))))</f>
      </c>
    </row>
    <row r="732" spans="80:80">
      <c r="CB732" s="131">
        <f>IF($A732="","",_xlfn.LET(_xlpm.sfp,AND($P732&lt;&gt;"",$P732&lt;&gt;"N/A",$P732&lt;&gt;"No Min RQ"),_xlpm.slp,AND($T732&lt;&gt;"",$T732&lt;&gt;"N/A",$T732&lt;&gt;"No Min RQ"),_xlpm.ffp,AND($X732&lt;&gt;"",$X732&lt;&gt;"N/A",$X732&lt;&gt;"No Min RQ"),_xlpm.chp,AND($AB732&lt;&gt;"",$AB732&lt;&gt;"N/A",$AB732&lt;&gt;"No Min RQ"),_xlpm.usp,AND($AF732&lt;&gt;"",$AF732&lt;&gt;"N/A",$AF732&lt;&gt;"No Min RQ"),_xlpm.n,_xlpm.sfp+_xlpm.slp+_xlpm.ffp+_xlpm.chp+_xlpm.usp,_xlpm.sub,(_xlpm.sfp*($P732="Submitted"))+(_xlpm.slp*($T732="Submitted"))+(_xlpm.ffp*($X732="Submitted"))+(_xlpm.chp*($AB732="Submitted"))+(_xlpm.usp*($AF732="Submitted")),_xlpm.term,(_xlpm.sfp*OR($P732="Approved",$P732="Declined"))+(_xlpm.slp*OR($T732="Approved",$T732="Declined"))+(_xlpm.ffp*OR($X732="Approved",$X732="Declined"))+(_xlpm.chp*OR($AB732="Approved",$AB732="Declined"))+(_xlpm.usp*OR($AF732="Approved",$AF732="Declined")),IF(_xlpm.n=0,"No applicable lenders",IF(_xlpm.sub&gt;0,"Stays with Shaw - lender still Submitted",IF(_xlpm.term=_xlpm.n,"Clear - all applicable lenders Approved or Declined","Stays with Shaw - not all lenders Approved or Declined")))))</f>
      </c>
    </row>
    <row r="733" spans="80:80">
      <c r="CB733" s="131">
        <f>IF($A733="","",_xlfn.LET(_xlpm.sfp,AND($P733&lt;&gt;"",$P733&lt;&gt;"N/A",$P733&lt;&gt;"No Min RQ"),_xlpm.slp,AND($T733&lt;&gt;"",$T733&lt;&gt;"N/A",$T733&lt;&gt;"No Min RQ"),_xlpm.ffp,AND($X733&lt;&gt;"",$X733&lt;&gt;"N/A",$X733&lt;&gt;"No Min RQ"),_xlpm.chp,AND($AB733&lt;&gt;"",$AB733&lt;&gt;"N/A",$AB733&lt;&gt;"No Min RQ"),_xlpm.usp,AND($AF733&lt;&gt;"",$AF733&lt;&gt;"N/A",$AF733&lt;&gt;"No Min RQ"),_xlpm.n,_xlpm.sfp+_xlpm.slp+_xlpm.ffp+_xlpm.chp+_xlpm.usp,_xlpm.sub,(_xlpm.sfp*($P733="Submitted"))+(_xlpm.slp*($T733="Submitted"))+(_xlpm.ffp*($X733="Submitted"))+(_xlpm.chp*($AB733="Submitted"))+(_xlpm.usp*($AF733="Submitted")),_xlpm.term,(_xlpm.sfp*OR($P733="Approved",$P733="Declined"))+(_xlpm.slp*OR($T733="Approved",$T733="Declined"))+(_xlpm.ffp*OR($X733="Approved",$X733="Declined"))+(_xlpm.chp*OR($AB733="Approved",$AB733="Declined"))+(_xlpm.usp*OR($AF733="Approved",$AF733="Declined")),IF(_xlpm.n=0,"No applicable lenders",IF(_xlpm.sub&gt;0,"Stays with Shaw - lender still Submitted",IF(_xlpm.term=_xlpm.n,"Clear - all applicable lenders Approved or Declined","Stays with Shaw - not all lenders Approved or Declined")))))</f>
      </c>
    </row>
    <row r="734" spans="80:80">
      <c r="CB734" s="131">
        <f>IF($A734="","",_xlfn.LET(_xlpm.sfp,AND($P734&lt;&gt;"",$P734&lt;&gt;"N/A",$P734&lt;&gt;"No Min RQ"),_xlpm.slp,AND($T734&lt;&gt;"",$T734&lt;&gt;"N/A",$T734&lt;&gt;"No Min RQ"),_xlpm.ffp,AND($X734&lt;&gt;"",$X734&lt;&gt;"N/A",$X734&lt;&gt;"No Min RQ"),_xlpm.chp,AND($AB734&lt;&gt;"",$AB734&lt;&gt;"N/A",$AB734&lt;&gt;"No Min RQ"),_xlpm.usp,AND($AF734&lt;&gt;"",$AF734&lt;&gt;"N/A",$AF734&lt;&gt;"No Min RQ"),_xlpm.n,_xlpm.sfp+_xlpm.slp+_xlpm.ffp+_xlpm.chp+_xlpm.usp,_xlpm.sub,(_xlpm.sfp*($P734="Submitted"))+(_xlpm.slp*($T734="Submitted"))+(_xlpm.ffp*($X734="Submitted"))+(_xlpm.chp*($AB734="Submitted"))+(_xlpm.usp*($AF734="Submitted")),_xlpm.term,(_xlpm.sfp*OR($P734="Approved",$P734="Declined"))+(_xlpm.slp*OR($T734="Approved",$T734="Declined"))+(_xlpm.ffp*OR($X734="Approved",$X734="Declined"))+(_xlpm.chp*OR($AB734="Approved",$AB734="Declined"))+(_xlpm.usp*OR($AF734="Approved",$AF734="Declined")),IF(_xlpm.n=0,"No applicable lenders",IF(_xlpm.sub&gt;0,"Stays with Shaw - lender still Submitted",IF(_xlpm.term=_xlpm.n,"Clear - all applicable lenders Approved or Declined","Stays with Shaw - not all lenders Approved or Declined")))))</f>
      </c>
    </row>
    <row r="735" spans="80:80">
      <c r="CB735" s="131">
        <f>IF($A735="","",_xlfn.LET(_xlpm.sfp,AND($P735&lt;&gt;"",$P735&lt;&gt;"N/A",$P735&lt;&gt;"No Min RQ"),_xlpm.slp,AND($T735&lt;&gt;"",$T735&lt;&gt;"N/A",$T735&lt;&gt;"No Min RQ"),_xlpm.ffp,AND($X735&lt;&gt;"",$X735&lt;&gt;"N/A",$X735&lt;&gt;"No Min RQ"),_xlpm.chp,AND($AB735&lt;&gt;"",$AB735&lt;&gt;"N/A",$AB735&lt;&gt;"No Min RQ"),_xlpm.usp,AND($AF735&lt;&gt;"",$AF735&lt;&gt;"N/A",$AF735&lt;&gt;"No Min RQ"),_xlpm.n,_xlpm.sfp+_xlpm.slp+_xlpm.ffp+_xlpm.chp+_xlpm.usp,_xlpm.sub,(_xlpm.sfp*($P735="Submitted"))+(_xlpm.slp*($T735="Submitted"))+(_xlpm.ffp*($X735="Submitted"))+(_xlpm.chp*($AB735="Submitted"))+(_xlpm.usp*($AF735="Submitted")),_xlpm.term,(_xlpm.sfp*OR($P735="Approved",$P735="Declined"))+(_xlpm.slp*OR($T735="Approved",$T735="Declined"))+(_xlpm.ffp*OR($X735="Approved",$X735="Declined"))+(_xlpm.chp*OR($AB735="Approved",$AB735="Declined"))+(_xlpm.usp*OR($AF735="Approved",$AF735="Declined")),IF(_xlpm.n=0,"No applicable lenders",IF(_xlpm.sub&gt;0,"Stays with Shaw - lender still Submitted",IF(_xlpm.term=_xlpm.n,"Clear - all applicable lenders Approved or Declined","Stays with Shaw - not all lenders Approved or Declined")))))</f>
      </c>
    </row>
    <row r="736" spans="80:80">
      <c r="CB736" s="131">
        <f>IF($A736="","",_xlfn.LET(_xlpm.sfp,AND($P736&lt;&gt;"",$P736&lt;&gt;"N/A",$P736&lt;&gt;"No Min RQ"),_xlpm.slp,AND($T736&lt;&gt;"",$T736&lt;&gt;"N/A",$T736&lt;&gt;"No Min RQ"),_xlpm.ffp,AND($X736&lt;&gt;"",$X736&lt;&gt;"N/A",$X736&lt;&gt;"No Min RQ"),_xlpm.chp,AND($AB736&lt;&gt;"",$AB736&lt;&gt;"N/A",$AB736&lt;&gt;"No Min RQ"),_xlpm.usp,AND($AF736&lt;&gt;"",$AF736&lt;&gt;"N/A",$AF736&lt;&gt;"No Min RQ"),_xlpm.n,_xlpm.sfp+_xlpm.slp+_xlpm.ffp+_xlpm.chp+_xlpm.usp,_xlpm.sub,(_xlpm.sfp*($P736="Submitted"))+(_xlpm.slp*($T736="Submitted"))+(_xlpm.ffp*($X736="Submitted"))+(_xlpm.chp*($AB736="Submitted"))+(_xlpm.usp*($AF736="Submitted")),_xlpm.term,(_xlpm.sfp*OR($P736="Approved",$P736="Declined"))+(_xlpm.slp*OR($T736="Approved",$T736="Declined"))+(_xlpm.ffp*OR($X736="Approved",$X736="Declined"))+(_xlpm.chp*OR($AB736="Approved",$AB736="Declined"))+(_xlpm.usp*OR($AF736="Approved",$AF736="Declined")),IF(_xlpm.n=0,"No applicable lenders",IF(_xlpm.sub&gt;0,"Stays with Shaw - lender still Submitted",IF(_xlpm.term=_xlpm.n,"Clear - all applicable lenders Approved or Declined","Stays with Shaw - not all lenders Approved or Declined")))))</f>
      </c>
    </row>
    <row r="737" spans="80:80">
      <c r="CB737" s="131">
        <f>IF($A737="","",_xlfn.LET(_xlpm.sfp,AND($P737&lt;&gt;"",$P737&lt;&gt;"N/A",$P737&lt;&gt;"No Min RQ"),_xlpm.slp,AND($T737&lt;&gt;"",$T737&lt;&gt;"N/A",$T737&lt;&gt;"No Min RQ"),_xlpm.ffp,AND($X737&lt;&gt;"",$X737&lt;&gt;"N/A",$X737&lt;&gt;"No Min RQ"),_xlpm.chp,AND($AB737&lt;&gt;"",$AB737&lt;&gt;"N/A",$AB737&lt;&gt;"No Min RQ"),_xlpm.usp,AND($AF737&lt;&gt;"",$AF737&lt;&gt;"N/A",$AF737&lt;&gt;"No Min RQ"),_xlpm.n,_xlpm.sfp+_xlpm.slp+_xlpm.ffp+_xlpm.chp+_xlpm.usp,_xlpm.sub,(_xlpm.sfp*($P737="Submitted"))+(_xlpm.slp*($T737="Submitted"))+(_xlpm.ffp*($X737="Submitted"))+(_xlpm.chp*($AB737="Submitted"))+(_xlpm.usp*($AF737="Submitted")),_xlpm.term,(_xlpm.sfp*OR($P737="Approved",$P737="Declined"))+(_xlpm.slp*OR($T737="Approved",$T737="Declined"))+(_xlpm.ffp*OR($X737="Approved",$X737="Declined"))+(_xlpm.chp*OR($AB737="Approved",$AB737="Declined"))+(_xlpm.usp*OR($AF737="Approved",$AF737="Declined")),IF(_xlpm.n=0,"No applicable lenders",IF(_xlpm.sub&gt;0,"Stays with Shaw - lender still Submitted",IF(_xlpm.term=_xlpm.n,"Clear - all applicable lenders Approved or Declined","Stays with Shaw - not all lenders Approved or Declined")))))</f>
      </c>
    </row>
    <row r="738" spans="80:80">
      <c r="CB738" s="131">
        <f>IF($A738="","",_xlfn.LET(_xlpm.sfp,AND($P738&lt;&gt;"",$P738&lt;&gt;"N/A",$P738&lt;&gt;"No Min RQ"),_xlpm.slp,AND($T738&lt;&gt;"",$T738&lt;&gt;"N/A",$T738&lt;&gt;"No Min RQ"),_xlpm.ffp,AND($X738&lt;&gt;"",$X738&lt;&gt;"N/A",$X738&lt;&gt;"No Min RQ"),_xlpm.chp,AND($AB738&lt;&gt;"",$AB738&lt;&gt;"N/A",$AB738&lt;&gt;"No Min RQ"),_xlpm.usp,AND($AF738&lt;&gt;"",$AF738&lt;&gt;"N/A",$AF738&lt;&gt;"No Min RQ"),_xlpm.n,_xlpm.sfp+_xlpm.slp+_xlpm.ffp+_xlpm.chp+_xlpm.usp,_xlpm.sub,(_xlpm.sfp*($P738="Submitted"))+(_xlpm.slp*($T738="Submitted"))+(_xlpm.ffp*($X738="Submitted"))+(_xlpm.chp*($AB738="Submitted"))+(_xlpm.usp*($AF738="Submitted")),_xlpm.term,(_xlpm.sfp*OR($P738="Approved",$P738="Declined"))+(_xlpm.slp*OR($T738="Approved",$T738="Declined"))+(_xlpm.ffp*OR($X738="Approved",$X738="Declined"))+(_xlpm.chp*OR($AB738="Approved",$AB738="Declined"))+(_xlpm.usp*OR($AF738="Approved",$AF738="Declined")),IF(_xlpm.n=0,"No applicable lenders",IF(_xlpm.sub&gt;0,"Stays with Shaw - lender still Submitted",IF(_xlpm.term=_xlpm.n,"Clear - all applicable lenders Approved or Declined","Stays with Shaw - not all lenders Approved or Declined")))))</f>
      </c>
    </row>
    <row r="739" spans="80:80">
      <c r="CB739" s="131">
        <f>IF($A739="","",_xlfn.LET(_xlpm.sfp,AND($P739&lt;&gt;"",$P739&lt;&gt;"N/A",$P739&lt;&gt;"No Min RQ"),_xlpm.slp,AND($T739&lt;&gt;"",$T739&lt;&gt;"N/A",$T739&lt;&gt;"No Min RQ"),_xlpm.ffp,AND($X739&lt;&gt;"",$X739&lt;&gt;"N/A",$X739&lt;&gt;"No Min RQ"),_xlpm.chp,AND($AB739&lt;&gt;"",$AB739&lt;&gt;"N/A",$AB739&lt;&gt;"No Min RQ"),_xlpm.usp,AND($AF739&lt;&gt;"",$AF739&lt;&gt;"N/A",$AF739&lt;&gt;"No Min RQ"),_xlpm.n,_xlpm.sfp+_xlpm.slp+_xlpm.ffp+_xlpm.chp+_xlpm.usp,_xlpm.sub,(_xlpm.sfp*($P739="Submitted"))+(_xlpm.slp*($T739="Submitted"))+(_xlpm.ffp*($X739="Submitted"))+(_xlpm.chp*($AB739="Submitted"))+(_xlpm.usp*($AF739="Submitted")),_xlpm.term,(_xlpm.sfp*OR($P739="Approved",$P739="Declined"))+(_xlpm.slp*OR($T739="Approved",$T739="Declined"))+(_xlpm.ffp*OR($X739="Approved",$X739="Declined"))+(_xlpm.chp*OR($AB739="Approved",$AB739="Declined"))+(_xlpm.usp*OR($AF739="Approved",$AF739="Declined")),IF(_xlpm.n=0,"No applicable lenders",IF(_xlpm.sub&gt;0,"Stays with Shaw - lender still Submitted",IF(_xlpm.term=_xlpm.n,"Clear - all applicable lenders Approved or Declined","Stays with Shaw - not all lenders Approved or Declined")))))</f>
      </c>
    </row>
    <row r="740" spans="80:80">
      <c r="CB740" s="131">
        <f>IF($A740="","",_xlfn.LET(_xlpm.sfp,AND($P740&lt;&gt;"",$P740&lt;&gt;"N/A",$P740&lt;&gt;"No Min RQ"),_xlpm.slp,AND($T740&lt;&gt;"",$T740&lt;&gt;"N/A",$T740&lt;&gt;"No Min RQ"),_xlpm.ffp,AND($X740&lt;&gt;"",$X740&lt;&gt;"N/A",$X740&lt;&gt;"No Min RQ"),_xlpm.chp,AND($AB740&lt;&gt;"",$AB740&lt;&gt;"N/A",$AB740&lt;&gt;"No Min RQ"),_xlpm.usp,AND($AF740&lt;&gt;"",$AF740&lt;&gt;"N/A",$AF740&lt;&gt;"No Min RQ"),_xlpm.n,_xlpm.sfp+_xlpm.slp+_xlpm.ffp+_xlpm.chp+_xlpm.usp,_xlpm.sub,(_xlpm.sfp*($P740="Submitted"))+(_xlpm.slp*($T740="Submitted"))+(_xlpm.ffp*($X740="Submitted"))+(_xlpm.chp*($AB740="Submitted"))+(_xlpm.usp*($AF740="Submitted")),_xlpm.term,(_xlpm.sfp*OR($P740="Approved",$P740="Declined"))+(_xlpm.slp*OR($T740="Approved",$T740="Declined"))+(_xlpm.ffp*OR($X740="Approved",$X740="Declined"))+(_xlpm.chp*OR($AB740="Approved",$AB740="Declined"))+(_xlpm.usp*OR($AF740="Approved",$AF740="Declined")),IF(_xlpm.n=0,"No applicable lenders",IF(_xlpm.sub&gt;0,"Stays with Shaw - lender still Submitted",IF(_xlpm.term=_xlpm.n,"Clear - all applicable lenders Approved or Declined","Stays with Shaw - not all lenders Approved or Declined")))))</f>
      </c>
    </row>
    <row r="741" spans="80:80">
      <c r="CB741" s="131">
        <f>IF($A741="","",_xlfn.LET(_xlpm.sfp,AND($P741&lt;&gt;"",$P741&lt;&gt;"N/A",$P741&lt;&gt;"No Min RQ"),_xlpm.slp,AND($T741&lt;&gt;"",$T741&lt;&gt;"N/A",$T741&lt;&gt;"No Min RQ"),_xlpm.ffp,AND($X741&lt;&gt;"",$X741&lt;&gt;"N/A",$X741&lt;&gt;"No Min RQ"),_xlpm.chp,AND($AB741&lt;&gt;"",$AB741&lt;&gt;"N/A",$AB741&lt;&gt;"No Min RQ"),_xlpm.usp,AND($AF741&lt;&gt;"",$AF741&lt;&gt;"N/A",$AF741&lt;&gt;"No Min RQ"),_xlpm.n,_xlpm.sfp+_xlpm.slp+_xlpm.ffp+_xlpm.chp+_xlpm.usp,_xlpm.sub,(_xlpm.sfp*($P741="Submitted"))+(_xlpm.slp*($T741="Submitted"))+(_xlpm.ffp*($X741="Submitted"))+(_xlpm.chp*($AB741="Submitted"))+(_xlpm.usp*($AF741="Submitted")),_xlpm.term,(_xlpm.sfp*OR($P741="Approved",$P741="Declined"))+(_xlpm.slp*OR($T741="Approved",$T741="Declined"))+(_xlpm.ffp*OR($X741="Approved",$X741="Declined"))+(_xlpm.chp*OR($AB741="Approved",$AB741="Declined"))+(_xlpm.usp*OR($AF741="Approved",$AF741="Declined")),IF(_xlpm.n=0,"No applicable lenders",IF(_xlpm.sub&gt;0,"Stays with Shaw - lender still Submitted",IF(_xlpm.term=_xlpm.n,"Clear - all applicable lenders Approved or Declined","Stays with Shaw - not all lenders Approved or Declined")))))</f>
      </c>
    </row>
    <row r="742" spans="80:80">
      <c r="CB742" s="131">
        <f>IF($A742="","",_xlfn.LET(_xlpm.sfp,AND($P742&lt;&gt;"",$P742&lt;&gt;"N/A",$P742&lt;&gt;"No Min RQ"),_xlpm.slp,AND($T742&lt;&gt;"",$T742&lt;&gt;"N/A",$T742&lt;&gt;"No Min RQ"),_xlpm.ffp,AND($X742&lt;&gt;"",$X742&lt;&gt;"N/A",$X742&lt;&gt;"No Min RQ"),_xlpm.chp,AND($AB742&lt;&gt;"",$AB742&lt;&gt;"N/A",$AB742&lt;&gt;"No Min RQ"),_xlpm.usp,AND($AF742&lt;&gt;"",$AF742&lt;&gt;"N/A",$AF742&lt;&gt;"No Min RQ"),_xlpm.n,_xlpm.sfp+_xlpm.slp+_xlpm.ffp+_xlpm.chp+_xlpm.usp,_xlpm.sub,(_xlpm.sfp*($P742="Submitted"))+(_xlpm.slp*($T742="Submitted"))+(_xlpm.ffp*($X742="Submitted"))+(_xlpm.chp*($AB742="Submitted"))+(_xlpm.usp*($AF742="Submitted")),_xlpm.term,(_xlpm.sfp*OR($P742="Approved",$P742="Declined"))+(_xlpm.slp*OR($T742="Approved",$T742="Declined"))+(_xlpm.ffp*OR($X742="Approved",$X742="Declined"))+(_xlpm.chp*OR($AB742="Approved",$AB742="Declined"))+(_xlpm.usp*OR($AF742="Approved",$AF742="Declined")),IF(_xlpm.n=0,"No applicable lenders",IF(_xlpm.sub&gt;0,"Stays with Shaw - lender still Submitted",IF(_xlpm.term=_xlpm.n,"Clear - all applicable lenders Approved or Declined","Stays with Shaw - not all lenders Approved or Declined")))))</f>
      </c>
    </row>
    <row r="743" spans="80:80">
      <c r="CB743" s="131">
        <f>IF($A743="","",_xlfn.LET(_xlpm.sfp,AND($P743&lt;&gt;"",$P743&lt;&gt;"N/A",$P743&lt;&gt;"No Min RQ"),_xlpm.slp,AND($T743&lt;&gt;"",$T743&lt;&gt;"N/A",$T743&lt;&gt;"No Min RQ"),_xlpm.ffp,AND($X743&lt;&gt;"",$X743&lt;&gt;"N/A",$X743&lt;&gt;"No Min RQ"),_xlpm.chp,AND($AB743&lt;&gt;"",$AB743&lt;&gt;"N/A",$AB743&lt;&gt;"No Min RQ"),_xlpm.usp,AND($AF743&lt;&gt;"",$AF743&lt;&gt;"N/A",$AF743&lt;&gt;"No Min RQ"),_xlpm.n,_xlpm.sfp+_xlpm.slp+_xlpm.ffp+_xlpm.chp+_xlpm.usp,_xlpm.sub,(_xlpm.sfp*($P743="Submitted"))+(_xlpm.slp*($T743="Submitted"))+(_xlpm.ffp*($X743="Submitted"))+(_xlpm.chp*($AB743="Submitted"))+(_xlpm.usp*($AF743="Submitted")),_xlpm.term,(_xlpm.sfp*OR($P743="Approved",$P743="Declined"))+(_xlpm.slp*OR($T743="Approved",$T743="Declined"))+(_xlpm.ffp*OR($X743="Approved",$X743="Declined"))+(_xlpm.chp*OR($AB743="Approved",$AB743="Declined"))+(_xlpm.usp*OR($AF743="Approved",$AF743="Declined")),IF(_xlpm.n=0,"No applicable lenders",IF(_xlpm.sub&gt;0,"Stays with Shaw - lender still Submitted",IF(_xlpm.term=_xlpm.n,"Clear - all applicable lenders Approved or Declined","Stays with Shaw - not all lenders Approved or Declined")))))</f>
      </c>
    </row>
    <row r="744" spans="80:80">
      <c r="CB744" s="131">
        <f>IF($A744="","",_xlfn.LET(_xlpm.sfp,AND($P744&lt;&gt;"",$P744&lt;&gt;"N/A",$P744&lt;&gt;"No Min RQ"),_xlpm.slp,AND($T744&lt;&gt;"",$T744&lt;&gt;"N/A",$T744&lt;&gt;"No Min RQ"),_xlpm.ffp,AND($X744&lt;&gt;"",$X744&lt;&gt;"N/A",$X744&lt;&gt;"No Min RQ"),_xlpm.chp,AND($AB744&lt;&gt;"",$AB744&lt;&gt;"N/A",$AB744&lt;&gt;"No Min RQ"),_xlpm.usp,AND($AF744&lt;&gt;"",$AF744&lt;&gt;"N/A",$AF744&lt;&gt;"No Min RQ"),_xlpm.n,_xlpm.sfp+_xlpm.slp+_xlpm.ffp+_xlpm.chp+_xlpm.usp,_xlpm.sub,(_xlpm.sfp*($P744="Submitted"))+(_xlpm.slp*($T744="Submitted"))+(_xlpm.ffp*($X744="Submitted"))+(_xlpm.chp*($AB744="Submitted"))+(_xlpm.usp*($AF744="Submitted")),_xlpm.term,(_xlpm.sfp*OR($P744="Approved",$P744="Declined"))+(_xlpm.slp*OR($T744="Approved",$T744="Declined"))+(_xlpm.ffp*OR($X744="Approved",$X744="Declined"))+(_xlpm.chp*OR($AB744="Approved",$AB744="Declined"))+(_xlpm.usp*OR($AF744="Approved",$AF744="Declined")),IF(_xlpm.n=0,"No applicable lenders",IF(_xlpm.sub&gt;0,"Stays with Shaw - lender still Submitted",IF(_xlpm.term=_xlpm.n,"Clear - all applicable lenders Approved or Declined","Stays with Shaw - not all lenders Approved or Declined")))))</f>
      </c>
    </row>
    <row r="745" spans="80:80">
      <c r="CB745" s="131">
        <f>IF($A745="","",_xlfn.LET(_xlpm.sfp,AND($P745&lt;&gt;"",$P745&lt;&gt;"N/A",$P745&lt;&gt;"No Min RQ"),_xlpm.slp,AND($T745&lt;&gt;"",$T745&lt;&gt;"N/A",$T745&lt;&gt;"No Min RQ"),_xlpm.ffp,AND($X745&lt;&gt;"",$X745&lt;&gt;"N/A",$X745&lt;&gt;"No Min RQ"),_xlpm.chp,AND($AB745&lt;&gt;"",$AB745&lt;&gt;"N/A",$AB745&lt;&gt;"No Min RQ"),_xlpm.usp,AND($AF745&lt;&gt;"",$AF745&lt;&gt;"N/A",$AF745&lt;&gt;"No Min RQ"),_xlpm.n,_xlpm.sfp+_xlpm.slp+_xlpm.ffp+_xlpm.chp+_xlpm.usp,_xlpm.sub,(_xlpm.sfp*($P745="Submitted"))+(_xlpm.slp*($T745="Submitted"))+(_xlpm.ffp*($X745="Submitted"))+(_xlpm.chp*($AB745="Submitted"))+(_xlpm.usp*($AF745="Submitted")),_xlpm.term,(_xlpm.sfp*OR($P745="Approved",$P745="Declined"))+(_xlpm.slp*OR($T745="Approved",$T745="Declined"))+(_xlpm.ffp*OR($X745="Approved",$X745="Declined"))+(_xlpm.chp*OR($AB745="Approved",$AB745="Declined"))+(_xlpm.usp*OR($AF745="Approved",$AF745="Declined")),IF(_xlpm.n=0,"No applicable lenders",IF(_xlpm.sub&gt;0,"Stays with Shaw - lender still Submitted",IF(_xlpm.term=_xlpm.n,"Clear - all applicable lenders Approved or Declined","Stays with Shaw - not all lenders Approved or Declined")))))</f>
      </c>
    </row>
    <row r="746" spans="80:80">
      <c r="CB746" s="131">
        <f>IF($A746="","",_xlfn.LET(_xlpm.sfp,AND($P746&lt;&gt;"",$P746&lt;&gt;"N/A",$P746&lt;&gt;"No Min RQ"),_xlpm.slp,AND($T746&lt;&gt;"",$T746&lt;&gt;"N/A",$T746&lt;&gt;"No Min RQ"),_xlpm.ffp,AND($X746&lt;&gt;"",$X746&lt;&gt;"N/A",$X746&lt;&gt;"No Min RQ"),_xlpm.chp,AND($AB746&lt;&gt;"",$AB746&lt;&gt;"N/A",$AB746&lt;&gt;"No Min RQ"),_xlpm.usp,AND($AF746&lt;&gt;"",$AF746&lt;&gt;"N/A",$AF746&lt;&gt;"No Min RQ"),_xlpm.n,_xlpm.sfp+_xlpm.slp+_xlpm.ffp+_xlpm.chp+_xlpm.usp,_xlpm.sub,(_xlpm.sfp*($P746="Submitted"))+(_xlpm.slp*($T746="Submitted"))+(_xlpm.ffp*($X746="Submitted"))+(_xlpm.chp*($AB746="Submitted"))+(_xlpm.usp*($AF746="Submitted")),_xlpm.term,(_xlpm.sfp*OR($P746="Approved",$P746="Declined"))+(_xlpm.slp*OR($T746="Approved",$T746="Declined"))+(_xlpm.ffp*OR($X746="Approved",$X746="Declined"))+(_xlpm.chp*OR($AB746="Approved",$AB746="Declined"))+(_xlpm.usp*OR($AF746="Approved",$AF746="Declined")),IF(_xlpm.n=0,"No applicable lenders",IF(_xlpm.sub&gt;0,"Stays with Shaw - lender still Submitted",IF(_xlpm.term=_xlpm.n,"Clear - all applicable lenders Approved or Declined","Stays with Shaw - not all lenders Approved or Declined")))))</f>
      </c>
    </row>
    <row r="747" spans="80:80">
      <c r="CB747" s="131">
        <f>IF($A747="","",_xlfn.LET(_xlpm.sfp,AND($P747&lt;&gt;"",$P747&lt;&gt;"N/A",$P747&lt;&gt;"No Min RQ"),_xlpm.slp,AND($T747&lt;&gt;"",$T747&lt;&gt;"N/A",$T747&lt;&gt;"No Min RQ"),_xlpm.ffp,AND($X747&lt;&gt;"",$X747&lt;&gt;"N/A",$X747&lt;&gt;"No Min RQ"),_xlpm.chp,AND($AB747&lt;&gt;"",$AB747&lt;&gt;"N/A",$AB747&lt;&gt;"No Min RQ"),_xlpm.usp,AND($AF747&lt;&gt;"",$AF747&lt;&gt;"N/A",$AF747&lt;&gt;"No Min RQ"),_xlpm.n,_xlpm.sfp+_xlpm.slp+_xlpm.ffp+_xlpm.chp+_xlpm.usp,_xlpm.sub,(_xlpm.sfp*($P747="Submitted"))+(_xlpm.slp*($T747="Submitted"))+(_xlpm.ffp*($X747="Submitted"))+(_xlpm.chp*($AB747="Submitted"))+(_xlpm.usp*($AF747="Submitted")),_xlpm.term,(_xlpm.sfp*OR($P747="Approved",$P747="Declined"))+(_xlpm.slp*OR($T747="Approved",$T747="Declined"))+(_xlpm.ffp*OR($X747="Approved",$X747="Declined"))+(_xlpm.chp*OR($AB747="Approved",$AB747="Declined"))+(_xlpm.usp*OR($AF747="Approved",$AF747="Declined")),IF(_xlpm.n=0,"No applicable lenders",IF(_xlpm.sub&gt;0,"Stays with Shaw - lender still Submitted",IF(_xlpm.term=_xlpm.n,"Clear - all applicable lenders Approved or Declined","Stays with Shaw - not all lenders Approved or Declined")))))</f>
      </c>
    </row>
    <row r="748" spans="80:80">
      <c r="CB748" s="131">
        <f>IF($A748="","",_xlfn.LET(_xlpm.sfp,AND($P748&lt;&gt;"",$P748&lt;&gt;"N/A",$P748&lt;&gt;"No Min RQ"),_xlpm.slp,AND($T748&lt;&gt;"",$T748&lt;&gt;"N/A",$T748&lt;&gt;"No Min RQ"),_xlpm.ffp,AND($X748&lt;&gt;"",$X748&lt;&gt;"N/A",$X748&lt;&gt;"No Min RQ"),_xlpm.chp,AND($AB748&lt;&gt;"",$AB748&lt;&gt;"N/A",$AB748&lt;&gt;"No Min RQ"),_xlpm.usp,AND($AF748&lt;&gt;"",$AF748&lt;&gt;"N/A",$AF748&lt;&gt;"No Min RQ"),_xlpm.n,_xlpm.sfp+_xlpm.slp+_xlpm.ffp+_xlpm.chp+_xlpm.usp,_xlpm.sub,(_xlpm.sfp*($P748="Submitted"))+(_xlpm.slp*($T748="Submitted"))+(_xlpm.ffp*($X748="Submitted"))+(_xlpm.chp*($AB748="Submitted"))+(_xlpm.usp*($AF748="Submitted")),_xlpm.term,(_xlpm.sfp*OR($P748="Approved",$P748="Declined"))+(_xlpm.slp*OR($T748="Approved",$T748="Declined"))+(_xlpm.ffp*OR($X748="Approved",$X748="Declined"))+(_xlpm.chp*OR($AB748="Approved",$AB748="Declined"))+(_xlpm.usp*OR($AF748="Approved",$AF748="Declined")),IF(_xlpm.n=0,"No applicable lenders",IF(_xlpm.sub&gt;0,"Stays with Shaw - lender still Submitted",IF(_xlpm.term=_xlpm.n,"Clear - all applicable lenders Approved or Declined","Stays with Shaw - not all lenders Approved or Declined")))))</f>
      </c>
    </row>
    <row r="749" spans="80:80">
      <c r="CB749" s="131">
        <f>IF($A749="","",_xlfn.LET(_xlpm.sfp,AND($P749&lt;&gt;"",$P749&lt;&gt;"N/A",$P749&lt;&gt;"No Min RQ"),_xlpm.slp,AND($T749&lt;&gt;"",$T749&lt;&gt;"N/A",$T749&lt;&gt;"No Min RQ"),_xlpm.ffp,AND($X749&lt;&gt;"",$X749&lt;&gt;"N/A",$X749&lt;&gt;"No Min RQ"),_xlpm.chp,AND($AB749&lt;&gt;"",$AB749&lt;&gt;"N/A",$AB749&lt;&gt;"No Min RQ"),_xlpm.usp,AND($AF749&lt;&gt;"",$AF749&lt;&gt;"N/A",$AF749&lt;&gt;"No Min RQ"),_xlpm.n,_xlpm.sfp+_xlpm.slp+_xlpm.ffp+_xlpm.chp+_xlpm.usp,_xlpm.sub,(_xlpm.sfp*($P749="Submitted"))+(_xlpm.slp*($T749="Submitted"))+(_xlpm.ffp*($X749="Submitted"))+(_xlpm.chp*($AB749="Submitted"))+(_xlpm.usp*($AF749="Submitted")),_xlpm.term,(_xlpm.sfp*OR($P749="Approved",$P749="Declined"))+(_xlpm.slp*OR($T749="Approved",$T749="Declined"))+(_xlpm.ffp*OR($X749="Approved",$X749="Declined"))+(_xlpm.chp*OR($AB749="Approved",$AB749="Declined"))+(_xlpm.usp*OR($AF749="Approved",$AF749="Declined")),IF(_xlpm.n=0,"No applicable lenders",IF(_xlpm.sub&gt;0,"Stays with Shaw - lender still Submitted",IF(_xlpm.term=_xlpm.n,"Clear - all applicable lenders Approved or Declined","Stays with Shaw - not all lenders Approved or Declined")))))</f>
      </c>
    </row>
    <row r="750" spans="80:80">
      <c r="CB750" s="131">
        <f>IF($A750="","",_xlfn.LET(_xlpm.sfp,AND($P750&lt;&gt;"",$P750&lt;&gt;"N/A",$P750&lt;&gt;"No Min RQ"),_xlpm.slp,AND($T750&lt;&gt;"",$T750&lt;&gt;"N/A",$T750&lt;&gt;"No Min RQ"),_xlpm.ffp,AND($X750&lt;&gt;"",$X750&lt;&gt;"N/A",$X750&lt;&gt;"No Min RQ"),_xlpm.chp,AND($AB750&lt;&gt;"",$AB750&lt;&gt;"N/A",$AB750&lt;&gt;"No Min RQ"),_xlpm.usp,AND($AF750&lt;&gt;"",$AF750&lt;&gt;"N/A",$AF750&lt;&gt;"No Min RQ"),_xlpm.n,_xlpm.sfp+_xlpm.slp+_xlpm.ffp+_xlpm.chp+_xlpm.usp,_xlpm.sub,(_xlpm.sfp*($P750="Submitted"))+(_xlpm.slp*($T750="Submitted"))+(_xlpm.ffp*($X750="Submitted"))+(_xlpm.chp*($AB750="Submitted"))+(_xlpm.usp*($AF750="Submitted")),_xlpm.term,(_xlpm.sfp*OR($P750="Approved",$P750="Declined"))+(_xlpm.slp*OR($T750="Approved",$T750="Declined"))+(_xlpm.ffp*OR($X750="Approved",$X750="Declined"))+(_xlpm.chp*OR($AB750="Approved",$AB750="Declined"))+(_xlpm.usp*OR($AF750="Approved",$AF750="Declined")),IF(_xlpm.n=0,"No applicable lenders",IF(_xlpm.sub&gt;0,"Stays with Shaw - lender still Submitted",IF(_xlpm.term=_xlpm.n,"Clear - all applicable lenders Approved or Declined","Stays with Shaw - not all lenders Approved or Declined")))))</f>
      </c>
    </row>
    <row r="751" spans="80:80">
      <c r="CB751" s="131">
        <f>IF($A751="","",_xlfn.LET(_xlpm.sfp,AND($P751&lt;&gt;"",$P751&lt;&gt;"N/A",$P751&lt;&gt;"No Min RQ"),_xlpm.slp,AND($T751&lt;&gt;"",$T751&lt;&gt;"N/A",$T751&lt;&gt;"No Min RQ"),_xlpm.ffp,AND($X751&lt;&gt;"",$X751&lt;&gt;"N/A",$X751&lt;&gt;"No Min RQ"),_xlpm.chp,AND($AB751&lt;&gt;"",$AB751&lt;&gt;"N/A",$AB751&lt;&gt;"No Min RQ"),_xlpm.usp,AND($AF751&lt;&gt;"",$AF751&lt;&gt;"N/A",$AF751&lt;&gt;"No Min RQ"),_xlpm.n,_xlpm.sfp+_xlpm.slp+_xlpm.ffp+_xlpm.chp+_xlpm.usp,_xlpm.sub,(_xlpm.sfp*($P751="Submitted"))+(_xlpm.slp*($T751="Submitted"))+(_xlpm.ffp*($X751="Submitted"))+(_xlpm.chp*($AB751="Submitted"))+(_xlpm.usp*($AF751="Submitted")),_xlpm.term,(_xlpm.sfp*OR($P751="Approved",$P751="Declined"))+(_xlpm.slp*OR($T751="Approved",$T751="Declined"))+(_xlpm.ffp*OR($X751="Approved",$X751="Declined"))+(_xlpm.chp*OR($AB751="Approved",$AB751="Declined"))+(_xlpm.usp*OR($AF751="Approved",$AF751="Declined")),IF(_xlpm.n=0,"No applicable lenders",IF(_xlpm.sub&gt;0,"Stays with Shaw - lender still Submitted",IF(_xlpm.term=_xlpm.n,"Clear - all applicable lenders Approved or Declined","Stays with Shaw - not all lenders Approved or Declined")))))</f>
      </c>
    </row>
    <row r="752" spans="80:80">
      <c r="CB752" s="131">
        <f>IF($A752="","",_xlfn.LET(_xlpm.sfp,AND($P752&lt;&gt;"",$P752&lt;&gt;"N/A",$P752&lt;&gt;"No Min RQ"),_xlpm.slp,AND($T752&lt;&gt;"",$T752&lt;&gt;"N/A",$T752&lt;&gt;"No Min RQ"),_xlpm.ffp,AND($X752&lt;&gt;"",$X752&lt;&gt;"N/A",$X752&lt;&gt;"No Min RQ"),_xlpm.chp,AND($AB752&lt;&gt;"",$AB752&lt;&gt;"N/A",$AB752&lt;&gt;"No Min RQ"),_xlpm.usp,AND($AF752&lt;&gt;"",$AF752&lt;&gt;"N/A",$AF752&lt;&gt;"No Min RQ"),_xlpm.n,_xlpm.sfp+_xlpm.slp+_xlpm.ffp+_xlpm.chp+_xlpm.usp,_xlpm.sub,(_xlpm.sfp*($P752="Submitted"))+(_xlpm.slp*($T752="Submitted"))+(_xlpm.ffp*($X752="Submitted"))+(_xlpm.chp*($AB752="Submitted"))+(_xlpm.usp*($AF752="Submitted")),_xlpm.term,(_xlpm.sfp*OR($P752="Approved",$P752="Declined"))+(_xlpm.slp*OR($T752="Approved",$T752="Declined"))+(_xlpm.ffp*OR($X752="Approved",$X752="Declined"))+(_xlpm.chp*OR($AB752="Approved",$AB752="Declined"))+(_xlpm.usp*OR($AF752="Approved",$AF752="Declined")),IF(_xlpm.n=0,"No applicable lenders",IF(_xlpm.sub&gt;0,"Stays with Shaw - lender still Submitted",IF(_xlpm.term=_xlpm.n,"Clear - all applicable lenders Approved or Declined","Stays with Shaw - not all lenders Approved or Declined")))))</f>
      </c>
    </row>
    <row r="753" spans="80:80">
      <c r="CB753" s="131">
        <f>IF($A753="","",_xlfn.LET(_xlpm.sfp,AND($P753&lt;&gt;"",$P753&lt;&gt;"N/A",$P753&lt;&gt;"No Min RQ"),_xlpm.slp,AND($T753&lt;&gt;"",$T753&lt;&gt;"N/A",$T753&lt;&gt;"No Min RQ"),_xlpm.ffp,AND($X753&lt;&gt;"",$X753&lt;&gt;"N/A",$X753&lt;&gt;"No Min RQ"),_xlpm.chp,AND($AB753&lt;&gt;"",$AB753&lt;&gt;"N/A",$AB753&lt;&gt;"No Min RQ"),_xlpm.usp,AND($AF753&lt;&gt;"",$AF753&lt;&gt;"N/A",$AF753&lt;&gt;"No Min RQ"),_xlpm.n,_xlpm.sfp+_xlpm.slp+_xlpm.ffp+_xlpm.chp+_xlpm.usp,_xlpm.sub,(_xlpm.sfp*($P753="Submitted"))+(_xlpm.slp*($T753="Submitted"))+(_xlpm.ffp*($X753="Submitted"))+(_xlpm.chp*($AB753="Submitted"))+(_xlpm.usp*($AF753="Submitted")),_xlpm.term,(_xlpm.sfp*OR($P753="Approved",$P753="Declined"))+(_xlpm.slp*OR($T753="Approved",$T753="Declined"))+(_xlpm.ffp*OR($X753="Approved",$X753="Declined"))+(_xlpm.chp*OR($AB753="Approved",$AB753="Declined"))+(_xlpm.usp*OR($AF753="Approved",$AF753="Declined")),IF(_xlpm.n=0,"No applicable lenders",IF(_xlpm.sub&gt;0,"Stays with Shaw - lender still Submitted",IF(_xlpm.term=_xlpm.n,"Clear - all applicable lenders Approved or Declined","Stays with Shaw - not all lenders Approved or Declined")))))</f>
      </c>
    </row>
    <row r="754" spans="80:80">
      <c r="CB754" s="131">
        <f>IF($A754="","",_xlfn.LET(_xlpm.sfp,AND($P754&lt;&gt;"",$P754&lt;&gt;"N/A",$P754&lt;&gt;"No Min RQ"),_xlpm.slp,AND($T754&lt;&gt;"",$T754&lt;&gt;"N/A",$T754&lt;&gt;"No Min RQ"),_xlpm.ffp,AND($X754&lt;&gt;"",$X754&lt;&gt;"N/A",$X754&lt;&gt;"No Min RQ"),_xlpm.chp,AND($AB754&lt;&gt;"",$AB754&lt;&gt;"N/A",$AB754&lt;&gt;"No Min RQ"),_xlpm.usp,AND($AF754&lt;&gt;"",$AF754&lt;&gt;"N/A",$AF754&lt;&gt;"No Min RQ"),_xlpm.n,_xlpm.sfp+_xlpm.slp+_xlpm.ffp+_xlpm.chp+_xlpm.usp,_xlpm.sub,(_xlpm.sfp*($P754="Submitted"))+(_xlpm.slp*($T754="Submitted"))+(_xlpm.ffp*($X754="Submitted"))+(_xlpm.chp*($AB754="Submitted"))+(_xlpm.usp*($AF754="Submitted")),_xlpm.term,(_xlpm.sfp*OR($P754="Approved",$P754="Declined"))+(_xlpm.slp*OR($T754="Approved",$T754="Declined"))+(_xlpm.ffp*OR($X754="Approved",$X754="Declined"))+(_xlpm.chp*OR($AB754="Approved",$AB754="Declined"))+(_xlpm.usp*OR($AF754="Approved",$AF754="Declined")),IF(_xlpm.n=0,"No applicable lenders",IF(_xlpm.sub&gt;0,"Stays with Shaw - lender still Submitted",IF(_xlpm.term=_xlpm.n,"Clear - all applicable lenders Approved or Declined","Stays with Shaw - not all lenders Approved or Declined")))))</f>
      </c>
    </row>
    <row r="755" spans="80:80">
      <c r="CB755" s="131">
        <f>IF($A755="","",_xlfn.LET(_xlpm.sfp,AND($P755&lt;&gt;"",$P755&lt;&gt;"N/A",$P755&lt;&gt;"No Min RQ"),_xlpm.slp,AND($T755&lt;&gt;"",$T755&lt;&gt;"N/A",$T755&lt;&gt;"No Min RQ"),_xlpm.ffp,AND($X755&lt;&gt;"",$X755&lt;&gt;"N/A",$X755&lt;&gt;"No Min RQ"),_xlpm.chp,AND($AB755&lt;&gt;"",$AB755&lt;&gt;"N/A",$AB755&lt;&gt;"No Min RQ"),_xlpm.usp,AND($AF755&lt;&gt;"",$AF755&lt;&gt;"N/A",$AF755&lt;&gt;"No Min RQ"),_xlpm.n,_xlpm.sfp+_xlpm.slp+_xlpm.ffp+_xlpm.chp+_xlpm.usp,_xlpm.sub,(_xlpm.sfp*($P755="Submitted"))+(_xlpm.slp*($T755="Submitted"))+(_xlpm.ffp*($X755="Submitted"))+(_xlpm.chp*($AB755="Submitted"))+(_xlpm.usp*($AF755="Submitted")),_xlpm.term,(_xlpm.sfp*OR($P755="Approved",$P755="Declined"))+(_xlpm.slp*OR($T755="Approved",$T755="Declined"))+(_xlpm.ffp*OR($X755="Approved",$X755="Declined"))+(_xlpm.chp*OR($AB755="Approved",$AB755="Declined"))+(_xlpm.usp*OR($AF755="Approved",$AF755="Declined")),IF(_xlpm.n=0,"No applicable lenders",IF(_xlpm.sub&gt;0,"Stays with Shaw - lender still Submitted",IF(_xlpm.term=_xlpm.n,"Clear - all applicable lenders Approved or Declined","Stays with Shaw - not all lenders Approved or Declined")))))</f>
      </c>
    </row>
    <row r="756" spans="80:80">
      <c r="CB756" s="131">
        <f>IF($A756="","",_xlfn.LET(_xlpm.sfp,AND($P756&lt;&gt;"",$P756&lt;&gt;"N/A",$P756&lt;&gt;"No Min RQ"),_xlpm.slp,AND($T756&lt;&gt;"",$T756&lt;&gt;"N/A",$T756&lt;&gt;"No Min RQ"),_xlpm.ffp,AND($X756&lt;&gt;"",$X756&lt;&gt;"N/A",$X756&lt;&gt;"No Min RQ"),_xlpm.chp,AND($AB756&lt;&gt;"",$AB756&lt;&gt;"N/A",$AB756&lt;&gt;"No Min RQ"),_xlpm.usp,AND($AF756&lt;&gt;"",$AF756&lt;&gt;"N/A",$AF756&lt;&gt;"No Min RQ"),_xlpm.n,_xlpm.sfp+_xlpm.slp+_xlpm.ffp+_xlpm.chp+_xlpm.usp,_xlpm.sub,(_xlpm.sfp*($P756="Submitted"))+(_xlpm.slp*($T756="Submitted"))+(_xlpm.ffp*($X756="Submitted"))+(_xlpm.chp*($AB756="Submitted"))+(_xlpm.usp*($AF756="Submitted")),_xlpm.term,(_xlpm.sfp*OR($P756="Approved",$P756="Declined"))+(_xlpm.slp*OR($T756="Approved",$T756="Declined"))+(_xlpm.ffp*OR($X756="Approved",$X756="Declined"))+(_xlpm.chp*OR($AB756="Approved",$AB756="Declined"))+(_xlpm.usp*OR($AF756="Approved",$AF756="Declined")),IF(_xlpm.n=0,"No applicable lenders",IF(_xlpm.sub&gt;0,"Stays with Shaw - lender still Submitted",IF(_xlpm.term=_xlpm.n,"Clear - all applicable lenders Approved or Declined","Stays with Shaw - not all lenders Approved or Declined")))))</f>
      </c>
    </row>
    <row r="757" spans="80:80">
      <c r="CB757" s="131">
        <f>IF($A757="","",_xlfn.LET(_xlpm.sfp,AND($P757&lt;&gt;"",$P757&lt;&gt;"N/A",$P757&lt;&gt;"No Min RQ"),_xlpm.slp,AND($T757&lt;&gt;"",$T757&lt;&gt;"N/A",$T757&lt;&gt;"No Min RQ"),_xlpm.ffp,AND($X757&lt;&gt;"",$X757&lt;&gt;"N/A",$X757&lt;&gt;"No Min RQ"),_xlpm.chp,AND($AB757&lt;&gt;"",$AB757&lt;&gt;"N/A",$AB757&lt;&gt;"No Min RQ"),_xlpm.usp,AND($AF757&lt;&gt;"",$AF757&lt;&gt;"N/A",$AF757&lt;&gt;"No Min RQ"),_xlpm.n,_xlpm.sfp+_xlpm.slp+_xlpm.ffp+_xlpm.chp+_xlpm.usp,_xlpm.sub,(_xlpm.sfp*($P757="Submitted"))+(_xlpm.slp*($T757="Submitted"))+(_xlpm.ffp*($X757="Submitted"))+(_xlpm.chp*($AB757="Submitted"))+(_xlpm.usp*($AF757="Submitted")),_xlpm.term,(_xlpm.sfp*OR($P757="Approved",$P757="Declined"))+(_xlpm.slp*OR($T757="Approved",$T757="Declined"))+(_xlpm.ffp*OR($X757="Approved",$X757="Declined"))+(_xlpm.chp*OR($AB757="Approved",$AB757="Declined"))+(_xlpm.usp*OR($AF757="Approved",$AF757="Declined")),IF(_xlpm.n=0,"No applicable lenders",IF(_xlpm.sub&gt;0,"Stays with Shaw - lender still Submitted",IF(_xlpm.term=_xlpm.n,"Clear - all applicable lenders Approved or Declined","Stays with Shaw - not all lenders Approved or Declined")))))</f>
      </c>
    </row>
    <row r="758" spans="80:80">
      <c r="CB758" s="131">
        <f>IF($A758="","",_xlfn.LET(_xlpm.sfp,AND($P758&lt;&gt;"",$P758&lt;&gt;"N/A",$P758&lt;&gt;"No Min RQ"),_xlpm.slp,AND($T758&lt;&gt;"",$T758&lt;&gt;"N/A",$T758&lt;&gt;"No Min RQ"),_xlpm.ffp,AND($X758&lt;&gt;"",$X758&lt;&gt;"N/A",$X758&lt;&gt;"No Min RQ"),_xlpm.chp,AND($AB758&lt;&gt;"",$AB758&lt;&gt;"N/A",$AB758&lt;&gt;"No Min RQ"),_xlpm.usp,AND($AF758&lt;&gt;"",$AF758&lt;&gt;"N/A",$AF758&lt;&gt;"No Min RQ"),_xlpm.n,_xlpm.sfp+_xlpm.slp+_xlpm.ffp+_xlpm.chp+_xlpm.usp,_xlpm.sub,(_xlpm.sfp*($P758="Submitted"))+(_xlpm.slp*($T758="Submitted"))+(_xlpm.ffp*($X758="Submitted"))+(_xlpm.chp*($AB758="Submitted"))+(_xlpm.usp*($AF758="Submitted")),_xlpm.term,(_xlpm.sfp*OR($P758="Approved",$P758="Declined"))+(_xlpm.slp*OR($T758="Approved",$T758="Declined"))+(_xlpm.ffp*OR($X758="Approved",$X758="Declined"))+(_xlpm.chp*OR($AB758="Approved",$AB758="Declined"))+(_xlpm.usp*OR($AF758="Approved",$AF758="Declined")),IF(_xlpm.n=0,"No applicable lenders",IF(_xlpm.sub&gt;0,"Stays with Shaw - lender still Submitted",IF(_xlpm.term=_xlpm.n,"Clear - all applicable lenders Approved or Declined","Stays with Shaw - not all lenders Approved or Declined")))))</f>
      </c>
    </row>
    <row r="759" spans="80:80">
      <c r="CB759" s="131">
        <f>IF($A759="","",_xlfn.LET(_xlpm.sfp,AND($P759&lt;&gt;"",$P759&lt;&gt;"N/A",$P759&lt;&gt;"No Min RQ"),_xlpm.slp,AND($T759&lt;&gt;"",$T759&lt;&gt;"N/A",$T759&lt;&gt;"No Min RQ"),_xlpm.ffp,AND($X759&lt;&gt;"",$X759&lt;&gt;"N/A",$X759&lt;&gt;"No Min RQ"),_xlpm.chp,AND($AB759&lt;&gt;"",$AB759&lt;&gt;"N/A",$AB759&lt;&gt;"No Min RQ"),_xlpm.usp,AND($AF759&lt;&gt;"",$AF759&lt;&gt;"N/A",$AF759&lt;&gt;"No Min RQ"),_xlpm.n,_xlpm.sfp+_xlpm.slp+_xlpm.ffp+_xlpm.chp+_xlpm.usp,_xlpm.sub,(_xlpm.sfp*($P759="Submitted"))+(_xlpm.slp*($T759="Submitted"))+(_xlpm.ffp*($X759="Submitted"))+(_xlpm.chp*($AB759="Submitted"))+(_xlpm.usp*($AF759="Submitted")),_xlpm.term,(_xlpm.sfp*OR($P759="Approved",$P759="Declined"))+(_xlpm.slp*OR($T759="Approved",$T759="Declined"))+(_xlpm.ffp*OR($X759="Approved",$X759="Declined"))+(_xlpm.chp*OR($AB759="Approved",$AB759="Declined"))+(_xlpm.usp*OR($AF759="Approved",$AF759="Declined")),IF(_xlpm.n=0,"No applicable lenders",IF(_xlpm.sub&gt;0,"Stays with Shaw - lender still Submitted",IF(_xlpm.term=_xlpm.n,"Clear - all applicable lenders Approved or Declined","Stays with Shaw - not all lenders Approved or Declined")))))</f>
      </c>
    </row>
    <row r="760" spans="80:80">
      <c r="CB760" s="131">
        <f>IF($A760="","",_xlfn.LET(_xlpm.sfp,AND($P760&lt;&gt;"",$P760&lt;&gt;"N/A",$P760&lt;&gt;"No Min RQ"),_xlpm.slp,AND($T760&lt;&gt;"",$T760&lt;&gt;"N/A",$T760&lt;&gt;"No Min RQ"),_xlpm.ffp,AND($X760&lt;&gt;"",$X760&lt;&gt;"N/A",$X760&lt;&gt;"No Min RQ"),_xlpm.chp,AND($AB760&lt;&gt;"",$AB760&lt;&gt;"N/A",$AB760&lt;&gt;"No Min RQ"),_xlpm.usp,AND($AF760&lt;&gt;"",$AF760&lt;&gt;"N/A",$AF760&lt;&gt;"No Min RQ"),_xlpm.n,_xlpm.sfp+_xlpm.slp+_xlpm.ffp+_xlpm.chp+_xlpm.usp,_xlpm.sub,(_xlpm.sfp*($P760="Submitted"))+(_xlpm.slp*($T760="Submitted"))+(_xlpm.ffp*($X760="Submitted"))+(_xlpm.chp*($AB760="Submitted"))+(_xlpm.usp*($AF760="Submitted")),_xlpm.term,(_xlpm.sfp*OR($P760="Approved",$P760="Declined"))+(_xlpm.slp*OR($T760="Approved",$T760="Declined"))+(_xlpm.ffp*OR($X760="Approved",$X760="Declined"))+(_xlpm.chp*OR($AB760="Approved",$AB760="Declined"))+(_xlpm.usp*OR($AF760="Approved",$AF760="Declined")),IF(_xlpm.n=0,"No applicable lenders",IF(_xlpm.sub&gt;0,"Stays with Shaw - lender still Submitted",IF(_xlpm.term=_xlpm.n,"Clear - all applicable lenders Approved or Declined","Stays with Shaw - not all lenders Approved or Declined")))))</f>
      </c>
    </row>
    <row r="761" spans="80:80">
      <c r="CB761" s="131">
        <f>IF($A761="","",_xlfn.LET(_xlpm.sfp,AND($P761&lt;&gt;"",$P761&lt;&gt;"N/A",$P761&lt;&gt;"No Min RQ"),_xlpm.slp,AND($T761&lt;&gt;"",$T761&lt;&gt;"N/A",$T761&lt;&gt;"No Min RQ"),_xlpm.ffp,AND($X761&lt;&gt;"",$X761&lt;&gt;"N/A",$X761&lt;&gt;"No Min RQ"),_xlpm.chp,AND($AB761&lt;&gt;"",$AB761&lt;&gt;"N/A",$AB761&lt;&gt;"No Min RQ"),_xlpm.usp,AND($AF761&lt;&gt;"",$AF761&lt;&gt;"N/A",$AF761&lt;&gt;"No Min RQ"),_xlpm.n,_xlpm.sfp+_xlpm.slp+_xlpm.ffp+_xlpm.chp+_xlpm.usp,_xlpm.sub,(_xlpm.sfp*($P761="Submitted"))+(_xlpm.slp*($T761="Submitted"))+(_xlpm.ffp*($X761="Submitted"))+(_xlpm.chp*($AB761="Submitted"))+(_xlpm.usp*($AF761="Submitted")),_xlpm.term,(_xlpm.sfp*OR($P761="Approved",$P761="Declined"))+(_xlpm.slp*OR($T761="Approved",$T761="Declined"))+(_xlpm.ffp*OR($X761="Approved",$X761="Declined"))+(_xlpm.chp*OR($AB761="Approved",$AB761="Declined"))+(_xlpm.usp*OR($AF761="Approved",$AF761="Declined")),IF(_xlpm.n=0,"No applicable lenders",IF(_xlpm.sub&gt;0,"Stays with Shaw - lender still Submitted",IF(_xlpm.term=_xlpm.n,"Clear - all applicable lenders Approved or Declined","Stays with Shaw - not all lenders Approved or Declined")))))</f>
      </c>
    </row>
    <row r="762" spans="80:80">
      <c r="CB762" s="131">
        <f>IF($A762="","",_xlfn.LET(_xlpm.sfp,AND($P762&lt;&gt;"",$P762&lt;&gt;"N/A",$P762&lt;&gt;"No Min RQ"),_xlpm.slp,AND($T762&lt;&gt;"",$T762&lt;&gt;"N/A",$T762&lt;&gt;"No Min RQ"),_xlpm.ffp,AND($X762&lt;&gt;"",$X762&lt;&gt;"N/A",$X762&lt;&gt;"No Min RQ"),_xlpm.chp,AND($AB762&lt;&gt;"",$AB762&lt;&gt;"N/A",$AB762&lt;&gt;"No Min RQ"),_xlpm.usp,AND($AF762&lt;&gt;"",$AF762&lt;&gt;"N/A",$AF762&lt;&gt;"No Min RQ"),_xlpm.n,_xlpm.sfp+_xlpm.slp+_xlpm.ffp+_xlpm.chp+_xlpm.usp,_xlpm.sub,(_xlpm.sfp*($P762="Submitted"))+(_xlpm.slp*($T762="Submitted"))+(_xlpm.ffp*($X762="Submitted"))+(_xlpm.chp*($AB762="Submitted"))+(_xlpm.usp*($AF762="Submitted")),_xlpm.term,(_xlpm.sfp*OR($P762="Approved",$P762="Declined"))+(_xlpm.slp*OR($T762="Approved",$T762="Declined"))+(_xlpm.ffp*OR($X762="Approved",$X762="Declined"))+(_xlpm.chp*OR($AB762="Approved",$AB762="Declined"))+(_xlpm.usp*OR($AF762="Approved",$AF762="Declined")),IF(_xlpm.n=0,"No applicable lenders",IF(_xlpm.sub&gt;0,"Stays with Shaw - lender still Submitted",IF(_xlpm.term=_xlpm.n,"Clear - all applicable lenders Approved or Declined","Stays with Shaw - not all lenders Approved or Declined")))))</f>
      </c>
    </row>
    <row r="763" spans="80:80">
      <c r="CB763" s="131">
        <f>IF($A763="","",_xlfn.LET(_xlpm.sfp,AND($P763&lt;&gt;"",$P763&lt;&gt;"N/A",$P763&lt;&gt;"No Min RQ"),_xlpm.slp,AND($T763&lt;&gt;"",$T763&lt;&gt;"N/A",$T763&lt;&gt;"No Min RQ"),_xlpm.ffp,AND($X763&lt;&gt;"",$X763&lt;&gt;"N/A",$X763&lt;&gt;"No Min RQ"),_xlpm.chp,AND($AB763&lt;&gt;"",$AB763&lt;&gt;"N/A",$AB763&lt;&gt;"No Min RQ"),_xlpm.usp,AND($AF763&lt;&gt;"",$AF763&lt;&gt;"N/A",$AF763&lt;&gt;"No Min RQ"),_xlpm.n,_xlpm.sfp+_xlpm.slp+_xlpm.ffp+_xlpm.chp+_xlpm.usp,_xlpm.sub,(_xlpm.sfp*($P763="Submitted"))+(_xlpm.slp*($T763="Submitted"))+(_xlpm.ffp*($X763="Submitted"))+(_xlpm.chp*($AB763="Submitted"))+(_xlpm.usp*($AF763="Submitted")),_xlpm.term,(_xlpm.sfp*OR($P763="Approved",$P763="Declined"))+(_xlpm.slp*OR($T763="Approved",$T763="Declined"))+(_xlpm.ffp*OR($X763="Approved",$X763="Declined"))+(_xlpm.chp*OR($AB763="Approved",$AB763="Declined"))+(_xlpm.usp*OR($AF763="Approved",$AF763="Declined")),IF(_xlpm.n=0,"No applicable lenders",IF(_xlpm.sub&gt;0,"Stays with Shaw - lender still Submitted",IF(_xlpm.term=_xlpm.n,"Clear - all applicable lenders Approved or Declined","Stays with Shaw - not all lenders Approved or Declined")))))</f>
      </c>
    </row>
    <row r="764" spans="80:80">
      <c r="CB764" s="131">
        <f>IF($A764="","",_xlfn.LET(_xlpm.sfp,AND($P764&lt;&gt;"",$P764&lt;&gt;"N/A",$P764&lt;&gt;"No Min RQ"),_xlpm.slp,AND($T764&lt;&gt;"",$T764&lt;&gt;"N/A",$T764&lt;&gt;"No Min RQ"),_xlpm.ffp,AND($X764&lt;&gt;"",$X764&lt;&gt;"N/A",$X764&lt;&gt;"No Min RQ"),_xlpm.chp,AND($AB764&lt;&gt;"",$AB764&lt;&gt;"N/A",$AB764&lt;&gt;"No Min RQ"),_xlpm.usp,AND($AF764&lt;&gt;"",$AF764&lt;&gt;"N/A",$AF764&lt;&gt;"No Min RQ"),_xlpm.n,_xlpm.sfp+_xlpm.slp+_xlpm.ffp+_xlpm.chp+_xlpm.usp,_xlpm.sub,(_xlpm.sfp*($P764="Submitted"))+(_xlpm.slp*($T764="Submitted"))+(_xlpm.ffp*($X764="Submitted"))+(_xlpm.chp*($AB764="Submitted"))+(_xlpm.usp*($AF764="Submitted")),_xlpm.term,(_xlpm.sfp*OR($P764="Approved",$P764="Declined"))+(_xlpm.slp*OR($T764="Approved",$T764="Declined"))+(_xlpm.ffp*OR($X764="Approved",$X764="Declined"))+(_xlpm.chp*OR($AB764="Approved",$AB764="Declined"))+(_xlpm.usp*OR($AF764="Approved",$AF764="Declined")),IF(_xlpm.n=0,"No applicable lenders",IF(_xlpm.sub&gt;0,"Stays with Shaw - lender still Submitted",IF(_xlpm.term=_xlpm.n,"Clear - all applicable lenders Approved or Declined","Stays with Shaw - not all lenders Approved or Declined")))))</f>
      </c>
    </row>
    <row r="765" spans="80:80">
      <c r="CB765" s="131">
        <f>IF($A765="","",_xlfn.LET(_xlpm.sfp,AND($P765&lt;&gt;"",$P765&lt;&gt;"N/A",$P765&lt;&gt;"No Min RQ"),_xlpm.slp,AND($T765&lt;&gt;"",$T765&lt;&gt;"N/A",$T765&lt;&gt;"No Min RQ"),_xlpm.ffp,AND($X765&lt;&gt;"",$X765&lt;&gt;"N/A",$X765&lt;&gt;"No Min RQ"),_xlpm.chp,AND($AB765&lt;&gt;"",$AB765&lt;&gt;"N/A",$AB765&lt;&gt;"No Min RQ"),_xlpm.usp,AND($AF765&lt;&gt;"",$AF765&lt;&gt;"N/A",$AF765&lt;&gt;"No Min RQ"),_xlpm.n,_xlpm.sfp+_xlpm.slp+_xlpm.ffp+_xlpm.chp+_xlpm.usp,_xlpm.sub,(_xlpm.sfp*($P765="Submitted"))+(_xlpm.slp*($T765="Submitted"))+(_xlpm.ffp*($X765="Submitted"))+(_xlpm.chp*($AB765="Submitted"))+(_xlpm.usp*($AF765="Submitted")),_xlpm.term,(_xlpm.sfp*OR($P765="Approved",$P765="Declined"))+(_xlpm.slp*OR($T765="Approved",$T765="Declined"))+(_xlpm.ffp*OR($X765="Approved",$X765="Declined"))+(_xlpm.chp*OR($AB765="Approved",$AB765="Declined"))+(_xlpm.usp*OR($AF765="Approved",$AF765="Declined")),IF(_xlpm.n=0,"No applicable lenders",IF(_xlpm.sub&gt;0,"Stays with Shaw - lender still Submitted",IF(_xlpm.term=_xlpm.n,"Clear - all applicable lenders Approved or Declined","Stays with Shaw - not all lenders Approved or Declined")))))</f>
      </c>
    </row>
    <row r="766" spans="80:80">
      <c r="CB766" s="131">
        <f>IF($A766="","",_xlfn.LET(_xlpm.sfp,AND($P766&lt;&gt;"",$P766&lt;&gt;"N/A",$P766&lt;&gt;"No Min RQ"),_xlpm.slp,AND($T766&lt;&gt;"",$T766&lt;&gt;"N/A",$T766&lt;&gt;"No Min RQ"),_xlpm.ffp,AND($X766&lt;&gt;"",$X766&lt;&gt;"N/A",$X766&lt;&gt;"No Min RQ"),_xlpm.chp,AND($AB766&lt;&gt;"",$AB766&lt;&gt;"N/A",$AB766&lt;&gt;"No Min RQ"),_xlpm.usp,AND($AF766&lt;&gt;"",$AF766&lt;&gt;"N/A",$AF766&lt;&gt;"No Min RQ"),_xlpm.n,_xlpm.sfp+_xlpm.slp+_xlpm.ffp+_xlpm.chp+_xlpm.usp,_xlpm.sub,(_xlpm.sfp*($P766="Submitted"))+(_xlpm.slp*($T766="Submitted"))+(_xlpm.ffp*($X766="Submitted"))+(_xlpm.chp*($AB766="Submitted"))+(_xlpm.usp*($AF766="Submitted")),_xlpm.term,(_xlpm.sfp*OR($P766="Approved",$P766="Declined"))+(_xlpm.slp*OR($T766="Approved",$T766="Declined"))+(_xlpm.ffp*OR($X766="Approved",$X766="Declined"))+(_xlpm.chp*OR($AB766="Approved",$AB766="Declined"))+(_xlpm.usp*OR($AF766="Approved",$AF766="Declined")),IF(_xlpm.n=0,"No applicable lenders",IF(_xlpm.sub&gt;0,"Stays with Shaw - lender still Submitted",IF(_xlpm.term=_xlpm.n,"Clear - all applicable lenders Approved or Declined","Stays with Shaw - not all lenders Approved or Declined")))))</f>
      </c>
    </row>
    <row r="767" spans="80:80">
      <c r="CB767" s="131">
        <f>IF($A767="","",_xlfn.LET(_xlpm.sfp,AND($P767&lt;&gt;"",$P767&lt;&gt;"N/A",$P767&lt;&gt;"No Min RQ"),_xlpm.slp,AND($T767&lt;&gt;"",$T767&lt;&gt;"N/A",$T767&lt;&gt;"No Min RQ"),_xlpm.ffp,AND($X767&lt;&gt;"",$X767&lt;&gt;"N/A",$X767&lt;&gt;"No Min RQ"),_xlpm.chp,AND($AB767&lt;&gt;"",$AB767&lt;&gt;"N/A",$AB767&lt;&gt;"No Min RQ"),_xlpm.usp,AND($AF767&lt;&gt;"",$AF767&lt;&gt;"N/A",$AF767&lt;&gt;"No Min RQ"),_xlpm.n,_xlpm.sfp+_xlpm.slp+_xlpm.ffp+_xlpm.chp+_xlpm.usp,_xlpm.sub,(_xlpm.sfp*($P767="Submitted"))+(_xlpm.slp*($T767="Submitted"))+(_xlpm.ffp*($X767="Submitted"))+(_xlpm.chp*($AB767="Submitted"))+(_xlpm.usp*($AF767="Submitted")),_xlpm.term,(_xlpm.sfp*OR($P767="Approved",$P767="Declined"))+(_xlpm.slp*OR($T767="Approved",$T767="Declined"))+(_xlpm.ffp*OR($X767="Approved",$X767="Declined"))+(_xlpm.chp*OR($AB767="Approved",$AB767="Declined"))+(_xlpm.usp*OR($AF767="Approved",$AF767="Declined")),IF(_xlpm.n=0,"No applicable lenders",IF(_xlpm.sub&gt;0,"Stays with Shaw - lender still Submitted",IF(_xlpm.term=_xlpm.n,"Clear - all applicable lenders Approved or Declined","Stays with Shaw - not all lenders Approved or Declined")))))</f>
      </c>
    </row>
    <row r="768" spans="80:80">
      <c r="CB768" s="131">
        <f>IF($A768="","",_xlfn.LET(_xlpm.sfp,AND($P768&lt;&gt;"",$P768&lt;&gt;"N/A",$P768&lt;&gt;"No Min RQ"),_xlpm.slp,AND($T768&lt;&gt;"",$T768&lt;&gt;"N/A",$T768&lt;&gt;"No Min RQ"),_xlpm.ffp,AND($X768&lt;&gt;"",$X768&lt;&gt;"N/A",$X768&lt;&gt;"No Min RQ"),_xlpm.chp,AND($AB768&lt;&gt;"",$AB768&lt;&gt;"N/A",$AB768&lt;&gt;"No Min RQ"),_xlpm.usp,AND($AF768&lt;&gt;"",$AF768&lt;&gt;"N/A",$AF768&lt;&gt;"No Min RQ"),_xlpm.n,_xlpm.sfp+_xlpm.slp+_xlpm.ffp+_xlpm.chp+_xlpm.usp,_xlpm.sub,(_xlpm.sfp*($P768="Submitted"))+(_xlpm.slp*($T768="Submitted"))+(_xlpm.ffp*($X768="Submitted"))+(_xlpm.chp*($AB768="Submitted"))+(_xlpm.usp*($AF768="Submitted")),_xlpm.term,(_xlpm.sfp*OR($P768="Approved",$P768="Declined"))+(_xlpm.slp*OR($T768="Approved",$T768="Declined"))+(_xlpm.ffp*OR($X768="Approved",$X768="Declined"))+(_xlpm.chp*OR($AB768="Approved",$AB768="Declined"))+(_xlpm.usp*OR($AF768="Approved",$AF768="Declined")),IF(_xlpm.n=0,"No applicable lenders",IF(_xlpm.sub&gt;0,"Stays with Shaw - lender still Submitted",IF(_xlpm.term=_xlpm.n,"Clear - all applicable lenders Approved or Declined","Stays with Shaw - not all lenders Approved or Declined")))))</f>
      </c>
    </row>
    <row r="769" spans="80:80">
      <c r="CB769" s="131">
        <f>IF($A769="","",_xlfn.LET(_xlpm.sfp,AND($P769&lt;&gt;"",$P769&lt;&gt;"N/A",$P769&lt;&gt;"No Min RQ"),_xlpm.slp,AND($T769&lt;&gt;"",$T769&lt;&gt;"N/A",$T769&lt;&gt;"No Min RQ"),_xlpm.ffp,AND($X769&lt;&gt;"",$X769&lt;&gt;"N/A",$X769&lt;&gt;"No Min RQ"),_xlpm.chp,AND($AB769&lt;&gt;"",$AB769&lt;&gt;"N/A",$AB769&lt;&gt;"No Min RQ"),_xlpm.usp,AND($AF769&lt;&gt;"",$AF769&lt;&gt;"N/A",$AF769&lt;&gt;"No Min RQ"),_xlpm.n,_xlpm.sfp+_xlpm.slp+_xlpm.ffp+_xlpm.chp+_xlpm.usp,_xlpm.sub,(_xlpm.sfp*($P769="Submitted"))+(_xlpm.slp*($T769="Submitted"))+(_xlpm.ffp*($X769="Submitted"))+(_xlpm.chp*($AB769="Submitted"))+(_xlpm.usp*($AF769="Submitted")),_xlpm.term,(_xlpm.sfp*OR($P769="Approved",$P769="Declined"))+(_xlpm.slp*OR($T769="Approved",$T769="Declined"))+(_xlpm.ffp*OR($X769="Approved",$X769="Declined"))+(_xlpm.chp*OR($AB769="Approved",$AB769="Declined"))+(_xlpm.usp*OR($AF769="Approved",$AF769="Declined")),IF(_xlpm.n=0,"No applicable lenders",IF(_xlpm.sub&gt;0,"Stays with Shaw - lender still Submitted",IF(_xlpm.term=_xlpm.n,"Clear - all applicable lenders Approved or Declined","Stays with Shaw - not all lenders Approved or Declined")))))</f>
      </c>
    </row>
    <row r="770" spans="80:80">
      <c r="CB770" s="131">
        <f>IF($A770="","",_xlfn.LET(_xlpm.sfp,AND($P770&lt;&gt;"",$P770&lt;&gt;"N/A",$P770&lt;&gt;"No Min RQ"),_xlpm.slp,AND($T770&lt;&gt;"",$T770&lt;&gt;"N/A",$T770&lt;&gt;"No Min RQ"),_xlpm.ffp,AND($X770&lt;&gt;"",$X770&lt;&gt;"N/A",$X770&lt;&gt;"No Min RQ"),_xlpm.chp,AND($AB770&lt;&gt;"",$AB770&lt;&gt;"N/A",$AB770&lt;&gt;"No Min RQ"),_xlpm.usp,AND($AF770&lt;&gt;"",$AF770&lt;&gt;"N/A",$AF770&lt;&gt;"No Min RQ"),_xlpm.n,_xlpm.sfp+_xlpm.slp+_xlpm.ffp+_xlpm.chp+_xlpm.usp,_xlpm.sub,(_xlpm.sfp*($P770="Submitted"))+(_xlpm.slp*($T770="Submitted"))+(_xlpm.ffp*($X770="Submitted"))+(_xlpm.chp*($AB770="Submitted"))+(_xlpm.usp*($AF770="Submitted")),_xlpm.term,(_xlpm.sfp*OR($P770="Approved",$P770="Declined"))+(_xlpm.slp*OR($T770="Approved",$T770="Declined"))+(_xlpm.ffp*OR($X770="Approved",$X770="Declined"))+(_xlpm.chp*OR($AB770="Approved",$AB770="Declined"))+(_xlpm.usp*OR($AF770="Approved",$AF770="Declined")),IF(_xlpm.n=0,"No applicable lenders",IF(_xlpm.sub&gt;0,"Stays with Shaw - lender still Submitted",IF(_xlpm.term=_xlpm.n,"Clear - all applicable lenders Approved or Declined","Stays with Shaw - not all lenders Approved or Declined")))))</f>
      </c>
    </row>
    <row r="771" spans="80:80">
      <c r="CB771" s="131">
        <f>IF($A771="","",_xlfn.LET(_xlpm.sfp,AND($P771&lt;&gt;"",$P771&lt;&gt;"N/A",$P771&lt;&gt;"No Min RQ"),_xlpm.slp,AND($T771&lt;&gt;"",$T771&lt;&gt;"N/A",$T771&lt;&gt;"No Min RQ"),_xlpm.ffp,AND($X771&lt;&gt;"",$X771&lt;&gt;"N/A",$X771&lt;&gt;"No Min RQ"),_xlpm.chp,AND($AB771&lt;&gt;"",$AB771&lt;&gt;"N/A",$AB771&lt;&gt;"No Min RQ"),_xlpm.usp,AND($AF771&lt;&gt;"",$AF771&lt;&gt;"N/A",$AF771&lt;&gt;"No Min RQ"),_xlpm.n,_xlpm.sfp+_xlpm.slp+_xlpm.ffp+_xlpm.chp+_xlpm.usp,_xlpm.sub,(_xlpm.sfp*($P771="Submitted"))+(_xlpm.slp*($T771="Submitted"))+(_xlpm.ffp*($X771="Submitted"))+(_xlpm.chp*($AB771="Submitted"))+(_xlpm.usp*($AF771="Submitted")),_xlpm.term,(_xlpm.sfp*OR($P771="Approved",$P771="Declined"))+(_xlpm.slp*OR($T771="Approved",$T771="Declined"))+(_xlpm.ffp*OR($X771="Approved",$X771="Declined"))+(_xlpm.chp*OR($AB771="Approved",$AB771="Declined"))+(_xlpm.usp*OR($AF771="Approved",$AF771="Declined")),IF(_xlpm.n=0,"No applicable lenders",IF(_xlpm.sub&gt;0,"Stays with Shaw - lender still Submitted",IF(_xlpm.term=_xlpm.n,"Clear - all applicable lenders Approved or Declined","Stays with Shaw - not all lenders Approved or Declined")))))</f>
      </c>
    </row>
    <row r="772" spans="80:80">
      <c r="CB772" s="131">
        <f>IF($A772="","",_xlfn.LET(_xlpm.sfp,AND($P772&lt;&gt;"",$P772&lt;&gt;"N/A",$P772&lt;&gt;"No Min RQ"),_xlpm.slp,AND($T772&lt;&gt;"",$T772&lt;&gt;"N/A",$T772&lt;&gt;"No Min RQ"),_xlpm.ffp,AND($X772&lt;&gt;"",$X772&lt;&gt;"N/A",$X772&lt;&gt;"No Min RQ"),_xlpm.chp,AND($AB772&lt;&gt;"",$AB772&lt;&gt;"N/A",$AB772&lt;&gt;"No Min RQ"),_xlpm.usp,AND($AF772&lt;&gt;"",$AF772&lt;&gt;"N/A",$AF772&lt;&gt;"No Min RQ"),_xlpm.n,_xlpm.sfp+_xlpm.slp+_xlpm.ffp+_xlpm.chp+_xlpm.usp,_xlpm.sub,(_xlpm.sfp*($P772="Submitted"))+(_xlpm.slp*($T772="Submitted"))+(_xlpm.ffp*($X772="Submitted"))+(_xlpm.chp*($AB772="Submitted"))+(_xlpm.usp*($AF772="Submitted")),_xlpm.term,(_xlpm.sfp*OR($P772="Approved",$P772="Declined"))+(_xlpm.slp*OR($T772="Approved",$T772="Declined"))+(_xlpm.ffp*OR($X772="Approved",$X772="Declined"))+(_xlpm.chp*OR($AB772="Approved",$AB772="Declined"))+(_xlpm.usp*OR($AF772="Approved",$AF772="Declined")),IF(_xlpm.n=0,"No applicable lenders",IF(_xlpm.sub&gt;0,"Stays with Shaw - lender still Submitted",IF(_xlpm.term=_xlpm.n,"Clear - all applicable lenders Approved or Declined","Stays with Shaw - not all lenders Approved or Declined")))))</f>
      </c>
    </row>
    <row r="773" spans="80:80">
      <c r="CB773" s="131">
        <f>IF($A773="","",_xlfn.LET(_xlpm.sfp,AND($P773&lt;&gt;"",$P773&lt;&gt;"N/A",$P773&lt;&gt;"No Min RQ"),_xlpm.slp,AND($T773&lt;&gt;"",$T773&lt;&gt;"N/A",$T773&lt;&gt;"No Min RQ"),_xlpm.ffp,AND($X773&lt;&gt;"",$X773&lt;&gt;"N/A",$X773&lt;&gt;"No Min RQ"),_xlpm.chp,AND($AB773&lt;&gt;"",$AB773&lt;&gt;"N/A",$AB773&lt;&gt;"No Min RQ"),_xlpm.usp,AND($AF773&lt;&gt;"",$AF773&lt;&gt;"N/A",$AF773&lt;&gt;"No Min RQ"),_xlpm.n,_xlpm.sfp+_xlpm.slp+_xlpm.ffp+_xlpm.chp+_xlpm.usp,_xlpm.sub,(_xlpm.sfp*($P773="Submitted"))+(_xlpm.slp*($T773="Submitted"))+(_xlpm.ffp*($X773="Submitted"))+(_xlpm.chp*($AB773="Submitted"))+(_xlpm.usp*($AF773="Submitted")),_xlpm.term,(_xlpm.sfp*OR($P773="Approved",$P773="Declined"))+(_xlpm.slp*OR($T773="Approved",$T773="Declined"))+(_xlpm.ffp*OR($X773="Approved",$X773="Declined"))+(_xlpm.chp*OR($AB773="Approved",$AB773="Declined"))+(_xlpm.usp*OR($AF773="Approved",$AF773="Declined")),IF(_xlpm.n=0,"No applicable lenders",IF(_xlpm.sub&gt;0,"Stays with Shaw - lender still Submitted",IF(_xlpm.term=_xlpm.n,"Clear - all applicable lenders Approved or Declined","Stays with Shaw - not all lenders Approved or Declined")))))</f>
      </c>
    </row>
    <row r="774" spans="80:80">
      <c r="CB774" s="131">
        <f>IF($A774="","",_xlfn.LET(_xlpm.sfp,AND($P774&lt;&gt;"",$P774&lt;&gt;"N/A",$P774&lt;&gt;"No Min RQ"),_xlpm.slp,AND($T774&lt;&gt;"",$T774&lt;&gt;"N/A",$T774&lt;&gt;"No Min RQ"),_xlpm.ffp,AND($X774&lt;&gt;"",$X774&lt;&gt;"N/A",$X774&lt;&gt;"No Min RQ"),_xlpm.chp,AND($AB774&lt;&gt;"",$AB774&lt;&gt;"N/A",$AB774&lt;&gt;"No Min RQ"),_xlpm.usp,AND($AF774&lt;&gt;"",$AF774&lt;&gt;"N/A",$AF774&lt;&gt;"No Min RQ"),_xlpm.n,_xlpm.sfp+_xlpm.slp+_xlpm.ffp+_xlpm.chp+_xlpm.usp,_xlpm.sub,(_xlpm.sfp*($P774="Submitted"))+(_xlpm.slp*($T774="Submitted"))+(_xlpm.ffp*($X774="Submitted"))+(_xlpm.chp*($AB774="Submitted"))+(_xlpm.usp*($AF774="Submitted")),_xlpm.term,(_xlpm.sfp*OR($P774="Approved",$P774="Declined"))+(_xlpm.slp*OR($T774="Approved",$T774="Declined"))+(_xlpm.ffp*OR($X774="Approved",$X774="Declined"))+(_xlpm.chp*OR($AB774="Approved",$AB774="Declined"))+(_xlpm.usp*OR($AF774="Approved",$AF774="Declined")),IF(_xlpm.n=0,"No applicable lenders",IF(_xlpm.sub&gt;0,"Stays with Shaw - lender still Submitted",IF(_xlpm.term=_xlpm.n,"Clear - all applicable lenders Approved or Declined","Stays with Shaw - not all lenders Approved or Declined")))))</f>
      </c>
    </row>
    <row r="775" spans="80:80">
      <c r="CB775" s="131">
        <f>IF($A775="","",_xlfn.LET(_xlpm.sfp,AND($P775&lt;&gt;"",$P775&lt;&gt;"N/A",$P775&lt;&gt;"No Min RQ"),_xlpm.slp,AND($T775&lt;&gt;"",$T775&lt;&gt;"N/A",$T775&lt;&gt;"No Min RQ"),_xlpm.ffp,AND($X775&lt;&gt;"",$X775&lt;&gt;"N/A",$X775&lt;&gt;"No Min RQ"),_xlpm.chp,AND($AB775&lt;&gt;"",$AB775&lt;&gt;"N/A",$AB775&lt;&gt;"No Min RQ"),_xlpm.usp,AND($AF775&lt;&gt;"",$AF775&lt;&gt;"N/A",$AF775&lt;&gt;"No Min RQ"),_xlpm.n,_xlpm.sfp+_xlpm.slp+_xlpm.ffp+_xlpm.chp+_xlpm.usp,_xlpm.sub,(_xlpm.sfp*($P775="Submitted"))+(_xlpm.slp*($T775="Submitted"))+(_xlpm.ffp*($X775="Submitted"))+(_xlpm.chp*($AB775="Submitted"))+(_xlpm.usp*($AF775="Submitted")),_xlpm.term,(_xlpm.sfp*OR($P775="Approved",$P775="Declined"))+(_xlpm.slp*OR($T775="Approved",$T775="Declined"))+(_xlpm.ffp*OR($X775="Approved",$X775="Declined"))+(_xlpm.chp*OR($AB775="Approved",$AB775="Declined"))+(_xlpm.usp*OR($AF775="Approved",$AF775="Declined")),IF(_xlpm.n=0,"No applicable lenders",IF(_xlpm.sub&gt;0,"Stays with Shaw - lender still Submitted",IF(_xlpm.term=_xlpm.n,"Clear - all applicable lenders Approved or Declined","Stays with Shaw - not all lenders Approved or Declined")))))</f>
      </c>
    </row>
    <row r="776" spans="80:80">
      <c r="CB776" s="131">
        <f>IF($A776="","",_xlfn.LET(_xlpm.sfp,AND($P776&lt;&gt;"",$P776&lt;&gt;"N/A",$P776&lt;&gt;"No Min RQ"),_xlpm.slp,AND($T776&lt;&gt;"",$T776&lt;&gt;"N/A",$T776&lt;&gt;"No Min RQ"),_xlpm.ffp,AND($X776&lt;&gt;"",$X776&lt;&gt;"N/A",$X776&lt;&gt;"No Min RQ"),_xlpm.chp,AND($AB776&lt;&gt;"",$AB776&lt;&gt;"N/A",$AB776&lt;&gt;"No Min RQ"),_xlpm.usp,AND($AF776&lt;&gt;"",$AF776&lt;&gt;"N/A",$AF776&lt;&gt;"No Min RQ"),_xlpm.n,_xlpm.sfp+_xlpm.slp+_xlpm.ffp+_xlpm.chp+_xlpm.usp,_xlpm.sub,(_xlpm.sfp*($P776="Submitted"))+(_xlpm.slp*($T776="Submitted"))+(_xlpm.ffp*($X776="Submitted"))+(_xlpm.chp*($AB776="Submitted"))+(_xlpm.usp*($AF776="Submitted")),_xlpm.term,(_xlpm.sfp*OR($P776="Approved",$P776="Declined"))+(_xlpm.slp*OR($T776="Approved",$T776="Declined"))+(_xlpm.ffp*OR($X776="Approved",$X776="Declined"))+(_xlpm.chp*OR($AB776="Approved",$AB776="Declined"))+(_xlpm.usp*OR($AF776="Approved",$AF776="Declined")),IF(_xlpm.n=0,"No applicable lenders",IF(_xlpm.sub&gt;0,"Stays with Shaw - lender still Submitted",IF(_xlpm.term=_xlpm.n,"Clear - all applicable lenders Approved or Declined","Stays with Shaw - not all lenders Approved or Declined")))))</f>
      </c>
    </row>
    <row r="777" spans="80:80">
      <c r="CB777" s="131">
        <f>IF($A777="","",_xlfn.LET(_xlpm.sfp,AND($P777&lt;&gt;"",$P777&lt;&gt;"N/A",$P777&lt;&gt;"No Min RQ"),_xlpm.slp,AND($T777&lt;&gt;"",$T777&lt;&gt;"N/A",$T777&lt;&gt;"No Min RQ"),_xlpm.ffp,AND($X777&lt;&gt;"",$X777&lt;&gt;"N/A",$X777&lt;&gt;"No Min RQ"),_xlpm.chp,AND($AB777&lt;&gt;"",$AB777&lt;&gt;"N/A",$AB777&lt;&gt;"No Min RQ"),_xlpm.usp,AND($AF777&lt;&gt;"",$AF777&lt;&gt;"N/A",$AF777&lt;&gt;"No Min RQ"),_xlpm.n,_xlpm.sfp+_xlpm.slp+_xlpm.ffp+_xlpm.chp+_xlpm.usp,_xlpm.sub,(_xlpm.sfp*($P777="Submitted"))+(_xlpm.slp*($T777="Submitted"))+(_xlpm.ffp*($X777="Submitted"))+(_xlpm.chp*($AB777="Submitted"))+(_xlpm.usp*($AF777="Submitted")),_xlpm.term,(_xlpm.sfp*OR($P777="Approved",$P777="Declined"))+(_xlpm.slp*OR($T777="Approved",$T777="Declined"))+(_xlpm.ffp*OR($X777="Approved",$X777="Declined"))+(_xlpm.chp*OR($AB777="Approved",$AB777="Declined"))+(_xlpm.usp*OR($AF777="Approved",$AF777="Declined")),IF(_xlpm.n=0,"No applicable lenders",IF(_xlpm.sub&gt;0,"Stays with Shaw - lender still Submitted",IF(_xlpm.term=_xlpm.n,"Clear - all applicable lenders Approved or Declined","Stays with Shaw - not all lenders Approved or Declined")))))</f>
      </c>
    </row>
    <row r="778" spans="80:80">
      <c r="CB778" s="131">
        <f>IF($A778="","",_xlfn.LET(_xlpm.sfp,AND($P778&lt;&gt;"",$P778&lt;&gt;"N/A",$P778&lt;&gt;"No Min RQ"),_xlpm.slp,AND($T778&lt;&gt;"",$T778&lt;&gt;"N/A",$T778&lt;&gt;"No Min RQ"),_xlpm.ffp,AND($X778&lt;&gt;"",$X778&lt;&gt;"N/A",$X778&lt;&gt;"No Min RQ"),_xlpm.chp,AND($AB778&lt;&gt;"",$AB778&lt;&gt;"N/A",$AB778&lt;&gt;"No Min RQ"),_xlpm.usp,AND($AF778&lt;&gt;"",$AF778&lt;&gt;"N/A",$AF778&lt;&gt;"No Min RQ"),_xlpm.n,_xlpm.sfp+_xlpm.slp+_xlpm.ffp+_xlpm.chp+_xlpm.usp,_xlpm.sub,(_xlpm.sfp*($P778="Submitted"))+(_xlpm.slp*($T778="Submitted"))+(_xlpm.ffp*($X778="Submitted"))+(_xlpm.chp*($AB778="Submitted"))+(_xlpm.usp*($AF778="Submitted")),_xlpm.term,(_xlpm.sfp*OR($P778="Approved",$P778="Declined"))+(_xlpm.slp*OR($T778="Approved",$T778="Declined"))+(_xlpm.ffp*OR($X778="Approved",$X778="Declined"))+(_xlpm.chp*OR($AB778="Approved",$AB778="Declined"))+(_xlpm.usp*OR($AF778="Approved",$AF778="Declined")),IF(_xlpm.n=0,"No applicable lenders",IF(_xlpm.sub&gt;0,"Stays with Shaw - lender still Submitted",IF(_xlpm.term=_xlpm.n,"Clear - all applicable lenders Approved or Declined","Stays with Shaw - not all lenders Approved or Declined")))))</f>
      </c>
    </row>
    <row r="779" spans="80:80">
      <c r="CB779" s="131">
        <f>IF($A779="","",_xlfn.LET(_xlpm.sfp,AND($P779&lt;&gt;"",$P779&lt;&gt;"N/A",$P779&lt;&gt;"No Min RQ"),_xlpm.slp,AND($T779&lt;&gt;"",$T779&lt;&gt;"N/A",$T779&lt;&gt;"No Min RQ"),_xlpm.ffp,AND($X779&lt;&gt;"",$X779&lt;&gt;"N/A",$X779&lt;&gt;"No Min RQ"),_xlpm.chp,AND($AB779&lt;&gt;"",$AB779&lt;&gt;"N/A",$AB779&lt;&gt;"No Min RQ"),_xlpm.usp,AND($AF779&lt;&gt;"",$AF779&lt;&gt;"N/A",$AF779&lt;&gt;"No Min RQ"),_xlpm.n,_xlpm.sfp+_xlpm.slp+_xlpm.ffp+_xlpm.chp+_xlpm.usp,_xlpm.sub,(_xlpm.sfp*($P779="Submitted"))+(_xlpm.slp*($T779="Submitted"))+(_xlpm.ffp*($X779="Submitted"))+(_xlpm.chp*($AB779="Submitted"))+(_xlpm.usp*($AF779="Submitted")),_xlpm.term,(_xlpm.sfp*OR($P779="Approved",$P779="Declined"))+(_xlpm.slp*OR($T779="Approved",$T779="Declined"))+(_xlpm.ffp*OR($X779="Approved",$X779="Declined"))+(_xlpm.chp*OR($AB779="Approved",$AB779="Declined"))+(_xlpm.usp*OR($AF779="Approved",$AF779="Declined")),IF(_xlpm.n=0,"No applicable lenders",IF(_xlpm.sub&gt;0,"Stays with Shaw - lender still Submitted",IF(_xlpm.term=_xlpm.n,"Clear - all applicable lenders Approved or Declined","Stays with Shaw - not all lenders Approved or Declined")))))</f>
      </c>
    </row>
    <row r="780" spans="80:80">
      <c r="CB780" s="131">
        <f>IF($A780="","",_xlfn.LET(_xlpm.sfp,AND($P780&lt;&gt;"",$P780&lt;&gt;"N/A",$P780&lt;&gt;"No Min RQ"),_xlpm.slp,AND($T780&lt;&gt;"",$T780&lt;&gt;"N/A",$T780&lt;&gt;"No Min RQ"),_xlpm.ffp,AND($X780&lt;&gt;"",$X780&lt;&gt;"N/A",$X780&lt;&gt;"No Min RQ"),_xlpm.chp,AND($AB780&lt;&gt;"",$AB780&lt;&gt;"N/A",$AB780&lt;&gt;"No Min RQ"),_xlpm.usp,AND($AF780&lt;&gt;"",$AF780&lt;&gt;"N/A",$AF780&lt;&gt;"No Min RQ"),_xlpm.n,_xlpm.sfp+_xlpm.slp+_xlpm.ffp+_xlpm.chp+_xlpm.usp,_xlpm.sub,(_xlpm.sfp*($P780="Submitted"))+(_xlpm.slp*($T780="Submitted"))+(_xlpm.ffp*($X780="Submitted"))+(_xlpm.chp*($AB780="Submitted"))+(_xlpm.usp*($AF780="Submitted")),_xlpm.term,(_xlpm.sfp*OR($P780="Approved",$P780="Declined"))+(_xlpm.slp*OR($T780="Approved",$T780="Declined"))+(_xlpm.ffp*OR($X780="Approved",$X780="Declined"))+(_xlpm.chp*OR($AB780="Approved",$AB780="Declined"))+(_xlpm.usp*OR($AF780="Approved",$AF780="Declined")),IF(_xlpm.n=0,"No applicable lenders",IF(_xlpm.sub&gt;0,"Stays with Shaw - lender still Submitted",IF(_xlpm.term=_xlpm.n,"Clear - all applicable lenders Approved or Declined","Stays with Shaw - not all lenders Approved or Declined")))))</f>
      </c>
    </row>
    <row r="781" spans="80:80">
      <c r="CB781" s="131">
        <f>IF($A781="","",_xlfn.LET(_xlpm.sfp,AND($P781&lt;&gt;"",$P781&lt;&gt;"N/A",$P781&lt;&gt;"No Min RQ"),_xlpm.slp,AND($T781&lt;&gt;"",$T781&lt;&gt;"N/A",$T781&lt;&gt;"No Min RQ"),_xlpm.ffp,AND($X781&lt;&gt;"",$X781&lt;&gt;"N/A",$X781&lt;&gt;"No Min RQ"),_xlpm.chp,AND($AB781&lt;&gt;"",$AB781&lt;&gt;"N/A",$AB781&lt;&gt;"No Min RQ"),_xlpm.usp,AND($AF781&lt;&gt;"",$AF781&lt;&gt;"N/A",$AF781&lt;&gt;"No Min RQ"),_xlpm.n,_xlpm.sfp+_xlpm.slp+_xlpm.ffp+_xlpm.chp+_xlpm.usp,_xlpm.sub,(_xlpm.sfp*($P781="Submitted"))+(_xlpm.slp*($T781="Submitted"))+(_xlpm.ffp*($X781="Submitted"))+(_xlpm.chp*($AB781="Submitted"))+(_xlpm.usp*($AF781="Submitted")),_xlpm.term,(_xlpm.sfp*OR($P781="Approved",$P781="Declined"))+(_xlpm.slp*OR($T781="Approved",$T781="Declined"))+(_xlpm.ffp*OR($X781="Approved",$X781="Declined"))+(_xlpm.chp*OR($AB781="Approved",$AB781="Declined"))+(_xlpm.usp*OR($AF781="Approved",$AF781="Declined")),IF(_xlpm.n=0,"No applicable lenders",IF(_xlpm.sub&gt;0,"Stays with Shaw - lender still Submitted",IF(_xlpm.term=_xlpm.n,"Clear - all applicable lenders Approved or Declined","Stays with Shaw - not all lenders Approved or Declined")))))</f>
      </c>
    </row>
    <row r="782" spans="80:80">
      <c r="CB782" s="131">
        <f>IF($A782="","",_xlfn.LET(_xlpm.sfp,AND($P782&lt;&gt;"",$P782&lt;&gt;"N/A",$P782&lt;&gt;"No Min RQ"),_xlpm.slp,AND($T782&lt;&gt;"",$T782&lt;&gt;"N/A",$T782&lt;&gt;"No Min RQ"),_xlpm.ffp,AND($X782&lt;&gt;"",$X782&lt;&gt;"N/A",$X782&lt;&gt;"No Min RQ"),_xlpm.chp,AND($AB782&lt;&gt;"",$AB782&lt;&gt;"N/A",$AB782&lt;&gt;"No Min RQ"),_xlpm.usp,AND($AF782&lt;&gt;"",$AF782&lt;&gt;"N/A",$AF782&lt;&gt;"No Min RQ"),_xlpm.n,_xlpm.sfp+_xlpm.slp+_xlpm.ffp+_xlpm.chp+_xlpm.usp,_xlpm.sub,(_xlpm.sfp*($P782="Submitted"))+(_xlpm.slp*($T782="Submitted"))+(_xlpm.ffp*($X782="Submitted"))+(_xlpm.chp*($AB782="Submitted"))+(_xlpm.usp*($AF782="Submitted")),_xlpm.term,(_xlpm.sfp*OR($P782="Approved",$P782="Declined"))+(_xlpm.slp*OR($T782="Approved",$T782="Declined"))+(_xlpm.ffp*OR($X782="Approved",$X782="Declined"))+(_xlpm.chp*OR($AB782="Approved",$AB782="Declined"))+(_xlpm.usp*OR($AF782="Approved",$AF782="Declined")),IF(_xlpm.n=0,"No applicable lenders",IF(_xlpm.sub&gt;0,"Stays with Shaw - lender still Submitted",IF(_xlpm.term=_xlpm.n,"Clear - all applicable lenders Approved or Declined","Stays with Shaw - not all lenders Approved or Declined")))))</f>
      </c>
    </row>
    <row r="783" spans="80:80">
      <c r="CB783" s="131">
        <f>IF($A783="","",_xlfn.LET(_xlpm.sfp,AND($P783&lt;&gt;"",$P783&lt;&gt;"N/A",$P783&lt;&gt;"No Min RQ"),_xlpm.slp,AND($T783&lt;&gt;"",$T783&lt;&gt;"N/A",$T783&lt;&gt;"No Min RQ"),_xlpm.ffp,AND($X783&lt;&gt;"",$X783&lt;&gt;"N/A",$X783&lt;&gt;"No Min RQ"),_xlpm.chp,AND($AB783&lt;&gt;"",$AB783&lt;&gt;"N/A",$AB783&lt;&gt;"No Min RQ"),_xlpm.usp,AND($AF783&lt;&gt;"",$AF783&lt;&gt;"N/A",$AF783&lt;&gt;"No Min RQ"),_xlpm.n,_xlpm.sfp+_xlpm.slp+_xlpm.ffp+_xlpm.chp+_xlpm.usp,_xlpm.sub,(_xlpm.sfp*($P783="Submitted"))+(_xlpm.slp*($T783="Submitted"))+(_xlpm.ffp*($X783="Submitted"))+(_xlpm.chp*($AB783="Submitted"))+(_xlpm.usp*($AF783="Submitted")),_xlpm.term,(_xlpm.sfp*OR($P783="Approved",$P783="Declined"))+(_xlpm.slp*OR($T783="Approved",$T783="Declined"))+(_xlpm.ffp*OR($X783="Approved",$X783="Declined"))+(_xlpm.chp*OR($AB783="Approved",$AB783="Declined"))+(_xlpm.usp*OR($AF783="Approved",$AF783="Declined")),IF(_xlpm.n=0,"No applicable lenders",IF(_xlpm.sub&gt;0,"Stays with Shaw - lender still Submitted",IF(_xlpm.term=_xlpm.n,"Clear - all applicable lenders Approved or Declined","Stays with Shaw - not all lenders Approved or Declined")))))</f>
      </c>
    </row>
    <row r="784" spans="80:80">
      <c r="CB784" s="131">
        <f>IF($A784="","",_xlfn.LET(_xlpm.sfp,AND($P784&lt;&gt;"",$P784&lt;&gt;"N/A",$P784&lt;&gt;"No Min RQ"),_xlpm.slp,AND($T784&lt;&gt;"",$T784&lt;&gt;"N/A",$T784&lt;&gt;"No Min RQ"),_xlpm.ffp,AND($X784&lt;&gt;"",$X784&lt;&gt;"N/A",$X784&lt;&gt;"No Min RQ"),_xlpm.chp,AND($AB784&lt;&gt;"",$AB784&lt;&gt;"N/A",$AB784&lt;&gt;"No Min RQ"),_xlpm.usp,AND($AF784&lt;&gt;"",$AF784&lt;&gt;"N/A",$AF784&lt;&gt;"No Min RQ"),_xlpm.n,_xlpm.sfp+_xlpm.slp+_xlpm.ffp+_xlpm.chp+_xlpm.usp,_xlpm.sub,(_xlpm.sfp*($P784="Submitted"))+(_xlpm.slp*($T784="Submitted"))+(_xlpm.ffp*($X784="Submitted"))+(_xlpm.chp*($AB784="Submitted"))+(_xlpm.usp*($AF784="Submitted")),_xlpm.term,(_xlpm.sfp*OR($P784="Approved",$P784="Declined"))+(_xlpm.slp*OR($T784="Approved",$T784="Declined"))+(_xlpm.ffp*OR($X784="Approved",$X784="Declined"))+(_xlpm.chp*OR($AB784="Approved",$AB784="Declined"))+(_xlpm.usp*OR($AF784="Approved",$AF784="Declined")),IF(_xlpm.n=0,"No applicable lenders",IF(_xlpm.sub&gt;0,"Stays with Shaw - lender still Submitted",IF(_xlpm.term=_xlpm.n,"Clear - all applicable lenders Approved or Declined","Stays with Shaw - not all lenders Approved or Declined")))))</f>
      </c>
    </row>
    <row r="785" spans="80:80">
      <c r="CB785" s="131">
        <f>IF($A785="","",_xlfn.LET(_xlpm.sfp,AND($P785&lt;&gt;"",$P785&lt;&gt;"N/A",$P785&lt;&gt;"No Min RQ"),_xlpm.slp,AND($T785&lt;&gt;"",$T785&lt;&gt;"N/A",$T785&lt;&gt;"No Min RQ"),_xlpm.ffp,AND($X785&lt;&gt;"",$X785&lt;&gt;"N/A",$X785&lt;&gt;"No Min RQ"),_xlpm.chp,AND($AB785&lt;&gt;"",$AB785&lt;&gt;"N/A",$AB785&lt;&gt;"No Min RQ"),_xlpm.usp,AND($AF785&lt;&gt;"",$AF785&lt;&gt;"N/A",$AF785&lt;&gt;"No Min RQ"),_xlpm.n,_xlpm.sfp+_xlpm.slp+_xlpm.ffp+_xlpm.chp+_xlpm.usp,_xlpm.sub,(_xlpm.sfp*($P785="Submitted"))+(_xlpm.slp*($T785="Submitted"))+(_xlpm.ffp*($X785="Submitted"))+(_xlpm.chp*($AB785="Submitted"))+(_xlpm.usp*($AF785="Submitted")),_xlpm.term,(_xlpm.sfp*OR($P785="Approved",$P785="Declined"))+(_xlpm.slp*OR($T785="Approved",$T785="Declined"))+(_xlpm.ffp*OR($X785="Approved",$X785="Declined"))+(_xlpm.chp*OR($AB785="Approved",$AB785="Declined"))+(_xlpm.usp*OR($AF785="Approved",$AF785="Declined")),IF(_xlpm.n=0,"No applicable lenders",IF(_xlpm.sub&gt;0,"Stays with Shaw - lender still Submitted",IF(_xlpm.term=_xlpm.n,"Clear - all applicable lenders Approved or Declined","Stays with Shaw - not all lenders Approved or Declined")))))</f>
      </c>
    </row>
    <row r="786" spans="80:80">
      <c r="CB786" s="131">
        <f>IF($A786="","",_xlfn.LET(_xlpm.sfp,AND($P786&lt;&gt;"",$P786&lt;&gt;"N/A",$P786&lt;&gt;"No Min RQ"),_xlpm.slp,AND($T786&lt;&gt;"",$T786&lt;&gt;"N/A",$T786&lt;&gt;"No Min RQ"),_xlpm.ffp,AND($X786&lt;&gt;"",$X786&lt;&gt;"N/A",$X786&lt;&gt;"No Min RQ"),_xlpm.chp,AND($AB786&lt;&gt;"",$AB786&lt;&gt;"N/A",$AB786&lt;&gt;"No Min RQ"),_xlpm.usp,AND($AF786&lt;&gt;"",$AF786&lt;&gt;"N/A",$AF786&lt;&gt;"No Min RQ"),_xlpm.n,_xlpm.sfp+_xlpm.slp+_xlpm.ffp+_xlpm.chp+_xlpm.usp,_xlpm.sub,(_xlpm.sfp*($P786="Submitted"))+(_xlpm.slp*($T786="Submitted"))+(_xlpm.ffp*($X786="Submitted"))+(_xlpm.chp*($AB786="Submitted"))+(_xlpm.usp*($AF786="Submitted")),_xlpm.term,(_xlpm.sfp*OR($P786="Approved",$P786="Declined"))+(_xlpm.slp*OR($T786="Approved",$T786="Declined"))+(_xlpm.ffp*OR($X786="Approved",$X786="Declined"))+(_xlpm.chp*OR($AB786="Approved",$AB786="Declined"))+(_xlpm.usp*OR($AF786="Approved",$AF786="Declined")),IF(_xlpm.n=0,"No applicable lenders",IF(_xlpm.sub&gt;0,"Stays with Shaw - lender still Submitted",IF(_xlpm.term=_xlpm.n,"Clear - all applicable lenders Approved or Declined","Stays with Shaw - not all lenders Approved or Declined")))))</f>
      </c>
    </row>
    <row r="787" spans="80:80">
      <c r="CB787" s="131">
        <f>IF($A787="","",_xlfn.LET(_xlpm.sfp,AND($P787&lt;&gt;"",$P787&lt;&gt;"N/A",$P787&lt;&gt;"No Min RQ"),_xlpm.slp,AND($T787&lt;&gt;"",$T787&lt;&gt;"N/A",$T787&lt;&gt;"No Min RQ"),_xlpm.ffp,AND($X787&lt;&gt;"",$X787&lt;&gt;"N/A",$X787&lt;&gt;"No Min RQ"),_xlpm.chp,AND($AB787&lt;&gt;"",$AB787&lt;&gt;"N/A",$AB787&lt;&gt;"No Min RQ"),_xlpm.usp,AND($AF787&lt;&gt;"",$AF787&lt;&gt;"N/A",$AF787&lt;&gt;"No Min RQ"),_xlpm.n,_xlpm.sfp+_xlpm.slp+_xlpm.ffp+_xlpm.chp+_xlpm.usp,_xlpm.sub,(_xlpm.sfp*($P787="Submitted"))+(_xlpm.slp*($T787="Submitted"))+(_xlpm.ffp*($X787="Submitted"))+(_xlpm.chp*($AB787="Submitted"))+(_xlpm.usp*($AF787="Submitted")),_xlpm.term,(_xlpm.sfp*OR($P787="Approved",$P787="Declined"))+(_xlpm.slp*OR($T787="Approved",$T787="Declined"))+(_xlpm.ffp*OR($X787="Approved",$X787="Declined"))+(_xlpm.chp*OR($AB787="Approved",$AB787="Declined"))+(_xlpm.usp*OR($AF787="Approved",$AF787="Declined")),IF(_xlpm.n=0,"No applicable lenders",IF(_xlpm.sub&gt;0,"Stays with Shaw - lender still Submitted",IF(_xlpm.term=_xlpm.n,"Clear - all applicable lenders Approved or Declined","Stays with Shaw - not all lenders Approved or Declined")))))</f>
      </c>
    </row>
    <row r="788" spans="80:80">
      <c r="CB788" s="131">
        <f>IF($A788="","",_xlfn.LET(_xlpm.sfp,AND($P788&lt;&gt;"",$P788&lt;&gt;"N/A",$P788&lt;&gt;"No Min RQ"),_xlpm.slp,AND($T788&lt;&gt;"",$T788&lt;&gt;"N/A",$T788&lt;&gt;"No Min RQ"),_xlpm.ffp,AND($X788&lt;&gt;"",$X788&lt;&gt;"N/A",$X788&lt;&gt;"No Min RQ"),_xlpm.chp,AND($AB788&lt;&gt;"",$AB788&lt;&gt;"N/A",$AB788&lt;&gt;"No Min RQ"),_xlpm.usp,AND($AF788&lt;&gt;"",$AF788&lt;&gt;"N/A",$AF788&lt;&gt;"No Min RQ"),_xlpm.n,_xlpm.sfp+_xlpm.slp+_xlpm.ffp+_xlpm.chp+_xlpm.usp,_xlpm.sub,(_xlpm.sfp*($P788="Submitted"))+(_xlpm.slp*($T788="Submitted"))+(_xlpm.ffp*($X788="Submitted"))+(_xlpm.chp*($AB788="Submitted"))+(_xlpm.usp*($AF788="Submitted")),_xlpm.term,(_xlpm.sfp*OR($P788="Approved",$P788="Declined"))+(_xlpm.slp*OR($T788="Approved",$T788="Declined"))+(_xlpm.ffp*OR($X788="Approved",$X788="Declined"))+(_xlpm.chp*OR($AB788="Approved",$AB788="Declined"))+(_xlpm.usp*OR($AF788="Approved",$AF788="Declined")),IF(_xlpm.n=0,"No applicable lenders",IF(_xlpm.sub&gt;0,"Stays with Shaw - lender still Submitted",IF(_xlpm.term=_xlpm.n,"Clear - all applicable lenders Approved or Declined","Stays with Shaw - not all lenders Approved or Declined")))))</f>
      </c>
    </row>
    <row r="789" spans="80:80">
      <c r="CB789" s="131">
        <f>IF($A789="","",_xlfn.LET(_xlpm.sfp,AND($P789&lt;&gt;"",$P789&lt;&gt;"N/A",$P789&lt;&gt;"No Min RQ"),_xlpm.slp,AND($T789&lt;&gt;"",$T789&lt;&gt;"N/A",$T789&lt;&gt;"No Min RQ"),_xlpm.ffp,AND($X789&lt;&gt;"",$X789&lt;&gt;"N/A",$X789&lt;&gt;"No Min RQ"),_xlpm.chp,AND($AB789&lt;&gt;"",$AB789&lt;&gt;"N/A",$AB789&lt;&gt;"No Min RQ"),_xlpm.usp,AND($AF789&lt;&gt;"",$AF789&lt;&gt;"N/A",$AF789&lt;&gt;"No Min RQ"),_xlpm.n,_xlpm.sfp+_xlpm.slp+_xlpm.ffp+_xlpm.chp+_xlpm.usp,_xlpm.sub,(_xlpm.sfp*($P789="Submitted"))+(_xlpm.slp*($T789="Submitted"))+(_xlpm.ffp*($X789="Submitted"))+(_xlpm.chp*($AB789="Submitted"))+(_xlpm.usp*($AF789="Submitted")),_xlpm.term,(_xlpm.sfp*OR($P789="Approved",$P789="Declined"))+(_xlpm.slp*OR($T789="Approved",$T789="Declined"))+(_xlpm.ffp*OR($X789="Approved",$X789="Declined"))+(_xlpm.chp*OR($AB789="Approved",$AB789="Declined"))+(_xlpm.usp*OR($AF789="Approved",$AF789="Declined")),IF(_xlpm.n=0,"No applicable lenders",IF(_xlpm.sub&gt;0,"Stays with Shaw - lender still Submitted",IF(_xlpm.term=_xlpm.n,"Clear - all applicable lenders Approved or Declined","Stays with Shaw - not all lenders Approved or Declined")))))</f>
      </c>
    </row>
    <row r="790" spans="80:80">
      <c r="CB790" s="131">
        <f>IF($A790="","",_xlfn.LET(_xlpm.sfp,AND($P790&lt;&gt;"",$P790&lt;&gt;"N/A",$P790&lt;&gt;"No Min RQ"),_xlpm.slp,AND($T790&lt;&gt;"",$T790&lt;&gt;"N/A",$T790&lt;&gt;"No Min RQ"),_xlpm.ffp,AND($X790&lt;&gt;"",$X790&lt;&gt;"N/A",$X790&lt;&gt;"No Min RQ"),_xlpm.chp,AND($AB790&lt;&gt;"",$AB790&lt;&gt;"N/A",$AB790&lt;&gt;"No Min RQ"),_xlpm.usp,AND($AF790&lt;&gt;"",$AF790&lt;&gt;"N/A",$AF790&lt;&gt;"No Min RQ"),_xlpm.n,_xlpm.sfp+_xlpm.slp+_xlpm.ffp+_xlpm.chp+_xlpm.usp,_xlpm.sub,(_xlpm.sfp*($P790="Submitted"))+(_xlpm.slp*($T790="Submitted"))+(_xlpm.ffp*($X790="Submitted"))+(_xlpm.chp*($AB790="Submitted"))+(_xlpm.usp*($AF790="Submitted")),_xlpm.term,(_xlpm.sfp*OR($P790="Approved",$P790="Declined"))+(_xlpm.slp*OR($T790="Approved",$T790="Declined"))+(_xlpm.ffp*OR($X790="Approved",$X790="Declined"))+(_xlpm.chp*OR($AB790="Approved",$AB790="Declined"))+(_xlpm.usp*OR($AF790="Approved",$AF790="Declined")),IF(_xlpm.n=0,"No applicable lenders",IF(_xlpm.sub&gt;0,"Stays with Shaw - lender still Submitted",IF(_xlpm.term=_xlpm.n,"Clear - all applicable lenders Approved or Declined","Stays with Shaw - not all lenders Approved or Declined")))))</f>
      </c>
    </row>
    <row r="791" spans="80:80">
      <c r="CB791" s="131">
        <f>IF($A791="","",_xlfn.LET(_xlpm.sfp,AND($P791&lt;&gt;"",$P791&lt;&gt;"N/A",$P791&lt;&gt;"No Min RQ"),_xlpm.slp,AND($T791&lt;&gt;"",$T791&lt;&gt;"N/A",$T791&lt;&gt;"No Min RQ"),_xlpm.ffp,AND($X791&lt;&gt;"",$X791&lt;&gt;"N/A",$X791&lt;&gt;"No Min RQ"),_xlpm.chp,AND($AB791&lt;&gt;"",$AB791&lt;&gt;"N/A",$AB791&lt;&gt;"No Min RQ"),_xlpm.usp,AND($AF791&lt;&gt;"",$AF791&lt;&gt;"N/A",$AF791&lt;&gt;"No Min RQ"),_xlpm.n,_xlpm.sfp+_xlpm.slp+_xlpm.ffp+_xlpm.chp+_xlpm.usp,_xlpm.sub,(_xlpm.sfp*($P791="Submitted"))+(_xlpm.slp*($T791="Submitted"))+(_xlpm.ffp*($X791="Submitted"))+(_xlpm.chp*($AB791="Submitted"))+(_xlpm.usp*($AF791="Submitted")),_xlpm.term,(_xlpm.sfp*OR($P791="Approved",$P791="Declined"))+(_xlpm.slp*OR($T791="Approved",$T791="Declined"))+(_xlpm.ffp*OR($X791="Approved",$X791="Declined"))+(_xlpm.chp*OR($AB791="Approved",$AB791="Declined"))+(_xlpm.usp*OR($AF791="Approved",$AF791="Declined")),IF(_xlpm.n=0,"No applicable lenders",IF(_xlpm.sub&gt;0,"Stays with Shaw - lender still Submitted",IF(_xlpm.term=_xlpm.n,"Clear - all applicable lenders Approved or Declined","Stays with Shaw - not all lenders Approved or Declined")))))</f>
      </c>
    </row>
    <row r="792" spans="80:80">
      <c r="CB792" s="131">
        <f>IF($A792="","",_xlfn.LET(_xlpm.sfp,AND($P792&lt;&gt;"",$P792&lt;&gt;"N/A",$P792&lt;&gt;"No Min RQ"),_xlpm.slp,AND($T792&lt;&gt;"",$T792&lt;&gt;"N/A",$T792&lt;&gt;"No Min RQ"),_xlpm.ffp,AND($X792&lt;&gt;"",$X792&lt;&gt;"N/A",$X792&lt;&gt;"No Min RQ"),_xlpm.chp,AND($AB792&lt;&gt;"",$AB792&lt;&gt;"N/A",$AB792&lt;&gt;"No Min RQ"),_xlpm.usp,AND($AF792&lt;&gt;"",$AF792&lt;&gt;"N/A",$AF792&lt;&gt;"No Min RQ"),_xlpm.n,_xlpm.sfp+_xlpm.slp+_xlpm.ffp+_xlpm.chp+_xlpm.usp,_xlpm.sub,(_xlpm.sfp*($P792="Submitted"))+(_xlpm.slp*($T792="Submitted"))+(_xlpm.ffp*($X792="Submitted"))+(_xlpm.chp*($AB792="Submitted"))+(_xlpm.usp*($AF792="Submitted")),_xlpm.term,(_xlpm.sfp*OR($P792="Approved",$P792="Declined"))+(_xlpm.slp*OR($T792="Approved",$T792="Declined"))+(_xlpm.ffp*OR($X792="Approved",$X792="Declined"))+(_xlpm.chp*OR($AB792="Approved",$AB792="Declined"))+(_xlpm.usp*OR($AF792="Approved",$AF792="Declined")),IF(_xlpm.n=0,"No applicable lenders",IF(_xlpm.sub&gt;0,"Stays with Shaw - lender still Submitted",IF(_xlpm.term=_xlpm.n,"Clear - all applicable lenders Approved or Declined","Stays with Shaw - not all lenders Approved or Declined")))))</f>
      </c>
    </row>
    <row r="793" spans="80:80">
      <c r="CB793" s="131">
        <f>IF($A793="","",_xlfn.LET(_xlpm.sfp,AND($P793&lt;&gt;"",$P793&lt;&gt;"N/A",$P793&lt;&gt;"No Min RQ"),_xlpm.slp,AND($T793&lt;&gt;"",$T793&lt;&gt;"N/A",$T793&lt;&gt;"No Min RQ"),_xlpm.ffp,AND($X793&lt;&gt;"",$X793&lt;&gt;"N/A",$X793&lt;&gt;"No Min RQ"),_xlpm.chp,AND($AB793&lt;&gt;"",$AB793&lt;&gt;"N/A",$AB793&lt;&gt;"No Min RQ"),_xlpm.usp,AND($AF793&lt;&gt;"",$AF793&lt;&gt;"N/A",$AF793&lt;&gt;"No Min RQ"),_xlpm.n,_xlpm.sfp+_xlpm.slp+_xlpm.ffp+_xlpm.chp+_xlpm.usp,_xlpm.sub,(_xlpm.sfp*($P793="Submitted"))+(_xlpm.slp*($T793="Submitted"))+(_xlpm.ffp*($X793="Submitted"))+(_xlpm.chp*($AB793="Submitted"))+(_xlpm.usp*($AF793="Submitted")),_xlpm.term,(_xlpm.sfp*OR($P793="Approved",$P793="Declined"))+(_xlpm.slp*OR($T793="Approved",$T793="Declined"))+(_xlpm.ffp*OR($X793="Approved",$X793="Declined"))+(_xlpm.chp*OR($AB793="Approved",$AB793="Declined"))+(_xlpm.usp*OR($AF793="Approved",$AF793="Declined")),IF(_xlpm.n=0,"No applicable lenders",IF(_xlpm.sub&gt;0,"Stays with Shaw - lender still Submitted",IF(_xlpm.term=_xlpm.n,"Clear - all applicable lenders Approved or Declined","Stays with Shaw - not all lenders Approved or Declined")))))</f>
      </c>
    </row>
    <row r="794" spans="80:80">
      <c r="CB794" s="131">
        <f>IF($A794="","",_xlfn.LET(_xlpm.sfp,AND($P794&lt;&gt;"",$P794&lt;&gt;"N/A",$P794&lt;&gt;"No Min RQ"),_xlpm.slp,AND($T794&lt;&gt;"",$T794&lt;&gt;"N/A",$T794&lt;&gt;"No Min RQ"),_xlpm.ffp,AND($X794&lt;&gt;"",$X794&lt;&gt;"N/A",$X794&lt;&gt;"No Min RQ"),_xlpm.chp,AND($AB794&lt;&gt;"",$AB794&lt;&gt;"N/A",$AB794&lt;&gt;"No Min RQ"),_xlpm.usp,AND($AF794&lt;&gt;"",$AF794&lt;&gt;"N/A",$AF794&lt;&gt;"No Min RQ"),_xlpm.n,_xlpm.sfp+_xlpm.slp+_xlpm.ffp+_xlpm.chp+_xlpm.usp,_xlpm.sub,(_xlpm.sfp*($P794="Submitted"))+(_xlpm.slp*($T794="Submitted"))+(_xlpm.ffp*($X794="Submitted"))+(_xlpm.chp*($AB794="Submitted"))+(_xlpm.usp*($AF794="Submitted")),_xlpm.term,(_xlpm.sfp*OR($P794="Approved",$P794="Declined"))+(_xlpm.slp*OR($T794="Approved",$T794="Declined"))+(_xlpm.ffp*OR($X794="Approved",$X794="Declined"))+(_xlpm.chp*OR($AB794="Approved",$AB794="Declined"))+(_xlpm.usp*OR($AF794="Approved",$AF794="Declined")),IF(_xlpm.n=0,"No applicable lenders",IF(_xlpm.sub&gt;0,"Stays with Shaw - lender still Submitted",IF(_xlpm.term=_xlpm.n,"Clear - all applicable lenders Approved or Declined","Stays with Shaw - not all lenders Approved or Declined")))))</f>
      </c>
    </row>
    <row r="795" spans="80:80">
      <c r="CB795" s="131">
        <f>IF($A795="","",_xlfn.LET(_xlpm.sfp,AND($P795&lt;&gt;"",$P795&lt;&gt;"N/A",$P795&lt;&gt;"No Min RQ"),_xlpm.slp,AND($T795&lt;&gt;"",$T795&lt;&gt;"N/A",$T795&lt;&gt;"No Min RQ"),_xlpm.ffp,AND($X795&lt;&gt;"",$X795&lt;&gt;"N/A",$X795&lt;&gt;"No Min RQ"),_xlpm.chp,AND($AB795&lt;&gt;"",$AB795&lt;&gt;"N/A",$AB795&lt;&gt;"No Min RQ"),_xlpm.usp,AND($AF795&lt;&gt;"",$AF795&lt;&gt;"N/A",$AF795&lt;&gt;"No Min RQ"),_xlpm.n,_xlpm.sfp+_xlpm.slp+_xlpm.ffp+_xlpm.chp+_xlpm.usp,_xlpm.sub,(_xlpm.sfp*($P795="Submitted"))+(_xlpm.slp*($T795="Submitted"))+(_xlpm.ffp*($X795="Submitted"))+(_xlpm.chp*($AB795="Submitted"))+(_xlpm.usp*($AF795="Submitted")),_xlpm.term,(_xlpm.sfp*OR($P795="Approved",$P795="Declined"))+(_xlpm.slp*OR($T795="Approved",$T795="Declined"))+(_xlpm.ffp*OR($X795="Approved",$X795="Declined"))+(_xlpm.chp*OR($AB795="Approved",$AB795="Declined"))+(_xlpm.usp*OR($AF795="Approved",$AF795="Declined")),IF(_xlpm.n=0,"No applicable lenders",IF(_xlpm.sub&gt;0,"Stays with Shaw - lender still Submitted",IF(_xlpm.term=_xlpm.n,"Clear - all applicable lenders Approved or Declined","Stays with Shaw - not all lenders Approved or Declined")))))</f>
      </c>
    </row>
    <row r="796" spans="80:80">
      <c r="CB796" s="131">
        <f>IF($A796="","",_xlfn.LET(_xlpm.sfp,AND($P796&lt;&gt;"",$P796&lt;&gt;"N/A",$P796&lt;&gt;"No Min RQ"),_xlpm.slp,AND($T796&lt;&gt;"",$T796&lt;&gt;"N/A",$T796&lt;&gt;"No Min RQ"),_xlpm.ffp,AND($X796&lt;&gt;"",$X796&lt;&gt;"N/A",$X796&lt;&gt;"No Min RQ"),_xlpm.chp,AND($AB796&lt;&gt;"",$AB796&lt;&gt;"N/A",$AB796&lt;&gt;"No Min RQ"),_xlpm.usp,AND($AF796&lt;&gt;"",$AF796&lt;&gt;"N/A",$AF796&lt;&gt;"No Min RQ"),_xlpm.n,_xlpm.sfp+_xlpm.slp+_xlpm.ffp+_xlpm.chp+_xlpm.usp,_xlpm.sub,(_xlpm.sfp*($P796="Submitted"))+(_xlpm.slp*($T796="Submitted"))+(_xlpm.ffp*($X796="Submitted"))+(_xlpm.chp*($AB796="Submitted"))+(_xlpm.usp*($AF796="Submitted")),_xlpm.term,(_xlpm.sfp*OR($P796="Approved",$P796="Declined"))+(_xlpm.slp*OR($T796="Approved",$T796="Declined"))+(_xlpm.ffp*OR($X796="Approved",$X796="Declined"))+(_xlpm.chp*OR($AB796="Approved",$AB796="Declined"))+(_xlpm.usp*OR($AF796="Approved",$AF796="Declined")),IF(_xlpm.n=0,"No applicable lenders",IF(_xlpm.sub&gt;0,"Stays with Shaw - lender still Submitted",IF(_xlpm.term=_xlpm.n,"Clear - all applicable lenders Approved or Declined","Stays with Shaw - not all lenders Approved or Declined")))))</f>
      </c>
    </row>
    <row r="797" spans="80:80">
      <c r="CB797" s="131">
        <f>IF($A797="","",_xlfn.LET(_xlpm.sfp,AND($P797&lt;&gt;"",$P797&lt;&gt;"N/A",$P797&lt;&gt;"No Min RQ"),_xlpm.slp,AND($T797&lt;&gt;"",$T797&lt;&gt;"N/A",$T797&lt;&gt;"No Min RQ"),_xlpm.ffp,AND($X797&lt;&gt;"",$X797&lt;&gt;"N/A",$X797&lt;&gt;"No Min RQ"),_xlpm.chp,AND($AB797&lt;&gt;"",$AB797&lt;&gt;"N/A",$AB797&lt;&gt;"No Min RQ"),_xlpm.usp,AND($AF797&lt;&gt;"",$AF797&lt;&gt;"N/A",$AF797&lt;&gt;"No Min RQ"),_xlpm.n,_xlpm.sfp+_xlpm.slp+_xlpm.ffp+_xlpm.chp+_xlpm.usp,_xlpm.sub,(_xlpm.sfp*($P797="Submitted"))+(_xlpm.slp*($T797="Submitted"))+(_xlpm.ffp*($X797="Submitted"))+(_xlpm.chp*($AB797="Submitted"))+(_xlpm.usp*($AF797="Submitted")),_xlpm.term,(_xlpm.sfp*OR($P797="Approved",$P797="Declined"))+(_xlpm.slp*OR($T797="Approved",$T797="Declined"))+(_xlpm.ffp*OR($X797="Approved",$X797="Declined"))+(_xlpm.chp*OR($AB797="Approved",$AB797="Declined"))+(_xlpm.usp*OR($AF797="Approved",$AF797="Declined")),IF(_xlpm.n=0,"No applicable lenders",IF(_xlpm.sub&gt;0,"Stays with Shaw - lender still Submitted",IF(_xlpm.term=_xlpm.n,"Clear - all applicable lenders Approved or Declined","Stays with Shaw - not all lenders Approved or Declined")))))</f>
      </c>
    </row>
    <row r="798" spans="80:80">
      <c r="CB798" s="131">
        <f>IF($A798="","",_xlfn.LET(_xlpm.sfp,AND($P798&lt;&gt;"",$P798&lt;&gt;"N/A",$P798&lt;&gt;"No Min RQ"),_xlpm.slp,AND($T798&lt;&gt;"",$T798&lt;&gt;"N/A",$T798&lt;&gt;"No Min RQ"),_xlpm.ffp,AND($X798&lt;&gt;"",$X798&lt;&gt;"N/A",$X798&lt;&gt;"No Min RQ"),_xlpm.chp,AND($AB798&lt;&gt;"",$AB798&lt;&gt;"N/A",$AB798&lt;&gt;"No Min RQ"),_xlpm.usp,AND($AF798&lt;&gt;"",$AF798&lt;&gt;"N/A",$AF798&lt;&gt;"No Min RQ"),_xlpm.n,_xlpm.sfp+_xlpm.slp+_xlpm.ffp+_xlpm.chp+_xlpm.usp,_xlpm.sub,(_xlpm.sfp*($P798="Submitted"))+(_xlpm.slp*($T798="Submitted"))+(_xlpm.ffp*($X798="Submitted"))+(_xlpm.chp*($AB798="Submitted"))+(_xlpm.usp*($AF798="Submitted")),_xlpm.term,(_xlpm.sfp*OR($P798="Approved",$P798="Declined"))+(_xlpm.slp*OR($T798="Approved",$T798="Declined"))+(_xlpm.ffp*OR($X798="Approved",$X798="Declined"))+(_xlpm.chp*OR($AB798="Approved",$AB798="Declined"))+(_xlpm.usp*OR($AF798="Approved",$AF798="Declined")),IF(_xlpm.n=0,"No applicable lenders",IF(_xlpm.sub&gt;0,"Stays with Shaw - lender still Submitted",IF(_xlpm.term=_xlpm.n,"Clear - all applicable lenders Approved or Declined","Stays with Shaw - not all lenders Approved or Declined")))))</f>
      </c>
    </row>
    <row r="799" spans="80:80">
      <c r="CB799" s="131">
        <f>IF($A799="","",_xlfn.LET(_xlpm.sfp,AND($P799&lt;&gt;"",$P799&lt;&gt;"N/A",$P799&lt;&gt;"No Min RQ"),_xlpm.slp,AND($T799&lt;&gt;"",$T799&lt;&gt;"N/A",$T799&lt;&gt;"No Min RQ"),_xlpm.ffp,AND($X799&lt;&gt;"",$X799&lt;&gt;"N/A",$X799&lt;&gt;"No Min RQ"),_xlpm.chp,AND($AB799&lt;&gt;"",$AB799&lt;&gt;"N/A",$AB799&lt;&gt;"No Min RQ"),_xlpm.usp,AND($AF799&lt;&gt;"",$AF799&lt;&gt;"N/A",$AF799&lt;&gt;"No Min RQ"),_xlpm.n,_xlpm.sfp+_xlpm.slp+_xlpm.ffp+_xlpm.chp+_xlpm.usp,_xlpm.sub,(_xlpm.sfp*($P799="Submitted"))+(_xlpm.slp*($T799="Submitted"))+(_xlpm.ffp*($X799="Submitted"))+(_xlpm.chp*($AB799="Submitted"))+(_xlpm.usp*($AF799="Submitted")),_xlpm.term,(_xlpm.sfp*OR($P799="Approved",$P799="Declined"))+(_xlpm.slp*OR($T799="Approved",$T799="Declined"))+(_xlpm.ffp*OR($X799="Approved",$X799="Declined"))+(_xlpm.chp*OR($AB799="Approved",$AB799="Declined"))+(_xlpm.usp*OR($AF799="Approved",$AF799="Declined")),IF(_xlpm.n=0,"No applicable lenders",IF(_xlpm.sub&gt;0,"Stays with Shaw - lender still Submitted",IF(_xlpm.term=_xlpm.n,"Clear - all applicable lenders Approved or Declined","Stays with Shaw - not all lenders Approved or Declined")))))</f>
      </c>
    </row>
    <row r="800" spans="80:80">
      <c r="CB800" s="131">
        <f>IF($A800="","",_xlfn.LET(_xlpm.sfp,AND($P800&lt;&gt;"",$P800&lt;&gt;"N/A",$P800&lt;&gt;"No Min RQ"),_xlpm.slp,AND($T800&lt;&gt;"",$T800&lt;&gt;"N/A",$T800&lt;&gt;"No Min RQ"),_xlpm.ffp,AND($X800&lt;&gt;"",$X800&lt;&gt;"N/A",$X800&lt;&gt;"No Min RQ"),_xlpm.chp,AND($AB800&lt;&gt;"",$AB800&lt;&gt;"N/A",$AB800&lt;&gt;"No Min RQ"),_xlpm.usp,AND($AF800&lt;&gt;"",$AF800&lt;&gt;"N/A",$AF800&lt;&gt;"No Min RQ"),_xlpm.n,_xlpm.sfp+_xlpm.slp+_xlpm.ffp+_xlpm.chp+_xlpm.usp,_xlpm.sub,(_xlpm.sfp*($P800="Submitted"))+(_xlpm.slp*($T800="Submitted"))+(_xlpm.ffp*($X800="Submitted"))+(_xlpm.chp*($AB800="Submitted"))+(_xlpm.usp*($AF800="Submitted")),_xlpm.term,(_xlpm.sfp*OR($P800="Approved",$P800="Declined"))+(_xlpm.slp*OR($T800="Approved",$T800="Declined"))+(_xlpm.ffp*OR($X800="Approved",$X800="Declined"))+(_xlpm.chp*OR($AB800="Approved",$AB800="Declined"))+(_xlpm.usp*OR($AF800="Approved",$AF800="Declined")),IF(_xlpm.n=0,"No applicable lenders",IF(_xlpm.sub&gt;0,"Stays with Shaw - lender still Submitted",IF(_xlpm.term=_xlpm.n,"Clear - all applicable lenders Approved or Declined","Stays with Shaw - not all lenders Approved or Declined")))))</f>
      </c>
    </row>
    <row r="801" spans="80:80">
      <c r="CB801" s="131">
        <f>IF($A801="","",_xlfn.LET(_xlpm.sfp,AND($P801&lt;&gt;"",$P801&lt;&gt;"N/A",$P801&lt;&gt;"No Min RQ"),_xlpm.slp,AND($T801&lt;&gt;"",$T801&lt;&gt;"N/A",$T801&lt;&gt;"No Min RQ"),_xlpm.ffp,AND($X801&lt;&gt;"",$X801&lt;&gt;"N/A",$X801&lt;&gt;"No Min RQ"),_xlpm.chp,AND($AB801&lt;&gt;"",$AB801&lt;&gt;"N/A",$AB801&lt;&gt;"No Min RQ"),_xlpm.usp,AND($AF801&lt;&gt;"",$AF801&lt;&gt;"N/A",$AF801&lt;&gt;"No Min RQ"),_xlpm.n,_xlpm.sfp+_xlpm.slp+_xlpm.ffp+_xlpm.chp+_xlpm.usp,_xlpm.sub,(_xlpm.sfp*($P801="Submitted"))+(_xlpm.slp*($T801="Submitted"))+(_xlpm.ffp*($X801="Submitted"))+(_xlpm.chp*($AB801="Submitted"))+(_xlpm.usp*($AF801="Submitted")),_xlpm.term,(_xlpm.sfp*OR($P801="Approved",$P801="Declined"))+(_xlpm.slp*OR($T801="Approved",$T801="Declined"))+(_xlpm.ffp*OR($X801="Approved",$X801="Declined"))+(_xlpm.chp*OR($AB801="Approved",$AB801="Declined"))+(_xlpm.usp*OR($AF801="Approved",$AF801="Declined")),IF(_xlpm.n=0,"No applicable lenders",IF(_xlpm.sub&gt;0,"Stays with Shaw - lender still Submitted",IF(_xlpm.term=_xlpm.n,"Clear - all applicable lenders Approved or Declined","Stays with Shaw - not all lenders Approved or Declined")))))</f>
      </c>
    </row>
    <row r="802" spans="80:80">
      <c r="CB802" s="131">
        <f>IF($A802="","",_xlfn.LET(_xlpm.sfp,AND($P802&lt;&gt;"",$P802&lt;&gt;"N/A",$P802&lt;&gt;"No Min RQ"),_xlpm.slp,AND($T802&lt;&gt;"",$T802&lt;&gt;"N/A",$T802&lt;&gt;"No Min RQ"),_xlpm.ffp,AND($X802&lt;&gt;"",$X802&lt;&gt;"N/A",$X802&lt;&gt;"No Min RQ"),_xlpm.chp,AND($AB802&lt;&gt;"",$AB802&lt;&gt;"N/A",$AB802&lt;&gt;"No Min RQ"),_xlpm.usp,AND($AF802&lt;&gt;"",$AF802&lt;&gt;"N/A",$AF802&lt;&gt;"No Min RQ"),_xlpm.n,_xlpm.sfp+_xlpm.slp+_xlpm.ffp+_xlpm.chp+_xlpm.usp,_xlpm.sub,(_xlpm.sfp*($P802="Submitted"))+(_xlpm.slp*($T802="Submitted"))+(_xlpm.ffp*($X802="Submitted"))+(_xlpm.chp*($AB802="Submitted"))+(_xlpm.usp*($AF802="Submitted")),_xlpm.term,(_xlpm.sfp*OR($P802="Approved",$P802="Declined"))+(_xlpm.slp*OR($T802="Approved",$T802="Declined"))+(_xlpm.ffp*OR($X802="Approved",$X802="Declined"))+(_xlpm.chp*OR($AB802="Approved",$AB802="Declined"))+(_xlpm.usp*OR($AF802="Approved",$AF802="Declined")),IF(_xlpm.n=0,"No applicable lenders",IF(_xlpm.sub&gt;0,"Stays with Shaw - lender still Submitted",IF(_xlpm.term=_xlpm.n,"Clear - all applicable lenders Approved or Declined","Stays with Shaw - not all lenders Approved or Declined")))))</f>
      </c>
    </row>
    <row r="803" spans="80:80">
      <c r="CB803" s="131">
        <f>IF($A803="","",_xlfn.LET(_xlpm.sfp,AND($P803&lt;&gt;"",$P803&lt;&gt;"N/A",$P803&lt;&gt;"No Min RQ"),_xlpm.slp,AND($T803&lt;&gt;"",$T803&lt;&gt;"N/A",$T803&lt;&gt;"No Min RQ"),_xlpm.ffp,AND($X803&lt;&gt;"",$X803&lt;&gt;"N/A",$X803&lt;&gt;"No Min RQ"),_xlpm.chp,AND($AB803&lt;&gt;"",$AB803&lt;&gt;"N/A",$AB803&lt;&gt;"No Min RQ"),_xlpm.usp,AND($AF803&lt;&gt;"",$AF803&lt;&gt;"N/A",$AF803&lt;&gt;"No Min RQ"),_xlpm.n,_xlpm.sfp+_xlpm.slp+_xlpm.ffp+_xlpm.chp+_xlpm.usp,_xlpm.sub,(_xlpm.sfp*($P803="Submitted"))+(_xlpm.slp*($T803="Submitted"))+(_xlpm.ffp*($X803="Submitted"))+(_xlpm.chp*($AB803="Submitted"))+(_xlpm.usp*($AF803="Submitted")),_xlpm.term,(_xlpm.sfp*OR($P803="Approved",$P803="Declined"))+(_xlpm.slp*OR($T803="Approved",$T803="Declined"))+(_xlpm.ffp*OR($X803="Approved",$X803="Declined"))+(_xlpm.chp*OR($AB803="Approved",$AB803="Declined"))+(_xlpm.usp*OR($AF803="Approved",$AF803="Declined")),IF(_xlpm.n=0,"No applicable lenders",IF(_xlpm.sub&gt;0,"Stays with Shaw - lender still Submitted",IF(_xlpm.term=_xlpm.n,"Clear - all applicable lenders Approved or Declined","Stays with Shaw - not all lenders Approved or Declined")))))</f>
      </c>
    </row>
    <row r="804" spans="80:80">
      <c r="CB804" s="131">
        <f>IF($A804="","",_xlfn.LET(_xlpm.sfp,AND($P804&lt;&gt;"",$P804&lt;&gt;"N/A",$P804&lt;&gt;"No Min RQ"),_xlpm.slp,AND($T804&lt;&gt;"",$T804&lt;&gt;"N/A",$T804&lt;&gt;"No Min RQ"),_xlpm.ffp,AND($X804&lt;&gt;"",$X804&lt;&gt;"N/A",$X804&lt;&gt;"No Min RQ"),_xlpm.chp,AND($AB804&lt;&gt;"",$AB804&lt;&gt;"N/A",$AB804&lt;&gt;"No Min RQ"),_xlpm.usp,AND($AF804&lt;&gt;"",$AF804&lt;&gt;"N/A",$AF804&lt;&gt;"No Min RQ"),_xlpm.n,_xlpm.sfp+_xlpm.slp+_xlpm.ffp+_xlpm.chp+_xlpm.usp,_xlpm.sub,(_xlpm.sfp*($P804="Submitted"))+(_xlpm.slp*($T804="Submitted"))+(_xlpm.ffp*($X804="Submitted"))+(_xlpm.chp*($AB804="Submitted"))+(_xlpm.usp*($AF804="Submitted")),_xlpm.term,(_xlpm.sfp*OR($P804="Approved",$P804="Declined"))+(_xlpm.slp*OR($T804="Approved",$T804="Declined"))+(_xlpm.ffp*OR($X804="Approved",$X804="Declined"))+(_xlpm.chp*OR($AB804="Approved",$AB804="Declined"))+(_xlpm.usp*OR($AF804="Approved",$AF804="Declined")),IF(_xlpm.n=0,"No applicable lenders",IF(_xlpm.sub&gt;0,"Stays with Shaw - lender still Submitted",IF(_xlpm.term=_xlpm.n,"Clear - all applicable lenders Approved or Declined","Stays with Shaw - not all lenders Approved or Declined")))))</f>
      </c>
    </row>
    <row r="805" spans="80:80">
      <c r="CB805" s="131">
        <f>IF($A805="","",_xlfn.LET(_xlpm.sfp,AND($P805&lt;&gt;"",$P805&lt;&gt;"N/A",$P805&lt;&gt;"No Min RQ"),_xlpm.slp,AND($T805&lt;&gt;"",$T805&lt;&gt;"N/A",$T805&lt;&gt;"No Min RQ"),_xlpm.ffp,AND($X805&lt;&gt;"",$X805&lt;&gt;"N/A",$X805&lt;&gt;"No Min RQ"),_xlpm.chp,AND($AB805&lt;&gt;"",$AB805&lt;&gt;"N/A",$AB805&lt;&gt;"No Min RQ"),_xlpm.usp,AND($AF805&lt;&gt;"",$AF805&lt;&gt;"N/A",$AF805&lt;&gt;"No Min RQ"),_xlpm.n,_xlpm.sfp+_xlpm.slp+_xlpm.ffp+_xlpm.chp+_xlpm.usp,_xlpm.sub,(_xlpm.sfp*($P805="Submitted"))+(_xlpm.slp*($T805="Submitted"))+(_xlpm.ffp*($X805="Submitted"))+(_xlpm.chp*($AB805="Submitted"))+(_xlpm.usp*($AF805="Submitted")),_xlpm.term,(_xlpm.sfp*OR($P805="Approved",$P805="Declined"))+(_xlpm.slp*OR($T805="Approved",$T805="Declined"))+(_xlpm.ffp*OR($X805="Approved",$X805="Declined"))+(_xlpm.chp*OR($AB805="Approved",$AB805="Declined"))+(_xlpm.usp*OR($AF805="Approved",$AF805="Declined")),IF(_xlpm.n=0,"No applicable lenders",IF(_xlpm.sub&gt;0,"Stays with Shaw - lender still Submitted",IF(_xlpm.term=_xlpm.n,"Clear - all applicable lenders Approved or Declined","Stays with Shaw - not all lenders Approved or Declined")))))</f>
      </c>
    </row>
    <row r="806" spans="80:80">
      <c r="CB806" s="131">
        <f>IF($A806="","",_xlfn.LET(_xlpm.sfp,AND($P806&lt;&gt;"",$P806&lt;&gt;"N/A",$P806&lt;&gt;"No Min RQ"),_xlpm.slp,AND($T806&lt;&gt;"",$T806&lt;&gt;"N/A",$T806&lt;&gt;"No Min RQ"),_xlpm.ffp,AND($X806&lt;&gt;"",$X806&lt;&gt;"N/A",$X806&lt;&gt;"No Min RQ"),_xlpm.chp,AND($AB806&lt;&gt;"",$AB806&lt;&gt;"N/A",$AB806&lt;&gt;"No Min RQ"),_xlpm.usp,AND($AF806&lt;&gt;"",$AF806&lt;&gt;"N/A",$AF806&lt;&gt;"No Min RQ"),_xlpm.n,_xlpm.sfp+_xlpm.slp+_xlpm.ffp+_xlpm.chp+_xlpm.usp,_xlpm.sub,(_xlpm.sfp*($P806="Submitted"))+(_xlpm.slp*($T806="Submitted"))+(_xlpm.ffp*($X806="Submitted"))+(_xlpm.chp*($AB806="Submitted"))+(_xlpm.usp*($AF806="Submitted")),_xlpm.term,(_xlpm.sfp*OR($P806="Approved",$P806="Declined"))+(_xlpm.slp*OR($T806="Approved",$T806="Declined"))+(_xlpm.ffp*OR($X806="Approved",$X806="Declined"))+(_xlpm.chp*OR($AB806="Approved",$AB806="Declined"))+(_xlpm.usp*OR($AF806="Approved",$AF806="Declined")),IF(_xlpm.n=0,"No applicable lenders",IF(_xlpm.sub&gt;0,"Stays with Shaw - lender still Submitted",IF(_xlpm.term=_xlpm.n,"Clear - all applicable lenders Approved or Declined","Stays with Shaw - not all lenders Approved or Declined")))))</f>
      </c>
    </row>
    <row r="807" spans="80:80">
      <c r="CB807" s="131">
        <f>IF($A807="","",_xlfn.LET(_xlpm.sfp,AND($P807&lt;&gt;"",$P807&lt;&gt;"N/A",$P807&lt;&gt;"No Min RQ"),_xlpm.slp,AND($T807&lt;&gt;"",$T807&lt;&gt;"N/A",$T807&lt;&gt;"No Min RQ"),_xlpm.ffp,AND($X807&lt;&gt;"",$X807&lt;&gt;"N/A",$X807&lt;&gt;"No Min RQ"),_xlpm.chp,AND($AB807&lt;&gt;"",$AB807&lt;&gt;"N/A",$AB807&lt;&gt;"No Min RQ"),_xlpm.usp,AND($AF807&lt;&gt;"",$AF807&lt;&gt;"N/A",$AF807&lt;&gt;"No Min RQ"),_xlpm.n,_xlpm.sfp+_xlpm.slp+_xlpm.ffp+_xlpm.chp+_xlpm.usp,_xlpm.sub,(_xlpm.sfp*($P807="Submitted"))+(_xlpm.slp*($T807="Submitted"))+(_xlpm.ffp*($X807="Submitted"))+(_xlpm.chp*($AB807="Submitted"))+(_xlpm.usp*($AF807="Submitted")),_xlpm.term,(_xlpm.sfp*OR($P807="Approved",$P807="Declined"))+(_xlpm.slp*OR($T807="Approved",$T807="Declined"))+(_xlpm.ffp*OR($X807="Approved",$X807="Declined"))+(_xlpm.chp*OR($AB807="Approved",$AB807="Declined"))+(_xlpm.usp*OR($AF807="Approved",$AF807="Declined")),IF(_xlpm.n=0,"No applicable lenders",IF(_xlpm.sub&gt;0,"Stays with Shaw - lender still Submitted",IF(_xlpm.term=_xlpm.n,"Clear - all applicable lenders Approved or Declined","Stays with Shaw - not all lenders Approved or Declined")))))</f>
      </c>
    </row>
    <row r="808" spans="80:80">
      <c r="CB808" s="131">
        <f>IF($A808="","",_xlfn.LET(_xlpm.sfp,AND($P808&lt;&gt;"",$P808&lt;&gt;"N/A",$P808&lt;&gt;"No Min RQ"),_xlpm.slp,AND($T808&lt;&gt;"",$T808&lt;&gt;"N/A",$T808&lt;&gt;"No Min RQ"),_xlpm.ffp,AND($X808&lt;&gt;"",$X808&lt;&gt;"N/A",$X808&lt;&gt;"No Min RQ"),_xlpm.chp,AND($AB808&lt;&gt;"",$AB808&lt;&gt;"N/A",$AB808&lt;&gt;"No Min RQ"),_xlpm.usp,AND($AF808&lt;&gt;"",$AF808&lt;&gt;"N/A",$AF808&lt;&gt;"No Min RQ"),_xlpm.n,_xlpm.sfp+_xlpm.slp+_xlpm.ffp+_xlpm.chp+_xlpm.usp,_xlpm.sub,(_xlpm.sfp*($P808="Submitted"))+(_xlpm.slp*($T808="Submitted"))+(_xlpm.ffp*($X808="Submitted"))+(_xlpm.chp*($AB808="Submitted"))+(_xlpm.usp*($AF808="Submitted")),_xlpm.term,(_xlpm.sfp*OR($P808="Approved",$P808="Declined"))+(_xlpm.slp*OR($T808="Approved",$T808="Declined"))+(_xlpm.ffp*OR($X808="Approved",$X808="Declined"))+(_xlpm.chp*OR($AB808="Approved",$AB808="Declined"))+(_xlpm.usp*OR($AF808="Approved",$AF808="Declined")),IF(_xlpm.n=0,"No applicable lenders",IF(_xlpm.sub&gt;0,"Stays with Shaw - lender still Submitted",IF(_xlpm.term=_xlpm.n,"Clear - all applicable lenders Approved or Declined","Stays with Shaw - not all lenders Approved or Declined")))))</f>
      </c>
    </row>
    <row r="809" spans="80:80">
      <c r="CB809" s="131">
        <f>IF($A809="","",_xlfn.LET(_xlpm.sfp,AND($P809&lt;&gt;"",$P809&lt;&gt;"N/A",$P809&lt;&gt;"No Min RQ"),_xlpm.slp,AND($T809&lt;&gt;"",$T809&lt;&gt;"N/A",$T809&lt;&gt;"No Min RQ"),_xlpm.ffp,AND($X809&lt;&gt;"",$X809&lt;&gt;"N/A",$X809&lt;&gt;"No Min RQ"),_xlpm.chp,AND($AB809&lt;&gt;"",$AB809&lt;&gt;"N/A",$AB809&lt;&gt;"No Min RQ"),_xlpm.usp,AND($AF809&lt;&gt;"",$AF809&lt;&gt;"N/A",$AF809&lt;&gt;"No Min RQ"),_xlpm.n,_xlpm.sfp+_xlpm.slp+_xlpm.ffp+_xlpm.chp+_xlpm.usp,_xlpm.sub,(_xlpm.sfp*($P809="Submitted"))+(_xlpm.slp*($T809="Submitted"))+(_xlpm.ffp*($X809="Submitted"))+(_xlpm.chp*($AB809="Submitted"))+(_xlpm.usp*($AF809="Submitted")),_xlpm.term,(_xlpm.sfp*OR($P809="Approved",$P809="Declined"))+(_xlpm.slp*OR($T809="Approved",$T809="Declined"))+(_xlpm.ffp*OR($X809="Approved",$X809="Declined"))+(_xlpm.chp*OR($AB809="Approved",$AB809="Declined"))+(_xlpm.usp*OR($AF809="Approved",$AF809="Declined")),IF(_xlpm.n=0,"No applicable lenders",IF(_xlpm.sub&gt;0,"Stays with Shaw - lender still Submitted",IF(_xlpm.term=_xlpm.n,"Clear - all applicable lenders Approved or Declined","Stays with Shaw - not all lenders Approved or Declined")))))</f>
      </c>
    </row>
    <row r="810" spans="80:80">
      <c r="CB810" s="131">
        <f>IF($A810="","",_xlfn.LET(_xlpm.sfp,AND($P810&lt;&gt;"",$P810&lt;&gt;"N/A",$P810&lt;&gt;"No Min RQ"),_xlpm.slp,AND($T810&lt;&gt;"",$T810&lt;&gt;"N/A",$T810&lt;&gt;"No Min RQ"),_xlpm.ffp,AND($X810&lt;&gt;"",$X810&lt;&gt;"N/A",$X810&lt;&gt;"No Min RQ"),_xlpm.chp,AND($AB810&lt;&gt;"",$AB810&lt;&gt;"N/A",$AB810&lt;&gt;"No Min RQ"),_xlpm.usp,AND($AF810&lt;&gt;"",$AF810&lt;&gt;"N/A",$AF810&lt;&gt;"No Min RQ"),_xlpm.n,_xlpm.sfp+_xlpm.slp+_xlpm.ffp+_xlpm.chp+_xlpm.usp,_xlpm.sub,(_xlpm.sfp*($P810="Submitted"))+(_xlpm.slp*($T810="Submitted"))+(_xlpm.ffp*($X810="Submitted"))+(_xlpm.chp*($AB810="Submitted"))+(_xlpm.usp*($AF810="Submitted")),_xlpm.term,(_xlpm.sfp*OR($P810="Approved",$P810="Declined"))+(_xlpm.slp*OR($T810="Approved",$T810="Declined"))+(_xlpm.ffp*OR($X810="Approved",$X810="Declined"))+(_xlpm.chp*OR($AB810="Approved",$AB810="Declined"))+(_xlpm.usp*OR($AF810="Approved",$AF810="Declined")),IF(_xlpm.n=0,"No applicable lenders",IF(_xlpm.sub&gt;0,"Stays with Shaw - lender still Submitted",IF(_xlpm.term=_xlpm.n,"Clear - all applicable lenders Approved or Declined","Stays with Shaw - not all lenders Approved or Declined")))))</f>
      </c>
    </row>
    <row r="811" spans="80:80">
      <c r="CB811" s="131">
        <f>IF($A811="","",_xlfn.LET(_xlpm.sfp,AND($P811&lt;&gt;"",$P811&lt;&gt;"N/A",$P811&lt;&gt;"No Min RQ"),_xlpm.slp,AND($T811&lt;&gt;"",$T811&lt;&gt;"N/A",$T811&lt;&gt;"No Min RQ"),_xlpm.ffp,AND($X811&lt;&gt;"",$X811&lt;&gt;"N/A",$X811&lt;&gt;"No Min RQ"),_xlpm.chp,AND($AB811&lt;&gt;"",$AB811&lt;&gt;"N/A",$AB811&lt;&gt;"No Min RQ"),_xlpm.usp,AND($AF811&lt;&gt;"",$AF811&lt;&gt;"N/A",$AF811&lt;&gt;"No Min RQ"),_xlpm.n,_xlpm.sfp+_xlpm.slp+_xlpm.ffp+_xlpm.chp+_xlpm.usp,_xlpm.sub,(_xlpm.sfp*($P811="Submitted"))+(_xlpm.slp*($T811="Submitted"))+(_xlpm.ffp*($X811="Submitted"))+(_xlpm.chp*($AB811="Submitted"))+(_xlpm.usp*($AF811="Submitted")),_xlpm.term,(_xlpm.sfp*OR($P811="Approved",$P811="Declined"))+(_xlpm.slp*OR($T811="Approved",$T811="Declined"))+(_xlpm.ffp*OR($X811="Approved",$X811="Declined"))+(_xlpm.chp*OR($AB811="Approved",$AB811="Declined"))+(_xlpm.usp*OR($AF811="Approved",$AF811="Declined")),IF(_xlpm.n=0,"No applicable lenders",IF(_xlpm.sub&gt;0,"Stays with Shaw - lender still Submitted",IF(_xlpm.term=_xlpm.n,"Clear - all applicable lenders Approved or Declined","Stays with Shaw - not all lenders Approved or Declined")))))</f>
      </c>
    </row>
    <row r="812" spans="80:80">
      <c r="CB812" s="131">
        <f>IF($A812="","",_xlfn.LET(_xlpm.sfp,AND($P812&lt;&gt;"",$P812&lt;&gt;"N/A",$P812&lt;&gt;"No Min RQ"),_xlpm.slp,AND($T812&lt;&gt;"",$T812&lt;&gt;"N/A",$T812&lt;&gt;"No Min RQ"),_xlpm.ffp,AND($X812&lt;&gt;"",$X812&lt;&gt;"N/A",$X812&lt;&gt;"No Min RQ"),_xlpm.chp,AND($AB812&lt;&gt;"",$AB812&lt;&gt;"N/A",$AB812&lt;&gt;"No Min RQ"),_xlpm.usp,AND($AF812&lt;&gt;"",$AF812&lt;&gt;"N/A",$AF812&lt;&gt;"No Min RQ"),_xlpm.n,_xlpm.sfp+_xlpm.slp+_xlpm.ffp+_xlpm.chp+_xlpm.usp,_xlpm.sub,(_xlpm.sfp*($P812="Submitted"))+(_xlpm.slp*($T812="Submitted"))+(_xlpm.ffp*($X812="Submitted"))+(_xlpm.chp*($AB812="Submitted"))+(_xlpm.usp*($AF812="Submitted")),_xlpm.term,(_xlpm.sfp*OR($P812="Approved",$P812="Declined"))+(_xlpm.slp*OR($T812="Approved",$T812="Declined"))+(_xlpm.ffp*OR($X812="Approved",$X812="Declined"))+(_xlpm.chp*OR($AB812="Approved",$AB812="Declined"))+(_xlpm.usp*OR($AF812="Approved",$AF812="Declined")),IF(_xlpm.n=0,"No applicable lenders",IF(_xlpm.sub&gt;0,"Stays with Shaw - lender still Submitted",IF(_xlpm.term=_xlpm.n,"Clear - all applicable lenders Approved or Declined","Stays with Shaw - not all lenders Approved or Declined")))))</f>
      </c>
    </row>
    <row r="813" spans="80:80">
      <c r="CB813" s="131">
        <f>IF($A813="","",_xlfn.LET(_xlpm.sfp,AND($P813&lt;&gt;"",$P813&lt;&gt;"N/A",$P813&lt;&gt;"No Min RQ"),_xlpm.slp,AND($T813&lt;&gt;"",$T813&lt;&gt;"N/A",$T813&lt;&gt;"No Min RQ"),_xlpm.ffp,AND($X813&lt;&gt;"",$X813&lt;&gt;"N/A",$X813&lt;&gt;"No Min RQ"),_xlpm.chp,AND($AB813&lt;&gt;"",$AB813&lt;&gt;"N/A",$AB813&lt;&gt;"No Min RQ"),_xlpm.usp,AND($AF813&lt;&gt;"",$AF813&lt;&gt;"N/A",$AF813&lt;&gt;"No Min RQ"),_xlpm.n,_xlpm.sfp+_xlpm.slp+_xlpm.ffp+_xlpm.chp+_xlpm.usp,_xlpm.sub,(_xlpm.sfp*($P813="Submitted"))+(_xlpm.slp*($T813="Submitted"))+(_xlpm.ffp*($X813="Submitted"))+(_xlpm.chp*($AB813="Submitted"))+(_xlpm.usp*($AF813="Submitted")),_xlpm.term,(_xlpm.sfp*OR($P813="Approved",$P813="Declined"))+(_xlpm.slp*OR($T813="Approved",$T813="Declined"))+(_xlpm.ffp*OR($X813="Approved",$X813="Declined"))+(_xlpm.chp*OR($AB813="Approved",$AB813="Declined"))+(_xlpm.usp*OR($AF813="Approved",$AF813="Declined")),IF(_xlpm.n=0,"No applicable lenders",IF(_xlpm.sub&gt;0,"Stays with Shaw - lender still Submitted",IF(_xlpm.term=_xlpm.n,"Clear - all applicable lenders Approved or Declined","Stays with Shaw - not all lenders Approved or Declined")))))</f>
      </c>
    </row>
    <row r="814" spans="80:80">
      <c r="CB814" s="131">
        <f>IF($A814="","",_xlfn.LET(_xlpm.sfp,AND($P814&lt;&gt;"",$P814&lt;&gt;"N/A",$P814&lt;&gt;"No Min RQ"),_xlpm.slp,AND($T814&lt;&gt;"",$T814&lt;&gt;"N/A",$T814&lt;&gt;"No Min RQ"),_xlpm.ffp,AND($X814&lt;&gt;"",$X814&lt;&gt;"N/A",$X814&lt;&gt;"No Min RQ"),_xlpm.chp,AND($AB814&lt;&gt;"",$AB814&lt;&gt;"N/A",$AB814&lt;&gt;"No Min RQ"),_xlpm.usp,AND($AF814&lt;&gt;"",$AF814&lt;&gt;"N/A",$AF814&lt;&gt;"No Min RQ"),_xlpm.n,_xlpm.sfp+_xlpm.slp+_xlpm.ffp+_xlpm.chp+_xlpm.usp,_xlpm.sub,(_xlpm.sfp*($P814="Submitted"))+(_xlpm.slp*($T814="Submitted"))+(_xlpm.ffp*($X814="Submitted"))+(_xlpm.chp*($AB814="Submitted"))+(_xlpm.usp*($AF814="Submitted")),_xlpm.term,(_xlpm.sfp*OR($P814="Approved",$P814="Declined"))+(_xlpm.slp*OR($T814="Approved",$T814="Declined"))+(_xlpm.ffp*OR($X814="Approved",$X814="Declined"))+(_xlpm.chp*OR($AB814="Approved",$AB814="Declined"))+(_xlpm.usp*OR($AF814="Approved",$AF814="Declined")),IF(_xlpm.n=0,"No applicable lenders",IF(_xlpm.sub&gt;0,"Stays with Shaw - lender still Submitted",IF(_xlpm.term=_xlpm.n,"Clear - all applicable lenders Approved or Declined","Stays with Shaw - not all lenders Approved or Declined")))))</f>
      </c>
    </row>
    <row r="815" spans="80:80">
      <c r="CB815" s="131">
        <f>IF($A815="","",_xlfn.LET(_xlpm.sfp,AND($P815&lt;&gt;"",$P815&lt;&gt;"N/A",$P815&lt;&gt;"No Min RQ"),_xlpm.slp,AND($T815&lt;&gt;"",$T815&lt;&gt;"N/A",$T815&lt;&gt;"No Min RQ"),_xlpm.ffp,AND($X815&lt;&gt;"",$X815&lt;&gt;"N/A",$X815&lt;&gt;"No Min RQ"),_xlpm.chp,AND($AB815&lt;&gt;"",$AB815&lt;&gt;"N/A",$AB815&lt;&gt;"No Min RQ"),_xlpm.usp,AND($AF815&lt;&gt;"",$AF815&lt;&gt;"N/A",$AF815&lt;&gt;"No Min RQ"),_xlpm.n,_xlpm.sfp+_xlpm.slp+_xlpm.ffp+_xlpm.chp+_xlpm.usp,_xlpm.sub,(_xlpm.sfp*($P815="Submitted"))+(_xlpm.slp*($T815="Submitted"))+(_xlpm.ffp*($X815="Submitted"))+(_xlpm.chp*($AB815="Submitted"))+(_xlpm.usp*($AF815="Submitted")),_xlpm.term,(_xlpm.sfp*OR($P815="Approved",$P815="Declined"))+(_xlpm.slp*OR($T815="Approved",$T815="Declined"))+(_xlpm.ffp*OR($X815="Approved",$X815="Declined"))+(_xlpm.chp*OR($AB815="Approved",$AB815="Declined"))+(_xlpm.usp*OR($AF815="Approved",$AF815="Declined")),IF(_xlpm.n=0,"No applicable lenders",IF(_xlpm.sub&gt;0,"Stays with Shaw - lender still Submitted",IF(_xlpm.term=_xlpm.n,"Clear - all applicable lenders Approved or Declined","Stays with Shaw - not all lenders Approved or Declined")))))</f>
      </c>
    </row>
    <row r="816" spans="80:80">
      <c r="CB816" s="131">
        <f>IF($A816="","",_xlfn.LET(_xlpm.sfp,AND($P816&lt;&gt;"",$P816&lt;&gt;"N/A",$P816&lt;&gt;"No Min RQ"),_xlpm.slp,AND($T816&lt;&gt;"",$T816&lt;&gt;"N/A",$T816&lt;&gt;"No Min RQ"),_xlpm.ffp,AND($X816&lt;&gt;"",$X816&lt;&gt;"N/A",$X816&lt;&gt;"No Min RQ"),_xlpm.chp,AND($AB816&lt;&gt;"",$AB816&lt;&gt;"N/A",$AB816&lt;&gt;"No Min RQ"),_xlpm.usp,AND($AF816&lt;&gt;"",$AF816&lt;&gt;"N/A",$AF816&lt;&gt;"No Min RQ"),_xlpm.n,_xlpm.sfp+_xlpm.slp+_xlpm.ffp+_xlpm.chp+_xlpm.usp,_xlpm.sub,(_xlpm.sfp*($P816="Submitted"))+(_xlpm.slp*($T816="Submitted"))+(_xlpm.ffp*($X816="Submitted"))+(_xlpm.chp*($AB816="Submitted"))+(_xlpm.usp*($AF816="Submitted")),_xlpm.term,(_xlpm.sfp*OR($P816="Approved",$P816="Declined"))+(_xlpm.slp*OR($T816="Approved",$T816="Declined"))+(_xlpm.ffp*OR($X816="Approved",$X816="Declined"))+(_xlpm.chp*OR($AB816="Approved",$AB816="Declined"))+(_xlpm.usp*OR($AF816="Approved",$AF816="Declined")),IF(_xlpm.n=0,"No applicable lenders",IF(_xlpm.sub&gt;0,"Stays with Shaw - lender still Submitted",IF(_xlpm.term=_xlpm.n,"Clear - all applicable lenders Approved or Declined","Stays with Shaw - not all lenders Approved or Declined")))))</f>
      </c>
    </row>
    <row r="817" spans="80:80">
      <c r="CB817" s="131">
        <f>IF($A817="","",_xlfn.LET(_xlpm.sfp,AND($P817&lt;&gt;"",$P817&lt;&gt;"N/A",$P817&lt;&gt;"No Min RQ"),_xlpm.slp,AND($T817&lt;&gt;"",$T817&lt;&gt;"N/A",$T817&lt;&gt;"No Min RQ"),_xlpm.ffp,AND($X817&lt;&gt;"",$X817&lt;&gt;"N/A",$X817&lt;&gt;"No Min RQ"),_xlpm.chp,AND($AB817&lt;&gt;"",$AB817&lt;&gt;"N/A",$AB817&lt;&gt;"No Min RQ"),_xlpm.usp,AND($AF817&lt;&gt;"",$AF817&lt;&gt;"N/A",$AF817&lt;&gt;"No Min RQ"),_xlpm.n,_xlpm.sfp+_xlpm.slp+_xlpm.ffp+_xlpm.chp+_xlpm.usp,_xlpm.sub,(_xlpm.sfp*($P817="Submitted"))+(_xlpm.slp*($T817="Submitted"))+(_xlpm.ffp*($X817="Submitted"))+(_xlpm.chp*($AB817="Submitted"))+(_xlpm.usp*($AF817="Submitted")),_xlpm.term,(_xlpm.sfp*OR($P817="Approved",$P817="Declined"))+(_xlpm.slp*OR($T817="Approved",$T817="Declined"))+(_xlpm.ffp*OR($X817="Approved",$X817="Declined"))+(_xlpm.chp*OR($AB817="Approved",$AB817="Declined"))+(_xlpm.usp*OR($AF817="Approved",$AF817="Declined")),IF(_xlpm.n=0,"No applicable lenders",IF(_xlpm.sub&gt;0,"Stays with Shaw - lender still Submitted",IF(_xlpm.term=_xlpm.n,"Clear - all applicable lenders Approved or Declined","Stays with Shaw - not all lenders Approved or Declined")))))</f>
      </c>
    </row>
    <row r="818" spans="80:80">
      <c r="CB818" s="131">
        <f>IF($A818="","",_xlfn.LET(_xlpm.sfp,AND($P818&lt;&gt;"",$P818&lt;&gt;"N/A",$P818&lt;&gt;"No Min RQ"),_xlpm.slp,AND($T818&lt;&gt;"",$T818&lt;&gt;"N/A",$T818&lt;&gt;"No Min RQ"),_xlpm.ffp,AND($X818&lt;&gt;"",$X818&lt;&gt;"N/A",$X818&lt;&gt;"No Min RQ"),_xlpm.chp,AND($AB818&lt;&gt;"",$AB818&lt;&gt;"N/A",$AB818&lt;&gt;"No Min RQ"),_xlpm.usp,AND($AF818&lt;&gt;"",$AF818&lt;&gt;"N/A",$AF818&lt;&gt;"No Min RQ"),_xlpm.n,_xlpm.sfp+_xlpm.slp+_xlpm.ffp+_xlpm.chp+_xlpm.usp,_xlpm.sub,(_xlpm.sfp*($P818="Submitted"))+(_xlpm.slp*($T818="Submitted"))+(_xlpm.ffp*($X818="Submitted"))+(_xlpm.chp*($AB818="Submitted"))+(_xlpm.usp*($AF818="Submitted")),_xlpm.term,(_xlpm.sfp*OR($P818="Approved",$P818="Declined"))+(_xlpm.slp*OR($T818="Approved",$T818="Declined"))+(_xlpm.ffp*OR($X818="Approved",$X818="Declined"))+(_xlpm.chp*OR($AB818="Approved",$AB818="Declined"))+(_xlpm.usp*OR($AF818="Approved",$AF818="Declined")),IF(_xlpm.n=0,"No applicable lenders",IF(_xlpm.sub&gt;0,"Stays with Shaw - lender still Submitted",IF(_xlpm.term=_xlpm.n,"Clear - all applicable lenders Approved or Declined","Stays with Shaw - not all lenders Approved or Declined")))))</f>
      </c>
    </row>
    <row r="819" spans="80:80">
      <c r="CB819" s="131">
        <f>IF($A819="","",_xlfn.LET(_xlpm.sfp,AND($P819&lt;&gt;"",$P819&lt;&gt;"N/A",$P819&lt;&gt;"No Min RQ"),_xlpm.slp,AND($T819&lt;&gt;"",$T819&lt;&gt;"N/A",$T819&lt;&gt;"No Min RQ"),_xlpm.ffp,AND($X819&lt;&gt;"",$X819&lt;&gt;"N/A",$X819&lt;&gt;"No Min RQ"),_xlpm.chp,AND($AB819&lt;&gt;"",$AB819&lt;&gt;"N/A",$AB819&lt;&gt;"No Min RQ"),_xlpm.usp,AND($AF819&lt;&gt;"",$AF819&lt;&gt;"N/A",$AF819&lt;&gt;"No Min RQ"),_xlpm.n,_xlpm.sfp+_xlpm.slp+_xlpm.ffp+_xlpm.chp+_xlpm.usp,_xlpm.sub,(_xlpm.sfp*($P819="Submitted"))+(_xlpm.slp*($T819="Submitted"))+(_xlpm.ffp*($X819="Submitted"))+(_xlpm.chp*($AB819="Submitted"))+(_xlpm.usp*($AF819="Submitted")),_xlpm.term,(_xlpm.sfp*OR($P819="Approved",$P819="Declined"))+(_xlpm.slp*OR($T819="Approved",$T819="Declined"))+(_xlpm.ffp*OR($X819="Approved",$X819="Declined"))+(_xlpm.chp*OR($AB819="Approved",$AB819="Declined"))+(_xlpm.usp*OR($AF819="Approved",$AF819="Declined")),IF(_xlpm.n=0,"No applicable lenders",IF(_xlpm.sub&gt;0,"Stays with Shaw - lender still Submitted",IF(_xlpm.term=_xlpm.n,"Clear - all applicable lenders Approved or Declined","Stays with Shaw - not all lenders Approved or Declined")))))</f>
      </c>
    </row>
    <row r="820" spans="80:80">
      <c r="CB820" s="131">
        <f>IF($A820="","",_xlfn.LET(_xlpm.sfp,AND($P820&lt;&gt;"",$P820&lt;&gt;"N/A",$P820&lt;&gt;"No Min RQ"),_xlpm.slp,AND($T820&lt;&gt;"",$T820&lt;&gt;"N/A",$T820&lt;&gt;"No Min RQ"),_xlpm.ffp,AND($X820&lt;&gt;"",$X820&lt;&gt;"N/A",$X820&lt;&gt;"No Min RQ"),_xlpm.chp,AND($AB820&lt;&gt;"",$AB820&lt;&gt;"N/A",$AB820&lt;&gt;"No Min RQ"),_xlpm.usp,AND($AF820&lt;&gt;"",$AF820&lt;&gt;"N/A",$AF820&lt;&gt;"No Min RQ"),_xlpm.n,_xlpm.sfp+_xlpm.slp+_xlpm.ffp+_xlpm.chp+_xlpm.usp,_xlpm.sub,(_xlpm.sfp*($P820="Submitted"))+(_xlpm.slp*($T820="Submitted"))+(_xlpm.ffp*($X820="Submitted"))+(_xlpm.chp*($AB820="Submitted"))+(_xlpm.usp*($AF820="Submitted")),_xlpm.term,(_xlpm.sfp*OR($P820="Approved",$P820="Declined"))+(_xlpm.slp*OR($T820="Approved",$T820="Declined"))+(_xlpm.ffp*OR($X820="Approved",$X820="Declined"))+(_xlpm.chp*OR($AB820="Approved",$AB820="Declined"))+(_xlpm.usp*OR($AF820="Approved",$AF820="Declined")),IF(_xlpm.n=0,"No applicable lenders",IF(_xlpm.sub&gt;0,"Stays with Shaw - lender still Submitted",IF(_xlpm.term=_xlpm.n,"Clear - all applicable lenders Approved or Declined","Stays with Shaw - not all lenders Approved or Declined")))))</f>
      </c>
    </row>
    <row r="821" spans="80:80">
      <c r="CB821" s="131">
        <f>IF($A821="","",_xlfn.LET(_xlpm.sfp,AND($P821&lt;&gt;"",$P821&lt;&gt;"N/A",$P821&lt;&gt;"No Min RQ"),_xlpm.slp,AND($T821&lt;&gt;"",$T821&lt;&gt;"N/A",$T821&lt;&gt;"No Min RQ"),_xlpm.ffp,AND($X821&lt;&gt;"",$X821&lt;&gt;"N/A",$X821&lt;&gt;"No Min RQ"),_xlpm.chp,AND($AB821&lt;&gt;"",$AB821&lt;&gt;"N/A",$AB821&lt;&gt;"No Min RQ"),_xlpm.usp,AND($AF821&lt;&gt;"",$AF821&lt;&gt;"N/A",$AF821&lt;&gt;"No Min RQ"),_xlpm.n,_xlpm.sfp+_xlpm.slp+_xlpm.ffp+_xlpm.chp+_xlpm.usp,_xlpm.sub,(_xlpm.sfp*($P821="Submitted"))+(_xlpm.slp*($T821="Submitted"))+(_xlpm.ffp*($X821="Submitted"))+(_xlpm.chp*($AB821="Submitted"))+(_xlpm.usp*($AF821="Submitted")),_xlpm.term,(_xlpm.sfp*OR($P821="Approved",$P821="Declined"))+(_xlpm.slp*OR($T821="Approved",$T821="Declined"))+(_xlpm.ffp*OR($X821="Approved",$X821="Declined"))+(_xlpm.chp*OR($AB821="Approved",$AB821="Declined"))+(_xlpm.usp*OR($AF821="Approved",$AF821="Declined")),IF(_xlpm.n=0,"No applicable lenders",IF(_xlpm.sub&gt;0,"Stays with Shaw - lender still Submitted",IF(_xlpm.term=_xlpm.n,"Clear - all applicable lenders Approved or Declined","Stays with Shaw - not all lenders Approved or Declined")))))</f>
      </c>
    </row>
    <row r="822" spans="80:80">
      <c r="CB822" s="131">
        <f>IF($A822="","",_xlfn.LET(_xlpm.sfp,AND($P822&lt;&gt;"",$P822&lt;&gt;"N/A",$P822&lt;&gt;"No Min RQ"),_xlpm.slp,AND($T822&lt;&gt;"",$T822&lt;&gt;"N/A",$T822&lt;&gt;"No Min RQ"),_xlpm.ffp,AND($X822&lt;&gt;"",$X822&lt;&gt;"N/A",$X822&lt;&gt;"No Min RQ"),_xlpm.chp,AND($AB822&lt;&gt;"",$AB822&lt;&gt;"N/A",$AB822&lt;&gt;"No Min RQ"),_xlpm.usp,AND($AF822&lt;&gt;"",$AF822&lt;&gt;"N/A",$AF822&lt;&gt;"No Min RQ"),_xlpm.n,_xlpm.sfp+_xlpm.slp+_xlpm.ffp+_xlpm.chp+_xlpm.usp,_xlpm.sub,(_xlpm.sfp*($P822="Submitted"))+(_xlpm.slp*($T822="Submitted"))+(_xlpm.ffp*($X822="Submitted"))+(_xlpm.chp*($AB822="Submitted"))+(_xlpm.usp*($AF822="Submitted")),_xlpm.term,(_xlpm.sfp*OR($P822="Approved",$P822="Declined"))+(_xlpm.slp*OR($T822="Approved",$T822="Declined"))+(_xlpm.ffp*OR($X822="Approved",$X822="Declined"))+(_xlpm.chp*OR($AB822="Approved",$AB822="Declined"))+(_xlpm.usp*OR($AF822="Approved",$AF822="Declined")),IF(_xlpm.n=0,"No applicable lenders",IF(_xlpm.sub&gt;0,"Stays with Shaw - lender still Submitted",IF(_xlpm.term=_xlpm.n,"Clear - all applicable lenders Approved or Declined","Stays with Shaw - not all lenders Approved or Declined")))))</f>
      </c>
    </row>
    <row r="823" spans="80:80">
      <c r="CB823" s="131">
        <f>IF($A823="","",_xlfn.LET(_xlpm.sfp,AND($P823&lt;&gt;"",$P823&lt;&gt;"N/A",$P823&lt;&gt;"No Min RQ"),_xlpm.slp,AND($T823&lt;&gt;"",$T823&lt;&gt;"N/A",$T823&lt;&gt;"No Min RQ"),_xlpm.ffp,AND($X823&lt;&gt;"",$X823&lt;&gt;"N/A",$X823&lt;&gt;"No Min RQ"),_xlpm.chp,AND($AB823&lt;&gt;"",$AB823&lt;&gt;"N/A",$AB823&lt;&gt;"No Min RQ"),_xlpm.usp,AND($AF823&lt;&gt;"",$AF823&lt;&gt;"N/A",$AF823&lt;&gt;"No Min RQ"),_xlpm.n,_xlpm.sfp+_xlpm.slp+_xlpm.ffp+_xlpm.chp+_xlpm.usp,_xlpm.sub,(_xlpm.sfp*($P823="Submitted"))+(_xlpm.slp*($T823="Submitted"))+(_xlpm.ffp*($X823="Submitted"))+(_xlpm.chp*($AB823="Submitted"))+(_xlpm.usp*($AF823="Submitted")),_xlpm.term,(_xlpm.sfp*OR($P823="Approved",$P823="Declined"))+(_xlpm.slp*OR($T823="Approved",$T823="Declined"))+(_xlpm.ffp*OR($X823="Approved",$X823="Declined"))+(_xlpm.chp*OR($AB823="Approved",$AB823="Declined"))+(_xlpm.usp*OR($AF823="Approved",$AF823="Declined")),IF(_xlpm.n=0,"No applicable lenders",IF(_xlpm.sub&gt;0,"Stays with Shaw - lender still Submitted",IF(_xlpm.term=_xlpm.n,"Clear - all applicable lenders Approved or Declined","Stays with Shaw - not all lenders Approved or Declined")))))</f>
      </c>
    </row>
    <row r="824" spans="80:80">
      <c r="CB824" s="131">
        <f>IF($A824="","",_xlfn.LET(_xlpm.sfp,AND($P824&lt;&gt;"",$P824&lt;&gt;"N/A",$P824&lt;&gt;"No Min RQ"),_xlpm.slp,AND($T824&lt;&gt;"",$T824&lt;&gt;"N/A",$T824&lt;&gt;"No Min RQ"),_xlpm.ffp,AND($X824&lt;&gt;"",$X824&lt;&gt;"N/A",$X824&lt;&gt;"No Min RQ"),_xlpm.chp,AND($AB824&lt;&gt;"",$AB824&lt;&gt;"N/A",$AB824&lt;&gt;"No Min RQ"),_xlpm.usp,AND($AF824&lt;&gt;"",$AF824&lt;&gt;"N/A",$AF824&lt;&gt;"No Min RQ"),_xlpm.n,_xlpm.sfp+_xlpm.slp+_xlpm.ffp+_xlpm.chp+_xlpm.usp,_xlpm.sub,(_xlpm.sfp*($P824="Submitted"))+(_xlpm.slp*($T824="Submitted"))+(_xlpm.ffp*($X824="Submitted"))+(_xlpm.chp*($AB824="Submitted"))+(_xlpm.usp*($AF824="Submitted")),_xlpm.term,(_xlpm.sfp*OR($P824="Approved",$P824="Declined"))+(_xlpm.slp*OR($T824="Approved",$T824="Declined"))+(_xlpm.ffp*OR($X824="Approved",$X824="Declined"))+(_xlpm.chp*OR($AB824="Approved",$AB824="Declined"))+(_xlpm.usp*OR($AF824="Approved",$AF824="Declined")),IF(_xlpm.n=0,"No applicable lenders",IF(_xlpm.sub&gt;0,"Stays with Shaw - lender still Submitted",IF(_xlpm.term=_xlpm.n,"Clear - all applicable lenders Approved or Declined","Stays with Shaw - not all lenders Approved or Declined")))))</f>
      </c>
    </row>
    <row r="825" spans="80:80">
      <c r="CB825" s="131">
        <f>IF($A825="","",_xlfn.LET(_xlpm.sfp,AND($P825&lt;&gt;"",$P825&lt;&gt;"N/A",$P825&lt;&gt;"No Min RQ"),_xlpm.slp,AND($T825&lt;&gt;"",$T825&lt;&gt;"N/A",$T825&lt;&gt;"No Min RQ"),_xlpm.ffp,AND($X825&lt;&gt;"",$X825&lt;&gt;"N/A",$X825&lt;&gt;"No Min RQ"),_xlpm.chp,AND($AB825&lt;&gt;"",$AB825&lt;&gt;"N/A",$AB825&lt;&gt;"No Min RQ"),_xlpm.usp,AND($AF825&lt;&gt;"",$AF825&lt;&gt;"N/A",$AF825&lt;&gt;"No Min RQ"),_xlpm.n,_xlpm.sfp+_xlpm.slp+_xlpm.ffp+_xlpm.chp+_xlpm.usp,_xlpm.sub,(_xlpm.sfp*($P825="Submitted"))+(_xlpm.slp*($T825="Submitted"))+(_xlpm.ffp*($X825="Submitted"))+(_xlpm.chp*($AB825="Submitted"))+(_xlpm.usp*($AF825="Submitted")),_xlpm.term,(_xlpm.sfp*OR($P825="Approved",$P825="Declined"))+(_xlpm.slp*OR($T825="Approved",$T825="Declined"))+(_xlpm.ffp*OR($X825="Approved",$X825="Declined"))+(_xlpm.chp*OR($AB825="Approved",$AB825="Declined"))+(_xlpm.usp*OR($AF825="Approved",$AF825="Declined")),IF(_xlpm.n=0,"No applicable lenders",IF(_xlpm.sub&gt;0,"Stays with Shaw - lender still Submitted",IF(_xlpm.term=_xlpm.n,"Clear - all applicable lenders Approved or Declined","Stays with Shaw - not all lenders Approved or Declined")))))</f>
      </c>
    </row>
    <row r="826" spans="80:80">
      <c r="CB826" s="131">
        <f>IF($A826="","",_xlfn.LET(_xlpm.sfp,AND($P826&lt;&gt;"",$P826&lt;&gt;"N/A",$P826&lt;&gt;"No Min RQ"),_xlpm.slp,AND($T826&lt;&gt;"",$T826&lt;&gt;"N/A",$T826&lt;&gt;"No Min RQ"),_xlpm.ffp,AND($X826&lt;&gt;"",$X826&lt;&gt;"N/A",$X826&lt;&gt;"No Min RQ"),_xlpm.chp,AND($AB826&lt;&gt;"",$AB826&lt;&gt;"N/A",$AB826&lt;&gt;"No Min RQ"),_xlpm.usp,AND($AF826&lt;&gt;"",$AF826&lt;&gt;"N/A",$AF826&lt;&gt;"No Min RQ"),_xlpm.n,_xlpm.sfp+_xlpm.slp+_xlpm.ffp+_xlpm.chp+_xlpm.usp,_xlpm.sub,(_xlpm.sfp*($P826="Submitted"))+(_xlpm.slp*($T826="Submitted"))+(_xlpm.ffp*($X826="Submitted"))+(_xlpm.chp*($AB826="Submitted"))+(_xlpm.usp*($AF826="Submitted")),_xlpm.term,(_xlpm.sfp*OR($P826="Approved",$P826="Declined"))+(_xlpm.slp*OR($T826="Approved",$T826="Declined"))+(_xlpm.ffp*OR($X826="Approved",$X826="Declined"))+(_xlpm.chp*OR($AB826="Approved",$AB826="Declined"))+(_xlpm.usp*OR($AF826="Approved",$AF826="Declined")),IF(_xlpm.n=0,"No applicable lenders",IF(_xlpm.sub&gt;0,"Stays with Shaw - lender still Submitted",IF(_xlpm.term=_xlpm.n,"Clear - all applicable lenders Approved or Declined","Stays with Shaw - not all lenders Approved or Declined")))))</f>
      </c>
    </row>
    <row r="827" spans="80:80">
      <c r="CB827" s="131">
        <f>IF($A827="","",_xlfn.LET(_xlpm.sfp,AND($P827&lt;&gt;"",$P827&lt;&gt;"N/A",$P827&lt;&gt;"No Min RQ"),_xlpm.slp,AND($T827&lt;&gt;"",$T827&lt;&gt;"N/A",$T827&lt;&gt;"No Min RQ"),_xlpm.ffp,AND($X827&lt;&gt;"",$X827&lt;&gt;"N/A",$X827&lt;&gt;"No Min RQ"),_xlpm.chp,AND($AB827&lt;&gt;"",$AB827&lt;&gt;"N/A",$AB827&lt;&gt;"No Min RQ"),_xlpm.usp,AND($AF827&lt;&gt;"",$AF827&lt;&gt;"N/A",$AF827&lt;&gt;"No Min RQ"),_xlpm.n,_xlpm.sfp+_xlpm.slp+_xlpm.ffp+_xlpm.chp+_xlpm.usp,_xlpm.sub,(_xlpm.sfp*($P827="Submitted"))+(_xlpm.slp*($T827="Submitted"))+(_xlpm.ffp*($X827="Submitted"))+(_xlpm.chp*($AB827="Submitted"))+(_xlpm.usp*($AF827="Submitted")),_xlpm.term,(_xlpm.sfp*OR($P827="Approved",$P827="Declined"))+(_xlpm.slp*OR($T827="Approved",$T827="Declined"))+(_xlpm.ffp*OR($X827="Approved",$X827="Declined"))+(_xlpm.chp*OR($AB827="Approved",$AB827="Declined"))+(_xlpm.usp*OR($AF827="Approved",$AF827="Declined")),IF(_xlpm.n=0,"No applicable lenders",IF(_xlpm.sub&gt;0,"Stays with Shaw - lender still Submitted",IF(_xlpm.term=_xlpm.n,"Clear - all applicable lenders Approved or Declined","Stays with Shaw - not all lenders Approved or Declined")))))</f>
      </c>
    </row>
    <row r="828" spans="80:80">
      <c r="CB828" s="131">
        <f>IF($A828="","",_xlfn.LET(_xlpm.sfp,AND($P828&lt;&gt;"",$P828&lt;&gt;"N/A",$P828&lt;&gt;"No Min RQ"),_xlpm.slp,AND($T828&lt;&gt;"",$T828&lt;&gt;"N/A",$T828&lt;&gt;"No Min RQ"),_xlpm.ffp,AND($X828&lt;&gt;"",$X828&lt;&gt;"N/A",$X828&lt;&gt;"No Min RQ"),_xlpm.chp,AND($AB828&lt;&gt;"",$AB828&lt;&gt;"N/A",$AB828&lt;&gt;"No Min RQ"),_xlpm.usp,AND($AF828&lt;&gt;"",$AF828&lt;&gt;"N/A",$AF828&lt;&gt;"No Min RQ"),_xlpm.n,_xlpm.sfp+_xlpm.slp+_xlpm.ffp+_xlpm.chp+_xlpm.usp,_xlpm.sub,(_xlpm.sfp*($P828="Submitted"))+(_xlpm.slp*($T828="Submitted"))+(_xlpm.ffp*($X828="Submitted"))+(_xlpm.chp*($AB828="Submitted"))+(_xlpm.usp*($AF828="Submitted")),_xlpm.term,(_xlpm.sfp*OR($P828="Approved",$P828="Declined"))+(_xlpm.slp*OR($T828="Approved",$T828="Declined"))+(_xlpm.ffp*OR($X828="Approved",$X828="Declined"))+(_xlpm.chp*OR($AB828="Approved",$AB828="Declined"))+(_xlpm.usp*OR($AF828="Approved",$AF828="Declined")),IF(_xlpm.n=0,"No applicable lenders",IF(_xlpm.sub&gt;0,"Stays with Shaw - lender still Submitted",IF(_xlpm.term=_xlpm.n,"Clear - all applicable lenders Approved or Declined","Stays with Shaw - not all lenders Approved or Declined")))))</f>
      </c>
    </row>
    <row r="829" spans="80:80">
      <c r="CB829" s="131">
        <f>IF($A829="","",_xlfn.LET(_xlpm.sfp,AND($P829&lt;&gt;"",$P829&lt;&gt;"N/A",$P829&lt;&gt;"No Min RQ"),_xlpm.slp,AND($T829&lt;&gt;"",$T829&lt;&gt;"N/A",$T829&lt;&gt;"No Min RQ"),_xlpm.ffp,AND($X829&lt;&gt;"",$X829&lt;&gt;"N/A",$X829&lt;&gt;"No Min RQ"),_xlpm.chp,AND($AB829&lt;&gt;"",$AB829&lt;&gt;"N/A",$AB829&lt;&gt;"No Min RQ"),_xlpm.usp,AND($AF829&lt;&gt;"",$AF829&lt;&gt;"N/A",$AF829&lt;&gt;"No Min RQ"),_xlpm.n,_xlpm.sfp+_xlpm.slp+_xlpm.ffp+_xlpm.chp+_xlpm.usp,_xlpm.sub,(_xlpm.sfp*($P829="Submitted"))+(_xlpm.slp*($T829="Submitted"))+(_xlpm.ffp*($X829="Submitted"))+(_xlpm.chp*($AB829="Submitted"))+(_xlpm.usp*($AF829="Submitted")),_xlpm.term,(_xlpm.sfp*OR($P829="Approved",$P829="Declined"))+(_xlpm.slp*OR($T829="Approved",$T829="Declined"))+(_xlpm.ffp*OR($X829="Approved",$X829="Declined"))+(_xlpm.chp*OR($AB829="Approved",$AB829="Declined"))+(_xlpm.usp*OR($AF829="Approved",$AF829="Declined")),IF(_xlpm.n=0,"No applicable lenders",IF(_xlpm.sub&gt;0,"Stays with Shaw - lender still Submitted",IF(_xlpm.term=_xlpm.n,"Clear - all applicable lenders Approved or Declined","Stays with Shaw - not all lenders Approved or Declined")))))</f>
      </c>
    </row>
    <row r="830" spans="80:80">
      <c r="CB830" s="131">
        <f>IF($A830="","",_xlfn.LET(_xlpm.sfp,AND($P830&lt;&gt;"",$P830&lt;&gt;"N/A",$P830&lt;&gt;"No Min RQ"),_xlpm.slp,AND($T830&lt;&gt;"",$T830&lt;&gt;"N/A",$T830&lt;&gt;"No Min RQ"),_xlpm.ffp,AND($X830&lt;&gt;"",$X830&lt;&gt;"N/A",$X830&lt;&gt;"No Min RQ"),_xlpm.chp,AND($AB830&lt;&gt;"",$AB830&lt;&gt;"N/A",$AB830&lt;&gt;"No Min RQ"),_xlpm.usp,AND($AF830&lt;&gt;"",$AF830&lt;&gt;"N/A",$AF830&lt;&gt;"No Min RQ"),_xlpm.n,_xlpm.sfp+_xlpm.slp+_xlpm.ffp+_xlpm.chp+_xlpm.usp,_xlpm.sub,(_xlpm.sfp*($P830="Submitted"))+(_xlpm.slp*($T830="Submitted"))+(_xlpm.ffp*($X830="Submitted"))+(_xlpm.chp*($AB830="Submitted"))+(_xlpm.usp*($AF830="Submitted")),_xlpm.term,(_xlpm.sfp*OR($P830="Approved",$P830="Declined"))+(_xlpm.slp*OR($T830="Approved",$T830="Declined"))+(_xlpm.ffp*OR($X830="Approved",$X830="Declined"))+(_xlpm.chp*OR($AB830="Approved",$AB830="Declined"))+(_xlpm.usp*OR($AF830="Approved",$AF830="Declined")),IF(_xlpm.n=0,"No applicable lenders",IF(_xlpm.sub&gt;0,"Stays with Shaw - lender still Submitted",IF(_xlpm.term=_xlpm.n,"Clear - all applicable lenders Approved or Declined","Stays with Shaw - not all lenders Approved or Declined")))))</f>
      </c>
    </row>
    <row r="831" spans="80:80">
      <c r="CB831" s="131">
        <f>IF($A831="","",_xlfn.LET(_xlpm.sfp,AND($P831&lt;&gt;"",$P831&lt;&gt;"N/A",$P831&lt;&gt;"No Min RQ"),_xlpm.slp,AND($T831&lt;&gt;"",$T831&lt;&gt;"N/A",$T831&lt;&gt;"No Min RQ"),_xlpm.ffp,AND($X831&lt;&gt;"",$X831&lt;&gt;"N/A",$X831&lt;&gt;"No Min RQ"),_xlpm.chp,AND($AB831&lt;&gt;"",$AB831&lt;&gt;"N/A",$AB831&lt;&gt;"No Min RQ"),_xlpm.usp,AND($AF831&lt;&gt;"",$AF831&lt;&gt;"N/A",$AF831&lt;&gt;"No Min RQ"),_xlpm.n,_xlpm.sfp+_xlpm.slp+_xlpm.ffp+_xlpm.chp+_xlpm.usp,_xlpm.sub,(_xlpm.sfp*($P831="Submitted"))+(_xlpm.slp*($T831="Submitted"))+(_xlpm.ffp*($X831="Submitted"))+(_xlpm.chp*($AB831="Submitted"))+(_xlpm.usp*($AF831="Submitted")),_xlpm.term,(_xlpm.sfp*OR($P831="Approved",$P831="Declined"))+(_xlpm.slp*OR($T831="Approved",$T831="Declined"))+(_xlpm.ffp*OR($X831="Approved",$X831="Declined"))+(_xlpm.chp*OR($AB831="Approved",$AB831="Declined"))+(_xlpm.usp*OR($AF831="Approved",$AF831="Declined")),IF(_xlpm.n=0,"No applicable lenders",IF(_xlpm.sub&gt;0,"Stays with Shaw - lender still Submitted",IF(_xlpm.term=_xlpm.n,"Clear - all applicable lenders Approved or Declined","Stays with Shaw - not all lenders Approved or Declined")))))</f>
      </c>
    </row>
    <row r="832" spans="80:80">
      <c r="CB832" s="131">
        <f>IF($A832="","",_xlfn.LET(_xlpm.sfp,AND($P832&lt;&gt;"",$P832&lt;&gt;"N/A",$P832&lt;&gt;"No Min RQ"),_xlpm.slp,AND($T832&lt;&gt;"",$T832&lt;&gt;"N/A",$T832&lt;&gt;"No Min RQ"),_xlpm.ffp,AND($X832&lt;&gt;"",$X832&lt;&gt;"N/A",$X832&lt;&gt;"No Min RQ"),_xlpm.chp,AND($AB832&lt;&gt;"",$AB832&lt;&gt;"N/A",$AB832&lt;&gt;"No Min RQ"),_xlpm.usp,AND($AF832&lt;&gt;"",$AF832&lt;&gt;"N/A",$AF832&lt;&gt;"No Min RQ"),_xlpm.n,_xlpm.sfp+_xlpm.slp+_xlpm.ffp+_xlpm.chp+_xlpm.usp,_xlpm.sub,(_xlpm.sfp*($P832="Submitted"))+(_xlpm.slp*($T832="Submitted"))+(_xlpm.ffp*($X832="Submitted"))+(_xlpm.chp*($AB832="Submitted"))+(_xlpm.usp*($AF832="Submitted")),_xlpm.term,(_xlpm.sfp*OR($P832="Approved",$P832="Declined"))+(_xlpm.slp*OR($T832="Approved",$T832="Declined"))+(_xlpm.ffp*OR($X832="Approved",$X832="Declined"))+(_xlpm.chp*OR($AB832="Approved",$AB832="Declined"))+(_xlpm.usp*OR($AF832="Approved",$AF832="Declined")),IF(_xlpm.n=0,"No applicable lenders",IF(_xlpm.sub&gt;0,"Stays with Shaw - lender still Submitted",IF(_xlpm.term=_xlpm.n,"Clear - all applicable lenders Approved or Declined","Stays with Shaw - not all lenders Approved or Declined")))))</f>
      </c>
    </row>
    <row r="833" spans="80:80">
      <c r="CB833" s="131">
        <f>IF($A833="","",_xlfn.LET(_xlpm.sfp,AND($P833&lt;&gt;"",$P833&lt;&gt;"N/A",$P833&lt;&gt;"No Min RQ"),_xlpm.slp,AND($T833&lt;&gt;"",$T833&lt;&gt;"N/A",$T833&lt;&gt;"No Min RQ"),_xlpm.ffp,AND($X833&lt;&gt;"",$X833&lt;&gt;"N/A",$X833&lt;&gt;"No Min RQ"),_xlpm.chp,AND($AB833&lt;&gt;"",$AB833&lt;&gt;"N/A",$AB833&lt;&gt;"No Min RQ"),_xlpm.usp,AND($AF833&lt;&gt;"",$AF833&lt;&gt;"N/A",$AF833&lt;&gt;"No Min RQ"),_xlpm.n,_xlpm.sfp+_xlpm.slp+_xlpm.ffp+_xlpm.chp+_xlpm.usp,_xlpm.sub,(_xlpm.sfp*($P833="Submitted"))+(_xlpm.slp*($T833="Submitted"))+(_xlpm.ffp*($X833="Submitted"))+(_xlpm.chp*($AB833="Submitted"))+(_xlpm.usp*($AF833="Submitted")),_xlpm.term,(_xlpm.sfp*OR($P833="Approved",$P833="Declined"))+(_xlpm.slp*OR($T833="Approved",$T833="Declined"))+(_xlpm.ffp*OR($X833="Approved",$X833="Declined"))+(_xlpm.chp*OR($AB833="Approved",$AB833="Declined"))+(_xlpm.usp*OR($AF833="Approved",$AF833="Declined")),IF(_xlpm.n=0,"No applicable lenders",IF(_xlpm.sub&gt;0,"Stays with Shaw - lender still Submitted",IF(_xlpm.term=_xlpm.n,"Clear - all applicable lenders Approved or Declined","Stays with Shaw - not all lenders Approved or Declined")))))</f>
      </c>
    </row>
    <row r="834" spans="80:80">
      <c r="CB834" s="131">
        <f>IF($A834="","",_xlfn.LET(_xlpm.sfp,AND($P834&lt;&gt;"",$P834&lt;&gt;"N/A",$P834&lt;&gt;"No Min RQ"),_xlpm.slp,AND($T834&lt;&gt;"",$T834&lt;&gt;"N/A",$T834&lt;&gt;"No Min RQ"),_xlpm.ffp,AND($X834&lt;&gt;"",$X834&lt;&gt;"N/A",$X834&lt;&gt;"No Min RQ"),_xlpm.chp,AND($AB834&lt;&gt;"",$AB834&lt;&gt;"N/A",$AB834&lt;&gt;"No Min RQ"),_xlpm.usp,AND($AF834&lt;&gt;"",$AF834&lt;&gt;"N/A",$AF834&lt;&gt;"No Min RQ"),_xlpm.n,_xlpm.sfp+_xlpm.slp+_xlpm.ffp+_xlpm.chp+_xlpm.usp,_xlpm.sub,(_xlpm.sfp*($P834="Submitted"))+(_xlpm.slp*($T834="Submitted"))+(_xlpm.ffp*($X834="Submitted"))+(_xlpm.chp*($AB834="Submitted"))+(_xlpm.usp*($AF834="Submitted")),_xlpm.term,(_xlpm.sfp*OR($P834="Approved",$P834="Declined"))+(_xlpm.slp*OR($T834="Approved",$T834="Declined"))+(_xlpm.ffp*OR($X834="Approved",$X834="Declined"))+(_xlpm.chp*OR($AB834="Approved",$AB834="Declined"))+(_xlpm.usp*OR($AF834="Approved",$AF834="Declined")),IF(_xlpm.n=0,"No applicable lenders",IF(_xlpm.sub&gt;0,"Stays with Shaw - lender still Submitted",IF(_xlpm.term=_xlpm.n,"Clear - all applicable lenders Approved or Declined","Stays with Shaw - not all lenders Approved or Declined")))))</f>
      </c>
    </row>
    <row r="835" spans="80:80">
      <c r="CB835" s="131">
        <f>IF($A835="","",_xlfn.LET(_xlpm.sfp,AND($P835&lt;&gt;"",$P835&lt;&gt;"N/A",$P835&lt;&gt;"No Min RQ"),_xlpm.slp,AND($T835&lt;&gt;"",$T835&lt;&gt;"N/A",$T835&lt;&gt;"No Min RQ"),_xlpm.ffp,AND($X835&lt;&gt;"",$X835&lt;&gt;"N/A",$X835&lt;&gt;"No Min RQ"),_xlpm.chp,AND($AB835&lt;&gt;"",$AB835&lt;&gt;"N/A",$AB835&lt;&gt;"No Min RQ"),_xlpm.usp,AND($AF835&lt;&gt;"",$AF835&lt;&gt;"N/A",$AF835&lt;&gt;"No Min RQ"),_xlpm.n,_xlpm.sfp+_xlpm.slp+_xlpm.ffp+_xlpm.chp+_xlpm.usp,_xlpm.sub,(_xlpm.sfp*($P835="Submitted"))+(_xlpm.slp*($T835="Submitted"))+(_xlpm.ffp*($X835="Submitted"))+(_xlpm.chp*($AB835="Submitted"))+(_xlpm.usp*($AF835="Submitted")),_xlpm.term,(_xlpm.sfp*OR($P835="Approved",$P835="Declined"))+(_xlpm.slp*OR($T835="Approved",$T835="Declined"))+(_xlpm.ffp*OR($X835="Approved",$X835="Declined"))+(_xlpm.chp*OR($AB835="Approved",$AB835="Declined"))+(_xlpm.usp*OR($AF835="Approved",$AF835="Declined")),IF(_xlpm.n=0,"No applicable lenders",IF(_xlpm.sub&gt;0,"Stays with Shaw - lender still Submitted",IF(_xlpm.term=_xlpm.n,"Clear - all applicable lenders Approved or Declined","Stays with Shaw - not all lenders Approved or Declined")))))</f>
      </c>
    </row>
    <row r="836" spans="80:80">
      <c r="CB836" s="131">
        <f>IF($A836="","",_xlfn.LET(_xlpm.sfp,AND($P836&lt;&gt;"",$P836&lt;&gt;"N/A",$P836&lt;&gt;"No Min RQ"),_xlpm.slp,AND($T836&lt;&gt;"",$T836&lt;&gt;"N/A",$T836&lt;&gt;"No Min RQ"),_xlpm.ffp,AND($X836&lt;&gt;"",$X836&lt;&gt;"N/A",$X836&lt;&gt;"No Min RQ"),_xlpm.chp,AND($AB836&lt;&gt;"",$AB836&lt;&gt;"N/A",$AB836&lt;&gt;"No Min RQ"),_xlpm.usp,AND($AF836&lt;&gt;"",$AF836&lt;&gt;"N/A",$AF836&lt;&gt;"No Min RQ"),_xlpm.n,_xlpm.sfp+_xlpm.slp+_xlpm.ffp+_xlpm.chp+_xlpm.usp,_xlpm.sub,(_xlpm.sfp*($P836="Submitted"))+(_xlpm.slp*($T836="Submitted"))+(_xlpm.ffp*($X836="Submitted"))+(_xlpm.chp*($AB836="Submitted"))+(_xlpm.usp*($AF836="Submitted")),_xlpm.term,(_xlpm.sfp*OR($P836="Approved",$P836="Declined"))+(_xlpm.slp*OR($T836="Approved",$T836="Declined"))+(_xlpm.ffp*OR($X836="Approved",$X836="Declined"))+(_xlpm.chp*OR($AB836="Approved",$AB836="Declined"))+(_xlpm.usp*OR($AF836="Approved",$AF836="Declined")),IF(_xlpm.n=0,"No applicable lenders",IF(_xlpm.sub&gt;0,"Stays with Shaw - lender still Submitted",IF(_xlpm.term=_xlpm.n,"Clear - all applicable lenders Approved or Declined","Stays with Shaw - not all lenders Approved or Declined")))))</f>
      </c>
    </row>
    <row r="837" spans="80:80">
      <c r="CB837" s="131">
        <f>IF($A837="","",_xlfn.LET(_xlpm.sfp,AND($P837&lt;&gt;"",$P837&lt;&gt;"N/A",$P837&lt;&gt;"No Min RQ"),_xlpm.slp,AND($T837&lt;&gt;"",$T837&lt;&gt;"N/A",$T837&lt;&gt;"No Min RQ"),_xlpm.ffp,AND($X837&lt;&gt;"",$X837&lt;&gt;"N/A",$X837&lt;&gt;"No Min RQ"),_xlpm.chp,AND($AB837&lt;&gt;"",$AB837&lt;&gt;"N/A",$AB837&lt;&gt;"No Min RQ"),_xlpm.usp,AND($AF837&lt;&gt;"",$AF837&lt;&gt;"N/A",$AF837&lt;&gt;"No Min RQ"),_xlpm.n,_xlpm.sfp+_xlpm.slp+_xlpm.ffp+_xlpm.chp+_xlpm.usp,_xlpm.sub,(_xlpm.sfp*($P837="Submitted"))+(_xlpm.slp*($T837="Submitted"))+(_xlpm.ffp*($X837="Submitted"))+(_xlpm.chp*($AB837="Submitted"))+(_xlpm.usp*($AF837="Submitted")),_xlpm.term,(_xlpm.sfp*OR($P837="Approved",$P837="Declined"))+(_xlpm.slp*OR($T837="Approved",$T837="Declined"))+(_xlpm.ffp*OR($X837="Approved",$X837="Declined"))+(_xlpm.chp*OR($AB837="Approved",$AB837="Declined"))+(_xlpm.usp*OR($AF837="Approved",$AF837="Declined")),IF(_xlpm.n=0,"No applicable lenders",IF(_xlpm.sub&gt;0,"Stays with Shaw - lender still Submitted",IF(_xlpm.term=_xlpm.n,"Clear - all applicable lenders Approved or Declined","Stays with Shaw - not all lenders Approved or Declined")))))</f>
      </c>
    </row>
    <row r="838" spans="80:80">
      <c r="CB838" s="131">
        <f>IF($A838="","",_xlfn.LET(_xlpm.sfp,AND($P838&lt;&gt;"",$P838&lt;&gt;"N/A",$P838&lt;&gt;"No Min RQ"),_xlpm.slp,AND($T838&lt;&gt;"",$T838&lt;&gt;"N/A",$T838&lt;&gt;"No Min RQ"),_xlpm.ffp,AND($X838&lt;&gt;"",$X838&lt;&gt;"N/A",$X838&lt;&gt;"No Min RQ"),_xlpm.chp,AND($AB838&lt;&gt;"",$AB838&lt;&gt;"N/A",$AB838&lt;&gt;"No Min RQ"),_xlpm.usp,AND($AF838&lt;&gt;"",$AF838&lt;&gt;"N/A",$AF838&lt;&gt;"No Min RQ"),_xlpm.n,_xlpm.sfp+_xlpm.slp+_xlpm.ffp+_xlpm.chp+_xlpm.usp,_xlpm.sub,(_xlpm.sfp*($P838="Submitted"))+(_xlpm.slp*($T838="Submitted"))+(_xlpm.ffp*($X838="Submitted"))+(_xlpm.chp*($AB838="Submitted"))+(_xlpm.usp*($AF838="Submitted")),_xlpm.term,(_xlpm.sfp*OR($P838="Approved",$P838="Declined"))+(_xlpm.slp*OR($T838="Approved",$T838="Declined"))+(_xlpm.ffp*OR($X838="Approved",$X838="Declined"))+(_xlpm.chp*OR($AB838="Approved",$AB838="Declined"))+(_xlpm.usp*OR($AF838="Approved",$AF838="Declined")),IF(_xlpm.n=0,"No applicable lenders",IF(_xlpm.sub&gt;0,"Stays with Shaw - lender still Submitted",IF(_xlpm.term=_xlpm.n,"Clear - all applicable lenders Approved or Declined","Stays with Shaw - not all lenders Approved or Declined")))))</f>
      </c>
    </row>
    <row r="839" spans="80:80">
      <c r="CB839" s="131">
        <f>IF($A839="","",_xlfn.LET(_xlpm.sfp,AND($P839&lt;&gt;"",$P839&lt;&gt;"N/A",$P839&lt;&gt;"No Min RQ"),_xlpm.slp,AND($T839&lt;&gt;"",$T839&lt;&gt;"N/A",$T839&lt;&gt;"No Min RQ"),_xlpm.ffp,AND($X839&lt;&gt;"",$X839&lt;&gt;"N/A",$X839&lt;&gt;"No Min RQ"),_xlpm.chp,AND($AB839&lt;&gt;"",$AB839&lt;&gt;"N/A",$AB839&lt;&gt;"No Min RQ"),_xlpm.usp,AND($AF839&lt;&gt;"",$AF839&lt;&gt;"N/A",$AF839&lt;&gt;"No Min RQ"),_xlpm.n,_xlpm.sfp+_xlpm.slp+_xlpm.ffp+_xlpm.chp+_xlpm.usp,_xlpm.sub,(_xlpm.sfp*($P839="Submitted"))+(_xlpm.slp*($T839="Submitted"))+(_xlpm.ffp*($X839="Submitted"))+(_xlpm.chp*($AB839="Submitted"))+(_xlpm.usp*($AF839="Submitted")),_xlpm.term,(_xlpm.sfp*OR($P839="Approved",$P839="Declined"))+(_xlpm.slp*OR($T839="Approved",$T839="Declined"))+(_xlpm.ffp*OR($X839="Approved",$X839="Declined"))+(_xlpm.chp*OR($AB839="Approved",$AB839="Declined"))+(_xlpm.usp*OR($AF839="Approved",$AF839="Declined")),IF(_xlpm.n=0,"No applicable lenders",IF(_xlpm.sub&gt;0,"Stays with Shaw - lender still Submitted",IF(_xlpm.term=_xlpm.n,"Clear - all applicable lenders Approved or Declined","Stays with Shaw - not all lenders Approved or Declined")))))</f>
      </c>
    </row>
    <row r="840" spans="80:80">
      <c r="CB840" s="131">
        <f>IF($A840="","",_xlfn.LET(_xlpm.sfp,AND($P840&lt;&gt;"",$P840&lt;&gt;"N/A",$P840&lt;&gt;"No Min RQ"),_xlpm.slp,AND($T840&lt;&gt;"",$T840&lt;&gt;"N/A",$T840&lt;&gt;"No Min RQ"),_xlpm.ffp,AND($X840&lt;&gt;"",$X840&lt;&gt;"N/A",$X840&lt;&gt;"No Min RQ"),_xlpm.chp,AND($AB840&lt;&gt;"",$AB840&lt;&gt;"N/A",$AB840&lt;&gt;"No Min RQ"),_xlpm.usp,AND($AF840&lt;&gt;"",$AF840&lt;&gt;"N/A",$AF840&lt;&gt;"No Min RQ"),_xlpm.n,_xlpm.sfp+_xlpm.slp+_xlpm.ffp+_xlpm.chp+_xlpm.usp,_xlpm.sub,(_xlpm.sfp*($P840="Submitted"))+(_xlpm.slp*($T840="Submitted"))+(_xlpm.ffp*($X840="Submitted"))+(_xlpm.chp*($AB840="Submitted"))+(_xlpm.usp*($AF840="Submitted")),_xlpm.term,(_xlpm.sfp*OR($P840="Approved",$P840="Declined"))+(_xlpm.slp*OR($T840="Approved",$T840="Declined"))+(_xlpm.ffp*OR($X840="Approved",$X840="Declined"))+(_xlpm.chp*OR($AB840="Approved",$AB840="Declined"))+(_xlpm.usp*OR($AF840="Approved",$AF840="Declined")),IF(_xlpm.n=0,"No applicable lenders",IF(_xlpm.sub&gt;0,"Stays with Shaw - lender still Submitted",IF(_xlpm.term=_xlpm.n,"Clear - all applicable lenders Approved or Declined","Stays with Shaw - not all lenders Approved or Declined")))))</f>
      </c>
    </row>
    <row r="841" spans="80:80">
      <c r="CB841" s="131">
        <f>IF($A841="","",_xlfn.LET(_xlpm.sfp,AND($P841&lt;&gt;"",$P841&lt;&gt;"N/A",$P841&lt;&gt;"No Min RQ"),_xlpm.slp,AND($T841&lt;&gt;"",$T841&lt;&gt;"N/A",$T841&lt;&gt;"No Min RQ"),_xlpm.ffp,AND($X841&lt;&gt;"",$X841&lt;&gt;"N/A",$X841&lt;&gt;"No Min RQ"),_xlpm.chp,AND($AB841&lt;&gt;"",$AB841&lt;&gt;"N/A",$AB841&lt;&gt;"No Min RQ"),_xlpm.usp,AND($AF841&lt;&gt;"",$AF841&lt;&gt;"N/A",$AF841&lt;&gt;"No Min RQ"),_xlpm.n,_xlpm.sfp+_xlpm.slp+_xlpm.ffp+_xlpm.chp+_xlpm.usp,_xlpm.sub,(_xlpm.sfp*($P841="Submitted"))+(_xlpm.slp*($T841="Submitted"))+(_xlpm.ffp*($X841="Submitted"))+(_xlpm.chp*($AB841="Submitted"))+(_xlpm.usp*($AF841="Submitted")),_xlpm.term,(_xlpm.sfp*OR($P841="Approved",$P841="Declined"))+(_xlpm.slp*OR($T841="Approved",$T841="Declined"))+(_xlpm.ffp*OR($X841="Approved",$X841="Declined"))+(_xlpm.chp*OR($AB841="Approved",$AB841="Declined"))+(_xlpm.usp*OR($AF841="Approved",$AF841="Declined")),IF(_xlpm.n=0,"No applicable lenders",IF(_xlpm.sub&gt;0,"Stays with Shaw - lender still Submitted",IF(_xlpm.term=_xlpm.n,"Clear - all applicable lenders Approved or Declined","Stays with Shaw - not all lenders Approved or Declined")))))</f>
      </c>
    </row>
    <row r="842" spans="80:80">
      <c r="CB842" s="131">
        <f>IF($A842="","",_xlfn.LET(_xlpm.sfp,AND($P842&lt;&gt;"",$P842&lt;&gt;"N/A",$P842&lt;&gt;"No Min RQ"),_xlpm.slp,AND($T842&lt;&gt;"",$T842&lt;&gt;"N/A",$T842&lt;&gt;"No Min RQ"),_xlpm.ffp,AND($X842&lt;&gt;"",$X842&lt;&gt;"N/A",$X842&lt;&gt;"No Min RQ"),_xlpm.chp,AND($AB842&lt;&gt;"",$AB842&lt;&gt;"N/A",$AB842&lt;&gt;"No Min RQ"),_xlpm.usp,AND($AF842&lt;&gt;"",$AF842&lt;&gt;"N/A",$AF842&lt;&gt;"No Min RQ"),_xlpm.n,_xlpm.sfp+_xlpm.slp+_xlpm.ffp+_xlpm.chp+_xlpm.usp,_xlpm.sub,(_xlpm.sfp*($P842="Submitted"))+(_xlpm.slp*($T842="Submitted"))+(_xlpm.ffp*($X842="Submitted"))+(_xlpm.chp*($AB842="Submitted"))+(_xlpm.usp*($AF842="Submitted")),_xlpm.term,(_xlpm.sfp*OR($P842="Approved",$P842="Declined"))+(_xlpm.slp*OR($T842="Approved",$T842="Declined"))+(_xlpm.ffp*OR($X842="Approved",$X842="Declined"))+(_xlpm.chp*OR($AB842="Approved",$AB842="Declined"))+(_xlpm.usp*OR($AF842="Approved",$AF842="Declined")),IF(_xlpm.n=0,"No applicable lenders",IF(_xlpm.sub&gt;0,"Stays with Shaw - lender still Submitted",IF(_xlpm.term=_xlpm.n,"Clear - all applicable lenders Approved or Declined","Stays with Shaw - not all lenders Approved or Declined")))))</f>
      </c>
    </row>
    <row r="843" spans="80:80">
      <c r="CB843" s="131">
        <f>IF($A843="","",_xlfn.LET(_xlpm.sfp,AND($P843&lt;&gt;"",$P843&lt;&gt;"N/A",$P843&lt;&gt;"No Min RQ"),_xlpm.slp,AND($T843&lt;&gt;"",$T843&lt;&gt;"N/A",$T843&lt;&gt;"No Min RQ"),_xlpm.ffp,AND($X843&lt;&gt;"",$X843&lt;&gt;"N/A",$X843&lt;&gt;"No Min RQ"),_xlpm.chp,AND($AB843&lt;&gt;"",$AB843&lt;&gt;"N/A",$AB843&lt;&gt;"No Min RQ"),_xlpm.usp,AND($AF843&lt;&gt;"",$AF843&lt;&gt;"N/A",$AF843&lt;&gt;"No Min RQ"),_xlpm.n,_xlpm.sfp+_xlpm.slp+_xlpm.ffp+_xlpm.chp+_xlpm.usp,_xlpm.sub,(_xlpm.sfp*($P843="Submitted"))+(_xlpm.slp*($T843="Submitted"))+(_xlpm.ffp*($X843="Submitted"))+(_xlpm.chp*($AB843="Submitted"))+(_xlpm.usp*($AF843="Submitted")),_xlpm.term,(_xlpm.sfp*OR($P843="Approved",$P843="Declined"))+(_xlpm.slp*OR($T843="Approved",$T843="Declined"))+(_xlpm.ffp*OR($X843="Approved",$X843="Declined"))+(_xlpm.chp*OR($AB843="Approved",$AB843="Declined"))+(_xlpm.usp*OR($AF843="Approved",$AF843="Declined")),IF(_xlpm.n=0,"No applicable lenders",IF(_xlpm.sub&gt;0,"Stays with Shaw - lender still Submitted",IF(_xlpm.term=_xlpm.n,"Clear - all applicable lenders Approved or Declined","Stays with Shaw - not all lenders Approved or Declined")))))</f>
      </c>
    </row>
    <row r="844" spans="80:80">
      <c r="CB844" s="131">
        <f>IF($A844="","",_xlfn.LET(_xlpm.sfp,AND($P844&lt;&gt;"",$P844&lt;&gt;"N/A",$P844&lt;&gt;"No Min RQ"),_xlpm.slp,AND($T844&lt;&gt;"",$T844&lt;&gt;"N/A",$T844&lt;&gt;"No Min RQ"),_xlpm.ffp,AND($X844&lt;&gt;"",$X844&lt;&gt;"N/A",$X844&lt;&gt;"No Min RQ"),_xlpm.chp,AND($AB844&lt;&gt;"",$AB844&lt;&gt;"N/A",$AB844&lt;&gt;"No Min RQ"),_xlpm.usp,AND($AF844&lt;&gt;"",$AF844&lt;&gt;"N/A",$AF844&lt;&gt;"No Min RQ"),_xlpm.n,_xlpm.sfp+_xlpm.slp+_xlpm.ffp+_xlpm.chp+_xlpm.usp,_xlpm.sub,(_xlpm.sfp*($P844="Submitted"))+(_xlpm.slp*($T844="Submitted"))+(_xlpm.ffp*($X844="Submitted"))+(_xlpm.chp*($AB844="Submitted"))+(_xlpm.usp*($AF844="Submitted")),_xlpm.term,(_xlpm.sfp*OR($P844="Approved",$P844="Declined"))+(_xlpm.slp*OR($T844="Approved",$T844="Declined"))+(_xlpm.ffp*OR($X844="Approved",$X844="Declined"))+(_xlpm.chp*OR($AB844="Approved",$AB844="Declined"))+(_xlpm.usp*OR($AF844="Approved",$AF844="Declined")),IF(_xlpm.n=0,"No applicable lenders",IF(_xlpm.sub&gt;0,"Stays with Shaw - lender still Submitted",IF(_xlpm.term=_xlpm.n,"Clear - all applicable lenders Approved or Declined","Stays with Shaw - not all lenders Approved or Declined")))))</f>
      </c>
    </row>
    <row r="845" spans="80:80">
      <c r="CB845" s="131">
        <f>IF($A845="","",_xlfn.LET(_xlpm.sfp,AND($P845&lt;&gt;"",$P845&lt;&gt;"N/A",$P845&lt;&gt;"No Min RQ"),_xlpm.slp,AND($T845&lt;&gt;"",$T845&lt;&gt;"N/A",$T845&lt;&gt;"No Min RQ"),_xlpm.ffp,AND($X845&lt;&gt;"",$X845&lt;&gt;"N/A",$X845&lt;&gt;"No Min RQ"),_xlpm.chp,AND($AB845&lt;&gt;"",$AB845&lt;&gt;"N/A",$AB845&lt;&gt;"No Min RQ"),_xlpm.usp,AND($AF845&lt;&gt;"",$AF845&lt;&gt;"N/A",$AF845&lt;&gt;"No Min RQ"),_xlpm.n,_xlpm.sfp+_xlpm.slp+_xlpm.ffp+_xlpm.chp+_xlpm.usp,_xlpm.sub,(_xlpm.sfp*($P845="Submitted"))+(_xlpm.slp*($T845="Submitted"))+(_xlpm.ffp*($X845="Submitted"))+(_xlpm.chp*($AB845="Submitted"))+(_xlpm.usp*($AF845="Submitted")),_xlpm.term,(_xlpm.sfp*OR($P845="Approved",$P845="Declined"))+(_xlpm.slp*OR($T845="Approved",$T845="Declined"))+(_xlpm.ffp*OR($X845="Approved",$X845="Declined"))+(_xlpm.chp*OR($AB845="Approved",$AB845="Declined"))+(_xlpm.usp*OR($AF845="Approved",$AF845="Declined")),IF(_xlpm.n=0,"No applicable lenders",IF(_xlpm.sub&gt;0,"Stays with Shaw - lender still Submitted",IF(_xlpm.term=_xlpm.n,"Clear - all applicable lenders Approved or Declined","Stays with Shaw - not all lenders Approved or Declined")))))</f>
      </c>
    </row>
    <row r="846" spans="80:80">
      <c r="CB846" s="131">
        <f>IF($A846="","",_xlfn.LET(_xlpm.sfp,AND($P846&lt;&gt;"",$P846&lt;&gt;"N/A",$P846&lt;&gt;"No Min RQ"),_xlpm.slp,AND($T846&lt;&gt;"",$T846&lt;&gt;"N/A",$T846&lt;&gt;"No Min RQ"),_xlpm.ffp,AND($X846&lt;&gt;"",$X846&lt;&gt;"N/A",$X846&lt;&gt;"No Min RQ"),_xlpm.chp,AND($AB846&lt;&gt;"",$AB846&lt;&gt;"N/A",$AB846&lt;&gt;"No Min RQ"),_xlpm.usp,AND($AF846&lt;&gt;"",$AF846&lt;&gt;"N/A",$AF846&lt;&gt;"No Min RQ"),_xlpm.n,_xlpm.sfp+_xlpm.slp+_xlpm.ffp+_xlpm.chp+_xlpm.usp,_xlpm.sub,(_xlpm.sfp*($P846="Submitted"))+(_xlpm.slp*($T846="Submitted"))+(_xlpm.ffp*($X846="Submitted"))+(_xlpm.chp*($AB846="Submitted"))+(_xlpm.usp*($AF846="Submitted")),_xlpm.term,(_xlpm.sfp*OR($P846="Approved",$P846="Declined"))+(_xlpm.slp*OR($T846="Approved",$T846="Declined"))+(_xlpm.ffp*OR($X846="Approved",$X846="Declined"))+(_xlpm.chp*OR($AB846="Approved",$AB846="Declined"))+(_xlpm.usp*OR($AF846="Approved",$AF846="Declined")),IF(_xlpm.n=0,"No applicable lenders",IF(_xlpm.sub&gt;0,"Stays with Shaw - lender still Submitted",IF(_xlpm.term=_xlpm.n,"Clear - all applicable lenders Approved or Declined","Stays with Shaw - not all lenders Approved or Declined")))))</f>
      </c>
    </row>
    <row r="847" spans="80:80">
      <c r="CB847" s="131">
        <f>IF($A847="","",_xlfn.LET(_xlpm.sfp,AND($P847&lt;&gt;"",$P847&lt;&gt;"N/A",$P847&lt;&gt;"No Min RQ"),_xlpm.slp,AND($T847&lt;&gt;"",$T847&lt;&gt;"N/A",$T847&lt;&gt;"No Min RQ"),_xlpm.ffp,AND($X847&lt;&gt;"",$X847&lt;&gt;"N/A",$X847&lt;&gt;"No Min RQ"),_xlpm.chp,AND($AB847&lt;&gt;"",$AB847&lt;&gt;"N/A",$AB847&lt;&gt;"No Min RQ"),_xlpm.usp,AND($AF847&lt;&gt;"",$AF847&lt;&gt;"N/A",$AF847&lt;&gt;"No Min RQ"),_xlpm.n,_xlpm.sfp+_xlpm.slp+_xlpm.ffp+_xlpm.chp+_xlpm.usp,_xlpm.sub,(_xlpm.sfp*($P847="Submitted"))+(_xlpm.slp*($T847="Submitted"))+(_xlpm.ffp*($X847="Submitted"))+(_xlpm.chp*($AB847="Submitted"))+(_xlpm.usp*($AF847="Submitted")),_xlpm.term,(_xlpm.sfp*OR($P847="Approved",$P847="Declined"))+(_xlpm.slp*OR($T847="Approved",$T847="Declined"))+(_xlpm.ffp*OR($X847="Approved",$X847="Declined"))+(_xlpm.chp*OR($AB847="Approved",$AB847="Declined"))+(_xlpm.usp*OR($AF847="Approved",$AF847="Declined")),IF(_xlpm.n=0,"No applicable lenders",IF(_xlpm.sub&gt;0,"Stays with Shaw - lender still Submitted",IF(_xlpm.term=_xlpm.n,"Clear - all applicable lenders Approved or Declined","Stays with Shaw - not all lenders Approved or Declined")))))</f>
      </c>
    </row>
    <row r="848" spans="80:80">
      <c r="CB848" s="131">
        <f>IF($A848="","",_xlfn.LET(_xlpm.sfp,AND($P848&lt;&gt;"",$P848&lt;&gt;"N/A",$P848&lt;&gt;"No Min RQ"),_xlpm.slp,AND($T848&lt;&gt;"",$T848&lt;&gt;"N/A",$T848&lt;&gt;"No Min RQ"),_xlpm.ffp,AND($X848&lt;&gt;"",$X848&lt;&gt;"N/A",$X848&lt;&gt;"No Min RQ"),_xlpm.chp,AND($AB848&lt;&gt;"",$AB848&lt;&gt;"N/A",$AB848&lt;&gt;"No Min RQ"),_xlpm.usp,AND($AF848&lt;&gt;"",$AF848&lt;&gt;"N/A",$AF848&lt;&gt;"No Min RQ"),_xlpm.n,_xlpm.sfp+_xlpm.slp+_xlpm.ffp+_xlpm.chp+_xlpm.usp,_xlpm.sub,(_xlpm.sfp*($P848="Submitted"))+(_xlpm.slp*($T848="Submitted"))+(_xlpm.ffp*($X848="Submitted"))+(_xlpm.chp*($AB848="Submitted"))+(_xlpm.usp*($AF848="Submitted")),_xlpm.term,(_xlpm.sfp*OR($P848="Approved",$P848="Declined"))+(_xlpm.slp*OR($T848="Approved",$T848="Declined"))+(_xlpm.ffp*OR($X848="Approved",$X848="Declined"))+(_xlpm.chp*OR($AB848="Approved",$AB848="Declined"))+(_xlpm.usp*OR($AF848="Approved",$AF848="Declined")),IF(_xlpm.n=0,"No applicable lenders",IF(_xlpm.sub&gt;0,"Stays with Shaw - lender still Submitted",IF(_xlpm.term=_xlpm.n,"Clear - all applicable lenders Approved or Declined","Stays with Shaw - not all lenders Approved or Declined")))))</f>
      </c>
    </row>
    <row r="849" spans="80:80">
      <c r="CB849" s="131">
        <f>IF($A849="","",_xlfn.LET(_xlpm.sfp,AND($P849&lt;&gt;"",$P849&lt;&gt;"N/A",$P849&lt;&gt;"No Min RQ"),_xlpm.slp,AND($T849&lt;&gt;"",$T849&lt;&gt;"N/A",$T849&lt;&gt;"No Min RQ"),_xlpm.ffp,AND($X849&lt;&gt;"",$X849&lt;&gt;"N/A",$X849&lt;&gt;"No Min RQ"),_xlpm.chp,AND($AB849&lt;&gt;"",$AB849&lt;&gt;"N/A",$AB849&lt;&gt;"No Min RQ"),_xlpm.usp,AND($AF849&lt;&gt;"",$AF849&lt;&gt;"N/A",$AF849&lt;&gt;"No Min RQ"),_xlpm.n,_xlpm.sfp+_xlpm.slp+_xlpm.ffp+_xlpm.chp+_xlpm.usp,_xlpm.sub,(_xlpm.sfp*($P849="Submitted"))+(_xlpm.slp*($T849="Submitted"))+(_xlpm.ffp*($X849="Submitted"))+(_xlpm.chp*($AB849="Submitted"))+(_xlpm.usp*($AF849="Submitted")),_xlpm.term,(_xlpm.sfp*OR($P849="Approved",$P849="Declined"))+(_xlpm.slp*OR($T849="Approved",$T849="Declined"))+(_xlpm.ffp*OR($X849="Approved",$X849="Declined"))+(_xlpm.chp*OR($AB849="Approved",$AB849="Declined"))+(_xlpm.usp*OR($AF849="Approved",$AF849="Declined")),IF(_xlpm.n=0,"No applicable lenders",IF(_xlpm.sub&gt;0,"Stays with Shaw - lender still Submitted",IF(_xlpm.term=_xlpm.n,"Clear - all applicable lenders Approved or Declined","Stays with Shaw - not all lenders Approved or Declined")))))</f>
      </c>
    </row>
    <row r="850" spans="80:80">
      <c r="CB850" s="131">
        <f>IF($A850="","",_xlfn.LET(_xlpm.sfp,AND($P850&lt;&gt;"",$P850&lt;&gt;"N/A",$P850&lt;&gt;"No Min RQ"),_xlpm.slp,AND($T850&lt;&gt;"",$T850&lt;&gt;"N/A",$T850&lt;&gt;"No Min RQ"),_xlpm.ffp,AND($X850&lt;&gt;"",$X850&lt;&gt;"N/A",$X850&lt;&gt;"No Min RQ"),_xlpm.chp,AND($AB850&lt;&gt;"",$AB850&lt;&gt;"N/A",$AB850&lt;&gt;"No Min RQ"),_xlpm.usp,AND($AF850&lt;&gt;"",$AF850&lt;&gt;"N/A",$AF850&lt;&gt;"No Min RQ"),_xlpm.n,_xlpm.sfp+_xlpm.slp+_xlpm.ffp+_xlpm.chp+_xlpm.usp,_xlpm.sub,(_xlpm.sfp*($P850="Submitted"))+(_xlpm.slp*($T850="Submitted"))+(_xlpm.ffp*($X850="Submitted"))+(_xlpm.chp*($AB850="Submitted"))+(_xlpm.usp*($AF850="Submitted")),_xlpm.term,(_xlpm.sfp*OR($P850="Approved",$P850="Declined"))+(_xlpm.slp*OR($T850="Approved",$T850="Declined"))+(_xlpm.ffp*OR($X850="Approved",$X850="Declined"))+(_xlpm.chp*OR($AB850="Approved",$AB850="Declined"))+(_xlpm.usp*OR($AF850="Approved",$AF850="Declined")),IF(_xlpm.n=0,"No applicable lenders",IF(_xlpm.sub&gt;0,"Stays with Shaw - lender still Submitted",IF(_xlpm.term=_xlpm.n,"Clear - all applicable lenders Approved or Declined","Stays with Shaw - not all lenders Approved or Declined")))))</f>
      </c>
    </row>
    <row r="851" spans="80:80">
      <c r="CB851" s="131">
        <f>IF($A851="","",_xlfn.LET(_xlpm.sfp,AND($P851&lt;&gt;"",$P851&lt;&gt;"N/A",$P851&lt;&gt;"No Min RQ"),_xlpm.slp,AND($T851&lt;&gt;"",$T851&lt;&gt;"N/A",$T851&lt;&gt;"No Min RQ"),_xlpm.ffp,AND($X851&lt;&gt;"",$X851&lt;&gt;"N/A",$X851&lt;&gt;"No Min RQ"),_xlpm.chp,AND($AB851&lt;&gt;"",$AB851&lt;&gt;"N/A",$AB851&lt;&gt;"No Min RQ"),_xlpm.usp,AND($AF851&lt;&gt;"",$AF851&lt;&gt;"N/A",$AF851&lt;&gt;"No Min RQ"),_xlpm.n,_xlpm.sfp+_xlpm.slp+_xlpm.ffp+_xlpm.chp+_xlpm.usp,_xlpm.sub,(_xlpm.sfp*($P851="Submitted"))+(_xlpm.slp*($T851="Submitted"))+(_xlpm.ffp*($X851="Submitted"))+(_xlpm.chp*($AB851="Submitted"))+(_xlpm.usp*($AF851="Submitted")),_xlpm.term,(_xlpm.sfp*OR($P851="Approved",$P851="Declined"))+(_xlpm.slp*OR($T851="Approved",$T851="Declined"))+(_xlpm.ffp*OR($X851="Approved",$X851="Declined"))+(_xlpm.chp*OR($AB851="Approved",$AB851="Declined"))+(_xlpm.usp*OR($AF851="Approved",$AF851="Declined")),IF(_xlpm.n=0,"No applicable lenders",IF(_xlpm.sub&gt;0,"Stays with Shaw - lender still Submitted",IF(_xlpm.term=_xlpm.n,"Clear - all applicable lenders Approved or Declined","Stays with Shaw - not all lenders Approved or Declined")))))</f>
      </c>
    </row>
    <row r="852" spans="80:80">
      <c r="CB852" s="131">
        <f>IF($A852="","",_xlfn.LET(_xlpm.sfp,AND($P852&lt;&gt;"",$P852&lt;&gt;"N/A",$P852&lt;&gt;"No Min RQ"),_xlpm.slp,AND($T852&lt;&gt;"",$T852&lt;&gt;"N/A",$T852&lt;&gt;"No Min RQ"),_xlpm.ffp,AND($X852&lt;&gt;"",$X852&lt;&gt;"N/A",$X852&lt;&gt;"No Min RQ"),_xlpm.chp,AND($AB852&lt;&gt;"",$AB852&lt;&gt;"N/A",$AB852&lt;&gt;"No Min RQ"),_xlpm.usp,AND($AF852&lt;&gt;"",$AF852&lt;&gt;"N/A",$AF852&lt;&gt;"No Min RQ"),_xlpm.n,_xlpm.sfp+_xlpm.slp+_xlpm.ffp+_xlpm.chp+_xlpm.usp,_xlpm.sub,(_xlpm.sfp*($P852="Submitted"))+(_xlpm.slp*($T852="Submitted"))+(_xlpm.ffp*($X852="Submitted"))+(_xlpm.chp*($AB852="Submitted"))+(_xlpm.usp*($AF852="Submitted")),_xlpm.term,(_xlpm.sfp*OR($P852="Approved",$P852="Declined"))+(_xlpm.slp*OR($T852="Approved",$T852="Declined"))+(_xlpm.ffp*OR($X852="Approved",$X852="Declined"))+(_xlpm.chp*OR($AB852="Approved",$AB852="Declined"))+(_xlpm.usp*OR($AF852="Approved",$AF852="Declined")),IF(_xlpm.n=0,"No applicable lenders",IF(_xlpm.sub&gt;0,"Stays with Shaw - lender still Submitted",IF(_xlpm.term=_xlpm.n,"Clear - all applicable lenders Approved or Declined","Stays with Shaw - not all lenders Approved or Declined")))))</f>
      </c>
    </row>
    <row r="853" spans="80:80">
      <c r="CB853" s="131">
        <f>IF($A853="","",_xlfn.LET(_xlpm.sfp,AND($P853&lt;&gt;"",$P853&lt;&gt;"N/A",$P853&lt;&gt;"No Min RQ"),_xlpm.slp,AND($T853&lt;&gt;"",$T853&lt;&gt;"N/A",$T853&lt;&gt;"No Min RQ"),_xlpm.ffp,AND($X853&lt;&gt;"",$X853&lt;&gt;"N/A",$X853&lt;&gt;"No Min RQ"),_xlpm.chp,AND($AB853&lt;&gt;"",$AB853&lt;&gt;"N/A",$AB853&lt;&gt;"No Min RQ"),_xlpm.usp,AND($AF853&lt;&gt;"",$AF853&lt;&gt;"N/A",$AF853&lt;&gt;"No Min RQ"),_xlpm.n,_xlpm.sfp+_xlpm.slp+_xlpm.ffp+_xlpm.chp+_xlpm.usp,_xlpm.sub,(_xlpm.sfp*($P853="Submitted"))+(_xlpm.slp*($T853="Submitted"))+(_xlpm.ffp*($X853="Submitted"))+(_xlpm.chp*($AB853="Submitted"))+(_xlpm.usp*($AF853="Submitted")),_xlpm.term,(_xlpm.sfp*OR($P853="Approved",$P853="Declined"))+(_xlpm.slp*OR($T853="Approved",$T853="Declined"))+(_xlpm.ffp*OR($X853="Approved",$X853="Declined"))+(_xlpm.chp*OR($AB853="Approved",$AB853="Declined"))+(_xlpm.usp*OR($AF853="Approved",$AF853="Declined")),IF(_xlpm.n=0,"No applicable lenders",IF(_xlpm.sub&gt;0,"Stays with Shaw - lender still Submitted",IF(_xlpm.term=_xlpm.n,"Clear - all applicable lenders Approved or Declined","Stays with Shaw - not all lenders Approved or Declined")))))</f>
      </c>
    </row>
    <row r="854" spans="80:80">
      <c r="CB854" s="131">
        <f>IF($A854="","",_xlfn.LET(_xlpm.sfp,AND($P854&lt;&gt;"",$P854&lt;&gt;"N/A",$P854&lt;&gt;"No Min RQ"),_xlpm.slp,AND($T854&lt;&gt;"",$T854&lt;&gt;"N/A",$T854&lt;&gt;"No Min RQ"),_xlpm.ffp,AND($X854&lt;&gt;"",$X854&lt;&gt;"N/A",$X854&lt;&gt;"No Min RQ"),_xlpm.chp,AND($AB854&lt;&gt;"",$AB854&lt;&gt;"N/A",$AB854&lt;&gt;"No Min RQ"),_xlpm.usp,AND($AF854&lt;&gt;"",$AF854&lt;&gt;"N/A",$AF854&lt;&gt;"No Min RQ"),_xlpm.n,_xlpm.sfp+_xlpm.slp+_xlpm.ffp+_xlpm.chp+_xlpm.usp,_xlpm.sub,(_xlpm.sfp*($P854="Submitted"))+(_xlpm.slp*($T854="Submitted"))+(_xlpm.ffp*($X854="Submitted"))+(_xlpm.chp*($AB854="Submitted"))+(_xlpm.usp*($AF854="Submitted")),_xlpm.term,(_xlpm.sfp*OR($P854="Approved",$P854="Declined"))+(_xlpm.slp*OR($T854="Approved",$T854="Declined"))+(_xlpm.ffp*OR($X854="Approved",$X854="Declined"))+(_xlpm.chp*OR($AB854="Approved",$AB854="Declined"))+(_xlpm.usp*OR($AF854="Approved",$AF854="Declined")),IF(_xlpm.n=0,"No applicable lenders",IF(_xlpm.sub&gt;0,"Stays with Shaw - lender still Submitted",IF(_xlpm.term=_xlpm.n,"Clear - all applicable lenders Approved or Declined","Stays with Shaw - not all lenders Approved or Declined")))))</f>
      </c>
    </row>
    <row r="855" spans="80:80">
      <c r="CB855" s="131">
        <f>IF($A855="","",_xlfn.LET(_xlpm.sfp,AND($P855&lt;&gt;"",$P855&lt;&gt;"N/A",$P855&lt;&gt;"No Min RQ"),_xlpm.slp,AND($T855&lt;&gt;"",$T855&lt;&gt;"N/A",$T855&lt;&gt;"No Min RQ"),_xlpm.ffp,AND($X855&lt;&gt;"",$X855&lt;&gt;"N/A",$X855&lt;&gt;"No Min RQ"),_xlpm.chp,AND($AB855&lt;&gt;"",$AB855&lt;&gt;"N/A",$AB855&lt;&gt;"No Min RQ"),_xlpm.usp,AND($AF855&lt;&gt;"",$AF855&lt;&gt;"N/A",$AF855&lt;&gt;"No Min RQ"),_xlpm.n,_xlpm.sfp+_xlpm.slp+_xlpm.ffp+_xlpm.chp+_xlpm.usp,_xlpm.sub,(_xlpm.sfp*($P855="Submitted"))+(_xlpm.slp*($T855="Submitted"))+(_xlpm.ffp*($X855="Submitted"))+(_xlpm.chp*($AB855="Submitted"))+(_xlpm.usp*($AF855="Submitted")),_xlpm.term,(_xlpm.sfp*OR($P855="Approved",$P855="Declined"))+(_xlpm.slp*OR($T855="Approved",$T855="Declined"))+(_xlpm.ffp*OR($X855="Approved",$X855="Declined"))+(_xlpm.chp*OR($AB855="Approved",$AB855="Declined"))+(_xlpm.usp*OR($AF855="Approved",$AF855="Declined")),IF(_xlpm.n=0,"No applicable lenders",IF(_xlpm.sub&gt;0,"Stays with Shaw - lender still Submitted",IF(_xlpm.term=_xlpm.n,"Clear - all applicable lenders Approved or Declined","Stays with Shaw - not all lenders Approved or Declined")))))</f>
      </c>
    </row>
    <row r="856" spans="80:80">
      <c r="CB856" s="131">
        <f>IF($A856="","",_xlfn.LET(_xlpm.sfp,AND($P856&lt;&gt;"",$P856&lt;&gt;"N/A",$P856&lt;&gt;"No Min RQ"),_xlpm.slp,AND($T856&lt;&gt;"",$T856&lt;&gt;"N/A",$T856&lt;&gt;"No Min RQ"),_xlpm.ffp,AND($X856&lt;&gt;"",$X856&lt;&gt;"N/A",$X856&lt;&gt;"No Min RQ"),_xlpm.chp,AND($AB856&lt;&gt;"",$AB856&lt;&gt;"N/A",$AB856&lt;&gt;"No Min RQ"),_xlpm.usp,AND($AF856&lt;&gt;"",$AF856&lt;&gt;"N/A",$AF856&lt;&gt;"No Min RQ"),_xlpm.n,_xlpm.sfp+_xlpm.slp+_xlpm.ffp+_xlpm.chp+_xlpm.usp,_xlpm.sub,(_xlpm.sfp*($P856="Submitted"))+(_xlpm.slp*($T856="Submitted"))+(_xlpm.ffp*($X856="Submitted"))+(_xlpm.chp*($AB856="Submitted"))+(_xlpm.usp*($AF856="Submitted")),_xlpm.term,(_xlpm.sfp*OR($P856="Approved",$P856="Declined"))+(_xlpm.slp*OR($T856="Approved",$T856="Declined"))+(_xlpm.ffp*OR($X856="Approved",$X856="Declined"))+(_xlpm.chp*OR($AB856="Approved",$AB856="Declined"))+(_xlpm.usp*OR($AF856="Approved",$AF856="Declined")),IF(_xlpm.n=0,"No applicable lenders",IF(_xlpm.sub&gt;0,"Stays with Shaw - lender still Submitted",IF(_xlpm.term=_xlpm.n,"Clear - all applicable lenders Approved or Declined","Stays with Shaw - not all lenders Approved or Declined")))))</f>
      </c>
    </row>
    <row r="857" spans="80:80">
      <c r="CB857" s="131">
        <f>IF($A857="","",_xlfn.LET(_xlpm.sfp,AND($P857&lt;&gt;"",$P857&lt;&gt;"N/A",$P857&lt;&gt;"No Min RQ"),_xlpm.slp,AND($T857&lt;&gt;"",$T857&lt;&gt;"N/A",$T857&lt;&gt;"No Min RQ"),_xlpm.ffp,AND($X857&lt;&gt;"",$X857&lt;&gt;"N/A",$X857&lt;&gt;"No Min RQ"),_xlpm.chp,AND($AB857&lt;&gt;"",$AB857&lt;&gt;"N/A",$AB857&lt;&gt;"No Min RQ"),_xlpm.usp,AND($AF857&lt;&gt;"",$AF857&lt;&gt;"N/A",$AF857&lt;&gt;"No Min RQ"),_xlpm.n,_xlpm.sfp+_xlpm.slp+_xlpm.ffp+_xlpm.chp+_xlpm.usp,_xlpm.sub,(_xlpm.sfp*($P857="Submitted"))+(_xlpm.slp*($T857="Submitted"))+(_xlpm.ffp*($X857="Submitted"))+(_xlpm.chp*($AB857="Submitted"))+(_xlpm.usp*($AF857="Submitted")),_xlpm.term,(_xlpm.sfp*OR($P857="Approved",$P857="Declined"))+(_xlpm.slp*OR($T857="Approved",$T857="Declined"))+(_xlpm.ffp*OR($X857="Approved",$X857="Declined"))+(_xlpm.chp*OR($AB857="Approved",$AB857="Declined"))+(_xlpm.usp*OR($AF857="Approved",$AF857="Declined")),IF(_xlpm.n=0,"No applicable lenders",IF(_xlpm.sub&gt;0,"Stays with Shaw - lender still Submitted",IF(_xlpm.term=_xlpm.n,"Clear - all applicable lenders Approved or Declined","Stays with Shaw - not all lenders Approved or Declined")))))</f>
      </c>
    </row>
    <row r="858" spans="80:80">
      <c r="CB858" s="131">
        <f>IF($A858="","",_xlfn.LET(_xlpm.sfp,AND($P858&lt;&gt;"",$P858&lt;&gt;"N/A",$P858&lt;&gt;"No Min RQ"),_xlpm.slp,AND($T858&lt;&gt;"",$T858&lt;&gt;"N/A",$T858&lt;&gt;"No Min RQ"),_xlpm.ffp,AND($X858&lt;&gt;"",$X858&lt;&gt;"N/A",$X858&lt;&gt;"No Min RQ"),_xlpm.chp,AND($AB858&lt;&gt;"",$AB858&lt;&gt;"N/A",$AB858&lt;&gt;"No Min RQ"),_xlpm.usp,AND($AF858&lt;&gt;"",$AF858&lt;&gt;"N/A",$AF858&lt;&gt;"No Min RQ"),_xlpm.n,_xlpm.sfp+_xlpm.slp+_xlpm.ffp+_xlpm.chp+_xlpm.usp,_xlpm.sub,(_xlpm.sfp*($P858="Submitted"))+(_xlpm.slp*($T858="Submitted"))+(_xlpm.ffp*($X858="Submitted"))+(_xlpm.chp*($AB858="Submitted"))+(_xlpm.usp*($AF858="Submitted")),_xlpm.term,(_xlpm.sfp*OR($P858="Approved",$P858="Declined"))+(_xlpm.slp*OR($T858="Approved",$T858="Declined"))+(_xlpm.ffp*OR($X858="Approved",$X858="Declined"))+(_xlpm.chp*OR($AB858="Approved",$AB858="Declined"))+(_xlpm.usp*OR($AF858="Approved",$AF858="Declined")),IF(_xlpm.n=0,"No applicable lenders",IF(_xlpm.sub&gt;0,"Stays with Shaw - lender still Submitted",IF(_xlpm.term=_xlpm.n,"Clear - all applicable lenders Approved or Declined","Stays with Shaw - not all lenders Approved or Declined")))))</f>
      </c>
    </row>
    <row r="859" spans="80:80">
      <c r="CB859" s="131">
        <f>IF($A859="","",_xlfn.LET(_xlpm.sfp,AND($P859&lt;&gt;"",$P859&lt;&gt;"N/A",$P859&lt;&gt;"No Min RQ"),_xlpm.slp,AND($T859&lt;&gt;"",$T859&lt;&gt;"N/A",$T859&lt;&gt;"No Min RQ"),_xlpm.ffp,AND($X859&lt;&gt;"",$X859&lt;&gt;"N/A",$X859&lt;&gt;"No Min RQ"),_xlpm.chp,AND($AB859&lt;&gt;"",$AB859&lt;&gt;"N/A",$AB859&lt;&gt;"No Min RQ"),_xlpm.usp,AND($AF859&lt;&gt;"",$AF859&lt;&gt;"N/A",$AF859&lt;&gt;"No Min RQ"),_xlpm.n,_xlpm.sfp+_xlpm.slp+_xlpm.ffp+_xlpm.chp+_xlpm.usp,_xlpm.sub,(_xlpm.sfp*($P859="Submitted"))+(_xlpm.slp*($T859="Submitted"))+(_xlpm.ffp*($X859="Submitted"))+(_xlpm.chp*($AB859="Submitted"))+(_xlpm.usp*($AF859="Submitted")),_xlpm.term,(_xlpm.sfp*OR($P859="Approved",$P859="Declined"))+(_xlpm.slp*OR($T859="Approved",$T859="Declined"))+(_xlpm.ffp*OR($X859="Approved",$X859="Declined"))+(_xlpm.chp*OR($AB859="Approved",$AB859="Declined"))+(_xlpm.usp*OR($AF859="Approved",$AF859="Declined")),IF(_xlpm.n=0,"No applicable lenders",IF(_xlpm.sub&gt;0,"Stays with Shaw - lender still Submitted",IF(_xlpm.term=_xlpm.n,"Clear - all applicable lenders Approved or Declined","Stays with Shaw - not all lenders Approved or Declined")))))</f>
      </c>
    </row>
    <row r="860" spans="80:80">
      <c r="CB860" s="131">
        <f>IF($A860="","",_xlfn.LET(_xlpm.sfp,AND($P860&lt;&gt;"",$P860&lt;&gt;"N/A",$P860&lt;&gt;"No Min RQ"),_xlpm.slp,AND($T860&lt;&gt;"",$T860&lt;&gt;"N/A",$T860&lt;&gt;"No Min RQ"),_xlpm.ffp,AND($X860&lt;&gt;"",$X860&lt;&gt;"N/A",$X860&lt;&gt;"No Min RQ"),_xlpm.chp,AND($AB860&lt;&gt;"",$AB860&lt;&gt;"N/A",$AB860&lt;&gt;"No Min RQ"),_xlpm.usp,AND($AF860&lt;&gt;"",$AF860&lt;&gt;"N/A",$AF860&lt;&gt;"No Min RQ"),_xlpm.n,_xlpm.sfp+_xlpm.slp+_xlpm.ffp+_xlpm.chp+_xlpm.usp,_xlpm.sub,(_xlpm.sfp*($P860="Submitted"))+(_xlpm.slp*($T860="Submitted"))+(_xlpm.ffp*($X860="Submitted"))+(_xlpm.chp*($AB860="Submitted"))+(_xlpm.usp*($AF860="Submitted")),_xlpm.term,(_xlpm.sfp*OR($P860="Approved",$P860="Declined"))+(_xlpm.slp*OR($T860="Approved",$T860="Declined"))+(_xlpm.ffp*OR($X860="Approved",$X860="Declined"))+(_xlpm.chp*OR($AB860="Approved",$AB860="Declined"))+(_xlpm.usp*OR($AF860="Approved",$AF860="Declined")),IF(_xlpm.n=0,"No applicable lenders",IF(_xlpm.sub&gt;0,"Stays with Shaw - lender still Submitted",IF(_xlpm.term=_xlpm.n,"Clear - all applicable lenders Approved or Declined","Stays with Shaw - not all lenders Approved or Declined")))))</f>
      </c>
    </row>
    <row r="861" spans="80:80">
      <c r="CB861" s="131">
        <f>IF($A861="","",_xlfn.LET(_xlpm.sfp,AND($P861&lt;&gt;"",$P861&lt;&gt;"N/A",$P861&lt;&gt;"No Min RQ"),_xlpm.slp,AND($T861&lt;&gt;"",$T861&lt;&gt;"N/A",$T861&lt;&gt;"No Min RQ"),_xlpm.ffp,AND($X861&lt;&gt;"",$X861&lt;&gt;"N/A",$X861&lt;&gt;"No Min RQ"),_xlpm.chp,AND($AB861&lt;&gt;"",$AB861&lt;&gt;"N/A",$AB861&lt;&gt;"No Min RQ"),_xlpm.usp,AND($AF861&lt;&gt;"",$AF861&lt;&gt;"N/A",$AF861&lt;&gt;"No Min RQ"),_xlpm.n,_xlpm.sfp+_xlpm.slp+_xlpm.ffp+_xlpm.chp+_xlpm.usp,_xlpm.sub,(_xlpm.sfp*($P861="Submitted"))+(_xlpm.slp*($T861="Submitted"))+(_xlpm.ffp*($X861="Submitted"))+(_xlpm.chp*($AB861="Submitted"))+(_xlpm.usp*($AF861="Submitted")),_xlpm.term,(_xlpm.sfp*OR($P861="Approved",$P861="Declined"))+(_xlpm.slp*OR($T861="Approved",$T861="Declined"))+(_xlpm.ffp*OR($X861="Approved",$X861="Declined"))+(_xlpm.chp*OR($AB861="Approved",$AB861="Declined"))+(_xlpm.usp*OR($AF861="Approved",$AF861="Declined")),IF(_xlpm.n=0,"No applicable lenders",IF(_xlpm.sub&gt;0,"Stays with Shaw - lender still Submitted",IF(_xlpm.term=_xlpm.n,"Clear - all applicable lenders Approved or Declined","Stays with Shaw - not all lenders Approved or Declined")))))</f>
      </c>
    </row>
    <row r="862" spans="80:80">
      <c r="CB862" s="131">
        <f>IF($A862="","",_xlfn.LET(_xlpm.sfp,AND($P862&lt;&gt;"",$P862&lt;&gt;"N/A",$P862&lt;&gt;"No Min RQ"),_xlpm.slp,AND($T862&lt;&gt;"",$T862&lt;&gt;"N/A",$T862&lt;&gt;"No Min RQ"),_xlpm.ffp,AND($X862&lt;&gt;"",$X862&lt;&gt;"N/A",$X862&lt;&gt;"No Min RQ"),_xlpm.chp,AND($AB862&lt;&gt;"",$AB862&lt;&gt;"N/A",$AB862&lt;&gt;"No Min RQ"),_xlpm.usp,AND($AF862&lt;&gt;"",$AF862&lt;&gt;"N/A",$AF862&lt;&gt;"No Min RQ"),_xlpm.n,_xlpm.sfp+_xlpm.slp+_xlpm.ffp+_xlpm.chp+_xlpm.usp,_xlpm.sub,(_xlpm.sfp*($P862="Submitted"))+(_xlpm.slp*($T862="Submitted"))+(_xlpm.ffp*($X862="Submitted"))+(_xlpm.chp*($AB862="Submitted"))+(_xlpm.usp*($AF862="Submitted")),_xlpm.term,(_xlpm.sfp*OR($P862="Approved",$P862="Declined"))+(_xlpm.slp*OR($T862="Approved",$T862="Declined"))+(_xlpm.ffp*OR($X862="Approved",$X862="Declined"))+(_xlpm.chp*OR($AB862="Approved",$AB862="Declined"))+(_xlpm.usp*OR($AF862="Approved",$AF862="Declined")),IF(_xlpm.n=0,"No applicable lenders",IF(_xlpm.sub&gt;0,"Stays with Shaw - lender still Submitted",IF(_xlpm.term=_xlpm.n,"Clear - all applicable lenders Approved or Declined","Stays with Shaw - not all lenders Approved or Declined")))))</f>
      </c>
    </row>
    <row r="863" spans="80:80">
      <c r="CB863" s="131">
        <f>IF($A863="","",_xlfn.LET(_xlpm.sfp,AND($P863&lt;&gt;"",$P863&lt;&gt;"N/A",$P863&lt;&gt;"No Min RQ"),_xlpm.slp,AND($T863&lt;&gt;"",$T863&lt;&gt;"N/A",$T863&lt;&gt;"No Min RQ"),_xlpm.ffp,AND($X863&lt;&gt;"",$X863&lt;&gt;"N/A",$X863&lt;&gt;"No Min RQ"),_xlpm.chp,AND($AB863&lt;&gt;"",$AB863&lt;&gt;"N/A",$AB863&lt;&gt;"No Min RQ"),_xlpm.usp,AND($AF863&lt;&gt;"",$AF863&lt;&gt;"N/A",$AF863&lt;&gt;"No Min RQ"),_xlpm.n,_xlpm.sfp+_xlpm.slp+_xlpm.ffp+_xlpm.chp+_xlpm.usp,_xlpm.sub,(_xlpm.sfp*($P863="Submitted"))+(_xlpm.slp*($T863="Submitted"))+(_xlpm.ffp*($X863="Submitted"))+(_xlpm.chp*($AB863="Submitted"))+(_xlpm.usp*($AF863="Submitted")),_xlpm.term,(_xlpm.sfp*OR($P863="Approved",$P863="Declined"))+(_xlpm.slp*OR($T863="Approved",$T863="Declined"))+(_xlpm.ffp*OR($X863="Approved",$X863="Declined"))+(_xlpm.chp*OR($AB863="Approved",$AB863="Declined"))+(_xlpm.usp*OR($AF863="Approved",$AF863="Declined")),IF(_xlpm.n=0,"No applicable lenders",IF(_xlpm.sub&gt;0,"Stays with Shaw - lender still Submitted",IF(_xlpm.term=_xlpm.n,"Clear - all applicable lenders Approved or Declined","Stays with Shaw - not all lenders Approved or Declined")))))</f>
      </c>
    </row>
    <row r="864" spans="80:80">
      <c r="CB864" s="131">
        <f>IF($A864="","",_xlfn.LET(_xlpm.sfp,AND($P864&lt;&gt;"",$P864&lt;&gt;"N/A",$P864&lt;&gt;"No Min RQ"),_xlpm.slp,AND($T864&lt;&gt;"",$T864&lt;&gt;"N/A",$T864&lt;&gt;"No Min RQ"),_xlpm.ffp,AND($X864&lt;&gt;"",$X864&lt;&gt;"N/A",$X864&lt;&gt;"No Min RQ"),_xlpm.chp,AND($AB864&lt;&gt;"",$AB864&lt;&gt;"N/A",$AB864&lt;&gt;"No Min RQ"),_xlpm.usp,AND($AF864&lt;&gt;"",$AF864&lt;&gt;"N/A",$AF864&lt;&gt;"No Min RQ"),_xlpm.n,_xlpm.sfp+_xlpm.slp+_xlpm.ffp+_xlpm.chp+_xlpm.usp,_xlpm.sub,(_xlpm.sfp*($P864="Submitted"))+(_xlpm.slp*($T864="Submitted"))+(_xlpm.ffp*($X864="Submitted"))+(_xlpm.chp*($AB864="Submitted"))+(_xlpm.usp*($AF864="Submitted")),_xlpm.term,(_xlpm.sfp*OR($P864="Approved",$P864="Declined"))+(_xlpm.slp*OR($T864="Approved",$T864="Declined"))+(_xlpm.ffp*OR($X864="Approved",$X864="Declined"))+(_xlpm.chp*OR($AB864="Approved",$AB864="Declined"))+(_xlpm.usp*OR($AF864="Approved",$AF864="Declined")),IF(_xlpm.n=0,"No applicable lenders",IF(_xlpm.sub&gt;0,"Stays with Shaw - lender still Submitted",IF(_xlpm.term=_xlpm.n,"Clear - all applicable lenders Approved or Declined","Stays with Shaw - not all lenders Approved or Declined")))))</f>
      </c>
    </row>
    <row r="865" spans="80:80">
      <c r="CB865" s="131">
        <f>IF($A865="","",_xlfn.LET(_xlpm.sfp,AND($P865&lt;&gt;"",$P865&lt;&gt;"N/A",$P865&lt;&gt;"No Min RQ"),_xlpm.slp,AND($T865&lt;&gt;"",$T865&lt;&gt;"N/A",$T865&lt;&gt;"No Min RQ"),_xlpm.ffp,AND($X865&lt;&gt;"",$X865&lt;&gt;"N/A",$X865&lt;&gt;"No Min RQ"),_xlpm.chp,AND($AB865&lt;&gt;"",$AB865&lt;&gt;"N/A",$AB865&lt;&gt;"No Min RQ"),_xlpm.usp,AND($AF865&lt;&gt;"",$AF865&lt;&gt;"N/A",$AF865&lt;&gt;"No Min RQ"),_xlpm.n,_xlpm.sfp+_xlpm.slp+_xlpm.ffp+_xlpm.chp+_xlpm.usp,_xlpm.sub,(_xlpm.sfp*($P865="Submitted"))+(_xlpm.slp*($T865="Submitted"))+(_xlpm.ffp*($X865="Submitted"))+(_xlpm.chp*($AB865="Submitted"))+(_xlpm.usp*($AF865="Submitted")),_xlpm.term,(_xlpm.sfp*OR($P865="Approved",$P865="Declined"))+(_xlpm.slp*OR($T865="Approved",$T865="Declined"))+(_xlpm.ffp*OR($X865="Approved",$X865="Declined"))+(_xlpm.chp*OR($AB865="Approved",$AB865="Declined"))+(_xlpm.usp*OR($AF865="Approved",$AF865="Declined")),IF(_xlpm.n=0,"No applicable lenders",IF(_xlpm.sub&gt;0,"Stays with Shaw - lender still Submitted",IF(_xlpm.term=_xlpm.n,"Clear - all applicable lenders Approved or Declined","Stays with Shaw - not all lenders Approved or Declined")))))</f>
      </c>
    </row>
    <row r="866" spans="80:80">
      <c r="CB866" s="131">
        <f>IF($A866="","",_xlfn.LET(_xlpm.sfp,AND($P866&lt;&gt;"",$P866&lt;&gt;"N/A",$P866&lt;&gt;"No Min RQ"),_xlpm.slp,AND($T866&lt;&gt;"",$T866&lt;&gt;"N/A",$T866&lt;&gt;"No Min RQ"),_xlpm.ffp,AND($X866&lt;&gt;"",$X866&lt;&gt;"N/A",$X866&lt;&gt;"No Min RQ"),_xlpm.chp,AND($AB866&lt;&gt;"",$AB866&lt;&gt;"N/A",$AB866&lt;&gt;"No Min RQ"),_xlpm.usp,AND($AF866&lt;&gt;"",$AF866&lt;&gt;"N/A",$AF866&lt;&gt;"No Min RQ"),_xlpm.n,_xlpm.sfp+_xlpm.slp+_xlpm.ffp+_xlpm.chp+_xlpm.usp,_xlpm.sub,(_xlpm.sfp*($P866="Submitted"))+(_xlpm.slp*($T866="Submitted"))+(_xlpm.ffp*($X866="Submitted"))+(_xlpm.chp*($AB866="Submitted"))+(_xlpm.usp*($AF866="Submitted")),_xlpm.term,(_xlpm.sfp*OR($P866="Approved",$P866="Declined"))+(_xlpm.slp*OR($T866="Approved",$T866="Declined"))+(_xlpm.ffp*OR($X866="Approved",$X866="Declined"))+(_xlpm.chp*OR($AB866="Approved",$AB866="Declined"))+(_xlpm.usp*OR($AF866="Approved",$AF866="Declined")),IF(_xlpm.n=0,"No applicable lenders",IF(_xlpm.sub&gt;0,"Stays with Shaw - lender still Submitted",IF(_xlpm.term=_xlpm.n,"Clear - all applicable lenders Approved or Declined","Stays with Shaw - not all lenders Approved or Declined")))))</f>
      </c>
    </row>
    <row r="867" spans="80:80">
      <c r="CB867" s="131">
        <f>IF($A867="","",_xlfn.LET(_xlpm.sfp,AND($P867&lt;&gt;"",$P867&lt;&gt;"N/A",$P867&lt;&gt;"No Min RQ"),_xlpm.slp,AND($T867&lt;&gt;"",$T867&lt;&gt;"N/A",$T867&lt;&gt;"No Min RQ"),_xlpm.ffp,AND($X867&lt;&gt;"",$X867&lt;&gt;"N/A",$X867&lt;&gt;"No Min RQ"),_xlpm.chp,AND($AB867&lt;&gt;"",$AB867&lt;&gt;"N/A",$AB867&lt;&gt;"No Min RQ"),_xlpm.usp,AND($AF867&lt;&gt;"",$AF867&lt;&gt;"N/A",$AF867&lt;&gt;"No Min RQ"),_xlpm.n,_xlpm.sfp+_xlpm.slp+_xlpm.ffp+_xlpm.chp+_xlpm.usp,_xlpm.sub,(_xlpm.sfp*($P867="Submitted"))+(_xlpm.slp*($T867="Submitted"))+(_xlpm.ffp*($X867="Submitted"))+(_xlpm.chp*($AB867="Submitted"))+(_xlpm.usp*($AF867="Submitted")),_xlpm.term,(_xlpm.sfp*OR($P867="Approved",$P867="Declined"))+(_xlpm.slp*OR($T867="Approved",$T867="Declined"))+(_xlpm.ffp*OR($X867="Approved",$X867="Declined"))+(_xlpm.chp*OR($AB867="Approved",$AB867="Declined"))+(_xlpm.usp*OR($AF867="Approved",$AF867="Declined")),IF(_xlpm.n=0,"No applicable lenders",IF(_xlpm.sub&gt;0,"Stays with Shaw - lender still Submitted",IF(_xlpm.term=_xlpm.n,"Clear - all applicable lenders Approved or Declined","Stays with Shaw - not all lenders Approved or Declined")))))</f>
      </c>
    </row>
    <row r="868" spans="80:80">
      <c r="CB868" s="131">
        <f>IF($A868="","",_xlfn.LET(_xlpm.sfp,AND($P868&lt;&gt;"",$P868&lt;&gt;"N/A",$P868&lt;&gt;"No Min RQ"),_xlpm.slp,AND($T868&lt;&gt;"",$T868&lt;&gt;"N/A",$T868&lt;&gt;"No Min RQ"),_xlpm.ffp,AND($X868&lt;&gt;"",$X868&lt;&gt;"N/A",$X868&lt;&gt;"No Min RQ"),_xlpm.chp,AND($AB868&lt;&gt;"",$AB868&lt;&gt;"N/A",$AB868&lt;&gt;"No Min RQ"),_xlpm.usp,AND($AF868&lt;&gt;"",$AF868&lt;&gt;"N/A",$AF868&lt;&gt;"No Min RQ"),_xlpm.n,_xlpm.sfp+_xlpm.slp+_xlpm.ffp+_xlpm.chp+_xlpm.usp,_xlpm.sub,(_xlpm.sfp*($P868="Submitted"))+(_xlpm.slp*($T868="Submitted"))+(_xlpm.ffp*($X868="Submitted"))+(_xlpm.chp*($AB868="Submitted"))+(_xlpm.usp*($AF868="Submitted")),_xlpm.term,(_xlpm.sfp*OR($P868="Approved",$P868="Declined"))+(_xlpm.slp*OR($T868="Approved",$T868="Declined"))+(_xlpm.ffp*OR($X868="Approved",$X868="Declined"))+(_xlpm.chp*OR($AB868="Approved",$AB868="Declined"))+(_xlpm.usp*OR($AF868="Approved",$AF868="Declined")),IF(_xlpm.n=0,"No applicable lenders",IF(_xlpm.sub&gt;0,"Stays with Shaw - lender still Submitted",IF(_xlpm.term=_xlpm.n,"Clear - all applicable lenders Approved or Declined","Stays with Shaw - not all lenders Approved or Declined")))))</f>
      </c>
    </row>
    <row r="869" spans="80:80">
      <c r="CB869" s="131">
        <f>IF($A869="","",_xlfn.LET(_xlpm.sfp,AND($P869&lt;&gt;"",$P869&lt;&gt;"N/A",$P869&lt;&gt;"No Min RQ"),_xlpm.slp,AND($T869&lt;&gt;"",$T869&lt;&gt;"N/A",$T869&lt;&gt;"No Min RQ"),_xlpm.ffp,AND($X869&lt;&gt;"",$X869&lt;&gt;"N/A",$X869&lt;&gt;"No Min RQ"),_xlpm.chp,AND($AB869&lt;&gt;"",$AB869&lt;&gt;"N/A",$AB869&lt;&gt;"No Min RQ"),_xlpm.usp,AND($AF869&lt;&gt;"",$AF869&lt;&gt;"N/A",$AF869&lt;&gt;"No Min RQ"),_xlpm.n,_xlpm.sfp+_xlpm.slp+_xlpm.ffp+_xlpm.chp+_xlpm.usp,_xlpm.sub,(_xlpm.sfp*($P869="Submitted"))+(_xlpm.slp*($T869="Submitted"))+(_xlpm.ffp*($X869="Submitted"))+(_xlpm.chp*($AB869="Submitted"))+(_xlpm.usp*($AF869="Submitted")),_xlpm.term,(_xlpm.sfp*OR($P869="Approved",$P869="Declined"))+(_xlpm.slp*OR($T869="Approved",$T869="Declined"))+(_xlpm.ffp*OR($X869="Approved",$X869="Declined"))+(_xlpm.chp*OR($AB869="Approved",$AB869="Declined"))+(_xlpm.usp*OR($AF869="Approved",$AF869="Declined")),IF(_xlpm.n=0,"No applicable lenders",IF(_xlpm.sub&gt;0,"Stays with Shaw - lender still Submitted",IF(_xlpm.term=_xlpm.n,"Clear - all applicable lenders Approved or Declined","Stays with Shaw - not all lenders Approved or Declined")))))</f>
      </c>
    </row>
    <row r="870" spans="80:80">
      <c r="CB870" s="131">
        <f>IF($A870="","",_xlfn.LET(_xlpm.sfp,AND($P870&lt;&gt;"",$P870&lt;&gt;"N/A",$P870&lt;&gt;"No Min RQ"),_xlpm.slp,AND($T870&lt;&gt;"",$T870&lt;&gt;"N/A",$T870&lt;&gt;"No Min RQ"),_xlpm.ffp,AND($X870&lt;&gt;"",$X870&lt;&gt;"N/A",$X870&lt;&gt;"No Min RQ"),_xlpm.chp,AND($AB870&lt;&gt;"",$AB870&lt;&gt;"N/A",$AB870&lt;&gt;"No Min RQ"),_xlpm.usp,AND($AF870&lt;&gt;"",$AF870&lt;&gt;"N/A",$AF870&lt;&gt;"No Min RQ"),_xlpm.n,_xlpm.sfp+_xlpm.slp+_xlpm.ffp+_xlpm.chp+_xlpm.usp,_xlpm.sub,(_xlpm.sfp*($P870="Submitted"))+(_xlpm.slp*($T870="Submitted"))+(_xlpm.ffp*($X870="Submitted"))+(_xlpm.chp*($AB870="Submitted"))+(_xlpm.usp*($AF870="Submitted")),_xlpm.term,(_xlpm.sfp*OR($P870="Approved",$P870="Declined"))+(_xlpm.slp*OR($T870="Approved",$T870="Declined"))+(_xlpm.ffp*OR($X870="Approved",$X870="Declined"))+(_xlpm.chp*OR($AB870="Approved",$AB870="Declined"))+(_xlpm.usp*OR($AF870="Approved",$AF870="Declined")),IF(_xlpm.n=0,"No applicable lenders",IF(_xlpm.sub&gt;0,"Stays with Shaw - lender still Submitted",IF(_xlpm.term=_xlpm.n,"Clear - all applicable lenders Approved or Declined","Stays with Shaw - not all lenders Approved or Declined")))))</f>
      </c>
    </row>
    <row r="871" spans="80:80">
      <c r="CB871" s="131">
        <f>IF($A871="","",_xlfn.LET(_xlpm.sfp,AND($P871&lt;&gt;"",$P871&lt;&gt;"N/A",$P871&lt;&gt;"No Min RQ"),_xlpm.slp,AND($T871&lt;&gt;"",$T871&lt;&gt;"N/A",$T871&lt;&gt;"No Min RQ"),_xlpm.ffp,AND($X871&lt;&gt;"",$X871&lt;&gt;"N/A",$X871&lt;&gt;"No Min RQ"),_xlpm.chp,AND($AB871&lt;&gt;"",$AB871&lt;&gt;"N/A",$AB871&lt;&gt;"No Min RQ"),_xlpm.usp,AND($AF871&lt;&gt;"",$AF871&lt;&gt;"N/A",$AF871&lt;&gt;"No Min RQ"),_xlpm.n,_xlpm.sfp+_xlpm.slp+_xlpm.ffp+_xlpm.chp+_xlpm.usp,_xlpm.sub,(_xlpm.sfp*($P871="Submitted"))+(_xlpm.slp*($T871="Submitted"))+(_xlpm.ffp*($X871="Submitted"))+(_xlpm.chp*($AB871="Submitted"))+(_xlpm.usp*($AF871="Submitted")),_xlpm.term,(_xlpm.sfp*OR($P871="Approved",$P871="Declined"))+(_xlpm.slp*OR($T871="Approved",$T871="Declined"))+(_xlpm.ffp*OR($X871="Approved",$X871="Declined"))+(_xlpm.chp*OR($AB871="Approved",$AB871="Declined"))+(_xlpm.usp*OR($AF871="Approved",$AF871="Declined")),IF(_xlpm.n=0,"No applicable lenders",IF(_xlpm.sub&gt;0,"Stays with Shaw - lender still Submitted",IF(_xlpm.term=_xlpm.n,"Clear - all applicable lenders Approved or Declined","Stays with Shaw - not all lenders Approved or Declined")))))</f>
      </c>
    </row>
    <row r="872" spans="80:80">
      <c r="CB872" s="131">
        <f>IF($A872="","",_xlfn.LET(_xlpm.sfp,AND($P872&lt;&gt;"",$P872&lt;&gt;"N/A",$P872&lt;&gt;"No Min RQ"),_xlpm.slp,AND($T872&lt;&gt;"",$T872&lt;&gt;"N/A",$T872&lt;&gt;"No Min RQ"),_xlpm.ffp,AND($X872&lt;&gt;"",$X872&lt;&gt;"N/A",$X872&lt;&gt;"No Min RQ"),_xlpm.chp,AND($AB872&lt;&gt;"",$AB872&lt;&gt;"N/A",$AB872&lt;&gt;"No Min RQ"),_xlpm.usp,AND($AF872&lt;&gt;"",$AF872&lt;&gt;"N/A",$AF872&lt;&gt;"No Min RQ"),_xlpm.n,_xlpm.sfp+_xlpm.slp+_xlpm.ffp+_xlpm.chp+_xlpm.usp,_xlpm.sub,(_xlpm.sfp*($P872="Submitted"))+(_xlpm.slp*($T872="Submitted"))+(_xlpm.ffp*($X872="Submitted"))+(_xlpm.chp*($AB872="Submitted"))+(_xlpm.usp*($AF872="Submitted")),_xlpm.term,(_xlpm.sfp*OR($P872="Approved",$P872="Declined"))+(_xlpm.slp*OR($T872="Approved",$T872="Declined"))+(_xlpm.ffp*OR($X872="Approved",$X872="Declined"))+(_xlpm.chp*OR($AB872="Approved",$AB872="Declined"))+(_xlpm.usp*OR($AF872="Approved",$AF872="Declined")),IF(_xlpm.n=0,"No applicable lenders",IF(_xlpm.sub&gt;0,"Stays with Shaw - lender still Submitted",IF(_xlpm.term=_xlpm.n,"Clear - all applicable lenders Approved or Declined","Stays with Shaw - not all lenders Approved or Declined")))))</f>
      </c>
    </row>
    <row r="873" spans="80:80">
      <c r="CB873" s="131">
        <f>IF($A873="","",_xlfn.LET(_xlpm.sfp,AND($P873&lt;&gt;"",$P873&lt;&gt;"N/A",$P873&lt;&gt;"No Min RQ"),_xlpm.slp,AND($T873&lt;&gt;"",$T873&lt;&gt;"N/A",$T873&lt;&gt;"No Min RQ"),_xlpm.ffp,AND($X873&lt;&gt;"",$X873&lt;&gt;"N/A",$X873&lt;&gt;"No Min RQ"),_xlpm.chp,AND($AB873&lt;&gt;"",$AB873&lt;&gt;"N/A",$AB873&lt;&gt;"No Min RQ"),_xlpm.usp,AND($AF873&lt;&gt;"",$AF873&lt;&gt;"N/A",$AF873&lt;&gt;"No Min RQ"),_xlpm.n,_xlpm.sfp+_xlpm.slp+_xlpm.ffp+_xlpm.chp+_xlpm.usp,_xlpm.sub,(_xlpm.sfp*($P873="Submitted"))+(_xlpm.slp*($T873="Submitted"))+(_xlpm.ffp*($X873="Submitted"))+(_xlpm.chp*($AB873="Submitted"))+(_xlpm.usp*($AF873="Submitted")),_xlpm.term,(_xlpm.sfp*OR($P873="Approved",$P873="Declined"))+(_xlpm.slp*OR($T873="Approved",$T873="Declined"))+(_xlpm.ffp*OR($X873="Approved",$X873="Declined"))+(_xlpm.chp*OR($AB873="Approved",$AB873="Declined"))+(_xlpm.usp*OR($AF873="Approved",$AF873="Declined")),IF(_xlpm.n=0,"No applicable lenders",IF(_xlpm.sub&gt;0,"Stays with Shaw - lender still Submitted",IF(_xlpm.term=_xlpm.n,"Clear - all applicable lenders Approved or Declined","Stays with Shaw - not all lenders Approved or Declined")))))</f>
      </c>
    </row>
    <row r="874" spans="80:80">
      <c r="CB874" s="131">
        <f>IF($A874="","",_xlfn.LET(_xlpm.sfp,AND($P874&lt;&gt;"",$P874&lt;&gt;"N/A",$P874&lt;&gt;"No Min RQ"),_xlpm.slp,AND($T874&lt;&gt;"",$T874&lt;&gt;"N/A",$T874&lt;&gt;"No Min RQ"),_xlpm.ffp,AND($X874&lt;&gt;"",$X874&lt;&gt;"N/A",$X874&lt;&gt;"No Min RQ"),_xlpm.chp,AND($AB874&lt;&gt;"",$AB874&lt;&gt;"N/A",$AB874&lt;&gt;"No Min RQ"),_xlpm.usp,AND($AF874&lt;&gt;"",$AF874&lt;&gt;"N/A",$AF874&lt;&gt;"No Min RQ"),_xlpm.n,_xlpm.sfp+_xlpm.slp+_xlpm.ffp+_xlpm.chp+_xlpm.usp,_xlpm.sub,(_xlpm.sfp*($P874="Submitted"))+(_xlpm.slp*($T874="Submitted"))+(_xlpm.ffp*($X874="Submitted"))+(_xlpm.chp*($AB874="Submitted"))+(_xlpm.usp*($AF874="Submitted")),_xlpm.term,(_xlpm.sfp*OR($P874="Approved",$P874="Declined"))+(_xlpm.slp*OR($T874="Approved",$T874="Declined"))+(_xlpm.ffp*OR($X874="Approved",$X874="Declined"))+(_xlpm.chp*OR($AB874="Approved",$AB874="Declined"))+(_xlpm.usp*OR($AF874="Approved",$AF874="Declined")),IF(_xlpm.n=0,"No applicable lenders",IF(_xlpm.sub&gt;0,"Stays with Shaw - lender still Submitted",IF(_xlpm.term=_xlpm.n,"Clear - all applicable lenders Approved or Declined","Stays with Shaw - not all lenders Approved or Declined")))))</f>
      </c>
    </row>
    <row r="875" spans="80:80">
      <c r="CB875" s="131">
        <f>IF($A875="","",_xlfn.LET(_xlpm.sfp,AND($P875&lt;&gt;"",$P875&lt;&gt;"N/A",$P875&lt;&gt;"No Min RQ"),_xlpm.slp,AND($T875&lt;&gt;"",$T875&lt;&gt;"N/A",$T875&lt;&gt;"No Min RQ"),_xlpm.ffp,AND($X875&lt;&gt;"",$X875&lt;&gt;"N/A",$X875&lt;&gt;"No Min RQ"),_xlpm.chp,AND($AB875&lt;&gt;"",$AB875&lt;&gt;"N/A",$AB875&lt;&gt;"No Min RQ"),_xlpm.usp,AND($AF875&lt;&gt;"",$AF875&lt;&gt;"N/A",$AF875&lt;&gt;"No Min RQ"),_xlpm.n,_xlpm.sfp+_xlpm.slp+_xlpm.ffp+_xlpm.chp+_xlpm.usp,_xlpm.sub,(_xlpm.sfp*($P875="Submitted"))+(_xlpm.slp*($T875="Submitted"))+(_xlpm.ffp*($X875="Submitted"))+(_xlpm.chp*($AB875="Submitted"))+(_xlpm.usp*($AF875="Submitted")),_xlpm.term,(_xlpm.sfp*OR($P875="Approved",$P875="Declined"))+(_xlpm.slp*OR($T875="Approved",$T875="Declined"))+(_xlpm.ffp*OR($X875="Approved",$X875="Declined"))+(_xlpm.chp*OR($AB875="Approved",$AB875="Declined"))+(_xlpm.usp*OR($AF875="Approved",$AF875="Declined")),IF(_xlpm.n=0,"No applicable lenders",IF(_xlpm.sub&gt;0,"Stays with Shaw - lender still Submitted",IF(_xlpm.term=_xlpm.n,"Clear - all applicable lenders Approved or Declined","Stays with Shaw - not all lenders Approved or Declined")))))</f>
      </c>
    </row>
    <row r="876" spans="80:80">
      <c r="CB876" s="131">
        <f>IF($A876="","",_xlfn.LET(_xlpm.sfp,AND($P876&lt;&gt;"",$P876&lt;&gt;"N/A",$P876&lt;&gt;"No Min RQ"),_xlpm.slp,AND($T876&lt;&gt;"",$T876&lt;&gt;"N/A",$T876&lt;&gt;"No Min RQ"),_xlpm.ffp,AND($X876&lt;&gt;"",$X876&lt;&gt;"N/A",$X876&lt;&gt;"No Min RQ"),_xlpm.chp,AND($AB876&lt;&gt;"",$AB876&lt;&gt;"N/A",$AB876&lt;&gt;"No Min RQ"),_xlpm.usp,AND($AF876&lt;&gt;"",$AF876&lt;&gt;"N/A",$AF876&lt;&gt;"No Min RQ"),_xlpm.n,_xlpm.sfp+_xlpm.slp+_xlpm.ffp+_xlpm.chp+_xlpm.usp,_xlpm.sub,(_xlpm.sfp*($P876="Submitted"))+(_xlpm.slp*($T876="Submitted"))+(_xlpm.ffp*($X876="Submitted"))+(_xlpm.chp*($AB876="Submitted"))+(_xlpm.usp*($AF876="Submitted")),_xlpm.term,(_xlpm.sfp*OR($P876="Approved",$P876="Declined"))+(_xlpm.slp*OR($T876="Approved",$T876="Declined"))+(_xlpm.ffp*OR($X876="Approved",$X876="Declined"))+(_xlpm.chp*OR($AB876="Approved",$AB876="Declined"))+(_xlpm.usp*OR($AF876="Approved",$AF876="Declined")),IF(_xlpm.n=0,"No applicable lenders",IF(_xlpm.sub&gt;0,"Stays with Shaw - lender still Submitted",IF(_xlpm.term=_xlpm.n,"Clear - all applicable lenders Approved or Declined","Stays with Shaw - not all lenders Approved or Declined")))))</f>
      </c>
    </row>
    <row r="877" spans="80:80">
      <c r="CB877" s="131">
        <f>IF($A877="","",_xlfn.LET(_xlpm.sfp,AND($P877&lt;&gt;"",$P877&lt;&gt;"N/A",$P877&lt;&gt;"No Min RQ"),_xlpm.slp,AND($T877&lt;&gt;"",$T877&lt;&gt;"N/A",$T877&lt;&gt;"No Min RQ"),_xlpm.ffp,AND($X877&lt;&gt;"",$X877&lt;&gt;"N/A",$X877&lt;&gt;"No Min RQ"),_xlpm.chp,AND($AB877&lt;&gt;"",$AB877&lt;&gt;"N/A",$AB877&lt;&gt;"No Min RQ"),_xlpm.usp,AND($AF877&lt;&gt;"",$AF877&lt;&gt;"N/A",$AF877&lt;&gt;"No Min RQ"),_xlpm.n,_xlpm.sfp+_xlpm.slp+_xlpm.ffp+_xlpm.chp+_xlpm.usp,_xlpm.sub,(_xlpm.sfp*($P877="Submitted"))+(_xlpm.slp*($T877="Submitted"))+(_xlpm.ffp*($X877="Submitted"))+(_xlpm.chp*($AB877="Submitted"))+(_xlpm.usp*($AF877="Submitted")),_xlpm.term,(_xlpm.sfp*OR($P877="Approved",$P877="Declined"))+(_xlpm.slp*OR($T877="Approved",$T877="Declined"))+(_xlpm.ffp*OR($X877="Approved",$X877="Declined"))+(_xlpm.chp*OR($AB877="Approved",$AB877="Declined"))+(_xlpm.usp*OR($AF877="Approved",$AF877="Declined")),IF(_xlpm.n=0,"No applicable lenders",IF(_xlpm.sub&gt;0,"Stays with Shaw - lender still Submitted",IF(_xlpm.term=_xlpm.n,"Clear - all applicable lenders Approved or Declined","Stays with Shaw - not all lenders Approved or Declined")))))</f>
      </c>
    </row>
    <row r="878" spans="80:80">
      <c r="CB878" s="131">
        <f>IF($A878="","",_xlfn.LET(_xlpm.sfp,AND($P878&lt;&gt;"",$P878&lt;&gt;"N/A",$P878&lt;&gt;"No Min RQ"),_xlpm.slp,AND($T878&lt;&gt;"",$T878&lt;&gt;"N/A",$T878&lt;&gt;"No Min RQ"),_xlpm.ffp,AND($X878&lt;&gt;"",$X878&lt;&gt;"N/A",$X878&lt;&gt;"No Min RQ"),_xlpm.chp,AND($AB878&lt;&gt;"",$AB878&lt;&gt;"N/A",$AB878&lt;&gt;"No Min RQ"),_xlpm.usp,AND($AF878&lt;&gt;"",$AF878&lt;&gt;"N/A",$AF878&lt;&gt;"No Min RQ"),_xlpm.n,_xlpm.sfp+_xlpm.slp+_xlpm.ffp+_xlpm.chp+_xlpm.usp,_xlpm.sub,(_xlpm.sfp*($P878="Submitted"))+(_xlpm.slp*($T878="Submitted"))+(_xlpm.ffp*($X878="Submitted"))+(_xlpm.chp*($AB878="Submitted"))+(_xlpm.usp*($AF878="Submitted")),_xlpm.term,(_xlpm.sfp*OR($P878="Approved",$P878="Declined"))+(_xlpm.slp*OR($T878="Approved",$T878="Declined"))+(_xlpm.ffp*OR($X878="Approved",$X878="Declined"))+(_xlpm.chp*OR($AB878="Approved",$AB878="Declined"))+(_xlpm.usp*OR($AF878="Approved",$AF878="Declined")),IF(_xlpm.n=0,"No applicable lenders",IF(_xlpm.sub&gt;0,"Stays with Shaw - lender still Submitted",IF(_xlpm.term=_xlpm.n,"Clear - all applicable lenders Approved or Declined","Stays with Shaw - not all lenders Approved or Declined")))))</f>
      </c>
    </row>
    <row r="879" spans="80:80">
      <c r="CB879" s="131">
        <f>IF($A879="","",_xlfn.LET(_xlpm.sfp,AND($P879&lt;&gt;"",$P879&lt;&gt;"N/A",$P879&lt;&gt;"No Min RQ"),_xlpm.slp,AND($T879&lt;&gt;"",$T879&lt;&gt;"N/A",$T879&lt;&gt;"No Min RQ"),_xlpm.ffp,AND($X879&lt;&gt;"",$X879&lt;&gt;"N/A",$X879&lt;&gt;"No Min RQ"),_xlpm.chp,AND($AB879&lt;&gt;"",$AB879&lt;&gt;"N/A",$AB879&lt;&gt;"No Min RQ"),_xlpm.usp,AND($AF879&lt;&gt;"",$AF879&lt;&gt;"N/A",$AF879&lt;&gt;"No Min RQ"),_xlpm.n,_xlpm.sfp+_xlpm.slp+_xlpm.ffp+_xlpm.chp+_xlpm.usp,_xlpm.sub,(_xlpm.sfp*($P879="Submitted"))+(_xlpm.slp*($T879="Submitted"))+(_xlpm.ffp*($X879="Submitted"))+(_xlpm.chp*($AB879="Submitted"))+(_xlpm.usp*($AF879="Submitted")),_xlpm.term,(_xlpm.sfp*OR($P879="Approved",$P879="Declined"))+(_xlpm.slp*OR($T879="Approved",$T879="Declined"))+(_xlpm.ffp*OR($X879="Approved",$X879="Declined"))+(_xlpm.chp*OR($AB879="Approved",$AB879="Declined"))+(_xlpm.usp*OR($AF879="Approved",$AF879="Declined")),IF(_xlpm.n=0,"No applicable lenders",IF(_xlpm.sub&gt;0,"Stays with Shaw - lender still Submitted",IF(_xlpm.term=_xlpm.n,"Clear - all applicable lenders Approved or Declined","Stays with Shaw - not all lenders Approved or Declined")))))</f>
      </c>
    </row>
    <row r="880" spans="80:80">
      <c r="CB880" s="131">
        <f>IF($A880="","",_xlfn.LET(_xlpm.sfp,AND($P880&lt;&gt;"",$P880&lt;&gt;"N/A",$P880&lt;&gt;"No Min RQ"),_xlpm.slp,AND($T880&lt;&gt;"",$T880&lt;&gt;"N/A",$T880&lt;&gt;"No Min RQ"),_xlpm.ffp,AND($X880&lt;&gt;"",$X880&lt;&gt;"N/A",$X880&lt;&gt;"No Min RQ"),_xlpm.chp,AND($AB880&lt;&gt;"",$AB880&lt;&gt;"N/A",$AB880&lt;&gt;"No Min RQ"),_xlpm.usp,AND($AF880&lt;&gt;"",$AF880&lt;&gt;"N/A",$AF880&lt;&gt;"No Min RQ"),_xlpm.n,_xlpm.sfp+_xlpm.slp+_xlpm.ffp+_xlpm.chp+_xlpm.usp,_xlpm.sub,(_xlpm.sfp*($P880="Submitted"))+(_xlpm.slp*($T880="Submitted"))+(_xlpm.ffp*($X880="Submitted"))+(_xlpm.chp*($AB880="Submitted"))+(_xlpm.usp*($AF880="Submitted")),_xlpm.term,(_xlpm.sfp*OR($P880="Approved",$P880="Declined"))+(_xlpm.slp*OR($T880="Approved",$T880="Declined"))+(_xlpm.ffp*OR($X880="Approved",$X880="Declined"))+(_xlpm.chp*OR($AB880="Approved",$AB880="Declined"))+(_xlpm.usp*OR($AF880="Approved",$AF880="Declined")),IF(_xlpm.n=0,"No applicable lenders",IF(_xlpm.sub&gt;0,"Stays with Shaw - lender still Submitted",IF(_xlpm.term=_xlpm.n,"Clear - all applicable lenders Approved or Declined","Stays with Shaw - not all lenders Approved or Declined")))))</f>
      </c>
    </row>
    <row r="881" spans="80:80">
      <c r="CB881" s="131">
        <f>IF($A881="","",_xlfn.LET(_xlpm.sfp,AND($P881&lt;&gt;"",$P881&lt;&gt;"N/A",$P881&lt;&gt;"No Min RQ"),_xlpm.slp,AND($T881&lt;&gt;"",$T881&lt;&gt;"N/A",$T881&lt;&gt;"No Min RQ"),_xlpm.ffp,AND($X881&lt;&gt;"",$X881&lt;&gt;"N/A",$X881&lt;&gt;"No Min RQ"),_xlpm.chp,AND($AB881&lt;&gt;"",$AB881&lt;&gt;"N/A",$AB881&lt;&gt;"No Min RQ"),_xlpm.usp,AND($AF881&lt;&gt;"",$AF881&lt;&gt;"N/A",$AF881&lt;&gt;"No Min RQ"),_xlpm.n,_xlpm.sfp+_xlpm.slp+_xlpm.ffp+_xlpm.chp+_xlpm.usp,_xlpm.sub,(_xlpm.sfp*($P881="Submitted"))+(_xlpm.slp*($T881="Submitted"))+(_xlpm.ffp*($X881="Submitted"))+(_xlpm.chp*($AB881="Submitted"))+(_xlpm.usp*($AF881="Submitted")),_xlpm.term,(_xlpm.sfp*OR($P881="Approved",$P881="Declined"))+(_xlpm.slp*OR($T881="Approved",$T881="Declined"))+(_xlpm.ffp*OR($X881="Approved",$X881="Declined"))+(_xlpm.chp*OR($AB881="Approved",$AB881="Declined"))+(_xlpm.usp*OR($AF881="Approved",$AF881="Declined")),IF(_xlpm.n=0,"No applicable lenders",IF(_xlpm.sub&gt;0,"Stays with Shaw - lender still Submitted",IF(_xlpm.term=_xlpm.n,"Clear - all applicable lenders Approved or Declined","Stays with Shaw - not all lenders Approved or Declined")))))</f>
      </c>
    </row>
    <row r="882" spans="80:80">
      <c r="CB882" s="131">
        <f>IF($A882="","",_xlfn.LET(_xlpm.sfp,AND($P882&lt;&gt;"",$P882&lt;&gt;"N/A",$P882&lt;&gt;"No Min RQ"),_xlpm.slp,AND($T882&lt;&gt;"",$T882&lt;&gt;"N/A",$T882&lt;&gt;"No Min RQ"),_xlpm.ffp,AND($X882&lt;&gt;"",$X882&lt;&gt;"N/A",$X882&lt;&gt;"No Min RQ"),_xlpm.chp,AND($AB882&lt;&gt;"",$AB882&lt;&gt;"N/A",$AB882&lt;&gt;"No Min RQ"),_xlpm.usp,AND($AF882&lt;&gt;"",$AF882&lt;&gt;"N/A",$AF882&lt;&gt;"No Min RQ"),_xlpm.n,_xlpm.sfp+_xlpm.slp+_xlpm.ffp+_xlpm.chp+_xlpm.usp,_xlpm.sub,(_xlpm.sfp*($P882="Submitted"))+(_xlpm.slp*($T882="Submitted"))+(_xlpm.ffp*($X882="Submitted"))+(_xlpm.chp*($AB882="Submitted"))+(_xlpm.usp*($AF882="Submitted")),_xlpm.term,(_xlpm.sfp*OR($P882="Approved",$P882="Declined"))+(_xlpm.slp*OR($T882="Approved",$T882="Declined"))+(_xlpm.ffp*OR($X882="Approved",$X882="Declined"))+(_xlpm.chp*OR($AB882="Approved",$AB882="Declined"))+(_xlpm.usp*OR($AF882="Approved",$AF882="Declined")),IF(_xlpm.n=0,"No applicable lenders",IF(_xlpm.sub&gt;0,"Stays with Shaw - lender still Submitted",IF(_xlpm.term=_xlpm.n,"Clear - all applicable lenders Approved or Declined","Stays with Shaw - not all lenders Approved or Declined")))))</f>
      </c>
    </row>
    <row r="883" spans="80:80">
      <c r="CB883" s="131">
        <f>IF($A883="","",_xlfn.LET(_xlpm.sfp,AND($P883&lt;&gt;"",$P883&lt;&gt;"N/A",$P883&lt;&gt;"No Min RQ"),_xlpm.slp,AND($T883&lt;&gt;"",$T883&lt;&gt;"N/A",$T883&lt;&gt;"No Min RQ"),_xlpm.ffp,AND($X883&lt;&gt;"",$X883&lt;&gt;"N/A",$X883&lt;&gt;"No Min RQ"),_xlpm.chp,AND($AB883&lt;&gt;"",$AB883&lt;&gt;"N/A",$AB883&lt;&gt;"No Min RQ"),_xlpm.usp,AND($AF883&lt;&gt;"",$AF883&lt;&gt;"N/A",$AF883&lt;&gt;"No Min RQ"),_xlpm.n,_xlpm.sfp+_xlpm.slp+_xlpm.ffp+_xlpm.chp+_xlpm.usp,_xlpm.sub,(_xlpm.sfp*($P883="Submitted"))+(_xlpm.slp*($T883="Submitted"))+(_xlpm.ffp*($X883="Submitted"))+(_xlpm.chp*($AB883="Submitted"))+(_xlpm.usp*($AF883="Submitted")),_xlpm.term,(_xlpm.sfp*OR($P883="Approved",$P883="Declined"))+(_xlpm.slp*OR($T883="Approved",$T883="Declined"))+(_xlpm.ffp*OR($X883="Approved",$X883="Declined"))+(_xlpm.chp*OR($AB883="Approved",$AB883="Declined"))+(_xlpm.usp*OR($AF883="Approved",$AF883="Declined")),IF(_xlpm.n=0,"No applicable lenders",IF(_xlpm.sub&gt;0,"Stays with Shaw - lender still Submitted",IF(_xlpm.term=_xlpm.n,"Clear - all applicable lenders Approved or Declined","Stays with Shaw - not all lenders Approved or Declined")))))</f>
      </c>
    </row>
    <row r="884" spans="80:80">
      <c r="CB884" s="131">
        <f>IF($A884="","",_xlfn.LET(_xlpm.sfp,AND($P884&lt;&gt;"",$P884&lt;&gt;"N/A",$P884&lt;&gt;"No Min RQ"),_xlpm.slp,AND($T884&lt;&gt;"",$T884&lt;&gt;"N/A",$T884&lt;&gt;"No Min RQ"),_xlpm.ffp,AND($X884&lt;&gt;"",$X884&lt;&gt;"N/A",$X884&lt;&gt;"No Min RQ"),_xlpm.chp,AND($AB884&lt;&gt;"",$AB884&lt;&gt;"N/A",$AB884&lt;&gt;"No Min RQ"),_xlpm.usp,AND($AF884&lt;&gt;"",$AF884&lt;&gt;"N/A",$AF884&lt;&gt;"No Min RQ"),_xlpm.n,_xlpm.sfp+_xlpm.slp+_xlpm.ffp+_xlpm.chp+_xlpm.usp,_xlpm.sub,(_xlpm.sfp*($P884="Submitted"))+(_xlpm.slp*($T884="Submitted"))+(_xlpm.ffp*($X884="Submitted"))+(_xlpm.chp*($AB884="Submitted"))+(_xlpm.usp*($AF884="Submitted")),_xlpm.term,(_xlpm.sfp*OR($P884="Approved",$P884="Declined"))+(_xlpm.slp*OR($T884="Approved",$T884="Declined"))+(_xlpm.ffp*OR($X884="Approved",$X884="Declined"))+(_xlpm.chp*OR($AB884="Approved",$AB884="Declined"))+(_xlpm.usp*OR($AF884="Approved",$AF884="Declined")),IF(_xlpm.n=0,"No applicable lenders",IF(_xlpm.sub&gt;0,"Stays with Shaw - lender still Submitted",IF(_xlpm.term=_xlpm.n,"Clear - all applicable lenders Approved or Declined","Stays with Shaw - not all lenders Approved or Declined")))))</f>
      </c>
    </row>
    <row r="885" spans="80:80">
      <c r="CB885" s="131">
        <f>IF($A885="","",_xlfn.LET(_xlpm.sfp,AND($P885&lt;&gt;"",$P885&lt;&gt;"N/A",$P885&lt;&gt;"No Min RQ"),_xlpm.slp,AND($T885&lt;&gt;"",$T885&lt;&gt;"N/A",$T885&lt;&gt;"No Min RQ"),_xlpm.ffp,AND($X885&lt;&gt;"",$X885&lt;&gt;"N/A",$X885&lt;&gt;"No Min RQ"),_xlpm.chp,AND($AB885&lt;&gt;"",$AB885&lt;&gt;"N/A",$AB885&lt;&gt;"No Min RQ"),_xlpm.usp,AND($AF885&lt;&gt;"",$AF885&lt;&gt;"N/A",$AF885&lt;&gt;"No Min RQ"),_xlpm.n,_xlpm.sfp+_xlpm.slp+_xlpm.ffp+_xlpm.chp+_xlpm.usp,_xlpm.sub,(_xlpm.sfp*($P885="Submitted"))+(_xlpm.slp*($T885="Submitted"))+(_xlpm.ffp*($X885="Submitted"))+(_xlpm.chp*($AB885="Submitted"))+(_xlpm.usp*($AF885="Submitted")),_xlpm.term,(_xlpm.sfp*OR($P885="Approved",$P885="Declined"))+(_xlpm.slp*OR($T885="Approved",$T885="Declined"))+(_xlpm.ffp*OR($X885="Approved",$X885="Declined"))+(_xlpm.chp*OR($AB885="Approved",$AB885="Declined"))+(_xlpm.usp*OR($AF885="Approved",$AF885="Declined")),IF(_xlpm.n=0,"No applicable lenders",IF(_xlpm.sub&gt;0,"Stays with Shaw - lender still Submitted",IF(_xlpm.term=_xlpm.n,"Clear - all applicable lenders Approved or Declined","Stays with Shaw - not all lenders Approved or Declined")))))</f>
      </c>
    </row>
    <row r="886" spans="80:80">
      <c r="CB886" s="131">
        <f>IF($A886="","",_xlfn.LET(_xlpm.sfp,AND($P886&lt;&gt;"",$P886&lt;&gt;"N/A",$P886&lt;&gt;"No Min RQ"),_xlpm.slp,AND($T886&lt;&gt;"",$T886&lt;&gt;"N/A",$T886&lt;&gt;"No Min RQ"),_xlpm.ffp,AND($X886&lt;&gt;"",$X886&lt;&gt;"N/A",$X886&lt;&gt;"No Min RQ"),_xlpm.chp,AND($AB886&lt;&gt;"",$AB886&lt;&gt;"N/A",$AB886&lt;&gt;"No Min RQ"),_xlpm.usp,AND($AF886&lt;&gt;"",$AF886&lt;&gt;"N/A",$AF886&lt;&gt;"No Min RQ"),_xlpm.n,_xlpm.sfp+_xlpm.slp+_xlpm.ffp+_xlpm.chp+_xlpm.usp,_xlpm.sub,(_xlpm.sfp*($P886="Submitted"))+(_xlpm.slp*($T886="Submitted"))+(_xlpm.ffp*($X886="Submitted"))+(_xlpm.chp*($AB886="Submitted"))+(_xlpm.usp*($AF886="Submitted")),_xlpm.term,(_xlpm.sfp*OR($P886="Approved",$P886="Declined"))+(_xlpm.slp*OR($T886="Approved",$T886="Declined"))+(_xlpm.ffp*OR($X886="Approved",$X886="Declined"))+(_xlpm.chp*OR($AB886="Approved",$AB886="Declined"))+(_xlpm.usp*OR($AF886="Approved",$AF886="Declined")),IF(_xlpm.n=0,"No applicable lenders",IF(_xlpm.sub&gt;0,"Stays with Shaw - lender still Submitted",IF(_xlpm.term=_xlpm.n,"Clear - all applicable lenders Approved or Declined","Stays with Shaw - not all lenders Approved or Declined")))))</f>
      </c>
    </row>
    <row r="887" spans="80:80">
      <c r="CB887" s="131">
        <f>IF($A887="","",_xlfn.LET(_xlpm.sfp,AND($P887&lt;&gt;"",$P887&lt;&gt;"N/A",$P887&lt;&gt;"No Min RQ"),_xlpm.slp,AND($T887&lt;&gt;"",$T887&lt;&gt;"N/A",$T887&lt;&gt;"No Min RQ"),_xlpm.ffp,AND($X887&lt;&gt;"",$X887&lt;&gt;"N/A",$X887&lt;&gt;"No Min RQ"),_xlpm.chp,AND($AB887&lt;&gt;"",$AB887&lt;&gt;"N/A",$AB887&lt;&gt;"No Min RQ"),_xlpm.usp,AND($AF887&lt;&gt;"",$AF887&lt;&gt;"N/A",$AF887&lt;&gt;"No Min RQ"),_xlpm.n,_xlpm.sfp+_xlpm.slp+_xlpm.ffp+_xlpm.chp+_xlpm.usp,_xlpm.sub,(_xlpm.sfp*($P887="Submitted"))+(_xlpm.slp*($T887="Submitted"))+(_xlpm.ffp*($X887="Submitted"))+(_xlpm.chp*($AB887="Submitted"))+(_xlpm.usp*($AF887="Submitted")),_xlpm.term,(_xlpm.sfp*OR($P887="Approved",$P887="Declined"))+(_xlpm.slp*OR($T887="Approved",$T887="Declined"))+(_xlpm.ffp*OR($X887="Approved",$X887="Declined"))+(_xlpm.chp*OR($AB887="Approved",$AB887="Declined"))+(_xlpm.usp*OR($AF887="Approved",$AF887="Declined")),IF(_xlpm.n=0,"No applicable lenders",IF(_xlpm.sub&gt;0,"Stays with Shaw - lender still Submitted",IF(_xlpm.term=_xlpm.n,"Clear - all applicable lenders Approved or Declined","Stays with Shaw - not all lenders Approved or Declined")))))</f>
      </c>
    </row>
    <row r="888" spans="80:80">
      <c r="CB888" s="131">
        <f>IF($A888="","",_xlfn.LET(_xlpm.sfp,AND($P888&lt;&gt;"",$P888&lt;&gt;"N/A",$P888&lt;&gt;"No Min RQ"),_xlpm.slp,AND($T888&lt;&gt;"",$T888&lt;&gt;"N/A",$T888&lt;&gt;"No Min RQ"),_xlpm.ffp,AND($X888&lt;&gt;"",$X888&lt;&gt;"N/A",$X888&lt;&gt;"No Min RQ"),_xlpm.chp,AND($AB888&lt;&gt;"",$AB888&lt;&gt;"N/A",$AB888&lt;&gt;"No Min RQ"),_xlpm.usp,AND($AF888&lt;&gt;"",$AF888&lt;&gt;"N/A",$AF888&lt;&gt;"No Min RQ"),_xlpm.n,_xlpm.sfp+_xlpm.slp+_xlpm.ffp+_xlpm.chp+_xlpm.usp,_xlpm.sub,(_xlpm.sfp*($P888="Submitted"))+(_xlpm.slp*($T888="Submitted"))+(_xlpm.ffp*($X888="Submitted"))+(_xlpm.chp*($AB888="Submitted"))+(_xlpm.usp*($AF888="Submitted")),_xlpm.term,(_xlpm.sfp*OR($P888="Approved",$P888="Declined"))+(_xlpm.slp*OR($T888="Approved",$T888="Declined"))+(_xlpm.ffp*OR($X888="Approved",$X888="Declined"))+(_xlpm.chp*OR($AB888="Approved",$AB888="Declined"))+(_xlpm.usp*OR($AF888="Approved",$AF888="Declined")),IF(_xlpm.n=0,"No applicable lenders",IF(_xlpm.sub&gt;0,"Stays with Shaw - lender still Submitted",IF(_xlpm.term=_xlpm.n,"Clear - all applicable lenders Approved or Declined","Stays with Shaw - not all lenders Approved or Declined")))))</f>
      </c>
    </row>
    <row r="889" spans="80:80">
      <c r="CB889" s="131">
        <f>IF($A889="","",_xlfn.LET(_xlpm.sfp,AND($P889&lt;&gt;"",$P889&lt;&gt;"N/A",$P889&lt;&gt;"No Min RQ"),_xlpm.slp,AND($T889&lt;&gt;"",$T889&lt;&gt;"N/A",$T889&lt;&gt;"No Min RQ"),_xlpm.ffp,AND($X889&lt;&gt;"",$X889&lt;&gt;"N/A",$X889&lt;&gt;"No Min RQ"),_xlpm.chp,AND($AB889&lt;&gt;"",$AB889&lt;&gt;"N/A",$AB889&lt;&gt;"No Min RQ"),_xlpm.usp,AND($AF889&lt;&gt;"",$AF889&lt;&gt;"N/A",$AF889&lt;&gt;"No Min RQ"),_xlpm.n,_xlpm.sfp+_xlpm.slp+_xlpm.ffp+_xlpm.chp+_xlpm.usp,_xlpm.sub,(_xlpm.sfp*($P889="Submitted"))+(_xlpm.slp*($T889="Submitted"))+(_xlpm.ffp*($X889="Submitted"))+(_xlpm.chp*($AB889="Submitted"))+(_xlpm.usp*($AF889="Submitted")),_xlpm.term,(_xlpm.sfp*OR($P889="Approved",$P889="Declined"))+(_xlpm.slp*OR($T889="Approved",$T889="Declined"))+(_xlpm.ffp*OR($X889="Approved",$X889="Declined"))+(_xlpm.chp*OR($AB889="Approved",$AB889="Declined"))+(_xlpm.usp*OR($AF889="Approved",$AF889="Declined")),IF(_xlpm.n=0,"No applicable lenders",IF(_xlpm.sub&gt;0,"Stays with Shaw - lender still Submitted",IF(_xlpm.term=_xlpm.n,"Clear - all applicable lenders Approved or Declined","Stays with Shaw - not all lenders Approved or Declined")))))</f>
      </c>
    </row>
    <row r="890" spans="80:80">
      <c r="CB890" s="131">
        <f>IF($A890="","",_xlfn.LET(_xlpm.sfp,AND($P890&lt;&gt;"",$P890&lt;&gt;"N/A",$P890&lt;&gt;"No Min RQ"),_xlpm.slp,AND($T890&lt;&gt;"",$T890&lt;&gt;"N/A",$T890&lt;&gt;"No Min RQ"),_xlpm.ffp,AND($X890&lt;&gt;"",$X890&lt;&gt;"N/A",$X890&lt;&gt;"No Min RQ"),_xlpm.chp,AND($AB890&lt;&gt;"",$AB890&lt;&gt;"N/A",$AB890&lt;&gt;"No Min RQ"),_xlpm.usp,AND($AF890&lt;&gt;"",$AF890&lt;&gt;"N/A",$AF890&lt;&gt;"No Min RQ"),_xlpm.n,_xlpm.sfp+_xlpm.slp+_xlpm.ffp+_xlpm.chp+_xlpm.usp,_xlpm.sub,(_xlpm.sfp*($P890="Submitted"))+(_xlpm.slp*($T890="Submitted"))+(_xlpm.ffp*($X890="Submitted"))+(_xlpm.chp*($AB890="Submitted"))+(_xlpm.usp*($AF890="Submitted")),_xlpm.term,(_xlpm.sfp*OR($P890="Approved",$P890="Declined"))+(_xlpm.slp*OR($T890="Approved",$T890="Declined"))+(_xlpm.ffp*OR($X890="Approved",$X890="Declined"))+(_xlpm.chp*OR($AB890="Approved",$AB890="Declined"))+(_xlpm.usp*OR($AF890="Approved",$AF890="Declined")),IF(_xlpm.n=0,"No applicable lenders",IF(_xlpm.sub&gt;0,"Stays with Shaw - lender still Submitted",IF(_xlpm.term=_xlpm.n,"Clear - all applicable lenders Approved or Declined","Stays with Shaw - not all lenders Approved or Declined")))))</f>
      </c>
    </row>
    <row r="891" spans="80:80">
      <c r="CB891" s="131">
        <f>IF($A891="","",_xlfn.LET(_xlpm.sfp,AND($P891&lt;&gt;"",$P891&lt;&gt;"N/A",$P891&lt;&gt;"No Min RQ"),_xlpm.slp,AND($T891&lt;&gt;"",$T891&lt;&gt;"N/A",$T891&lt;&gt;"No Min RQ"),_xlpm.ffp,AND($X891&lt;&gt;"",$X891&lt;&gt;"N/A",$X891&lt;&gt;"No Min RQ"),_xlpm.chp,AND($AB891&lt;&gt;"",$AB891&lt;&gt;"N/A",$AB891&lt;&gt;"No Min RQ"),_xlpm.usp,AND($AF891&lt;&gt;"",$AF891&lt;&gt;"N/A",$AF891&lt;&gt;"No Min RQ"),_xlpm.n,_xlpm.sfp+_xlpm.slp+_xlpm.ffp+_xlpm.chp+_xlpm.usp,_xlpm.sub,(_xlpm.sfp*($P891="Submitted"))+(_xlpm.slp*($T891="Submitted"))+(_xlpm.ffp*($X891="Submitted"))+(_xlpm.chp*($AB891="Submitted"))+(_xlpm.usp*($AF891="Submitted")),_xlpm.term,(_xlpm.sfp*OR($P891="Approved",$P891="Declined"))+(_xlpm.slp*OR($T891="Approved",$T891="Declined"))+(_xlpm.ffp*OR($X891="Approved",$X891="Declined"))+(_xlpm.chp*OR($AB891="Approved",$AB891="Declined"))+(_xlpm.usp*OR($AF891="Approved",$AF891="Declined")),IF(_xlpm.n=0,"No applicable lenders",IF(_xlpm.sub&gt;0,"Stays with Shaw - lender still Submitted",IF(_xlpm.term=_xlpm.n,"Clear - all applicable lenders Approved or Declined","Stays with Shaw - not all lenders Approved or Declined")))))</f>
      </c>
    </row>
    <row r="892" spans="80:80">
      <c r="CB892" s="131">
        <f>IF($A892="","",_xlfn.LET(_xlpm.sfp,AND($P892&lt;&gt;"",$P892&lt;&gt;"N/A",$P892&lt;&gt;"No Min RQ"),_xlpm.slp,AND($T892&lt;&gt;"",$T892&lt;&gt;"N/A",$T892&lt;&gt;"No Min RQ"),_xlpm.ffp,AND($X892&lt;&gt;"",$X892&lt;&gt;"N/A",$X892&lt;&gt;"No Min RQ"),_xlpm.chp,AND($AB892&lt;&gt;"",$AB892&lt;&gt;"N/A",$AB892&lt;&gt;"No Min RQ"),_xlpm.usp,AND($AF892&lt;&gt;"",$AF892&lt;&gt;"N/A",$AF892&lt;&gt;"No Min RQ"),_xlpm.n,_xlpm.sfp+_xlpm.slp+_xlpm.ffp+_xlpm.chp+_xlpm.usp,_xlpm.sub,(_xlpm.sfp*($P892="Submitted"))+(_xlpm.slp*($T892="Submitted"))+(_xlpm.ffp*($X892="Submitted"))+(_xlpm.chp*($AB892="Submitted"))+(_xlpm.usp*($AF892="Submitted")),_xlpm.term,(_xlpm.sfp*OR($P892="Approved",$P892="Declined"))+(_xlpm.slp*OR($T892="Approved",$T892="Declined"))+(_xlpm.ffp*OR($X892="Approved",$X892="Declined"))+(_xlpm.chp*OR($AB892="Approved",$AB892="Declined"))+(_xlpm.usp*OR($AF892="Approved",$AF892="Declined")),IF(_xlpm.n=0,"No applicable lenders",IF(_xlpm.sub&gt;0,"Stays with Shaw - lender still Submitted",IF(_xlpm.term=_xlpm.n,"Clear - all applicable lenders Approved or Declined","Stays with Shaw - not all lenders Approved or Declined")))))</f>
      </c>
    </row>
    <row r="893" spans="80:80">
      <c r="CB893" s="131">
        <f>IF($A893="","",_xlfn.LET(_xlpm.sfp,AND($P893&lt;&gt;"",$P893&lt;&gt;"N/A",$P893&lt;&gt;"No Min RQ"),_xlpm.slp,AND($T893&lt;&gt;"",$T893&lt;&gt;"N/A",$T893&lt;&gt;"No Min RQ"),_xlpm.ffp,AND($X893&lt;&gt;"",$X893&lt;&gt;"N/A",$X893&lt;&gt;"No Min RQ"),_xlpm.chp,AND($AB893&lt;&gt;"",$AB893&lt;&gt;"N/A",$AB893&lt;&gt;"No Min RQ"),_xlpm.usp,AND($AF893&lt;&gt;"",$AF893&lt;&gt;"N/A",$AF893&lt;&gt;"No Min RQ"),_xlpm.n,_xlpm.sfp+_xlpm.slp+_xlpm.ffp+_xlpm.chp+_xlpm.usp,_xlpm.sub,(_xlpm.sfp*($P893="Submitted"))+(_xlpm.slp*($T893="Submitted"))+(_xlpm.ffp*($X893="Submitted"))+(_xlpm.chp*($AB893="Submitted"))+(_xlpm.usp*($AF893="Submitted")),_xlpm.term,(_xlpm.sfp*OR($P893="Approved",$P893="Declined"))+(_xlpm.slp*OR($T893="Approved",$T893="Declined"))+(_xlpm.ffp*OR($X893="Approved",$X893="Declined"))+(_xlpm.chp*OR($AB893="Approved",$AB893="Declined"))+(_xlpm.usp*OR($AF893="Approved",$AF893="Declined")),IF(_xlpm.n=0,"No applicable lenders",IF(_xlpm.sub&gt;0,"Stays with Shaw - lender still Submitted",IF(_xlpm.term=_xlpm.n,"Clear - all applicable lenders Approved or Declined","Stays with Shaw - not all lenders Approved or Declined")))))</f>
      </c>
    </row>
    <row r="894" spans="80:80">
      <c r="CB894" s="131">
        <f>IF($A894="","",_xlfn.LET(_xlpm.sfp,AND($P894&lt;&gt;"",$P894&lt;&gt;"N/A",$P894&lt;&gt;"No Min RQ"),_xlpm.slp,AND($T894&lt;&gt;"",$T894&lt;&gt;"N/A",$T894&lt;&gt;"No Min RQ"),_xlpm.ffp,AND($X894&lt;&gt;"",$X894&lt;&gt;"N/A",$X894&lt;&gt;"No Min RQ"),_xlpm.chp,AND($AB894&lt;&gt;"",$AB894&lt;&gt;"N/A",$AB894&lt;&gt;"No Min RQ"),_xlpm.usp,AND($AF894&lt;&gt;"",$AF894&lt;&gt;"N/A",$AF894&lt;&gt;"No Min RQ"),_xlpm.n,_xlpm.sfp+_xlpm.slp+_xlpm.ffp+_xlpm.chp+_xlpm.usp,_xlpm.sub,(_xlpm.sfp*($P894="Submitted"))+(_xlpm.slp*($T894="Submitted"))+(_xlpm.ffp*($X894="Submitted"))+(_xlpm.chp*($AB894="Submitted"))+(_xlpm.usp*($AF894="Submitted")),_xlpm.term,(_xlpm.sfp*OR($P894="Approved",$P894="Declined"))+(_xlpm.slp*OR($T894="Approved",$T894="Declined"))+(_xlpm.ffp*OR($X894="Approved",$X894="Declined"))+(_xlpm.chp*OR($AB894="Approved",$AB894="Declined"))+(_xlpm.usp*OR($AF894="Approved",$AF894="Declined")),IF(_xlpm.n=0,"No applicable lenders",IF(_xlpm.sub&gt;0,"Stays with Shaw - lender still Submitted",IF(_xlpm.term=_xlpm.n,"Clear - all applicable lenders Approved or Declined","Stays with Shaw - not all lenders Approved or Declined")))))</f>
      </c>
    </row>
    <row r="895" spans="80:80">
      <c r="CB895" s="131">
        <f>IF($A895="","",_xlfn.LET(_xlpm.sfp,AND($P895&lt;&gt;"",$P895&lt;&gt;"N/A",$P895&lt;&gt;"No Min RQ"),_xlpm.slp,AND($T895&lt;&gt;"",$T895&lt;&gt;"N/A",$T895&lt;&gt;"No Min RQ"),_xlpm.ffp,AND($X895&lt;&gt;"",$X895&lt;&gt;"N/A",$X895&lt;&gt;"No Min RQ"),_xlpm.chp,AND($AB895&lt;&gt;"",$AB895&lt;&gt;"N/A",$AB895&lt;&gt;"No Min RQ"),_xlpm.usp,AND($AF895&lt;&gt;"",$AF895&lt;&gt;"N/A",$AF895&lt;&gt;"No Min RQ"),_xlpm.n,_xlpm.sfp+_xlpm.slp+_xlpm.ffp+_xlpm.chp+_xlpm.usp,_xlpm.sub,(_xlpm.sfp*($P895="Submitted"))+(_xlpm.slp*($T895="Submitted"))+(_xlpm.ffp*($X895="Submitted"))+(_xlpm.chp*($AB895="Submitted"))+(_xlpm.usp*($AF895="Submitted")),_xlpm.term,(_xlpm.sfp*OR($P895="Approved",$P895="Declined"))+(_xlpm.slp*OR($T895="Approved",$T895="Declined"))+(_xlpm.ffp*OR($X895="Approved",$X895="Declined"))+(_xlpm.chp*OR($AB895="Approved",$AB895="Declined"))+(_xlpm.usp*OR($AF895="Approved",$AF895="Declined")),IF(_xlpm.n=0,"No applicable lenders",IF(_xlpm.sub&gt;0,"Stays with Shaw - lender still Submitted",IF(_xlpm.term=_xlpm.n,"Clear - all applicable lenders Approved or Declined","Stays with Shaw - not all lenders Approved or Declined")))))</f>
      </c>
    </row>
    <row r="896" spans="80:80">
      <c r="CB896" s="131">
        <f>IF($A896="","",_xlfn.LET(_xlpm.sfp,AND($P896&lt;&gt;"",$P896&lt;&gt;"N/A",$P896&lt;&gt;"No Min RQ"),_xlpm.slp,AND($T896&lt;&gt;"",$T896&lt;&gt;"N/A",$T896&lt;&gt;"No Min RQ"),_xlpm.ffp,AND($X896&lt;&gt;"",$X896&lt;&gt;"N/A",$X896&lt;&gt;"No Min RQ"),_xlpm.chp,AND($AB896&lt;&gt;"",$AB896&lt;&gt;"N/A",$AB896&lt;&gt;"No Min RQ"),_xlpm.usp,AND($AF896&lt;&gt;"",$AF896&lt;&gt;"N/A",$AF896&lt;&gt;"No Min RQ"),_xlpm.n,_xlpm.sfp+_xlpm.slp+_xlpm.ffp+_xlpm.chp+_xlpm.usp,_xlpm.sub,(_xlpm.sfp*($P896="Submitted"))+(_xlpm.slp*($T896="Submitted"))+(_xlpm.ffp*($X896="Submitted"))+(_xlpm.chp*($AB896="Submitted"))+(_xlpm.usp*($AF896="Submitted")),_xlpm.term,(_xlpm.sfp*OR($P896="Approved",$P896="Declined"))+(_xlpm.slp*OR($T896="Approved",$T896="Declined"))+(_xlpm.ffp*OR($X896="Approved",$X896="Declined"))+(_xlpm.chp*OR($AB896="Approved",$AB896="Declined"))+(_xlpm.usp*OR($AF896="Approved",$AF896="Declined")),IF(_xlpm.n=0,"No applicable lenders",IF(_xlpm.sub&gt;0,"Stays with Shaw - lender still Submitted",IF(_xlpm.term=_xlpm.n,"Clear - all applicable lenders Approved or Declined","Stays with Shaw - not all lenders Approved or Declined")))))</f>
      </c>
    </row>
    <row r="897" spans="80:80">
      <c r="CB897" s="131">
        <f>IF($A897="","",_xlfn.LET(_xlpm.sfp,AND($P897&lt;&gt;"",$P897&lt;&gt;"N/A",$P897&lt;&gt;"No Min RQ"),_xlpm.slp,AND($T897&lt;&gt;"",$T897&lt;&gt;"N/A",$T897&lt;&gt;"No Min RQ"),_xlpm.ffp,AND($X897&lt;&gt;"",$X897&lt;&gt;"N/A",$X897&lt;&gt;"No Min RQ"),_xlpm.chp,AND($AB897&lt;&gt;"",$AB897&lt;&gt;"N/A",$AB897&lt;&gt;"No Min RQ"),_xlpm.usp,AND($AF897&lt;&gt;"",$AF897&lt;&gt;"N/A",$AF897&lt;&gt;"No Min RQ"),_xlpm.n,_xlpm.sfp+_xlpm.slp+_xlpm.ffp+_xlpm.chp+_xlpm.usp,_xlpm.sub,(_xlpm.sfp*($P897="Submitted"))+(_xlpm.slp*($T897="Submitted"))+(_xlpm.ffp*($X897="Submitted"))+(_xlpm.chp*($AB897="Submitted"))+(_xlpm.usp*($AF897="Submitted")),_xlpm.term,(_xlpm.sfp*OR($P897="Approved",$P897="Declined"))+(_xlpm.slp*OR($T897="Approved",$T897="Declined"))+(_xlpm.ffp*OR($X897="Approved",$X897="Declined"))+(_xlpm.chp*OR($AB897="Approved",$AB897="Declined"))+(_xlpm.usp*OR($AF897="Approved",$AF897="Declined")),IF(_xlpm.n=0,"No applicable lenders",IF(_xlpm.sub&gt;0,"Stays with Shaw - lender still Submitted",IF(_xlpm.term=_xlpm.n,"Clear - all applicable lenders Approved or Declined","Stays with Shaw - not all lenders Approved or Declined")))))</f>
      </c>
    </row>
    <row r="898" spans="80:80">
      <c r="CB898" s="131">
        <f>IF($A898="","",_xlfn.LET(_xlpm.sfp,AND($P898&lt;&gt;"",$P898&lt;&gt;"N/A",$P898&lt;&gt;"No Min RQ"),_xlpm.slp,AND($T898&lt;&gt;"",$T898&lt;&gt;"N/A",$T898&lt;&gt;"No Min RQ"),_xlpm.ffp,AND($X898&lt;&gt;"",$X898&lt;&gt;"N/A",$X898&lt;&gt;"No Min RQ"),_xlpm.chp,AND($AB898&lt;&gt;"",$AB898&lt;&gt;"N/A",$AB898&lt;&gt;"No Min RQ"),_xlpm.usp,AND($AF898&lt;&gt;"",$AF898&lt;&gt;"N/A",$AF898&lt;&gt;"No Min RQ"),_xlpm.n,_xlpm.sfp+_xlpm.slp+_xlpm.ffp+_xlpm.chp+_xlpm.usp,_xlpm.sub,(_xlpm.sfp*($P898="Submitted"))+(_xlpm.slp*($T898="Submitted"))+(_xlpm.ffp*($X898="Submitted"))+(_xlpm.chp*($AB898="Submitted"))+(_xlpm.usp*($AF898="Submitted")),_xlpm.term,(_xlpm.sfp*OR($P898="Approved",$P898="Declined"))+(_xlpm.slp*OR($T898="Approved",$T898="Declined"))+(_xlpm.ffp*OR($X898="Approved",$X898="Declined"))+(_xlpm.chp*OR($AB898="Approved",$AB898="Declined"))+(_xlpm.usp*OR($AF898="Approved",$AF898="Declined")),IF(_xlpm.n=0,"No applicable lenders",IF(_xlpm.sub&gt;0,"Stays with Shaw - lender still Submitted",IF(_xlpm.term=_xlpm.n,"Clear - all applicable lenders Approved or Declined","Stays with Shaw - not all lenders Approved or Declined")))))</f>
      </c>
    </row>
    <row r="899" spans="80:80">
      <c r="CB899" s="131">
        <f>IF($A899="","",_xlfn.LET(_xlpm.sfp,AND($P899&lt;&gt;"",$P899&lt;&gt;"N/A",$P899&lt;&gt;"No Min RQ"),_xlpm.slp,AND($T899&lt;&gt;"",$T899&lt;&gt;"N/A",$T899&lt;&gt;"No Min RQ"),_xlpm.ffp,AND($X899&lt;&gt;"",$X899&lt;&gt;"N/A",$X899&lt;&gt;"No Min RQ"),_xlpm.chp,AND($AB899&lt;&gt;"",$AB899&lt;&gt;"N/A",$AB899&lt;&gt;"No Min RQ"),_xlpm.usp,AND($AF899&lt;&gt;"",$AF899&lt;&gt;"N/A",$AF899&lt;&gt;"No Min RQ"),_xlpm.n,_xlpm.sfp+_xlpm.slp+_xlpm.ffp+_xlpm.chp+_xlpm.usp,_xlpm.sub,(_xlpm.sfp*($P899="Submitted"))+(_xlpm.slp*($T899="Submitted"))+(_xlpm.ffp*($X899="Submitted"))+(_xlpm.chp*($AB899="Submitted"))+(_xlpm.usp*($AF899="Submitted")),_xlpm.term,(_xlpm.sfp*OR($P899="Approved",$P899="Declined"))+(_xlpm.slp*OR($T899="Approved",$T899="Declined"))+(_xlpm.ffp*OR($X899="Approved",$X899="Declined"))+(_xlpm.chp*OR($AB899="Approved",$AB899="Declined"))+(_xlpm.usp*OR($AF899="Approved",$AF899="Declined")),IF(_xlpm.n=0,"No applicable lenders",IF(_xlpm.sub&gt;0,"Stays with Shaw - lender still Submitted",IF(_xlpm.term=_xlpm.n,"Clear - all applicable lenders Approved or Declined","Stays with Shaw - not all lenders Approved or Declined")))))</f>
      </c>
    </row>
    <row r="900" spans="80:80">
      <c r="CB900" s="131">
        <f>IF($A900="","",_xlfn.LET(_xlpm.sfp,AND($P900&lt;&gt;"",$P900&lt;&gt;"N/A",$P900&lt;&gt;"No Min RQ"),_xlpm.slp,AND($T900&lt;&gt;"",$T900&lt;&gt;"N/A",$T900&lt;&gt;"No Min RQ"),_xlpm.ffp,AND($X900&lt;&gt;"",$X900&lt;&gt;"N/A",$X900&lt;&gt;"No Min RQ"),_xlpm.chp,AND($AB900&lt;&gt;"",$AB900&lt;&gt;"N/A",$AB900&lt;&gt;"No Min RQ"),_xlpm.usp,AND($AF900&lt;&gt;"",$AF900&lt;&gt;"N/A",$AF900&lt;&gt;"No Min RQ"),_xlpm.n,_xlpm.sfp+_xlpm.slp+_xlpm.ffp+_xlpm.chp+_xlpm.usp,_xlpm.sub,(_xlpm.sfp*($P900="Submitted"))+(_xlpm.slp*($T900="Submitted"))+(_xlpm.ffp*($X900="Submitted"))+(_xlpm.chp*($AB900="Submitted"))+(_xlpm.usp*($AF900="Submitted")),_xlpm.term,(_xlpm.sfp*OR($P900="Approved",$P900="Declined"))+(_xlpm.slp*OR($T900="Approved",$T900="Declined"))+(_xlpm.ffp*OR($X900="Approved",$X900="Declined"))+(_xlpm.chp*OR($AB900="Approved",$AB900="Declined"))+(_xlpm.usp*OR($AF900="Approved",$AF900="Declined")),IF(_xlpm.n=0,"No applicable lenders",IF(_xlpm.sub&gt;0,"Stays with Shaw - lender still Submitted",IF(_xlpm.term=_xlpm.n,"Clear - all applicable lenders Approved or Declined","Stays with Shaw - not all lenders Approved or Declined")))))</f>
      </c>
    </row>
    <row r="901" spans="80:80">
      <c r="CB901" s="131">
        <f>IF($A901="","",_xlfn.LET(_xlpm.sfp,AND($P901&lt;&gt;"",$P901&lt;&gt;"N/A",$P901&lt;&gt;"No Min RQ"),_xlpm.slp,AND($T901&lt;&gt;"",$T901&lt;&gt;"N/A",$T901&lt;&gt;"No Min RQ"),_xlpm.ffp,AND($X901&lt;&gt;"",$X901&lt;&gt;"N/A",$X901&lt;&gt;"No Min RQ"),_xlpm.chp,AND($AB901&lt;&gt;"",$AB901&lt;&gt;"N/A",$AB901&lt;&gt;"No Min RQ"),_xlpm.usp,AND($AF901&lt;&gt;"",$AF901&lt;&gt;"N/A",$AF901&lt;&gt;"No Min RQ"),_xlpm.n,_xlpm.sfp+_xlpm.slp+_xlpm.ffp+_xlpm.chp+_xlpm.usp,_xlpm.sub,(_xlpm.sfp*($P901="Submitted"))+(_xlpm.slp*($T901="Submitted"))+(_xlpm.ffp*($X901="Submitted"))+(_xlpm.chp*($AB901="Submitted"))+(_xlpm.usp*($AF901="Submitted")),_xlpm.term,(_xlpm.sfp*OR($P901="Approved",$P901="Declined"))+(_xlpm.slp*OR($T901="Approved",$T901="Declined"))+(_xlpm.ffp*OR($X901="Approved",$X901="Declined"))+(_xlpm.chp*OR($AB901="Approved",$AB901="Declined"))+(_xlpm.usp*OR($AF901="Approved",$AF901="Declined")),IF(_xlpm.n=0,"No applicable lenders",IF(_xlpm.sub&gt;0,"Stays with Shaw - lender still Submitted",IF(_xlpm.term=_xlpm.n,"Clear - all applicable lenders Approved or Declined","Stays with Shaw - not all lenders Approved or Declined")))))</f>
      </c>
    </row>
    <row r="902" spans="80:80">
      <c r="CB902" s="131">
        <f>IF($A902="","",_xlfn.LET(_xlpm.sfp,AND($P902&lt;&gt;"",$P902&lt;&gt;"N/A",$P902&lt;&gt;"No Min RQ"),_xlpm.slp,AND($T902&lt;&gt;"",$T902&lt;&gt;"N/A",$T902&lt;&gt;"No Min RQ"),_xlpm.ffp,AND($X902&lt;&gt;"",$X902&lt;&gt;"N/A",$X902&lt;&gt;"No Min RQ"),_xlpm.chp,AND($AB902&lt;&gt;"",$AB902&lt;&gt;"N/A",$AB902&lt;&gt;"No Min RQ"),_xlpm.usp,AND($AF902&lt;&gt;"",$AF902&lt;&gt;"N/A",$AF902&lt;&gt;"No Min RQ"),_xlpm.n,_xlpm.sfp+_xlpm.slp+_xlpm.ffp+_xlpm.chp+_xlpm.usp,_xlpm.sub,(_xlpm.sfp*($P902="Submitted"))+(_xlpm.slp*($T902="Submitted"))+(_xlpm.ffp*($X902="Submitted"))+(_xlpm.chp*($AB902="Submitted"))+(_xlpm.usp*($AF902="Submitted")),_xlpm.term,(_xlpm.sfp*OR($P902="Approved",$P902="Declined"))+(_xlpm.slp*OR($T902="Approved",$T902="Declined"))+(_xlpm.ffp*OR($X902="Approved",$X902="Declined"))+(_xlpm.chp*OR($AB902="Approved",$AB902="Declined"))+(_xlpm.usp*OR($AF902="Approved",$AF902="Declined")),IF(_xlpm.n=0,"No applicable lenders",IF(_xlpm.sub&gt;0,"Stays with Shaw - lender still Submitted",IF(_xlpm.term=_xlpm.n,"Clear - all applicable lenders Approved or Declined","Stays with Shaw - not all lenders Approved or Declined")))))</f>
      </c>
    </row>
    <row r="903" spans="80:80">
      <c r="CB903" s="131">
        <f>IF($A903="","",_xlfn.LET(_xlpm.sfp,AND($P903&lt;&gt;"",$P903&lt;&gt;"N/A",$P903&lt;&gt;"No Min RQ"),_xlpm.slp,AND($T903&lt;&gt;"",$T903&lt;&gt;"N/A",$T903&lt;&gt;"No Min RQ"),_xlpm.ffp,AND($X903&lt;&gt;"",$X903&lt;&gt;"N/A",$X903&lt;&gt;"No Min RQ"),_xlpm.chp,AND($AB903&lt;&gt;"",$AB903&lt;&gt;"N/A",$AB903&lt;&gt;"No Min RQ"),_xlpm.usp,AND($AF903&lt;&gt;"",$AF903&lt;&gt;"N/A",$AF903&lt;&gt;"No Min RQ"),_xlpm.n,_xlpm.sfp+_xlpm.slp+_xlpm.ffp+_xlpm.chp+_xlpm.usp,_xlpm.sub,(_xlpm.sfp*($P903="Submitted"))+(_xlpm.slp*($T903="Submitted"))+(_xlpm.ffp*($X903="Submitted"))+(_xlpm.chp*($AB903="Submitted"))+(_xlpm.usp*($AF903="Submitted")),_xlpm.term,(_xlpm.sfp*OR($P903="Approved",$P903="Declined"))+(_xlpm.slp*OR($T903="Approved",$T903="Declined"))+(_xlpm.ffp*OR($X903="Approved",$X903="Declined"))+(_xlpm.chp*OR($AB903="Approved",$AB903="Declined"))+(_xlpm.usp*OR($AF903="Approved",$AF903="Declined")),IF(_xlpm.n=0,"No applicable lenders",IF(_xlpm.sub&gt;0,"Stays with Shaw - lender still Submitted",IF(_xlpm.term=_xlpm.n,"Clear - all applicable lenders Approved or Declined","Stays with Shaw - not all lenders Approved or Declined")))))</f>
      </c>
    </row>
    <row r="904" spans="80:80">
      <c r="CB904" s="131">
        <f>IF($A904="","",_xlfn.LET(_xlpm.sfp,AND($P904&lt;&gt;"",$P904&lt;&gt;"N/A",$P904&lt;&gt;"No Min RQ"),_xlpm.slp,AND($T904&lt;&gt;"",$T904&lt;&gt;"N/A",$T904&lt;&gt;"No Min RQ"),_xlpm.ffp,AND($X904&lt;&gt;"",$X904&lt;&gt;"N/A",$X904&lt;&gt;"No Min RQ"),_xlpm.chp,AND($AB904&lt;&gt;"",$AB904&lt;&gt;"N/A",$AB904&lt;&gt;"No Min RQ"),_xlpm.usp,AND($AF904&lt;&gt;"",$AF904&lt;&gt;"N/A",$AF904&lt;&gt;"No Min RQ"),_xlpm.n,_xlpm.sfp+_xlpm.slp+_xlpm.ffp+_xlpm.chp+_xlpm.usp,_xlpm.sub,(_xlpm.sfp*($P904="Submitted"))+(_xlpm.slp*($T904="Submitted"))+(_xlpm.ffp*($X904="Submitted"))+(_xlpm.chp*($AB904="Submitted"))+(_xlpm.usp*($AF904="Submitted")),_xlpm.term,(_xlpm.sfp*OR($P904="Approved",$P904="Declined"))+(_xlpm.slp*OR($T904="Approved",$T904="Declined"))+(_xlpm.ffp*OR($X904="Approved",$X904="Declined"))+(_xlpm.chp*OR($AB904="Approved",$AB904="Declined"))+(_xlpm.usp*OR($AF904="Approved",$AF904="Declined")),IF(_xlpm.n=0,"No applicable lenders",IF(_xlpm.sub&gt;0,"Stays with Shaw - lender still Submitted",IF(_xlpm.term=_xlpm.n,"Clear - all applicable lenders Approved or Declined","Stays with Shaw - not all lenders Approved or Declined")))))</f>
      </c>
    </row>
    <row r="905" spans="80:80">
      <c r="CB905" s="131">
        <f>IF($A905="","",_xlfn.LET(_xlpm.sfp,AND($P905&lt;&gt;"",$P905&lt;&gt;"N/A",$P905&lt;&gt;"No Min RQ"),_xlpm.slp,AND($T905&lt;&gt;"",$T905&lt;&gt;"N/A",$T905&lt;&gt;"No Min RQ"),_xlpm.ffp,AND($X905&lt;&gt;"",$X905&lt;&gt;"N/A",$X905&lt;&gt;"No Min RQ"),_xlpm.chp,AND($AB905&lt;&gt;"",$AB905&lt;&gt;"N/A",$AB905&lt;&gt;"No Min RQ"),_xlpm.usp,AND($AF905&lt;&gt;"",$AF905&lt;&gt;"N/A",$AF905&lt;&gt;"No Min RQ"),_xlpm.n,_xlpm.sfp+_xlpm.slp+_xlpm.ffp+_xlpm.chp+_xlpm.usp,_xlpm.sub,(_xlpm.sfp*($P905="Submitted"))+(_xlpm.slp*($T905="Submitted"))+(_xlpm.ffp*($X905="Submitted"))+(_xlpm.chp*($AB905="Submitted"))+(_xlpm.usp*($AF905="Submitted")),_xlpm.term,(_xlpm.sfp*OR($P905="Approved",$P905="Declined"))+(_xlpm.slp*OR($T905="Approved",$T905="Declined"))+(_xlpm.ffp*OR($X905="Approved",$X905="Declined"))+(_xlpm.chp*OR($AB905="Approved",$AB905="Declined"))+(_xlpm.usp*OR($AF905="Approved",$AF905="Declined")),IF(_xlpm.n=0,"No applicable lenders",IF(_xlpm.sub&gt;0,"Stays with Shaw - lender still Submitted",IF(_xlpm.term=_xlpm.n,"Clear - all applicable lenders Approved or Declined","Stays with Shaw - not all lenders Approved or Declined")))))</f>
      </c>
    </row>
    <row r="906" spans="80:80">
      <c r="CB906" s="131">
        <f>IF($A906="","",_xlfn.LET(_xlpm.sfp,AND($P906&lt;&gt;"",$P906&lt;&gt;"N/A",$P906&lt;&gt;"No Min RQ"),_xlpm.slp,AND($T906&lt;&gt;"",$T906&lt;&gt;"N/A",$T906&lt;&gt;"No Min RQ"),_xlpm.ffp,AND($X906&lt;&gt;"",$X906&lt;&gt;"N/A",$X906&lt;&gt;"No Min RQ"),_xlpm.chp,AND($AB906&lt;&gt;"",$AB906&lt;&gt;"N/A",$AB906&lt;&gt;"No Min RQ"),_xlpm.usp,AND($AF906&lt;&gt;"",$AF906&lt;&gt;"N/A",$AF906&lt;&gt;"No Min RQ"),_xlpm.n,_xlpm.sfp+_xlpm.slp+_xlpm.ffp+_xlpm.chp+_xlpm.usp,_xlpm.sub,(_xlpm.sfp*($P906="Submitted"))+(_xlpm.slp*($T906="Submitted"))+(_xlpm.ffp*($X906="Submitted"))+(_xlpm.chp*($AB906="Submitted"))+(_xlpm.usp*($AF906="Submitted")),_xlpm.term,(_xlpm.sfp*OR($P906="Approved",$P906="Declined"))+(_xlpm.slp*OR($T906="Approved",$T906="Declined"))+(_xlpm.ffp*OR($X906="Approved",$X906="Declined"))+(_xlpm.chp*OR($AB906="Approved",$AB906="Declined"))+(_xlpm.usp*OR($AF906="Approved",$AF906="Declined")),IF(_xlpm.n=0,"No applicable lenders",IF(_xlpm.sub&gt;0,"Stays with Shaw - lender still Submitted",IF(_xlpm.term=_xlpm.n,"Clear - all applicable lenders Approved or Declined","Stays with Shaw - not all lenders Approved or Declined")))))</f>
      </c>
    </row>
    <row r="907" spans="80:80">
      <c r="CB907" s="131">
        <f>IF($A907="","",_xlfn.LET(_xlpm.sfp,AND($P907&lt;&gt;"",$P907&lt;&gt;"N/A",$P907&lt;&gt;"No Min RQ"),_xlpm.slp,AND($T907&lt;&gt;"",$T907&lt;&gt;"N/A",$T907&lt;&gt;"No Min RQ"),_xlpm.ffp,AND($X907&lt;&gt;"",$X907&lt;&gt;"N/A",$X907&lt;&gt;"No Min RQ"),_xlpm.chp,AND($AB907&lt;&gt;"",$AB907&lt;&gt;"N/A",$AB907&lt;&gt;"No Min RQ"),_xlpm.usp,AND($AF907&lt;&gt;"",$AF907&lt;&gt;"N/A",$AF907&lt;&gt;"No Min RQ"),_xlpm.n,_xlpm.sfp+_xlpm.slp+_xlpm.ffp+_xlpm.chp+_xlpm.usp,_xlpm.sub,(_xlpm.sfp*($P907="Submitted"))+(_xlpm.slp*($T907="Submitted"))+(_xlpm.ffp*($X907="Submitted"))+(_xlpm.chp*($AB907="Submitted"))+(_xlpm.usp*($AF907="Submitted")),_xlpm.term,(_xlpm.sfp*OR($P907="Approved",$P907="Declined"))+(_xlpm.slp*OR($T907="Approved",$T907="Declined"))+(_xlpm.ffp*OR($X907="Approved",$X907="Declined"))+(_xlpm.chp*OR($AB907="Approved",$AB907="Declined"))+(_xlpm.usp*OR($AF907="Approved",$AF907="Declined")),IF(_xlpm.n=0,"No applicable lenders",IF(_xlpm.sub&gt;0,"Stays with Shaw - lender still Submitted",IF(_xlpm.term=_xlpm.n,"Clear - all applicable lenders Approved or Declined","Stays with Shaw - not all lenders Approved or Declined")))))</f>
      </c>
    </row>
    <row r="908" spans="80:80">
      <c r="CB908" s="131">
        <f>IF($A908="","",_xlfn.LET(_xlpm.sfp,AND($P908&lt;&gt;"",$P908&lt;&gt;"N/A",$P908&lt;&gt;"No Min RQ"),_xlpm.slp,AND($T908&lt;&gt;"",$T908&lt;&gt;"N/A",$T908&lt;&gt;"No Min RQ"),_xlpm.ffp,AND($X908&lt;&gt;"",$X908&lt;&gt;"N/A",$X908&lt;&gt;"No Min RQ"),_xlpm.chp,AND($AB908&lt;&gt;"",$AB908&lt;&gt;"N/A",$AB908&lt;&gt;"No Min RQ"),_xlpm.usp,AND($AF908&lt;&gt;"",$AF908&lt;&gt;"N/A",$AF908&lt;&gt;"No Min RQ"),_xlpm.n,_xlpm.sfp+_xlpm.slp+_xlpm.ffp+_xlpm.chp+_xlpm.usp,_xlpm.sub,(_xlpm.sfp*($P908="Submitted"))+(_xlpm.slp*($T908="Submitted"))+(_xlpm.ffp*($X908="Submitted"))+(_xlpm.chp*($AB908="Submitted"))+(_xlpm.usp*($AF908="Submitted")),_xlpm.term,(_xlpm.sfp*OR($P908="Approved",$P908="Declined"))+(_xlpm.slp*OR($T908="Approved",$T908="Declined"))+(_xlpm.ffp*OR($X908="Approved",$X908="Declined"))+(_xlpm.chp*OR($AB908="Approved",$AB908="Declined"))+(_xlpm.usp*OR($AF908="Approved",$AF908="Declined")),IF(_xlpm.n=0,"No applicable lenders",IF(_xlpm.sub&gt;0,"Stays with Shaw - lender still Submitted",IF(_xlpm.term=_xlpm.n,"Clear - all applicable lenders Approved or Declined","Stays with Shaw - not all lenders Approved or Declined")))))</f>
      </c>
    </row>
    <row r="909" spans="80:80">
      <c r="CB909" s="131">
        <f>IF($A909="","",_xlfn.LET(_xlpm.sfp,AND($P909&lt;&gt;"",$P909&lt;&gt;"N/A",$P909&lt;&gt;"No Min RQ"),_xlpm.slp,AND($T909&lt;&gt;"",$T909&lt;&gt;"N/A",$T909&lt;&gt;"No Min RQ"),_xlpm.ffp,AND($X909&lt;&gt;"",$X909&lt;&gt;"N/A",$X909&lt;&gt;"No Min RQ"),_xlpm.chp,AND($AB909&lt;&gt;"",$AB909&lt;&gt;"N/A",$AB909&lt;&gt;"No Min RQ"),_xlpm.usp,AND($AF909&lt;&gt;"",$AF909&lt;&gt;"N/A",$AF909&lt;&gt;"No Min RQ"),_xlpm.n,_xlpm.sfp+_xlpm.slp+_xlpm.ffp+_xlpm.chp+_xlpm.usp,_xlpm.sub,(_xlpm.sfp*($P909="Submitted"))+(_xlpm.slp*($T909="Submitted"))+(_xlpm.ffp*($X909="Submitted"))+(_xlpm.chp*($AB909="Submitted"))+(_xlpm.usp*($AF909="Submitted")),_xlpm.term,(_xlpm.sfp*OR($P909="Approved",$P909="Declined"))+(_xlpm.slp*OR($T909="Approved",$T909="Declined"))+(_xlpm.ffp*OR($X909="Approved",$X909="Declined"))+(_xlpm.chp*OR($AB909="Approved",$AB909="Declined"))+(_xlpm.usp*OR($AF909="Approved",$AF909="Declined")),IF(_xlpm.n=0,"No applicable lenders",IF(_xlpm.sub&gt;0,"Stays with Shaw - lender still Submitted",IF(_xlpm.term=_xlpm.n,"Clear - all applicable lenders Approved or Declined","Stays with Shaw - not all lenders Approved or Declined")))))</f>
      </c>
    </row>
    <row r="910" spans="80:80">
      <c r="CB910" s="131">
        <f>IF($A910="","",_xlfn.LET(_xlpm.sfp,AND($P910&lt;&gt;"",$P910&lt;&gt;"N/A",$P910&lt;&gt;"No Min RQ"),_xlpm.slp,AND($T910&lt;&gt;"",$T910&lt;&gt;"N/A",$T910&lt;&gt;"No Min RQ"),_xlpm.ffp,AND($X910&lt;&gt;"",$X910&lt;&gt;"N/A",$X910&lt;&gt;"No Min RQ"),_xlpm.chp,AND($AB910&lt;&gt;"",$AB910&lt;&gt;"N/A",$AB910&lt;&gt;"No Min RQ"),_xlpm.usp,AND($AF910&lt;&gt;"",$AF910&lt;&gt;"N/A",$AF910&lt;&gt;"No Min RQ"),_xlpm.n,_xlpm.sfp+_xlpm.slp+_xlpm.ffp+_xlpm.chp+_xlpm.usp,_xlpm.sub,(_xlpm.sfp*($P910="Submitted"))+(_xlpm.slp*($T910="Submitted"))+(_xlpm.ffp*($X910="Submitted"))+(_xlpm.chp*($AB910="Submitted"))+(_xlpm.usp*($AF910="Submitted")),_xlpm.term,(_xlpm.sfp*OR($P910="Approved",$P910="Declined"))+(_xlpm.slp*OR($T910="Approved",$T910="Declined"))+(_xlpm.ffp*OR($X910="Approved",$X910="Declined"))+(_xlpm.chp*OR($AB910="Approved",$AB910="Declined"))+(_xlpm.usp*OR($AF910="Approved",$AF910="Declined")),IF(_xlpm.n=0,"No applicable lenders",IF(_xlpm.sub&gt;0,"Stays with Shaw - lender still Submitted",IF(_xlpm.term=_xlpm.n,"Clear - all applicable lenders Approved or Declined","Stays with Shaw - not all lenders Approved or Declined")))))</f>
      </c>
    </row>
    <row r="911" spans="80:80">
      <c r="CB911" s="131">
        <f>IF($A911="","",_xlfn.LET(_xlpm.sfp,AND($P911&lt;&gt;"",$P911&lt;&gt;"N/A",$P911&lt;&gt;"No Min RQ"),_xlpm.slp,AND($T911&lt;&gt;"",$T911&lt;&gt;"N/A",$T911&lt;&gt;"No Min RQ"),_xlpm.ffp,AND($X911&lt;&gt;"",$X911&lt;&gt;"N/A",$X911&lt;&gt;"No Min RQ"),_xlpm.chp,AND($AB911&lt;&gt;"",$AB911&lt;&gt;"N/A",$AB911&lt;&gt;"No Min RQ"),_xlpm.usp,AND($AF911&lt;&gt;"",$AF911&lt;&gt;"N/A",$AF911&lt;&gt;"No Min RQ"),_xlpm.n,_xlpm.sfp+_xlpm.slp+_xlpm.ffp+_xlpm.chp+_xlpm.usp,_xlpm.sub,(_xlpm.sfp*($P911="Submitted"))+(_xlpm.slp*($T911="Submitted"))+(_xlpm.ffp*($X911="Submitted"))+(_xlpm.chp*($AB911="Submitted"))+(_xlpm.usp*($AF911="Submitted")),_xlpm.term,(_xlpm.sfp*OR($P911="Approved",$P911="Declined"))+(_xlpm.slp*OR($T911="Approved",$T911="Declined"))+(_xlpm.ffp*OR($X911="Approved",$X911="Declined"))+(_xlpm.chp*OR($AB911="Approved",$AB911="Declined"))+(_xlpm.usp*OR($AF911="Approved",$AF911="Declined")),IF(_xlpm.n=0,"No applicable lenders",IF(_xlpm.sub&gt;0,"Stays with Shaw - lender still Submitted",IF(_xlpm.term=_xlpm.n,"Clear - all applicable lenders Approved or Declined","Stays with Shaw - not all lenders Approved or Declined")))))</f>
      </c>
    </row>
    <row r="912" spans="80:80">
      <c r="CB912" s="131">
        <f>IF($A912="","",_xlfn.LET(_xlpm.sfp,AND($P912&lt;&gt;"",$P912&lt;&gt;"N/A",$P912&lt;&gt;"No Min RQ"),_xlpm.slp,AND($T912&lt;&gt;"",$T912&lt;&gt;"N/A",$T912&lt;&gt;"No Min RQ"),_xlpm.ffp,AND($X912&lt;&gt;"",$X912&lt;&gt;"N/A",$X912&lt;&gt;"No Min RQ"),_xlpm.chp,AND($AB912&lt;&gt;"",$AB912&lt;&gt;"N/A",$AB912&lt;&gt;"No Min RQ"),_xlpm.usp,AND($AF912&lt;&gt;"",$AF912&lt;&gt;"N/A",$AF912&lt;&gt;"No Min RQ"),_xlpm.n,_xlpm.sfp+_xlpm.slp+_xlpm.ffp+_xlpm.chp+_xlpm.usp,_xlpm.sub,(_xlpm.sfp*($P912="Submitted"))+(_xlpm.slp*($T912="Submitted"))+(_xlpm.ffp*($X912="Submitted"))+(_xlpm.chp*($AB912="Submitted"))+(_xlpm.usp*($AF912="Submitted")),_xlpm.term,(_xlpm.sfp*OR($P912="Approved",$P912="Declined"))+(_xlpm.slp*OR($T912="Approved",$T912="Declined"))+(_xlpm.ffp*OR($X912="Approved",$X912="Declined"))+(_xlpm.chp*OR($AB912="Approved",$AB912="Declined"))+(_xlpm.usp*OR($AF912="Approved",$AF912="Declined")),IF(_xlpm.n=0,"No applicable lenders",IF(_xlpm.sub&gt;0,"Stays with Shaw - lender still Submitted",IF(_xlpm.term=_xlpm.n,"Clear - all applicable lenders Approved or Declined","Stays with Shaw - not all lenders Approved or Declined")))))</f>
      </c>
    </row>
    <row r="913" spans="80:80">
      <c r="CB913" s="131">
        <f>IF($A913="","",_xlfn.LET(_xlpm.sfp,AND($P913&lt;&gt;"",$P913&lt;&gt;"N/A",$P913&lt;&gt;"No Min RQ"),_xlpm.slp,AND($T913&lt;&gt;"",$T913&lt;&gt;"N/A",$T913&lt;&gt;"No Min RQ"),_xlpm.ffp,AND($X913&lt;&gt;"",$X913&lt;&gt;"N/A",$X913&lt;&gt;"No Min RQ"),_xlpm.chp,AND($AB913&lt;&gt;"",$AB913&lt;&gt;"N/A",$AB913&lt;&gt;"No Min RQ"),_xlpm.usp,AND($AF913&lt;&gt;"",$AF913&lt;&gt;"N/A",$AF913&lt;&gt;"No Min RQ"),_xlpm.n,_xlpm.sfp+_xlpm.slp+_xlpm.ffp+_xlpm.chp+_xlpm.usp,_xlpm.sub,(_xlpm.sfp*($P913="Submitted"))+(_xlpm.slp*($T913="Submitted"))+(_xlpm.ffp*($X913="Submitted"))+(_xlpm.chp*($AB913="Submitted"))+(_xlpm.usp*($AF913="Submitted")),_xlpm.term,(_xlpm.sfp*OR($P913="Approved",$P913="Declined"))+(_xlpm.slp*OR($T913="Approved",$T913="Declined"))+(_xlpm.ffp*OR($X913="Approved",$X913="Declined"))+(_xlpm.chp*OR($AB913="Approved",$AB913="Declined"))+(_xlpm.usp*OR($AF913="Approved",$AF913="Declined")),IF(_xlpm.n=0,"No applicable lenders",IF(_xlpm.sub&gt;0,"Stays with Shaw - lender still Submitted",IF(_xlpm.term=_xlpm.n,"Clear - all applicable lenders Approved or Declined","Stays with Shaw - not all lenders Approved or Declined")))))</f>
      </c>
    </row>
    <row r="914" spans="80:80">
      <c r="CB914" s="131">
        <f>IF($A914="","",_xlfn.LET(_xlpm.sfp,AND($P914&lt;&gt;"",$P914&lt;&gt;"N/A",$P914&lt;&gt;"No Min RQ"),_xlpm.slp,AND($T914&lt;&gt;"",$T914&lt;&gt;"N/A",$T914&lt;&gt;"No Min RQ"),_xlpm.ffp,AND($X914&lt;&gt;"",$X914&lt;&gt;"N/A",$X914&lt;&gt;"No Min RQ"),_xlpm.chp,AND($AB914&lt;&gt;"",$AB914&lt;&gt;"N/A",$AB914&lt;&gt;"No Min RQ"),_xlpm.usp,AND($AF914&lt;&gt;"",$AF914&lt;&gt;"N/A",$AF914&lt;&gt;"No Min RQ"),_xlpm.n,_xlpm.sfp+_xlpm.slp+_xlpm.ffp+_xlpm.chp+_xlpm.usp,_xlpm.sub,(_xlpm.sfp*($P914="Submitted"))+(_xlpm.slp*($T914="Submitted"))+(_xlpm.ffp*($X914="Submitted"))+(_xlpm.chp*($AB914="Submitted"))+(_xlpm.usp*($AF914="Submitted")),_xlpm.term,(_xlpm.sfp*OR($P914="Approved",$P914="Declined"))+(_xlpm.slp*OR($T914="Approved",$T914="Declined"))+(_xlpm.ffp*OR($X914="Approved",$X914="Declined"))+(_xlpm.chp*OR($AB914="Approved",$AB914="Declined"))+(_xlpm.usp*OR($AF914="Approved",$AF914="Declined")),IF(_xlpm.n=0,"No applicable lenders",IF(_xlpm.sub&gt;0,"Stays with Shaw - lender still Submitted",IF(_xlpm.term=_xlpm.n,"Clear - all applicable lenders Approved or Declined","Stays with Shaw - not all lenders Approved or Declined")))))</f>
      </c>
    </row>
    <row r="915" spans="80:80">
      <c r="CB915" s="131">
        <f>IF($A915="","",_xlfn.LET(_xlpm.sfp,AND($P915&lt;&gt;"",$P915&lt;&gt;"N/A",$P915&lt;&gt;"No Min RQ"),_xlpm.slp,AND($T915&lt;&gt;"",$T915&lt;&gt;"N/A",$T915&lt;&gt;"No Min RQ"),_xlpm.ffp,AND($X915&lt;&gt;"",$X915&lt;&gt;"N/A",$X915&lt;&gt;"No Min RQ"),_xlpm.chp,AND($AB915&lt;&gt;"",$AB915&lt;&gt;"N/A",$AB915&lt;&gt;"No Min RQ"),_xlpm.usp,AND($AF915&lt;&gt;"",$AF915&lt;&gt;"N/A",$AF915&lt;&gt;"No Min RQ"),_xlpm.n,_xlpm.sfp+_xlpm.slp+_xlpm.ffp+_xlpm.chp+_xlpm.usp,_xlpm.sub,(_xlpm.sfp*($P915="Submitted"))+(_xlpm.slp*($T915="Submitted"))+(_xlpm.ffp*($X915="Submitted"))+(_xlpm.chp*($AB915="Submitted"))+(_xlpm.usp*($AF915="Submitted")),_xlpm.term,(_xlpm.sfp*OR($P915="Approved",$P915="Declined"))+(_xlpm.slp*OR($T915="Approved",$T915="Declined"))+(_xlpm.ffp*OR($X915="Approved",$X915="Declined"))+(_xlpm.chp*OR($AB915="Approved",$AB915="Declined"))+(_xlpm.usp*OR($AF915="Approved",$AF915="Declined")),IF(_xlpm.n=0,"No applicable lenders",IF(_xlpm.sub&gt;0,"Stays with Shaw - lender still Submitted",IF(_xlpm.term=_xlpm.n,"Clear - all applicable lenders Approved or Declined","Stays with Shaw - not all lenders Approved or Declined")))))</f>
      </c>
    </row>
    <row r="916" spans="80:80">
      <c r="CB916" s="131">
        <f>IF($A916="","",_xlfn.LET(_xlpm.sfp,AND($P916&lt;&gt;"",$P916&lt;&gt;"N/A",$P916&lt;&gt;"No Min RQ"),_xlpm.slp,AND($T916&lt;&gt;"",$T916&lt;&gt;"N/A",$T916&lt;&gt;"No Min RQ"),_xlpm.ffp,AND($X916&lt;&gt;"",$X916&lt;&gt;"N/A",$X916&lt;&gt;"No Min RQ"),_xlpm.chp,AND($AB916&lt;&gt;"",$AB916&lt;&gt;"N/A",$AB916&lt;&gt;"No Min RQ"),_xlpm.usp,AND($AF916&lt;&gt;"",$AF916&lt;&gt;"N/A",$AF916&lt;&gt;"No Min RQ"),_xlpm.n,_xlpm.sfp+_xlpm.slp+_xlpm.ffp+_xlpm.chp+_xlpm.usp,_xlpm.sub,(_xlpm.sfp*($P916="Submitted"))+(_xlpm.slp*($T916="Submitted"))+(_xlpm.ffp*($X916="Submitted"))+(_xlpm.chp*($AB916="Submitted"))+(_xlpm.usp*($AF916="Submitted")),_xlpm.term,(_xlpm.sfp*OR($P916="Approved",$P916="Declined"))+(_xlpm.slp*OR($T916="Approved",$T916="Declined"))+(_xlpm.ffp*OR($X916="Approved",$X916="Declined"))+(_xlpm.chp*OR($AB916="Approved",$AB916="Declined"))+(_xlpm.usp*OR($AF916="Approved",$AF916="Declined")),IF(_xlpm.n=0,"No applicable lenders",IF(_xlpm.sub&gt;0,"Stays with Shaw - lender still Submitted",IF(_xlpm.term=_xlpm.n,"Clear - all applicable lenders Approved or Declined","Stays with Shaw - not all lenders Approved or Declined")))))</f>
      </c>
    </row>
    <row r="917" spans="80:80">
      <c r="CB917" s="131">
        <f>IF($A917="","",_xlfn.LET(_xlpm.sfp,AND($P917&lt;&gt;"",$P917&lt;&gt;"N/A",$P917&lt;&gt;"No Min RQ"),_xlpm.slp,AND($T917&lt;&gt;"",$T917&lt;&gt;"N/A",$T917&lt;&gt;"No Min RQ"),_xlpm.ffp,AND($X917&lt;&gt;"",$X917&lt;&gt;"N/A",$X917&lt;&gt;"No Min RQ"),_xlpm.chp,AND($AB917&lt;&gt;"",$AB917&lt;&gt;"N/A",$AB917&lt;&gt;"No Min RQ"),_xlpm.usp,AND($AF917&lt;&gt;"",$AF917&lt;&gt;"N/A",$AF917&lt;&gt;"No Min RQ"),_xlpm.n,_xlpm.sfp+_xlpm.slp+_xlpm.ffp+_xlpm.chp+_xlpm.usp,_xlpm.sub,(_xlpm.sfp*($P917="Submitted"))+(_xlpm.slp*($T917="Submitted"))+(_xlpm.ffp*($X917="Submitted"))+(_xlpm.chp*($AB917="Submitted"))+(_xlpm.usp*($AF917="Submitted")),_xlpm.term,(_xlpm.sfp*OR($P917="Approved",$P917="Declined"))+(_xlpm.slp*OR($T917="Approved",$T917="Declined"))+(_xlpm.ffp*OR($X917="Approved",$X917="Declined"))+(_xlpm.chp*OR($AB917="Approved",$AB917="Declined"))+(_xlpm.usp*OR($AF917="Approved",$AF917="Declined")),IF(_xlpm.n=0,"No applicable lenders",IF(_xlpm.sub&gt;0,"Stays with Shaw - lender still Submitted",IF(_xlpm.term=_xlpm.n,"Clear - all applicable lenders Approved or Declined","Stays with Shaw - not all lenders Approved or Declined")))))</f>
      </c>
    </row>
    <row r="918" spans="80:80">
      <c r="CB918" s="131">
        <f>IF($A918="","",_xlfn.LET(_xlpm.sfp,AND($P918&lt;&gt;"",$P918&lt;&gt;"N/A",$P918&lt;&gt;"No Min RQ"),_xlpm.slp,AND($T918&lt;&gt;"",$T918&lt;&gt;"N/A",$T918&lt;&gt;"No Min RQ"),_xlpm.ffp,AND($X918&lt;&gt;"",$X918&lt;&gt;"N/A",$X918&lt;&gt;"No Min RQ"),_xlpm.chp,AND($AB918&lt;&gt;"",$AB918&lt;&gt;"N/A",$AB918&lt;&gt;"No Min RQ"),_xlpm.usp,AND($AF918&lt;&gt;"",$AF918&lt;&gt;"N/A",$AF918&lt;&gt;"No Min RQ"),_xlpm.n,_xlpm.sfp+_xlpm.slp+_xlpm.ffp+_xlpm.chp+_xlpm.usp,_xlpm.sub,(_xlpm.sfp*($P918="Submitted"))+(_xlpm.slp*($T918="Submitted"))+(_xlpm.ffp*($X918="Submitted"))+(_xlpm.chp*($AB918="Submitted"))+(_xlpm.usp*($AF918="Submitted")),_xlpm.term,(_xlpm.sfp*OR($P918="Approved",$P918="Declined"))+(_xlpm.slp*OR($T918="Approved",$T918="Declined"))+(_xlpm.ffp*OR($X918="Approved",$X918="Declined"))+(_xlpm.chp*OR($AB918="Approved",$AB918="Declined"))+(_xlpm.usp*OR($AF918="Approved",$AF918="Declined")),IF(_xlpm.n=0,"No applicable lenders",IF(_xlpm.sub&gt;0,"Stays with Shaw - lender still Submitted",IF(_xlpm.term=_xlpm.n,"Clear - all applicable lenders Approved or Declined","Stays with Shaw - not all lenders Approved or Declined")))))</f>
      </c>
    </row>
    <row r="919" spans="80:80">
      <c r="CB919" s="131">
        <f>IF($A919="","",_xlfn.LET(_xlpm.sfp,AND($P919&lt;&gt;"",$P919&lt;&gt;"N/A",$P919&lt;&gt;"No Min RQ"),_xlpm.slp,AND($T919&lt;&gt;"",$T919&lt;&gt;"N/A",$T919&lt;&gt;"No Min RQ"),_xlpm.ffp,AND($X919&lt;&gt;"",$X919&lt;&gt;"N/A",$X919&lt;&gt;"No Min RQ"),_xlpm.chp,AND($AB919&lt;&gt;"",$AB919&lt;&gt;"N/A",$AB919&lt;&gt;"No Min RQ"),_xlpm.usp,AND($AF919&lt;&gt;"",$AF919&lt;&gt;"N/A",$AF919&lt;&gt;"No Min RQ"),_xlpm.n,_xlpm.sfp+_xlpm.slp+_xlpm.ffp+_xlpm.chp+_xlpm.usp,_xlpm.sub,(_xlpm.sfp*($P919="Submitted"))+(_xlpm.slp*($T919="Submitted"))+(_xlpm.ffp*($X919="Submitted"))+(_xlpm.chp*($AB919="Submitted"))+(_xlpm.usp*($AF919="Submitted")),_xlpm.term,(_xlpm.sfp*OR($P919="Approved",$P919="Declined"))+(_xlpm.slp*OR($T919="Approved",$T919="Declined"))+(_xlpm.ffp*OR($X919="Approved",$X919="Declined"))+(_xlpm.chp*OR($AB919="Approved",$AB919="Declined"))+(_xlpm.usp*OR($AF919="Approved",$AF919="Declined")),IF(_xlpm.n=0,"No applicable lenders",IF(_xlpm.sub&gt;0,"Stays with Shaw - lender still Submitted",IF(_xlpm.term=_xlpm.n,"Clear - all applicable lenders Approved or Declined","Stays with Shaw - not all lenders Approved or Declined")))))</f>
      </c>
    </row>
    <row r="920" spans="80:80">
      <c r="CB920" s="131">
        <f>IF($A920="","",_xlfn.LET(_xlpm.sfp,AND($P920&lt;&gt;"",$P920&lt;&gt;"N/A",$P920&lt;&gt;"No Min RQ"),_xlpm.slp,AND($T920&lt;&gt;"",$T920&lt;&gt;"N/A",$T920&lt;&gt;"No Min RQ"),_xlpm.ffp,AND($X920&lt;&gt;"",$X920&lt;&gt;"N/A",$X920&lt;&gt;"No Min RQ"),_xlpm.chp,AND($AB920&lt;&gt;"",$AB920&lt;&gt;"N/A",$AB920&lt;&gt;"No Min RQ"),_xlpm.usp,AND($AF920&lt;&gt;"",$AF920&lt;&gt;"N/A",$AF920&lt;&gt;"No Min RQ"),_xlpm.n,_xlpm.sfp+_xlpm.slp+_xlpm.ffp+_xlpm.chp+_xlpm.usp,_xlpm.sub,(_xlpm.sfp*($P920="Submitted"))+(_xlpm.slp*($T920="Submitted"))+(_xlpm.ffp*($X920="Submitted"))+(_xlpm.chp*($AB920="Submitted"))+(_xlpm.usp*($AF920="Submitted")),_xlpm.term,(_xlpm.sfp*OR($P920="Approved",$P920="Declined"))+(_xlpm.slp*OR($T920="Approved",$T920="Declined"))+(_xlpm.ffp*OR($X920="Approved",$X920="Declined"))+(_xlpm.chp*OR($AB920="Approved",$AB920="Declined"))+(_xlpm.usp*OR($AF920="Approved",$AF920="Declined")),IF(_xlpm.n=0,"No applicable lenders",IF(_xlpm.sub&gt;0,"Stays with Shaw - lender still Submitted",IF(_xlpm.term=_xlpm.n,"Clear - all applicable lenders Approved or Declined","Stays with Shaw - not all lenders Approved or Declined")))))</f>
      </c>
    </row>
    <row r="921" spans="80:80">
      <c r="CB921" s="131">
        <f>IF($A921="","",_xlfn.LET(_xlpm.sfp,AND($P921&lt;&gt;"",$P921&lt;&gt;"N/A",$P921&lt;&gt;"No Min RQ"),_xlpm.slp,AND($T921&lt;&gt;"",$T921&lt;&gt;"N/A",$T921&lt;&gt;"No Min RQ"),_xlpm.ffp,AND($X921&lt;&gt;"",$X921&lt;&gt;"N/A",$X921&lt;&gt;"No Min RQ"),_xlpm.chp,AND($AB921&lt;&gt;"",$AB921&lt;&gt;"N/A",$AB921&lt;&gt;"No Min RQ"),_xlpm.usp,AND($AF921&lt;&gt;"",$AF921&lt;&gt;"N/A",$AF921&lt;&gt;"No Min RQ"),_xlpm.n,_xlpm.sfp+_xlpm.slp+_xlpm.ffp+_xlpm.chp+_xlpm.usp,_xlpm.sub,(_xlpm.sfp*($P921="Submitted"))+(_xlpm.slp*($T921="Submitted"))+(_xlpm.ffp*($X921="Submitted"))+(_xlpm.chp*($AB921="Submitted"))+(_xlpm.usp*($AF921="Submitted")),_xlpm.term,(_xlpm.sfp*OR($P921="Approved",$P921="Declined"))+(_xlpm.slp*OR($T921="Approved",$T921="Declined"))+(_xlpm.ffp*OR($X921="Approved",$X921="Declined"))+(_xlpm.chp*OR($AB921="Approved",$AB921="Declined"))+(_xlpm.usp*OR($AF921="Approved",$AF921="Declined")),IF(_xlpm.n=0,"No applicable lenders",IF(_xlpm.sub&gt;0,"Stays with Shaw - lender still Submitted",IF(_xlpm.term=_xlpm.n,"Clear - all applicable lenders Approved or Declined","Stays with Shaw - not all lenders Approved or Declined")))))</f>
      </c>
    </row>
    <row r="922" spans="80:80">
      <c r="CB922" s="131">
        <f>IF($A922="","",_xlfn.LET(_xlpm.sfp,AND($P922&lt;&gt;"",$P922&lt;&gt;"N/A",$P922&lt;&gt;"No Min RQ"),_xlpm.slp,AND($T922&lt;&gt;"",$T922&lt;&gt;"N/A",$T922&lt;&gt;"No Min RQ"),_xlpm.ffp,AND($X922&lt;&gt;"",$X922&lt;&gt;"N/A",$X922&lt;&gt;"No Min RQ"),_xlpm.chp,AND($AB922&lt;&gt;"",$AB922&lt;&gt;"N/A",$AB922&lt;&gt;"No Min RQ"),_xlpm.usp,AND($AF922&lt;&gt;"",$AF922&lt;&gt;"N/A",$AF922&lt;&gt;"No Min RQ"),_xlpm.n,_xlpm.sfp+_xlpm.slp+_xlpm.ffp+_xlpm.chp+_xlpm.usp,_xlpm.sub,(_xlpm.sfp*($P922="Submitted"))+(_xlpm.slp*($T922="Submitted"))+(_xlpm.ffp*($X922="Submitted"))+(_xlpm.chp*($AB922="Submitted"))+(_xlpm.usp*($AF922="Submitted")),_xlpm.term,(_xlpm.sfp*OR($P922="Approved",$P922="Declined"))+(_xlpm.slp*OR($T922="Approved",$T922="Declined"))+(_xlpm.ffp*OR($X922="Approved",$X922="Declined"))+(_xlpm.chp*OR($AB922="Approved",$AB922="Declined"))+(_xlpm.usp*OR($AF922="Approved",$AF922="Declined")),IF(_xlpm.n=0,"No applicable lenders",IF(_xlpm.sub&gt;0,"Stays with Shaw - lender still Submitted",IF(_xlpm.term=_xlpm.n,"Clear - all applicable lenders Approved or Declined","Stays with Shaw - not all lenders Approved or Declined")))))</f>
      </c>
    </row>
    <row r="923" spans="80:80">
      <c r="CB923" s="131">
        <f>IF($A923="","",_xlfn.LET(_xlpm.sfp,AND($P923&lt;&gt;"",$P923&lt;&gt;"N/A",$P923&lt;&gt;"No Min RQ"),_xlpm.slp,AND($T923&lt;&gt;"",$T923&lt;&gt;"N/A",$T923&lt;&gt;"No Min RQ"),_xlpm.ffp,AND($X923&lt;&gt;"",$X923&lt;&gt;"N/A",$X923&lt;&gt;"No Min RQ"),_xlpm.chp,AND($AB923&lt;&gt;"",$AB923&lt;&gt;"N/A",$AB923&lt;&gt;"No Min RQ"),_xlpm.usp,AND($AF923&lt;&gt;"",$AF923&lt;&gt;"N/A",$AF923&lt;&gt;"No Min RQ"),_xlpm.n,_xlpm.sfp+_xlpm.slp+_xlpm.ffp+_xlpm.chp+_xlpm.usp,_xlpm.sub,(_xlpm.sfp*($P923="Submitted"))+(_xlpm.slp*($T923="Submitted"))+(_xlpm.ffp*($X923="Submitted"))+(_xlpm.chp*($AB923="Submitted"))+(_xlpm.usp*($AF923="Submitted")),_xlpm.term,(_xlpm.sfp*OR($P923="Approved",$P923="Declined"))+(_xlpm.slp*OR($T923="Approved",$T923="Declined"))+(_xlpm.ffp*OR($X923="Approved",$X923="Declined"))+(_xlpm.chp*OR($AB923="Approved",$AB923="Declined"))+(_xlpm.usp*OR($AF923="Approved",$AF923="Declined")),IF(_xlpm.n=0,"No applicable lenders",IF(_xlpm.sub&gt;0,"Stays with Shaw - lender still Submitted",IF(_xlpm.term=_xlpm.n,"Clear - all applicable lenders Approved or Declined","Stays with Shaw - not all lenders Approved or Declined")))))</f>
      </c>
    </row>
    <row r="924" spans="80:80">
      <c r="CB924" s="131">
        <f>IF($A924="","",_xlfn.LET(_xlpm.sfp,AND($P924&lt;&gt;"",$P924&lt;&gt;"N/A",$P924&lt;&gt;"No Min RQ"),_xlpm.slp,AND($T924&lt;&gt;"",$T924&lt;&gt;"N/A",$T924&lt;&gt;"No Min RQ"),_xlpm.ffp,AND($X924&lt;&gt;"",$X924&lt;&gt;"N/A",$X924&lt;&gt;"No Min RQ"),_xlpm.chp,AND($AB924&lt;&gt;"",$AB924&lt;&gt;"N/A",$AB924&lt;&gt;"No Min RQ"),_xlpm.usp,AND($AF924&lt;&gt;"",$AF924&lt;&gt;"N/A",$AF924&lt;&gt;"No Min RQ"),_xlpm.n,_xlpm.sfp+_xlpm.slp+_xlpm.ffp+_xlpm.chp+_xlpm.usp,_xlpm.sub,(_xlpm.sfp*($P924="Submitted"))+(_xlpm.slp*($T924="Submitted"))+(_xlpm.ffp*($X924="Submitted"))+(_xlpm.chp*($AB924="Submitted"))+(_xlpm.usp*($AF924="Submitted")),_xlpm.term,(_xlpm.sfp*OR($P924="Approved",$P924="Declined"))+(_xlpm.slp*OR($T924="Approved",$T924="Declined"))+(_xlpm.ffp*OR($X924="Approved",$X924="Declined"))+(_xlpm.chp*OR($AB924="Approved",$AB924="Declined"))+(_xlpm.usp*OR($AF924="Approved",$AF924="Declined")),IF(_xlpm.n=0,"No applicable lenders",IF(_xlpm.sub&gt;0,"Stays with Shaw - lender still Submitted",IF(_xlpm.term=_xlpm.n,"Clear - all applicable lenders Approved or Declined","Stays with Shaw - not all lenders Approved or Declined")))))</f>
      </c>
    </row>
    <row r="925" spans="80:80">
      <c r="CB925" s="131">
        <f>IF($A925="","",_xlfn.LET(_xlpm.sfp,AND($P925&lt;&gt;"",$P925&lt;&gt;"N/A",$P925&lt;&gt;"No Min RQ"),_xlpm.slp,AND($T925&lt;&gt;"",$T925&lt;&gt;"N/A",$T925&lt;&gt;"No Min RQ"),_xlpm.ffp,AND($X925&lt;&gt;"",$X925&lt;&gt;"N/A",$X925&lt;&gt;"No Min RQ"),_xlpm.chp,AND($AB925&lt;&gt;"",$AB925&lt;&gt;"N/A",$AB925&lt;&gt;"No Min RQ"),_xlpm.usp,AND($AF925&lt;&gt;"",$AF925&lt;&gt;"N/A",$AF925&lt;&gt;"No Min RQ"),_xlpm.n,_xlpm.sfp+_xlpm.slp+_xlpm.ffp+_xlpm.chp+_xlpm.usp,_xlpm.sub,(_xlpm.sfp*($P925="Submitted"))+(_xlpm.slp*($T925="Submitted"))+(_xlpm.ffp*($X925="Submitted"))+(_xlpm.chp*($AB925="Submitted"))+(_xlpm.usp*($AF925="Submitted")),_xlpm.term,(_xlpm.sfp*OR($P925="Approved",$P925="Declined"))+(_xlpm.slp*OR($T925="Approved",$T925="Declined"))+(_xlpm.ffp*OR($X925="Approved",$X925="Declined"))+(_xlpm.chp*OR($AB925="Approved",$AB925="Declined"))+(_xlpm.usp*OR($AF925="Approved",$AF925="Declined")),IF(_xlpm.n=0,"No applicable lenders",IF(_xlpm.sub&gt;0,"Stays with Shaw - lender still Submitted",IF(_xlpm.term=_xlpm.n,"Clear - all applicable lenders Approved or Declined","Stays with Shaw - not all lenders Approved or Declined")))))</f>
      </c>
    </row>
    <row r="926" spans="80:80">
      <c r="CB926" s="131">
        <f>IF($A926="","",_xlfn.LET(_xlpm.sfp,AND($P926&lt;&gt;"",$P926&lt;&gt;"N/A",$P926&lt;&gt;"No Min RQ"),_xlpm.slp,AND($T926&lt;&gt;"",$T926&lt;&gt;"N/A",$T926&lt;&gt;"No Min RQ"),_xlpm.ffp,AND($X926&lt;&gt;"",$X926&lt;&gt;"N/A",$X926&lt;&gt;"No Min RQ"),_xlpm.chp,AND($AB926&lt;&gt;"",$AB926&lt;&gt;"N/A",$AB926&lt;&gt;"No Min RQ"),_xlpm.usp,AND($AF926&lt;&gt;"",$AF926&lt;&gt;"N/A",$AF926&lt;&gt;"No Min RQ"),_xlpm.n,_xlpm.sfp+_xlpm.slp+_xlpm.ffp+_xlpm.chp+_xlpm.usp,_xlpm.sub,(_xlpm.sfp*($P926="Submitted"))+(_xlpm.slp*($T926="Submitted"))+(_xlpm.ffp*($X926="Submitted"))+(_xlpm.chp*($AB926="Submitted"))+(_xlpm.usp*($AF926="Submitted")),_xlpm.term,(_xlpm.sfp*OR($P926="Approved",$P926="Declined"))+(_xlpm.slp*OR($T926="Approved",$T926="Declined"))+(_xlpm.ffp*OR($X926="Approved",$X926="Declined"))+(_xlpm.chp*OR($AB926="Approved",$AB926="Declined"))+(_xlpm.usp*OR($AF926="Approved",$AF926="Declined")),IF(_xlpm.n=0,"No applicable lenders",IF(_xlpm.sub&gt;0,"Stays with Shaw - lender still Submitted",IF(_xlpm.term=_xlpm.n,"Clear - all applicable lenders Approved or Declined","Stays with Shaw - not all lenders Approved or Declined")))))</f>
      </c>
    </row>
    <row r="927" spans="80:80">
      <c r="CB927" s="131">
        <f>IF($A927="","",_xlfn.LET(_xlpm.sfp,AND($P927&lt;&gt;"",$P927&lt;&gt;"N/A",$P927&lt;&gt;"No Min RQ"),_xlpm.slp,AND($T927&lt;&gt;"",$T927&lt;&gt;"N/A",$T927&lt;&gt;"No Min RQ"),_xlpm.ffp,AND($X927&lt;&gt;"",$X927&lt;&gt;"N/A",$X927&lt;&gt;"No Min RQ"),_xlpm.chp,AND($AB927&lt;&gt;"",$AB927&lt;&gt;"N/A",$AB927&lt;&gt;"No Min RQ"),_xlpm.usp,AND($AF927&lt;&gt;"",$AF927&lt;&gt;"N/A",$AF927&lt;&gt;"No Min RQ"),_xlpm.n,_xlpm.sfp+_xlpm.slp+_xlpm.ffp+_xlpm.chp+_xlpm.usp,_xlpm.sub,(_xlpm.sfp*($P927="Submitted"))+(_xlpm.slp*($T927="Submitted"))+(_xlpm.ffp*($X927="Submitted"))+(_xlpm.chp*($AB927="Submitted"))+(_xlpm.usp*($AF927="Submitted")),_xlpm.term,(_xlpm.sfp*OR($P927="Approved",$P927="Declined"))+(_xlpm.slp*OR($T927="Approved",$T927="Declined"))+(_xlpm.ffp*OR($X927="Approved",$X927="Declined"))+(_xlpm.chp*OR($AB927="Approved",$AB927="Declined"))+(_xlpm.usp*OR($AF927="Approved",$AF927="Declined")),IF(_xlpm.n=0,"No applicable lenders",IF(_xlpm.sub&gt;0,"Stays with Shaw - lender still Submitted",IF(_xlpm.term=_xlpm.n,"Clear - all applicable lenders Approved or Declined","Stays with Shaw - not all lenders Approved or Declined")))))</f>
      </c>
    </row>
    <row r="928" spans="80:80">
      <c r="CB928" s="131">
        <f>IF($A928="","",_xlfn.LET(_xlpm.sfp,AND($P928&lt;&gt;"",$P928&lt;&gt;"N/A",$P928&lt;&gt;"No Min RQ"),_xlpm.slp,AND($T928&lt;&gt;"",$T928&lt;&gt;"N/A",$T928&lt;&gt;"No Min RQ"),_xlpm.ffp,AND($X928&lt;&gt;"",$X928&lt;&gt;"N/A",$X928&lt;&gt;"No Min RQ"),_xlpm.chp,AND($AB928&lt;&gt;"",$AB928&lt;&gt;"N/A",$AB928&lt;&gt;"No Min RQ"),_xlpm.usp,AND($AF928&lt;&gt;"",$AF928&lt;&gt;"N/A",$AF928&lt;&gt;"No Min RQ"),_xlpm.n,_xlpm.sfp+_xlpm.slp+_xlpm.ffp+_xlpm.chp+_xlpm.usp,_xlpm.sub,(_xlpm.sfp*($P928="Submitted"))+(_xlpm.slp*($T928="Submitted"))+(_xlpm.ffp*($X928="Submitted"))+(_xlpm.chp*($AB928="Submitted"))+(_xlpm.usp*($AF928="Submitted")),_xlpm.term,(_xlpm.sfp*OR($P928="Approved",$P928="Declined"))+(_xlpm.slp*OR($T928="Approved",$T928="Declined"))+(_xlpm.ffp*OR($X928="Approved",$X928="Declined"))+(_xlpm.chp*OR($AB928="Approved",$AB928="Declined"))+(_xlpm.usp*OR($AF928="Approved",$AF928="Declined")),IF(_xlpm.n=0,"No applicable lenders",IF(_xlpm.sub&gt;0,"Stays with Shaw - lender still Submitted",IF(_xlpm.term=_xlpm.n,"Clear - all applicable lenders Approved or Declined","Stays with Shaw - not all lenders Approved or Declined")))))</f>
      </c>
    </row>
    <row r="929" spans="80:80">
      <c r="CB929" s="131">
        <f>IF($A929="","",_xlfn.LET(_xlpm.sfp,AND($P929&lt;&gt;"",$P929&lt;&gt;"N/A",$P929&lt;&gt;"No Min RQ"),_xlpm.slp,AND($T929&lt;&gt;"",$T929&lt;&gt;"N/A",$T929&lt;&gt;"No Min RQ"),_xlpm.ffp,AND($X929&lt;&gt;"",$X929&lt;&gt;"N/A",$X929&lt;&gt;"No Min RQ"),_xlpm.chp,AND($AB929&lt;&gt;"",$AB929&lt;&gt;"N/A",$AB929&lt;&gt;"No Min RQ"),_xlpm.usp,AND($AF929&lt;&gt;"",$AF929&lt;&gt;"N/A",$AF929&lt;&gt;"No Min RQ"),_xlpm.n,_xlpm.sfp+_xlpm.slp+_xlpm.ffp+_xlpm.chp+_xlpm.usp,_xlpm.sub,(_xlpm.sfp*($P929="Submitted"))+(_xlpm.slp*($T929="Submitted"))+(_xlpm.ffp*($X929="Submitted"))+(_xlpm.chp*($AB929="Submitted"))+(_xlpm.usp*($AF929="Submitted")),_xlpm.term,(_xlpm.sfp*OR($P929="Approved",$P929="Declined"))+(_xlpm.slp*OR($T929="Approved",$T929="Declined"))+(_xlpm.ffp*OR($X929="Approved",$X929="Declined"))+(_xlpm.chp*OR($AB929="Approved",$AB929="Declined"))+(_xlpm.usp*OR($AF929="Approved",$AF929="Declined")),IF(_xlpm.n=0,"No applicable lenders",IF(_xlpm.sub&gt;0,"Stays with Shaw - lender still Submitted",IF(_xlpm.term=_xlpm.n,"Clear - all applicable lenders Approved or Declined","Stays with Shaw - not all lenders Approved or Declined")))))</f>
      </c>
    </row>
    <row r="930" spans="80:80">
      <c r="CB930" s="131">
        <f>IF($A930="","",_xlfn.LET(_xlpm.sfp,AND($P930&lt;&gt;"",$P930&lt;&gt;"N/A",$P930&lt;&gt;"No Min RQ"),_xlpm.slp,AND($T930&lt;&gt;"",$T930&lt;&gt;"N/A",$T930&lt;&gt;"No Min RQ"),_xlpm.ffp,AND($X930&lt;&gt;"",$X930&lt;&gt;"N/A",$X930&lt;&gt;"No Min RQ"),_xlpm.chp,AND($AB930&lt;&gt;"",$AB930&lt;&gt;"N/A",$AB930&lt;&gt;"No Min RQ"),_xlpm.usp,AND($AF930&lt;&gt;"",$AF930&lt;&gt;"N/A",$AF930&lt;&gt;"No Min RQ"),_xlpm.n,_xlpm.sfp+_xlpm.slp+_xlpm.ffp+_xlpm.chp+_xlpm.usp,_xlpm.sub,(_xlpm.sfp*($P930="Submitted"))+(_xlpm.slp*($T930="Submitted"))+(_xlpm.ffp*($X930="Submitted"))+(_xlpm.chp*($AB930="Submitted"))+(_xlpm.usp*($AF930="Submitted")),_xlpm.term,(_xlpm.sfp*OR($P930="Approved",$P930="Declined"))+(_xlpm.slp*OR($T930="Approved",$T930="Declined"))+(_xlpm.ffp*OR($X930="Approved",$X930="Declined"))+(_xlpm.chp*OR($AB930="Approved",$AB930="Declined"))+(_xlpm.usp*OR($AF930="Approved",$AF930="Declined")),IF(_xlpm.n=0,"No applicable lenders",IF(_xlpm.sub&gt;0,"Stays with Shaw - lender still Submitted",IF(_xlpm.term=_xlpm.n,"Clear - all applicable lenders Approved or Declined","Stays with Shaw - not all lenders Approved or Declined")))))</f>
      </c>
    </row>
    <row r="931" spans="80:80">
      <c r="CB931" s="131">
        <f>IF($A931="","",_xlfn.LET(_xlpm.sfp,AND($P931&lt;&gt;"",$P931&lt;&gt;"N/A",$P931&lt;&gt;"No Min RQ"),_xlpm.slp,AND($T931&lt;&gt;"",$T931&lt;&gt;"N/A",$T931&lt;&gt;"No Min RQ"),_xlpm.ffp,AND($X931&lt;&gt;"",$X931&lt;&gt;"N/A",$X931&lt;&gt;"No Min RQ"),_xlpm.chp,AND($AB931&lt;&gt;"",$AB931&lt;&gt;"N/A",$AB931&lt;&gt;"No Min RQ"),_xlpm.usp,AND($AF931&lt;&gt;"",$AF931&lt;&gt;"N/A",$AF931&lt;&gt;"No Min RQ"),_xlpm.n,_xlpm.sfp+_xlpm.slp+_xlpm.ffp+_xlpm.chp+_xlpm.usp,_xlpm.sub,(_xlpm.sfp*($P931="Submitted"))+(_xlpm.slp*($T931="Submitted"))+(_xlpm.ffp*($X931="Submitted"))+(_xlpm.chp*($AB931="Submitted"))+(_xlpm.usp*($AF931="Submitted")),_xlpm.term,(_xlpm.sfp*OR($P931="Approved",$P931="Declined"))+(_xlpm.slp*OR($T931="Approved",$T931="Declined"))+(_xlpm.ffp*OR($X931="Approved",$X931="Declined"))+(_xlpm.chp*OR($AB931="Approved",$AB931="Declined"))+(_xlpm.usp*OR($AF931="Approved",$AF931="Declined")),IF(_xlpm.n=0,"No applicable lenders",IF(_xlpm.sub&gt;0,"Stays with Shaw - lender still Submitted",IF(_xlpm.term=_xlpm.n,"Clear - all applicable lenders Approved or Declined","Stays with Shaw - not all lenders Approved or Declined")))))</f>
      </c>
    </row>
    <row r="932" spans="80:80">
      <c r="CB932" s="131">
        <f>IF($A932="","",_xlfn.LET(_xlpm.sfp,AND($P932&lt;&gt;"",$P932&lt;&gt;"N/A",$P932&lt;&gt;"No Min RQ"),_xlpm.slp,AND($T932&lt;&gt;"",$T932&lt;&gt;"N/A",$T932&lt;&gt;"No Min RQ"),_xlpm.ffp,AND($X932&lt;&gt;"",$X932&lt;&gt;"N/A",$X932&lt;&gt;"No Min RQ"),_xlpm.chp,AND($AB932&lt;&gt;"",$AB932&lt;&gt;"N/A",$AB932&lt;&gt;"No Min RQ"),_xlpm.usp,AND($AF932&lt;&gt;"",$AF932&lt;&gt;"N/A",$AF932&lt;&gt;"No Min RQ"),_xlpm.n,_xlpm.sfp+_xlpm.slp+_xlpm.ffp+_xlpm.chp+_xlpm.usp,_xlpm.sub,(_xlpm.sfp*($P932="Submitted"))+(_xlpm.slp*($T932="Submitted"))+(_xlpm.ffp*($X932="Submitted"))+(_xlpm.chp*($AB932="Submitted"))+(_xlpm.usp*($AF932="Submitted")),_xlpm.term,(_xlpm.sfp*OR($P932="Approved",$P932="Declined"))+(_xlpm.slp*OR($T932="Approved",$T932="Declined"))+(_xlpm.ffp*OR($X932="Approved",$X932="Declined"))+(_xlpm.chp*OR($AB932="Approved",$AB932="Declined"))+(_xlpm.usp*OR($AF932="Approved",$AF932="Declined")),IF(_xlpm.n=0,"No applicable lenders",IF(_xlpm.sub&gt;0,"Stays with Shaw - lender still Submitted",IF(_xlpm.term=_xlpm.n,"Clear - all applicable lenders Approved or Declined","Stays with Shaw - not all lenders Approved or Declined")))))</f>
      </c>
    </row>
    <row r="933" spans="80:80">
      <c r="CB933" s="131">
        <f>IF($A933="","",_xlfn.LET(_xlpm.sfp,AND($P933&lt;&gt;"",$P933&lt;&gt;"N/A",$P933&lt;&gt;"No Min RQ"),_xlpm.slp,AND($T933&lt;&gt;"",$T933&lt;&gt;"N/A",$T933&lt;&gt;"No Min RQ"),_xlpm.ffp,AND($X933&lt;&gt;"",$X933&lt;&gt;"N/A",$X933&lt;&gt;"No Min RQ"),_xlpm.chp,AND($AB933&lt;&gt;"",$AB933&lt;&gt;"N/A",$AB933&lt;&gt;"No Min RQ"),_xlpm.usp,AND($AF933&lt;&gt;"",$AF933&lt;&gt;"N/A",$AF933&lt;&gt;"No Min RQ"),_xlpm.n,_xlpm.sfp+_xlpm.slp+_xlpm.ffp+_xlpm.chp+_xlpm.usp,_xlpm.sub,(_xlpm.sfp*($P933="Submitted"))+(_xlpm.slp*($T933="Submitted"))+(_xlpm.ffp*($X933="Submitted"))+(_xlpm.chp*($AB933="Submitted"))+(_xlpm.usp*($AF933="Submitted")),_xlpm.term,(_xlpm.sfp*OR($P933="Approved",$P933="Declined"))+(_xlpm.slp*OR($T933="Approved",$T933="Declined"))+(_xlpm.ffp*OR($X933="Approved",$X933="Declined"))+(_xlpm.chp*OR($AB933="Approved",$AB933="Declined"))+(_xlpm.usp*OR($AF933="Approved",$AF933="Declined")),IF(_xlpm.n=0,"No applicable lenders",IF(_xlpm.sub&gt;0,"Stays with Shaw - lender still Submitted",IF(_xlpm.term=_xlpm.n,"Clear - all applicable lenders Approved or Declined","Stays with Shaw - not all lenders Approved or Declined")))))</f>
      </c>
    </row>
    <row r="934" spans="80:80">
      <c r="CB934" s="131">
        <f>IF($A934="","",_xlfn.LET(_xlpm.sfp,AND($P934&lt;&gt;"",$P934&lt;&gt;"N/A",$P934&lt;&gt;"No Min RQ"),_xlpm.slp,AND($T934&lt;&gt;"",$T934&lt;&gt;"N/A",$T934&lt;&gt;"No Min RQ"),_xlpm.ffp,AND($X934&lt;&gt;"",$X934&lt;&gt;"N/A",$X934&lt;&gt;"No Min RQ"),_xlpm.chp,AND($AB934&lt;&gt;"",$AB934&lt;&gt;"N/A",$AB934&lt;&gt;"No Min RQ"),_xlpm.usp,AND($AF934&lt;&gt;"",$AF934&lt;&gt;"N/A",$AF934&lt;&gt;"No Min RQ"),_xlpm.n,_xlpm.sfp+_xlpm.slp+_xlpm.ffp+_xlpm.chp+_xlpm.usp,_xlpm.sub,(_xlpm.sfp*($P934="Submitted"))+(_xlpm.slp*($T934="Submitted"))+(_xlpm.ffp*($X934="Submitted"))+(_xlpm.chp*($AB934="Submitted"))+(_xlpm.usp*($AF934="Submitted")),_xlpm.term,(_xlpm.sfp*OR($P934="Approved",$P934="Declined"))+(_xlpm.slp*OR($T934="Approved",$T934="Declined"))+(_xlpm.ffp*OR($X934="Approved",$X934="Declined"))+(_xlpm.chp*OR($AB934="Approved",$AB934="Declined"))+(_xlpm.usp*OR($AF934="Approved",$AF934="Declined")),IF(_xlpm.n=0,"No applicable lenders",IF(_xlpm.sub&gt;0,"Stays with Shaw - lender still Submitted",IF(_xlpm.term=_xlpm.n,"Clear - all applicable lenders Approved or Declined","Stays with Shaw - not all lenders Approved or Declined")))))</f>
      </c>
    </row>
    <row r="935" spans="80:80">
      <c r="CB935" s="131">
        <f>IF($A935="","",_xlfn.LET(_xlpm.sfp,AND($P935&lt;&gt;"",$P935&lt;&gt;"N/A",$P935&lt;&gt;"No Min RQ"),_xlpm.slp,AND($T935&lt;&gt;"",$T935&lt;&gt;"N/A",$T935&lt;&gt;"No Min RQ"),_xlpm.ffp,AND($X935&lt;&gt;"",$X935&lt;&gt;"N/A",$X935&lt;&gt;"No Min RQ"),_xlpm.chp,AND($AB935&lt;&gt;"",$AB935&lt;&gt;"N/A",$AB935&lt;&gt;"No Min RQ"),_xlpm.usp,AND($AF935&lt;&gt;"",$AF935&lt;&gt;"N/A",$AF935&lt;&gt;"No Min RQ"),_xlpm.n,_xlpm.sfp+_xlpm.slp+_xlpm.ffp+_xlpm.chp+_xlpm.usp,_xlpm.sub,(_xlpm.sfp*($P935="Submitted"))+(_xlpm.slp*($T935="Submitted"))+(_xlpm.ffp*($X935="Submitted"))+(_xlpm.chp*($AB935="Submitted"))+(_xlpm.usp*($AF935="Submitted")),_xlpm.term,(_xlpm.sfp*OR($P935="Approved",$P935="Declined"))+(_xlpm.slp*OR($T935="Approved",$T935="Declined"))+(_xlpm.ffp*OR($X935="Approved",$X935="Declined"))+(_xlpm.chp*OR($AB935="Approved",$AB935="Declined"))+(_xlpm.usp*OR($AF935="Approved",$AF935="Declined")),IF(_xlpm.n=0,"No applicable lenders",IF(_xlpm.sub&gt;0,"Stays with Shaw - lender still Submitted",IF(_xlpm.term=_xlpm.n,"Clear - all applicable lenders Approved or Declined","Stays with Shaw - not all lenders Approved or Declined")))))</f>
      </c>
    </row>
    <row r="936" spans="80:80">
      <c r="CB936" s="131">
        <f>IF($A936="","",_xlfn.LET(_xlpm.sfp,AND($P936&lt;&gt;"",$P936&lt;&gt;"N/A",$P936&lt;&gt;"No Min RQ"),_xlpm.slp,AND($T936&lt;&gt;"",$T936&lt;&gt;"N/A",$T936&lt;&gt;"No Min RQ"),_xlpm.ffp,AND($X936&lt;&gt;"",$X936&lt;&gt;"N/A",$X936&lt;&gt;"No Min RQ"),_xlpm.chp,AND($AB936&lt;&gt;"",$AB936&lt;&gt;"N/A",$AB936&lt;&gt;"No Min RQ"),_xlpm.usp,AND($AF936&lt;&gt;"",$AF936&lt;&gt;"N/A",$AF936&lt;&gt;"No Min RQ"),_xlpm.n,_xlpm.sfp+_xlpm.slp+_xlpm.ffp+_xlpm.chp+_xlpm.usp,_xlpm.sub,(_xlpm.sfp*($P936="Submitted"))+(_xlpm.slp*($T936="Submitted"))+(_xlpm.ffp*($X936="Submitted"))+(_xlpm.chp*($AB936="Submitted"))+(_xlpm.usp*($AF936="Submitted")),_xlpm.term,(_xlpm.sfp*OR($P936="Approved",$P936="Declined"))+(_xlpm.slp*OR($T936="Approved",$T936="Declined"))+(_xlpm.ffp*OR($X936="Approved",$X936="Declined"))+(_xlpm.chp*OR($AB936="Approved",$AB936="Declined"))+(_xlpm.usp*OR($AF936="Approved",$AF936="Declined")),IF(_xlpm.n=0,"No applicable lenders",IF(_xlpm.sub&gt;0,"Stays with Shaw - lender still Submitted",IF(_xlpm.term=_xlpm.n,"Clear - all applicable lenders Approved or Declined","Stays with Shaw - not all lenders Approved or Declined")))))</f>
      </c>
    </row>
    <row r="937" spans="80:80">
      <c r="CB937" s="131">
        <f>IF($A937="","",_xlfn.LET(_xlpm.sfp,AND($P937&lt;&gt;"",$P937&lt;&gt;"N/A",$P937&lt;&gt;"No Min RQ"),_xlpm.slp,AND($T937&lt;&gt;"",$T937&lt;&gt;"N/A",$T937&lt;&gt;"No Min RQ"),_xlpm.ffp,AND($X937&lt;&gt;"",$X937&lt;&gt;"N/A",$X937&lt;&gt;"No Min RQ"),_xlpm.chp,AND($AB937&lt;&gt;"",$AB937&lt;&gt;"N/A",$AB937&lt;&gt;"No Min RQ"),_xlpm.usp,AND($AF937&lt;&gt;"",$AF937&lt;&gt;"N/A",$AF937&lt;&gt;"No Min RQ"),_xlpm.n,_xlpm.sfp+_xlpm.slp+_xlpm.ffp+_xlpm.chp+_xlpm.usp,_xlpm.sub,(_xlpm.sfp*($P937="Submitted"))+(_xlpm.slp*($T937="Submitted"))+(_xlpm.ffp*($X937="Submitted"))+(_xlpm.chp*($AB937="Submitted"))+(_xlpm.usp*($AF937="Submitted")),_xlpm.term,(_xlpm.sfp*OR($P937="Approved",$P937="Declined"))+(_xlpm.slp*OR($T937="Approved",$T937="Declined"))+(_xlpm.ffp*OR($X937="Approved",$X937="Declined"))+(_xlpm.chp*OR($AB937="Approved",$AB937="Declined"))+(_xlpm.usp*OR($AF937="Approved",$AF937="Declined")),IF(_xlpm.n=0,"No applicable lenders",IF(_xlpm.sub&gt;0,"Stays with Shaw - lender still Submitted",IF(_xlpm.term=_xlpm.n,"Clear - all applicable lenders Approved or Declined","Stays with Shaw - not all lenders Approved or Declined")))))</f>
      </c>
    </row>
    <row r="938" spans="80:80">
      <c r="CB938" s="131">
        <f>IF($A938="","",_xlfn.LET(_xlpm.sfp,AND($P938&lt;&gt;"",$P938&lt;&gt;"N/A",$P938&lt;&gt;"No Min RQ"),_xlpm.slp,AND($T938&lt;&gt;"",$T938&lt;&gt;"N/A",$T938&lt;&gt;"No Min RQ"),_xlpm.ffp,AND($X938&lt;&gt;"",$X938&lt;&gt;"N/A",$X938&lt;&gt;"No Min RQ"),_xlpm.chp,AND($AB938&lt;&gt;"",$AB938&lt;&gt;"N/A",$AB938&lt;&gt;"No Min RQ"),_xlpm.usp,AND($AF938&lt;&gt;"",$AF938&lt;&gt;"N/A",$AF938&lt;&gt;"No Min RQ"),_xlpm.n,_xlpm.sfp+_xlpm.slp+_xlpm.ffp+_xlpm.chp+_xlpm.usp,_xlpm.sub,(_xlpm.sfp*($P938="Submitted"))+(_xlpm.slp*($T938="Submitted"))+(_xlpm.ffp*($X938="Submitted"))+(_xlpm.chp*($AB938="Submitted"))+(_xlpm.usp*($AF938="Submitted")),_xlpm.term,(_xlpm.sfp*OR($P938="Approved",$P938="Declined"))+(_xlpm.slp*OR($T938="Approved",$T938="Declined"))+(_xlpm.ffp*OR($X938="Approved",$X938="Declined"))+(_xlpm.chp*OR($AB938="Approved",$AB938="Declined"))+(_xlpm.usp*OR($AF938="Approved",$AF938="Declined")),IF(_xlpm.n=0,"No applicable lenders",IF(_xlpm.sub&gt;0,"Stays with Shaw - lender still Submitted",IF(_xlpm.term=_xlpm.n,"Clear - all applicable lenders Approved or Declined","Stays with Shaw - not all lenders Approved or Declined")))))</f>
      </c>
    </row>
    <row r="939" spans="80:80">
      <c r="CB939" s="131">
        <f>IF($A939="","",_xlfn.LET(_xlpm.sfp,AND($P939&lt;&gt;"",$P939&lt;&gt;"N/A",$P939&lt;&gt;"No Min RQ"),_xlpm.slp,AND($T939&lt;&gt;"",$T939&lt;&gt;"N/A",$T939&lt;&gt;"No Min RQ"),_xlpm.ffp,AND($X939&lt;&gt;"",$X939&lt;&gt;"N/A",$X939&lt;&gt;"No Min RQ"),_xlpm.chp,AND($AB939&lt;&gt;"",$AB939&lt;&gt;"N/A",$AB939&lt;&gt;"No Min RQ"),_xlpm.usp,AND($AF939&lt;&gt;"",$AF939&lt;&gt;"N/A",$AF939&lt;&gt;"No Min RQ"),_xlpm.n,_xlpm.sfp+_xlpm.slp+_xlpm.ffp+_xlpm.chp+_xlpm.usp,_xlpm.sub,(_xlpm.sfp*($P939="Submitted"))+(_xlpm.slp*($T939="Submitted"))+(_xlpm.ffp*($X939="Submitted"))+(_xlpm.chp*($AB939="Submitted"))+(_xlpm.usp*($AF939="Submitted")),_xlpm.term,(_xlpm.sfp*OR($P939="Approved",$P939="Declined"))+(_xlpm.slp*OR($T939="Approved",$T939="Declined"))+(_xlpm.ffp*OR($X939="Approved",$X939="Declined"))+(_xlpm.chp*OR($AB939="Approved",$AB939="Declined"))+(_xlpm.usp*OR($AF939="Approved",$AF939="Declined")),IF(_xlpm.n=0,"No applicable lenders",IF(_xlpm.sub&gt;0,"Stays with Shaw - lender still Submitted",IF(_xlpm.term=_xlpm.n,"Clear - all applicable lenders Approved or Declined","Stays with Shaw - not all lenders Approved or Declined")))))</f>
      </c>
    </row>
    <row r="940" spans="80:80">
      <c r="CB940" s="131">
        <f>IF($A940="","",_xlfn.LET(_xlpm.sfp,AND($P940&lt;&gt;"",$P940&lt;&gt;"N/A",$P940&lt;&gt;"No Min RQ"),_xlpm.slp,AND($T940&lt;&gt;"",$T940&lt;&gt;"N/A",$T940&lt;&gt;"No Min RQ"),_xlpm.ffp,AND($X940&lt;&gt;"",$X940&lt;&gt;"N/A",$X940&lt;&gt;"No Min RQ"),_xlpm.chp,AND($AB940&lt;&gt;"",$AB940&lt;&gt;"N/A",$AB940&lt;&gt;"No Min RQ"),_xlpm.usp,AND($AF940&lt;&gt;"",$AF940&lt;&gt;"N/A",$AF940&lt;&gt;"No Min RQ"),_xlpm.n,_xlpm.sfp+_xlpm.slp+_xlpm.ffp+_xlpm.chp+_xlpm.usp,_xlpm.sub,(_xlpm.sfp*($P940="Submitted"))+(_xlpm.slp*($T940="Submitted"))+(_xlpm.ffp*($X940="Submitted"))+(_xlpm.chp*($AB940="Submitted"))+(_xlpm.usp*($AF940="Submitted")),_xlpm.term,(_xlpm.sfp*OR($P940="Approved",$P940="Declined"))+(_xlpm.slp*OR($T940="Approved",$T940="Declined"))+(_xlpm.ffp*OR($X940="Approved",$X940="Declined"))+(_xlpm.chp*OR($AB940="Approved",$AB940="Declined"))+(_xlpm.usp*OR($AF940="Approved",$AF940="Declined")),IF(_xlpm.n=0,"No applicable lenders",IF(_xlpm.sub&gt;0,"Stays with Shaw - lender still Submitted",IF(_xlpm.term=_xlpm.n,"Clear - all applicable lenders Approved or Declined","Stays with Shaw - not all lenders Approved or Declined")))))</f>
      </c>
    </row>
    <row r="941" spans="80:80">
      <c r="CB941" s="131">
        <f>IF($A941="","",_xlfn.LET(_xlpm.sfp,AND($P941&lt;&gt;"",$P941&lt;&gt;"N/A",$P941&lt;&gt;"No Min RQ"),_xlpm.slp,AND($T941&lt;&gt;"",$T941&lt;&gt;"N/A",$T941&lt;&gt;"No Min RQ"),_xlpm.ffp,AND($X941&lt;&gt;"",$X941&lt;&gt;"N/A",$X941&lt;&gt;"No Min RQ"),_xlpm.chp,AND($AB941&lt;&gt;"",$AB941&lt;&gt;"N/A",$AB941&lt;&gt;"No Min RQ"),_xlpm.usp,AND($AF941&lt;&gt;"",$AF941&lt;&gt;"N/A",$AF941&lt;&gt;"No Min RQ"),_xlpm.n,_xlpm.sfp+_xlpm.slp+_xlpm.ffp+_xlpm.chp+_xlpm.usp,_xlpm.sub,(_xlpm.sfp*($P941="Submitted"))+(_xlpm.slp*($T941="Submitted"))+(_xlpm.ffp*($X941="Submitted"))+(_xlpm.chp*($AB941="Submitted"))+(_xlpm.usp*($AF941="Submitted")),_xlpm.term,(_xlpm.sfp*OR($P941="Approved",$P941="Declined"))+(_xlpm.slp*OR($T941="Approved",$T941="Declined"))+(_xlpm.ffp*OR($X941="Approved",$X941="Declined"))+(_xlpm.chp*OR($AB941="Approved",$AB941="Declined"))+(_xlpm.usp*OR($AF941="Approved",$AF941="Declined")),IF(_xlpm.n=0,"No applicable lenders",IF(_xlpm.sub&gt;0,"Stays with Shaw - lender still Submitted",IF(_xlpm.term=_xlpm.n,"Clear - all applicable lenders Approved or Declined","Stays with Shaw - not all lenders Approved or Declined")))))</f>
      </c>
    </row>
    <row r="942" spans="80:80">
      <c r="CB942" s="131">
        <f>IF($A942="","",_xlfn.LET(_xlpm.sfp,AND($P942&lt;&gt;"",$P942&lt;&gt;"N/A",$P942&lt;&gt;"No Min RQ"),_xlpm.slp,AND($T942&lt;&gt;"",$T942&lt;&gt;"N/A",$T942&lt;&gt;"No Min RQ"),_xlpm.ffp,AND($X942&lt;&gt;"",$X942&lt;&gt;"N/A",$X942&lt;&gt;"No Min RQ"),_xlpm.chp,AND($AB942&lt;&gt;"",$AB942&lt;&gt;"N/A",$AB942&lt;&gt;"No Min RQ"),_xlpm.usp,AND($AF942&lt;&gt;"",$AF942&lt;&gt;"N/A",$AF942&lt;&gt;"No Min RQ"),_xlpm.n,_xlpm.sfp+_xlpm.slp+_xlpm.ffp+_xlpm.chp+_xlpm.usp,_xlpm.sub,(_xlpm.sfp*($P942="Submitted"))+(_xlpm.slp*($T942="Submitted"))+(_xlpm.ffp*($X942="Submitted"))+(_xlpm.chp*($AB942="Submitted"))+(_xlpm.usp*($AF942="Submitted")),_xlpm.term,(_xlpm.sfp*OR($P942="Approved",$P942="Declined"))+(_xlpm.slp*OR($T942="Approved",$T942="Declined"))+(_xlpm.ffp*OR($X942="Approved",$X942="Declined"))+(_xlpm.chp*OR($AB942="Approved",$AB942="Declined"))+(_xlpm.usp*OR($AF942="Approved",$AF942="Declined")),IF(_xlpm.n=0,"No applicable lenders",IF(_xlpm.sub&gt;0,"Stays with Shaw - lender still Submitted",IF(_xlpm.term=_xlpm.n,"Clear - all applicable lenders Approved or Declined","Stays with Shaw - not all lenders Approved or Declined")))))</f>
      </c>
    </row>
    <row r="943" spans="80:80">
      <c r="CB943" s="131">
        <f>IF($A943="","",_xlfn.LET(_xlpm.sfp,AND($P943&lt;&gt;"",$P943&lt;&gt;"N/A",$P943&lt;&gt;"No Min RQ"),_xlpm.slp,AND($T943&lt;&gt;"",$T943&lt;&gt;"N/A",$T943&lt;&gt;"No Min RQ"),_xlpm.ffp,AND($X943&lt;&gt;"",$X943&lt;&gt;"N/A",$X943&lt;&gt;"No Min RQ"),_xlpm.chp,AND($AB943&lt;&gt;"",$AB943&lt;&gt;"N/A",$AB943&lt;&gt;"No Min RQ"),_xlpm.usp,AND($AF943&lt;&gt;"",$AF943&lt;&gt;"N/A",$AF943&lt;&gt;"No Min RQ"),_xlpm.n,_xlpm.sfp+_xlpm.slp+_xlpm.ffp+_xlpm.chp+_xlpm.usp,_xlpm.sub,(_xlpm.sfp*($P943="Submitted"))+(_xlpm.slp*($T943="Submitted"))+(_xlpm.ffp*($X943="Submitted"))+(_xlpm.chp*($AB943="Submitted"))+(_xlpm.usp*($AF943="Submitted")),_xlpm.term,(_xlpm.sfp*OR($P943="Approved",$P943="Declined"))+(_xlpm.slp*OR($T943="Approved",$T943="Declined"))+(_xlpm.ffp*OR($X943="Approved",$X943="Declined"))+(_xlpm.chp*OR($AB943="Approved",$AB943="Declined"))+(_xlpm.usp*OR($AF943="Approved",$AF943="Declined")),IF(_xlpm.n=0,"No applicable lenders",IF(_xlpm.sub&gt;0,"Stays with Shaw - lender still Submitted",IF(_xlpm.term=_xlpm.n,"Clear - all applicable lenders Approved or Declined","Stays with Shaw - not all lenders Approved or Declined")))))</f>
      </c>
    </row>
    <row r="944" spans="80:80">
      <c r="CB944" s="131">
        <f>IF($A944="","",_xlfn.LET(_xlpm.sfp,AND($P944&lt;&gt;"",$P944&lt;&gt;"N/A",$P944&lt;&gt;"No Min RQ"),_xlpm.slp,AND($T944&lt;&gt;"",$T944&lt;&gt;"N/A",$T944&lt;&gt;"No Min RQ"),_xlpm.ffp,AND($X944&lt;&gt;"",$X944&lt;&gt;"N/A",$X944&lt;&gt;"No Min RQ"),_xlpm.chp,AND($AB944&lt;&gt;"",$AB944&lt;&gt;"N/A",$AB944&lt;&gt;"No Min RQ"),_xlpm.usp,AND($AF944&lt;&gt;"",$AF944&lt;&gt;"N/A",$AF944&lt;&gt;"No Min RQ"),_xlpm.n,_xlpm.sfp+_xlpm.slp+_xlpm.ffp+_xlpm.chp+_xlpm.usp,_xlpm.sub,(_xlpm.sfp*($P944="Submitted"))+(_xlpm.slp*($T944="Submitted"))+(_xlpm.ffp*($X944="Submitted"))+(_xlpm.chp*($AB944="Submitted"))+(_xlpm.usp*($AF944="Submitted")),_xlpm.term,(_xlpm.sfp*OR($P944="Approved",$P944="Declined"))+(_xlpm.slp*OR($T944="Approved",$T944="Declined"))+(_xlpm.ffp*OR($X944="Approved",$X944="Declined"))+(_xlpm.chp*OR($AB944="Approved",$AB944="Declined"))+(_xlpm.usp*OR($AF944="Approved",$AF944="Declined")),IF(_xlpm.n=0,"No applicable lenders",IF(_xlpm.sub&gt;0,"Stays with Shaw - lender still Submitted",IF(_xlpm.term=_xlpm.n,"Clear - all applicable lenders Approved or Declined","Stays with Shaw - not all lenders Approved or Declined")))))</f>
      </c>
    </row>
    <row r="945" spans="80:80">
      <c r="CB945" s="131">
        <f>IF($A945="","",_xlfn.LET(_xlpm.sfp,AND($P945&lt;&gt;"",$P945&lt;&gt;"N/A",$P945&lt;&gt;"No Min RQ"),_xlpm.slp,AND($T945&lt;&gt;"",$T945&lt;&gt;"N/A",$T945&lt;&gt;"No Min RQ"),_xlpm.ffp,AND($X945&lt;&gt;"",$X945&lt;&gt;"N/A",$X945&lt;&gt;"No Min RQ"),_xlpm.chp,AND($AB945&lt;&gt;"",$AB945&lt;&gt;"N/A",$AB945&lt;&gt;"No Min RQ"),_xlpm.usp,AND($AF945&lt;&gt;"",$AF945&lt;&gt;"N/A",$AF945&lt;&gt;"No Min RQ"),_xlpm.n,_xlpm.sfp+_xlpm.slp+_xlpm.ffp+_xlpm.chp+_xlpm.usp,_xlpm.sub,(_xlpm.sfp*($P945="Submitted"))+(_xlpm.slp*($T945="Submitted"))+(_xlpm.ffp*($X945="Submitted"))+(_xlpm.chp*($AB945="Submitted"))+(_xlpm.usp*($AF945="Submitted")),_xlpm.term,(_xlpm.sfp*OR($P945="Approved",$P945="Declined"))+(_xlpm.slp*OR($T945="Approved",$T945="Declined"))+(_xlpm.ffp*OR($X945="Approved",$X945="Declined"))+(_xlpm.chp*OR($AB945="Approved",$AB945="Declined"))+(_xlpm.usp*OR($AF945="Approved",$AF945="Declined")),IF(_xlpm.n=0,"No applicable lenders",IF(_xlpm.sub&gt;0,"Stays with Shaw - lender still Submitted",IF(_xlpm.term=_xlpm.n,"Clear - all applicable lenders Approved or Declined","Stays with Shaw - not all lenders Approved or Declined")))))</f>
      </c>
    </row>
    <row r="946" spans="80:80">
      <c r="CB946" s="131">
        <f>IF($A946="","",_xlfn.LET(_xlpm.sfp,AND($P946&lt;&gt;"",$P946&lt;&gt;"N/A",$P946&lt;&gt;"No Min RQ"),_xlpm.slp,AND($T946&lt;&gt;"",$T946&lt;&gt;"N/A",$T946&lt;&gt;"No Min RQ"),_xlpm.ffp,AND($X946&lt;&gt;"",$X946&lt;&gt;"N/A",$X946&lt;&gt;"No Min RQ"),_xlpm.chp,AND($AB946&lt;&gt;"",$AB946&lt;&gt;"N/A",$AB946&lt;&gt;"No Min RQ"),_xlpm.usp,AND($AF946&lt;&gt;"",$AF946&lt;&gt;"N/A",$AF946&lt;&gt;"No Min RQ"),_xlpm.n,_xlpm.sfp+_xlpm.slp+_xlpm.ffp+_xlpm.chp+_xlpm.usp,_xlpm.sub,(_xlpm.sfp*($P946="Submitted"))+(_xlpm.slp*($T946="Submitted"))+(_xlpm.ffp*($X946="Submitted"))+(_xlpm.chp*($AB946="Submitted"))+(_xlpm.usp*($AF946="Submitted")),_xlpm.term,(_xlpm.sfp*OR($P946="Approved",$P946="Declined"))+(_xlpm.slp*OR($T946="Approved",$T946="Declined"))+(_xlpm.ffp*OR($X946="Approved",$X946="Declined"))+(_xlpm.chp*OR($AB946="Approved",$AB946="Declined"))+(_xlpm.usp*OR($AF946="Approved",$AF946="Declined")),IF(_xlpm.n=0,"No applicable lenders",IF(_xlpm.sub&gt;0,"Stays with Shaw - lender still Submitted",IF(_xlpm.term=_xlpm.n,"Clear - all applicable lenders Approved or Declined","Stays with Shaw - not all lenders Approved or Declined")))))</f>
      </c>
    </row>
    <row r="947" spans="80:80">
      <c r="CB947" s="131">
        <f>IF($A947="","",_xlfn.LET(_xlpm.sfp,AND($P947&lt;&gt;"",$P947&lt;&gt;"N/A",$P947&lt;&gt;"No Min RQ"),_xlpm.slp,AND($T947&lt;&gt;"",$T947&lt;&gt;"N/A",$T947&lt;&gt;"No Min RQ"),_xlpm.ffp,AND($X947&lt;&gt;"",$X947&lt;&gt;"N/A",$X947&lt;&gt;"No Min RQ"),_xlpm.chp,AND($AB947&lt;&gt;"",$AB947&lt;&gt;"N/A",$AB947&lt;&gt;"No Min RQ"),_xlpm.usp,AND($AF947&lt;&gt;"",$AF947&lt;&gt;"N/A",$AF947&lt;&gt;"No Min RQ"),_xlpm.n,_xlpm.sfp+_xlpm.slp+_xlpm.ffp+_xlpm.chp+_xlpm.usp,_xlpm.sub,(_xlpm.sfp*($P947="Submitted"))+(_xlpm.slp*($T947="Submitted"))+(_xlpm.ffp*($X947="Submitted"))+(_xlpm.chp*($AB947="Submitted"))+(_xlpm.usp*($AF947="Submitted")),_xlpm.term,(_xlpm.sfp*OR($P947="Approved",$P947="Declined"))+(_xlpm.slp*OR($T947="Approved",$T947="Declined"))+(_xlpm.ffp*OR($X947="Approved",$X947="Declined"))+(_xlpm.chp*OR($AB947="Approved",$AB947="Declined"))+(_xlpm.usp*OR($AF947="Approved",$AF947="Declined")),IF(_xlpm.n=0,"No applicable lenders",IF(_xlpm.sub&gt;0,"Stays with Shaw - lender still Submitted",IF(_xlpm.term=_xlpm.n,"Clear - all applicable lenders Approved or Declined","Stays with Shaw - not all lenders Approved or Declined")))))</f>
      </c>
    </row>
    <row r="948" spans="80:80">
      <c r="CB948" s="131">
        <f>IF($A948="","",_xlfn.LET(_xlpm.sfp,AND($P948&lt;&gt;"",$P948&lt;&gt;"N/A",$P948&lt;&gt;"No Min RQ"),_xlpm.slp,AND($T948&lt;&gt;"",$T948&lt;&gt;"N/A",$T948&lt;&gt;"No Min RQ"),_xlpm.ffp,AND($X948&lt;&gt;"",$X948&lt;&gt;"N/A",$X948&lt;&gt;"No Min RQ"),_xlpm.chp,AND($AB948&lt;&gt;"",$AB948&lt;&gt;"N/A",$AB948&lt;&gt;"No Min RQ"),_xlpm.usp,AND($AF948&lt;&gt;"",$AF948&lt;&gt;"N/A",$AF948&lt;&gt;"No Min RQ"),_xlpm.n,_xlpm.sfp+_xlpm.slp+_xlpm.ffp+_xlpm.chp+_xlpm.usp,_xlpm.sub,(_xlpm.sfp*($P948="Submitted"))+(_xlpm.slp*($T948="Submitted"))+(_xlpm.ffp*($X948="Submitted"))+(_xlpm.chp*($AB948="Submitted"))+(_xlpm.usp*($AF948="Submitted")),_xlpm.term,(_xlpm.sfp*OR($P948="Approved",$P948="Declined"))+(_xlpm.slp*OR($T948="Approved",$T948="Declined"))+(_xlpm.ffp*OR($X948="Approved",$X948="Declined"))+(_xlpm.chp*OR($AB948="Approved",$AB948="Declined"))+(_xlpm.usp*OR($AF948="Approved",$AF948="Declined")),IF(_xlpm.n=0,"No applicable lenders",IF(_xlpm.sub&gt;0,"Stays with Shaw - lender still Submitted",IF(_xlpm.term=_xlpm.n,"Clear - all applicable lenders Approved or Declined","Stays with Shaw - not all lenders Approved or Declined")))))</f>
      </c>
    </row>
    <row r="949" spans="80:80">
      <c r="CB949" s="131">
        <f>IF($A949="","",_xlfn.LET(_xlpm.sfp,AND($P949&lt;&gt;"",$P949&lt;&gt;"N/A",$P949&lt;&gt;"No Min RQ"),_xlpm.slp,AND($T949&lt;&gt;"",$T949&lt;&gt;"N/A",$T949&lt;&gt;"No Min RQ"),_xlpm.ffp,AND($X949&lt;&gt;"",$X949&lt;&gt;"N/A",$X949&lt;&gt;"No Min RQ"),_xlpm.chp,AND($AB949&lt;&gt;"",$AB949&lt;&gt;"N/A",$AB949&lt;&gt;"No Min RQ"),_xlpm.usp,AND($AF949&lt;&gt;"",$AF949&lt;&gt;"N/A",$AF949&lt;&gt;"No Min RQ"),_xlpm.n,_xlpm.sfp+_xlpm.slp+_xlpm.ffp+_xlpm.chp+_xlpm.usp,_xlpm.sub,(_xlpm.sfp*($P949="Submitted"))+(_xlpm.slp*($T949="Submitted"))+(_xlpm.ffp*($X949="Submitted"))+(_xlpm.chp*($AB949="Submitted"))+(_xlpm.usp*($AF949="Submitted")),_xlpm.term,(_xlpm.sfp*OR($P949="Approved",$P949="Declined"))+(_xlpm.slp*OR($T949="Approved",$T949="Declined"))+(_xlpm.ffp*OR($X949="Approved",$X949="Declined"))+(_xlpm.chp*OR($AB949="Approved",$AB949="Declined"))+(_xlpm.usp*OR($AF949="Approved",$AF949="Declined")),IF(_xlpm.n=0,"No applicable lenders",IF(_xlpm.sub&gt;0,"Stays with Shaw - lender still Submitted",IF(_xlpm.term=_xlpm.n,"Clear - all applicable lenders Approved or Declined","Stays with Shaw - not all lenders Approved or Declined")))))</f>
      </c>
    </row>
    <row r="950" spans="80:80">
      <c r="CB950" s="131">
        <f>IF($A950="","",_xlfn.LET(_xlpm.sfp,AND($P950&lt;&gt;"",$P950&lt;&gt;"N/A",$P950&lt;&gt;"No Min RQ"),_xlpm.slp,AND($T950&lt;&gt;"",$T950&lt;&gt;"N/A",$T950&lt;&gt;"No Min RQ"),_xlpm.ffp,AND($X950&lt;&gt;"",$X950&lt;&gt;"N/A",$X950&lt;&gt;"No Min RQ"),_xlpm.chp,AND($AB950&lt;&gt;"",$AB950&lt;&gt;"N/A",$AB950&lt;&gt;"No Min RQ"),_xlpm.usp,AND($AF950&lt;&gt;"",$AF950&lt;&gt;"N/A",$AF950&lt;&gt;"No Min RQ"),_xlpm.n,_xlpm.sfp+_xlpm.slp+_xlpm.ffp+_xlpm.chp+_xlpm.usp,_xlpm.sub,(_xlpm.sfp*($P950="Submitted"))+(_xlpm.slp*($T950="Submitted"))+(_xlpm.ffp*($X950="Submitted"))+(_xlpm.chp*($AB950="Submitted"))+(_xlpm.usp*($AF950="Submitted")),_xlpm.term,(_xlpm.sfp*OR($P950="Approved",$P950="Declined"))+(_xlpm.slp*OR($T950="Approved",$T950="Declined"))+(_xlpm.ffp*OR($X950="Approved",$X950="Declined"))+(_xlpm.chp*OR($AB950="Approved",$AB950="Declined"))+(_xlpm.usp*OR($AF950="Approved",$AF950="Declined")),IF(_xlpm.n=0,"No applicable lenders",IF(_xlpm.sub&gt;0,"Stays with Shaw - lender still Submitted",IF(_xlpm.term=_xlpm.n,"Clear - all applicable lenders Approved or Declined","Stays with Shaw - not all lenders Approved or Declined")))))</f>
      </c>
    </row>
    <row r="951" spans="80:80">
      <c r="CB951" s="131">
        <f>IF($A951="","",_xlfn.LET(_xlpm.sfp,AND($P951&lt;&gt;"",$P951&lt;&gt;"N/A",$P951&lt;&gt;"No Min RQ"),_xlpm.slp,AND($T951&lt;&gt;"",$T951&lt;&gt;"N/A",$T951&lt;&gt;"No Min RQ"),_xlpm.ffp,AND($X951&lt;&gt;"",$X951&lt;&gt;"N/A",$X951&lt;&gt;"No Min RQ"),_xlpm.chp,AND($AB951&lt;&gt;"",$AB951&lt;&gt;"N/A",$AB951&lt;&gt;"No Min RQ"),_xlpm.usp,AND($AF951&lt;&gt;"",$AF951&lt;&gt;"N/A",$AF951&lt;&gt;"No Min RQ"),_xlpm.n,_xlpm.sfp+_xlpm.slp+_xlpm.ffp+_xlpm.chp+_xlpm.usp,_xlpm.sub,(_xlpm.sfp*($P951="Submitted"))+(_xlpm.slp*($T951="Submitted"))+(_xlpm.ffp*($X951="Submitted"))+(_xlpm.chp*($AB951="Submitted"))+(_xlpm.usp*($AF951="Submitted")),_xlpm.term,(_xlpm.sfp*OR($P951="Approved",$P951="Declined"))+(_xlpm.slp*OR($T951="Approved",$T951="Declined"))+(_xlpm.ffp*OR($X951="Approved",$X951="Declined"))+(_xlpm.chp*OR($AB951="Approved",$AB951="Declined"))+(_xlpm.usp*OR($AF951="Approved",$AF951="Declined")),IF(_xlpm.n=0,"No applicable lenders",IF(_xlpm.sub&gt;0,"Stays with Shaw - lender still Submitted",IF(_xlpm.term=_xlpm.n,"Clear - all applicable lenders Approved or Declined","Stays with Shaw - not all lenders Approved or Declined")))))</f>
      </c>
    </row>
    <row r="952" spans="80:80">
      <c r="CB952" s="131">
        <f>IF($A952="","",_xlfn.LET(_xlpm.sfp,AND($P952&lt;&gt;"",$P952&lt;&gt;"N/A",$P952&lt;&gt;"No Min RQ"),_xlpm.slp,AND($T952&lt;&gt;"",$T952&lt;&gt;"N/A",$T952&lt;&gt;"No Min RQ"),_xlpm.ffp,AND($X952&lt;&gt;"",$X952&lt;&gt;"N/A",$X952&lt;&gt;"No Min RQ"),_xlpm.chp,AND($AB952&lt;&gt;"",$AB952&lt;&gt;"N/A",$AB952&lt;&gt;"No Min RQ"),_xlpm.usp,AND($AF952&lt;&gt;"",$AF952&lt;&gt;"N/A",$AF952&lt;&gt;"No Min RQ"),_xlpm.n,_xlpm.sfp+_xlpm.slp+_xlpm.ffp+_xlpm.chp+_xlpm.usp,_xlpm.sub,(_xlpm.sfp*($P952="Submitted"))+(_xlpm.slp*($T952="Submitted"))+(_xlpm.ffp*($X952="Submitted"))+(_xlpm.chp*($AB952="Submitted"))+(_xlpm.usp*($AF952="Submitted")),_xlpm.term,(_xlpm.sfp*OR($P952="Approved",$P952="Declined"))+(_xlpm.slp*OR($T952="Approved",$T952="Declined"))+(_xlpm.ffp*OR($X952="Approved",$X952="Declined"))+(_xlpm.chp*OR($AB952="Approved",$AB952="Declined"))+(_xlpm.usp*OR($AF952="Approved",$AF952="Declined")),IF(_xlpm.n=0,"No applicable lenders",IF(_xlpm.sub&gt;0,"Stays with Shaw - lender still Submitted",IF(_xlpm.term=_xlpm.n,"Clear - all applicable lenders Approved or Declined","Stays with Shaw - not all lenders Approved or Declined")))))</f>
      </c>
    </row>
    <row r="953" spans="80:80">
      <c r="CB953" s="131">
        <f>IF($A953="","",_xlfn.LET(_xlpm.sfp,AND($P953&lt;&gt;"",$P953&lt;&gt;"N/A",$P953&lt;&gt;"No Min RQ"),_xlpm.slp,AND($T953&lt;&gt;"",$T953&lt;&gt;"N/A",$T953&lt;&gt;"No Min RQ"),_xlpm.ffp,AND($X953&lt;&gt;"",$X953&lt;&gt;"N/A",$X953&lt;&gt;"No Min RQ"),_xlpm.chp,AND($AB953&lt;&gt;"",$AB953&lt;&gt;"N/A",$AB953&lt;&gt;"No Min RQ"),_xlpm.usp,AND($AF953&lt;&gt;"",$AF953&lt;&gt;"N/A",$AF953&lt;&gt;"No Min RQ"),_xlpm.n,_xlpm.sfp+_xlpm.slp+_xlpm.ffp+_xlpm.chp+_xlpm.usp,_xlpm.sub,(_xlpm.sfp*($P953="Submitted"))+(_xlpm.slp*($T953="Submitted"))+(_xlpm.ffp*($X953="Submitted"))+(_xlpm.chp*($AB953="Submitted"))+(_xlpm.usp*($AF953="Submitted")),_xlpm.term,(_xlpm.sfp*OR($P953="Approved",$P953="Declined"))+(_xlpm.slp*OR($T953="Approved",$T953="Declined"))+(_xlpm.ffp*OR($X953="Approved",$X953="Declined"))+(_xlpm.chp*OR($AB953="Approved",$AB953="Declined"))+(_xlpm.usp*OR($AF953="Approved",$AF953="Declined")),IF(_xlpm.n=0,"No applicable lenders",IF(_xlpm.sub&gt;0,"Stays with Shaw - lender still Submitted",IF(_xlpm.term=_xlpm.n,"Clear - all applicable lenders Approved or Declined","Stays with Shaw - not all lenders Approved or Declined")))))</f>
      </c>
    </row>
    <row r="954" spans="80:80">
      <c r="CB954" s="131">
        <f>IF($A954="","",_xlfn.LET(_xlpm.sfp,AND($P954&lt;&gt;"",$P954&lt;&gt;"N/A",$P954&lt;&gt;"No Min RQ"),_xlpm.slp,AND($T954&lt;&gt;"",$T954&lt;&gt;"N/A",$T954&lt;&gt;"No Min RQ"),_xlpm.ffp,AND($X954&lt;&gt;"",$X954&lt;&gt;"N/A",$X954&lt;&gt;"No Min RQ"),_xlpm.chp,AND($AB954&lt;&gt;"",$AB954&lt;&gt;"N/A",$AB954&lt;&gt;"No Min RQ"),_xlpm.usp,AND($AF954&lt;&gt;"",$AF954&lt;&gt;"N/A",$AF954&lt;&gt;"No Min RQ"),_xlpm.n,_xlpm.sfp+_xlpm.slp+_xlpm.ffp+_xlpm.chp+_xlpm.usp,_xlpm.sub,(_xlpm.sfp*($P954="Submitted"))+(_xlpm.slp*($T954="Submitted"))+(_xlpm.ffp*($X954="Submitted"))+(_xlpm.chp*($AB954="Submitted"))+(_xlpm.usp*($AF954="Submitted")),_xlpm.term,(_xlpm.sfp*OR($P954="Approved",$P954="Declined"))+(_xlpm.slp*OR($T954="Approved",$T954="Declined"))+(_xlpm.ffp*OR($X954="Approved",$X954="Declined"))+(_xlpm.chp*OR($AB954="Approved",$AB954="Declined"))+(_xlpm.usp*OR($AF954="Approved",$AF954="Declined")),IF(_xlpm.n=0,"No applicable lenders",IF(_xlpm.sub&gt;0,"Stays with Shaw - lender still Submitted",IF(_xlpm.term=_xlpm.n,"Clear - all applicable lenders Approved or Declined","Stays with Shaw - not all lenders Approved or Declined")))))</f>
      </c>
    </row>
    <row r="955" spans="80:80">
      <c r="CB955" s="131">
        <f>IF($A955="","",_xlfn.LET(_xlpm.sfp,AND($P955&lt;&gt;"",$P955&lt;&gt;"N/A",$P955&lt;&gt;"No Min RQ"),_xlpm.slp,AND($T955&lt;&gt;"",$T955&lt;&gt;"N/A",$T955&lt;&gt;"No Min RQ"),_xlpm.ffp,AND($X955&lt;&gt;"",$X955&lt;&gt;"N/A",$X955&lt;&gt;"No Min RQ"),_xlpm.chp,AND($AB955&lt;&gt;"",$AB955&lt;&gt;"N/A",$AB955&lt;&gt;"No Min RQ"),_xlpm.usp,AND($AF955&lt;&gt;"",$AF955&lt;&gt;"N/A",$AF955&lt;&gt;"No Min RQ"),_xlpm.n,_xlpm.sfp+_xlpm.slp+_xlpm.ffp+_xlpm.chp+_xlpm.usp,_xlpm.sub,(_xlpm.sfp*($P955="Submitted"))+(_xlpm.slp*($T955="Submitted"))+(_xlpm.ffp*($X955="Submitted"))+(_xlpm.chp*($AB955="Submitted"))+(_xlpm.usp*($AF955="Submitted")),_xlpm.term,(_xlpm.sfp*OR($P955="Approved",$P955="Declined"))+(_xlpm.slp*OR($T955="Approved",$T955="Declined"))+(_xlpm.ffp*OR($X955="Approved",$X955="Declined"))+(_xlpm.chp*OR($AB955="Approved",$AB955="Declined"))+(_xlpm.usp*OR($AF955="Approved",$AF955="Declined")),IF(_xlpm.n=0,"No applicable lenders",IF(_xlpm.sub&gt;0,"Stays with Shaw - lender still Submitted",IF(_xlpm.term=_xlpm.n,"Clear - all applicable lenders Approved or Declined","Stays with Shaw - not all lenders Approved or Declined")))))</f>
      </c>
    </row>
    <row r="956" spans="80:80">
      <c r="CB956" s="131">
        <f>IF($A956="","",_xlfn.LET(_xlpm.sfp,AND($P956&lt;&gt;"",$P956&lt;&gt;"N/A",$P956&lt;&gt;"No Min RQ"),_xlpm.slp,AND($T956&lt;&gt;"",$T956&lt;&gt;"N/A",$T956&lt;&gt;"No Min RQ"),_xlpm.ffp,AND($X956&lt;&gt;"",$X956&lt;&gt;"N/A",$X956&lt;&gt;"No Min RQ"),_xlpm.chp,AND($AB956&lt;&gt;"",$AB956&lt;&gt;"N/A",$AB956&lt;&gt;"No Min RQ"),_xlpm.usp,AND($AF956&lt;&gt;"",$AF956&lt;&gt;"N/A",$AF956&lt;&gt;"No Min RQ"),_xlpm.n,_xlpm.sfp+_xlpm.slp+_xlpm.ffp+_xlpm.chp+_xlpm.usp,_xlpm.sub,(_xlpm.sfp*($P956="Submitted"))+(_xlpm.slp*($T956="Submitted"))+(_xlpm.ffp*($X956="Submitted"))+(_xlpm.chp*($AB956="Submitted"))+(_xlpm.usp*($AF956="Submitted")),_xlpm.term,(_xlpm.sfp*OR($P956="Approved",$P956="Declined"))+(_xlpm.slp*OR($T956="Approved",$T956="Declined"))+(_xlpm.ffp*OR($X956="Approved",$X956="Declined"))+(_xlpm.chp*OR($AB956="Approved",$AB956="Declined"))+(_xlpm.usp*OR($AF956="Approved",$AF956="Declined")),IF(_xlpm.n=0,"No applicable lenders",IF(_xlpm.sub&gt;0,"Stays with Shaw - lender still Submitted",IF(_xlpm.term=_xlpm.n,"Clear - all applicable lenders Approved or Declined","Stays with Shaw - not all lenders Approved or Declined")))))</f>
      </c>
    </row>
    <row r="957" spans="80:80">
      <c r="CB957" s="131">
        <f>IF($A957="","",_xlfn.LET(_xlpm.sfp,AND($P957&lt;&gt;"",$P957&lt;&gt;"N/A",$P957&lt;&gt;"No Min RQ"),_xlpm.slp,AND($T957&lt;&gt;"",$T957&lt;&gt;"N/A",$T957&lt;&gt;"No Min RQ"),_xlpm.ffp,AND($X957&lt;&gt;"",$X957&lt;&gt;"N/A",$X957&lt;&gt;"No Min RQ"),_xlpm.chp,AND($AB957&lt;&gt;"",$AB957&lt;&gt;"N/A",$AB957&lt;&gt;"No Min RQ"),_xlpm.usp,AND($AF957&lt;&gt;"",$AF957&lt;&gt;"N/A",$AF957&lt;&gt;"No Min RQ"),_xlpm.n,_xlpm.sfp+_xlpm.slp+_xlpm.ffp+_xlpm.chp+_xlpm.usp,_xlpm.sub,(_xlpm.sfp*($P957="Submitted"))+(_xlpm.slp*($T957="Submitted"))+(_xlpm.ffp*($X957="Submitted"))+(_xlpm.chp*($AB957="Submitted"))+(_xlpm.usp*($AF957="Submitted")),_xlpm.term,(_xlpm.sfp*OR($P957="Approved",$P957="Declined"))+(_xlpm.slp*OR($T957="Approved",$T957="Declined"))+(_xlpm.ffp*OR($X957="Approved",$X957="Declined"))+(_xlpm.chp*OR($AB957="Approved",$AB957="Declined"))+(_xlpm.usp*OR($AF957="Approved",$AF957="Declined")),IF(_xlpm.n=0,"No applicable lenders",IF(_xlpm.sub&gt;0,"Stays with Shaw - lender still Submitted",IF(_xlpm.term=_xlpm.n,"Clear - all applicable lenders Approved or Declined","Stays with Shaw - not all lenders Approved or Declined")))))</f>
      </c>
    </row>
    <row r="958" spans="80:80">
      <c r="CB958" s="131">
        <f>IF($A958="","",_xlfn.LET(_xlpm.sfp,AND($P958&lt;&gt;"",$P958&lt;&gt;"N/A",$P958&lt;&gt;"No Min RQ"),_xlpm.slp,AND($T958&lt;&gt;"",$T958&lt;&gt;"N/A",$T958&lt;&gt;"No Min RQ"),_xlpm.ffp,AND($X958&lt;&gt;"",$X958&lt;&gt;"N/A",$X958&lt;&gt;"No Min RQ"),_xlpm.chp,AND($AB958&lt;&gt;"",$AB958&lt;&gt;"N/A",$AB958&lt;&gt;"No Min RQ"),_xlpm.usp,AND($AF958&lt;&gt;"",$AF958&lt;&gt;"N/A",$AF958&lt;&gt;"No Min RQ"),_xlpm.n,_xlpm.sfp+_xlpm.slp+_xlpm.ffp+_xlpm.chp+_xlpm.usp,_xlpm.sub,(_xlpm.sfp*($P958="Submitted"))+(_xlpm.slp*($T958="Submitted"))+(_xlpm.ffp*($X958="Submitted"))+(_xlpm.chp*($AB958="Submitted"))+(_xlpm.usp*($AF958="Submitted")),_xlpm.term,(_xlpm.sfp*OR($P958="Approved",$P958="Declined"))+(_xlpm.slp*OR($T958="Approved",$T958="Declined"))+(_xlpm.ffp*OR($X958="Approved",$X958="Declined"))+(_xlpm.chp*OR($AB958="Approved",$AB958="Declined"))+(_xlpm.usp*OR($AF958="Approved",$AF958="Declined")),IF(_xlpm.n=0,"No applicable lenders",IF(_xlpm.sub&gt;0,"Stays with Shaw - lender still Submitted",IF(_xlpm.term=_xlpm.n,"Clear - all applicable lenders Approved or Declined","Stays with Shaw - not all lenders Approved or Declined")))))</f>
      </c>
    </row>
    <row r="959" spans="80:80">
      <c r="CB959" s="131">
        <f>IF($A959="","",_xlfn.LET(_xlpm.sfp,AND($P959&lt;&gt;"",$P959&lt;&gt;"N/A",$P959&lt;&gt;"No Min RQ"),_xlpm.slp,AND($T959&lt;&gt;"",$T959&lt;&gt;"N/A",$T959&lt;&gt;"No Min RQ"),_xlpm.ffp,AND($X959&lt;&gt;"",$X959&lt;&gt;"N/A",$X959&lt;&gt;"No Min RQ"),_xlpm.chp,AND($AB959&lt;&gt;"",$AB959&lt;&gt;"N/A",$AB959&lt;&gt;"No Min RQ"),_xlpm.usp,AND($AF959&lt;&gt;"",$AF959&lt;&gt;"N/A",$AF959&lt;&gt;"No Min RQ"),_xlpm.n,_xlpm.sfp+_xlpm.slp+_xlpm.ffp+_xlpm.chp+_xlpm.usp,_xlpm.sub,(_xlpm.sfp*($P959="Submitted"))+(_xlpm.slp*($T959="Submitted"))+(_xlpm.ffp*($X959="Submitted"))+(_xlpm.chp*($AB959="Submitted"))+(_xlpm.usp*($AF959="Submitted")),_xlpm.term,(_xlpm.sfp*OR($P959="Approved",$P959="Declined"))+(_xlpm.slp*OR($T959="Approved",$T959="Declined"))+(_xlpm.ffp*OR($X959="Approved",$X959="Declined"))+(_xlpm.chp*OR($AB959="Approved",$AB959="Declined"))+(_xlpm.usp*OR($AF959="Approved",$AF959="Declined")),IF(_xlpm.n=0,"No applicable lenders",IF(_xlpm.sub&gt;0,"Stays with Shaw - lender still Submitted",IF(_xlpm.term=_xlpm.n,"Clear - all applicable lenders Approved or Declined","Stays with Shaw - not all lenders Approved or Declined")))))</f>
      </c>
    </row>
    <row r="960" spans="80:80">
      <c r="CB960" s="131">
        <f>IF($A960="","",_xlfn.LET(_xlpm.sfp,AND($P960&lt;&gt;"",$P960&lt;&gt;"N/A",$P960&lt;&gt;"No Min RQ"),_xlpm.slp,AND($T960&lt;&gt;"",$T960&lt;&gt;"N/A",$T960&lt;&gt;"No Min RQ"),_xlpm.ffp,AND($X960&lt;&gt;"",$X960&lt;&gt;"N/A",$X960&lt;&gt;"No Min RQ"),_xlpm.chp,AND($AB960&lt;&gt;"",$AB960&lt;&gt;"N/A",$AB960&lt;&gt;"No Min RQ"),_xlpm.usp,AND($AF960&lt;&gt;"",$AF960&lt;&gt;"N/A",$AF960&lt;&gt;"No Min RQ"),_xlpm.n,_xlpm.sfp+_xlpm.slp+_xlpm.ffp+_xlpm.chp+_xlpm.usp,_xlpm.sub,(_xlpm.sfp*($P960="Submitted"))+(_xlpm.slp*($T960="Submitted"))+(_xlpm.ffp*($X960="Submitted"))+(_xlpm.chp*($AB960="Submitted"))+(_xlpm.usp*($AF960="Submitted")),_xlpm.term,(_xlpm.sfp*OR($P960="Approved",$P960="Declined"))+(_xlpm.slp*OR($T960="Approved",$T960="Declined"))+(_xlpm.ffp*OR($X960="Approved",$X960="Declined"))+(_xlpm.chp*OR($AB960="Approved",$AB960="Declined"))+(_xlpm.usp*OR($AF960="Approved",$AF960="Declined")),IF(_xlpm.n=0,"No applicable lenders",IF(_xlpm.sub&gt;0,"Stays with Shaw - lender still Submitted",IF(_xlpm.term=_xlpm.n,"Clear - all applicable lenders Approved or Declined","Stays with Shaw - not all lenders Approved or Declined")))))</f>
      </c>
    </row>
    <row r="961" spans="80:80">
      <c r="CB961" s="131">
        <f>IF($A961="","",_xlfn.LET(_xlpm.sfp,AND($P961&lt;&gt;"",$P961&lt;&gt;"N/A",$P961&lt;&gt;"No Min RQ"),_xlpm.slp,AND($T961&lt;&gt;"",$T961&lt;&gt;"N/A",$T961&lt;&gt;"No Min RQ"),_xlpm.ffp,AND($X961&lt;&gt;"",$X961&lt;&gt;"N/A",$X961&lt;&gt;"No Min RQ"),_xlpm.chp,AND($AB961&lt;&gt;"",$AB961&lt;&gt;"N/A",$AB961&lt;&gt;"No Min RQ"),_xlpm.usp,AND($AF961&lt;&gt;"",$AF961&lt;&gt;"N/A",$AF961&lt;&gt;"No Min RQ"),_xlpm.n,_xlpm.sfp+_xlpm.slp+_xlpm.ffp+_xlpm.chp+_xlpm.usp,_xlpm.sub,(_xlpm.sfp*($P961="Submitted"))+(_xlpm.slp*($T961="Submitted"))+(_xlpm.ffp*($X961="Submitted"))+(_xlpm.chp*($AB961="Submitted"))+(_xlpm.usp*($AF961="Submitted")),_xlpm.term,(_xlpm.sfp*OR($P961="Approved",$P961="Declined"))+(_xlpm.slp*OR($T961="Approved",$T961="Declined"))+(_xlpm.ffp*OR($X961="Approved",$X961="Declined"))+(_xlpm.chp*OR($AB961="Approved",$AB961="Declined"))+(_xlpm.usp*OR($AF961="Approved",$AF961="Declined")),IF(_xlpm.n=0,"No applicable lenders",IF(_xlpm.sub&gt;0,"Stays with Shaw - lender still Submitted",IF(_xlpm.term=_xlpm.n,"Clear - all applicable lenders Approved or Declined","Stays with Shaw - not all lenders Approved or Declined")))))</f>
      </c>
    </row>
    <row r="962" spans="80:80">
      <c r="CB962" s="131">
        <f>IF($A962="","",_xlfn.LET(_xlpm.sfp,AND($P962&lt;&gt;"",$P962&lt;&gt;"N/A",$P962&lt;&gt;"No Min RQ"),_xlpm.slp,AND($T962&lt;&gt;"",$T962&lt;&gt;"N/A",$T962&lt;&gt;"No Min RQ"),_xlpm.ffp,AND($X962&lt;&gt;"",$X962&lt;&gt;"N/A",$X962&lt;&gt;"No Min RQ"),_xlpm.chp,AND($AB962&lt;&gt;"",$AB962&lt;&gt;"N/A",$AB962&lt;&gt;"No Min RQ"),_xlpm.usp,AND($AF962&lt;&gt;"",$AF962&lt;&gt;"N/A",$AF962&lt;&gt;"No Min RQ"),_xlpm.n,_xlpm.sfp+_xlpm.slp+_xlpm.ffp+_xlpm.chp+_xlpm.usp,_xlpm.sub,(_xlpm.sfp*($P962="Submitted"))+(_xlpm.slp*($T962="Submitted"))+(_xlpm.ffp*($X962="Submitted"))+(_xlpm.chp*($AB962="Submitted"))+(_xlpm.usp*($AF962="Submitted")),_xlpm.term,(_xlpm.sfp*OR($P962="Approved",$P962="Declined"))+(_xlpm.slp*OR($T962="Approved",$T962="Declined"))+(_xlpm.ffp*OR($X962="Approved",$X962="Declined"))+(_xlpm.chp*OR($AB962="Approved",$AB962="Declined"))+(_xlpm.usp*OR($AF962="Approved",$AF962="Declined")),IF(_xlpm.n=0,"No applicable lenders",IF(_xlpm.sub&gt;0,"Stays with Shaw - lender still Submitted",IF(_xlpm.term=_xlpm.n,"Clear - all applicable lenders Approved or Declined","Stays with Shaw - not all lenders Approved or Declined")))))</f>
      </c>
    </row>
    <row r="963" spans="80:80">
      <c r="CB963" s="131">
        <f>IF($A963="","",_xlfn.LET(_xlpm.sfp,AND($P963&lt;&gt;"",$P963&lt;&gt;"N/A",$P963&lt;&gt;"No Min RQ"),_xlpm.slp,AND($T963&lt;&gt;"",$T963&lt;&gt;"N/A",$T963&lt;&gt;"No Min RQ"),_xlpm.ffp,AND($X963&lt;&gt;"",$X963&lt;&gt;"N/A",$X963&lt;&gt;"No Min RQ"),_xlpm.chp,AND($AB963&lt;&gt;"",$AB963&lt;&gt;"N/A",$AB963&lt;&gt;"No Min RQ"),_xlpm.usp,AND($AF963&lt;&gt;"",$AF963&lt;&gt;"N/A",$AF963&lt;&gt;"No Min RQ"),_xlpm.n,_xlpm.sfp+_xlpm.slp+_xlpm.ffp+_xlpm.chp+_xlpm.usp,_xlpm.sub,(_xlpm.sfp*($P963="Submitted"))+(_xlpm.slp*($T963="Submitted"))+(_xlpm.ffp*($X963="Submitted"))+(_xlpm.chp*($AB963="Submitted"))+(_xlpm.usp*($AF963="Submitted")),_xlpm.term,(_xlpm.sfp*OR($P963="Approved",$P963="Declined"))+(_xlpm.slp*OR($T963="Approved",$T963="Declined"))+(_xlpm.ffp*OR($X963="Approved",$X963="Declined"))+(_xlpm.chp*OR($AB963="Approved",$AB963="Declined"))+(_xlpm.usp*OR($AF963="Approved",$AF963="Declined")),IF(_xlpm.n=0,"No applicable lenders",IF(_xlpm.sub&gt;0,"Stays with Shaw - lender still Submitted",IF(_xlpm.term=_xlpm.n,"Clear - all applicable lenders Approved or Declined","Stays with Shaw - not all lenders Approved or Declined")))))</f>
      </c>
    </row>
    <row r="964" spans="80:80">
      <c r="CB964" s="131">
        <f>IF($A964="","",_xlfn.LET(_xlpm.sfp,AND($P964&lt;&gt;"",$P964&lt;&gt;"N/A",$P964&lt;&gt;"No Min RQ"),_xlpm.slp,AND($T964&lt;&gt;"",$T964&lt;&gt;"N/A",$T964&lt;&gt;"No Min RQ"),_xlpm.ffp,AND($X964&lt;&gt;"",$X964&lt;&gt;"N/A",$X964&lt;&gt;"No Min RQ"),_xlpm.chp,AND($AB964&lt;&gt;"",$AB964&lt;&gt;"N/A",$AB964&lt;&gt;"No Min RQ"),_xlpm.usp,AND($AF964&lt;&gt;"",$AF964&lt;&gt;"N/A",$AF964&lt;&gt;"No Min RQ"),_xlpm.n,_xlpm.sfp+_xlpm.slp+_xlpm.ffp+_xlpm.chp+_xlpm.usp,_xlpm.sub,(_xlpm.sfp*($P964="Submitted"))+(_xlpm.slp*($T964="Submitted"))+(_xlpm.ffp*($X964="Submitted"))+(_xlpm.chp*($AB964="Submitted"))+(_xlpm.usp*($AF964="Submitted")),_xlpm.term,(_xlpm.sfp*OR($P964="Approved",$P964="Declined"))+(_xlpm.slp*OR($T964="Approved",$T964="Declined"))+(_xlpm.ffp*OR($X964="Approved",$X964="Declined"))+(_xlpm.chp*OR($AB964="Approved",$AB964="Declined"))+(_xlpm.usp*OR($AF964="Approved",$AF964="Declined")),IF(_xlpm.n=0,"No applicable lenders",IF(_xlpm.sub&gt;0,"Stays with Shaw - lender still Submitted",IF(_xlpm.term=_xlpm.n,"Clear - all applicable lenders Approved or Declined","Stays with Shaw - not all lenders Approved or Declined")))))</f>
      </c>
    </row>
    <row r="965" spans="80:80">
      <c r="CB965" s="131">
        <f>IF($A965="","",_xlfn.LET(_xlpm.sfp,AND($P965&lt;&gt;"",$P965&lt;&gt;"N/A",$P965&lt;&gt;"No Min RQ"),_xlpm.slp,AND($T965&lt;&gt;"",$T965&lt;&gt;"N/A",$T965&lt;&gt;"No Min RQ"),_xlpm.ffp,AND($X965&lt;&gt;"",$X965&lt;&gt;"N/A",$X965&lt;&gt;"No Min RQ"),_xlpm.chp,AND($AB965&lt;&gt;"",$AB965&lt;&gt;"N/A",$AB965&lt;&gt;"No Min RQ"),_xlpm.usp,AND($AF965&lt;&gt;"",$AF965&lt;&gt;"N/A",$AF965&lt;&gt;"No Min RQ"),_xlpm.n,_xlpm.sfp+_xlpm.slp+_xlpm.ffp+_xlpm.chp+_xlpm.usp,_xlpm.sub,(_xlpm.sfp*($P965="Submitted"))+(_xlpm.slp*($T965="Submitted"))+(_xlpm.ffp*($X965="Submitted"))+(_xlpm.chp*($AB965="Submitted"))+(_xlpm.usp*($AF965="Submitted")),_xlpm.term,(_xlpm.sfp*OR($P965="Approved",$P965="Declined"))+(_xlpm.slp*OR($T965="Approved",$T965="Declined"))+(_xlpm.ffp*OR($X965="Approved",$X965="Declined"))+(_xlpm.chp*OR($AB965="Approved",$AB965="Declined"))+(_xlpm.usp*OR($AF965="Approved",$AF965="Declined")),IF(_xlpm.n=0,"No applicable lenders",IF(_xlpm.sub&gt;0,"Stays with Shaw - lender still Submitted",IF(_xlpm.term=_xlpm.n,"Clear - all applicable lenders Approved or Declined","Stays with Shaw - not all lenders Approved or Declined")))))</f>
      </c>
    </row>
    <row r="966" spans="80:80">
      <c r="CB966" s="131">
        <f>IF($A966="","",_xlfn.LET(_xlpm.sfp,AND($P966&lt;&gt;"",$P966&lt;&gt;"N/A",$P966&lt;&gt;"No Min RQ"),_xlpm.slp,AND($T966&lt;&gt;"",$T966&lt;&gt;"N/A",$T966&lt;&gt;"No Min RQ"),_xlpm.ffp,AND($X966&lt;&gt;"",$X966&lt;&gt;"N/A",$X966&lt;&gt;"No Min RQ"),_xlpm.chp,AND($AB966&lt;&gt;"",$AB966&lt;&gt;"N/A",$AB966&lt;&gt;"No Min RQ"),_xlpm.usp,AND($AF966&lt;&gt;"",$AF966&lt;&gt;"N/A",$AF966&lt;&gt;"No Min RQ"),_xlpm.n,_xlpm.sfp+_xlpm.slp+_xlpm.ffp+_xlpm.chp+_xlpm.usp,_xlpm.sub,(_xlpm.sfp*($P966="Submitted"))+(_xlpm.slp*($T966="Submitted"))+(_xlpm.ffp*($X966="Submitted"))+(_xlpm.chp*($AB966="Submitted"))+(_xlpm.usp*($AF966="Submitted")),_xlpm.term,(_xlpm.sfp*OR($P966="Approved",$P966="Declined"))+(_xlpm.slp*OR($T966="Approved",$T966="Declined"))+(_xlpm.ffp*OR($X966="Approved",$X966="Declined"))+(_xlpm.chp*OR($AB966="Approved",$AB966="Declined"))+(_xlpm.usp*OR($AF966="Approved",$AF966="Declined")),IF(_xlpm.n=0,"No applicable lenders",IF(_xlpm.sub&gt;0,"Stays with Shaw - lender still Submitted",IF(_xlpm.term=_xlpm.n,"Clear - all applicable lenders Approved or Declined","Stays with Shaw - not all lenders Approved or Declined")))))</f>
      </c>
    </row>
    <row r="967" spans="80:80">
      <c r="CB967" s="131">
        <f>IF($A967="","",_xlfn.LET(_xlpm.sfp,AND($P967&lt;&gt;"",$P967&lt;&gt;"N/A",$P967&lt;&gt;"No Min RQ"),_xlpm.slp,AND($T967&lt;&gt;"",$T967&lt;&gt;"N/A",$T967&lt;&gt;"No Min RQ"),_xlpm.ffp,AND($X967&lt;&gt;"",$X967&lt;&gt;"N/A",$X967&lt;&gt;"No Min RQ"),_xlpm.chp,AND($AB967&lt;&gt;"",$AB967&lt;&gt;"N/A",$AB967&lt;&gt;"No Min RQ"),_xlpm.usp,AND($AF967&lt;&gt;"",$AF967&lt;&gt;"N/A",$AF967&lt;&gt;"No Min RQ"),_xlpm.n,_xlpm.sfp+_xlpm.slp+_xlpm.ffp+_xlpm.chp+_xlpm.usp,_xlpm.sub,(_xlpm.sfp*($P967="Submitted"))+(_xlpm.slp*($T967="Submitted"))+(_xlpm.ffp*($X967="Submitted"))+(_xlpm.chp*($AB967="Submitted"))+(_xlpm.usp*($AF967="Submitted")),_xlpm.term,(_xlpm.sfp*OR($P967="Approved",$P967="Declined"))+(_xlpm.slp*OR($T967="Approved",$T967="Declined"))+(_xlpm.ffp*OR($X967="Approved",$X967="Declined"))+(_xlpm.chp*OR($AB967="Approved",$AB967="Declined"))+(_xlpm.usp*OR($AF967="Approved",$AF967="Declined")),IF(_xlpm.n=0,"No applicable lenders",IF(_xlpm.sub&gt;0,"Stays with Shaw - lender still Submitted",IF(_xlpm.term=_xlpm.n,"Clear - all applicable lenders Approved or Declined","Stays with Shaw - not all lenders Approved or Declined")))))</f>
      </c>
    </row>
    <row r="968" spans="80:80">
      <c r="CB968" s="131">
        <f>IF($A968="","",_xlfn.LET(_xlpm.sfp,AND($P968&lt;&gt;"",$P968&lt;&gt;"N/A",$P968&lt;&gt;"No Min RQ"),_xlpm.slp,AND($T968&lt;&gt;"",$T968&lt;&gt;"N/A",$T968&lt;&gt;"No Min RQ"),_xlpm.ffp,AND($X968&lt;&gt;"",$X968&lt;&gt;"N/A",$X968&lt;&gt;"No Min RQ"),_xlpm.chp,AND($AB968&lt;&gt;"",$AB968&lt;&gt;"N/A",$AB968&lt;&gt;"No Min RQ"),_xlpm.usp,AND($AF968&lt;&gt;"",$AF968&lt;&gt;"N/A",$AF968&lt;&gt;"No Min RQ"),_xlpm.n,_xlpm.sfp+_xlpm.slp+_xlpm.ffp+_xlpm.chp+_xlpm.usp,_xlpm.sub,(_xlpm.sfp*($P968="Submitted"))+(_xlpm.slp*($T968="Submitted"))+(_xlpm.ffp*($X968="Submitted"))+(_xlpm.chp*($AB968="Submitted"))+(_xlpm.usp*($AF968="Submitted")),_xlpm.term,(_xlpm.sfp*OR($P968="Approved",$P968="Declined"))+(_xlpm.slp*OR($T968="Approved",$T968="Declined"))+(_xlpm.ffp*OR($X968="Approved",$X968="Declined"))+(_xlpm.chp*OR($AB968="Approved",$AB968="Declined"))+(_xlpm.usp*OR($AF968="Approved",$AF968="Declined")),IF(_xlpm.n=0,"No applicable lenders",IF(_xlpm.sub&gt;0,"Stays with Shaw - lender still Submitted",IF(_xlpm.term=_xlpm.n,"Clear - all applicable lenders Approved or Declined","Stays with Shaw - not all lenders Approved or Declined")))))</f>
      </c>
    </row>
    <row r="969" spans="80:80">
      <c r="CB969" s="131">
        <f>IF($A969="","",_xlfn.LET(_xlpm.sfp,AND($P969&lt;&gt;"",$P969&lt;&gt;"N/A",$P969&lt;&gt;"No Min RQ"),_xlpm.slp,AND($T969&lt;&gt;"",$T969&lt;&gt;"N/A",$T969&lt;&gt;"No Min RQ"),_xlpm.ffp,AND($X969&lt;&gt;"",$X969&lt;&gt;"N/A",$X969&lt;&gt;"No Min RQ"),_xlpm.chp,AND($AB969&lt;&gt;"",$AB969&lt;&gt;"N/A",$AB969&lt;&gt;"No Min RQ"),_xlpm.usp,AND($AF969&lt;&gt;"",$AF969&lt;&gt;"N/A",$AF969&lt;&gt;"No Min RQ"),_xlpm.n,_xlpm.sfp+_xlpm.slp+_xlpm.ffp+_xlpm.chp+_xlpm.usp,_xlpm.sub,(_xlpm.sfp*($P969="Submitted"))+(_xlpm.slp*($T969="Submitted"))+(_xlpm.ffp*($X969="Submitted"))+(_xlpm.chp*($AB969="Submitted"))+(_xlpm.usp*($AF969="Submitted")),_xlpm.term,(_xlpm.sfp*OR($P969="Approved",$P969="Declined"))+(_xlpm.slp*OR($T969="Approved",$T969="Declined"))+(_xlpm.ffp*OR($X969="Approved",$X969="Declined"))+(_xlpm.chp*OR($AB969="Approved",$AB969="Declined"))+(_xlpm.usp*OR($AF969="Approved",$AF969="Declined")),IF(_xlpm.n=0,"No applicable lenders",IF(_xlpm.sub&gt;0,"Stays with Shaw - lender still Submitted",IF(_xlpm.term=_xlpm.n,"Clear - all applicable lenders Approved or Declined","Stays with Shaw - not all lenders Approved or Declined")))))</f>
      </c>
    </row>
    <row r="970" spans="80:80">
      <c r="CB970" s="131">
        <f>IF($A970="","",_xlfn.LET(_xlpm.sfp,AND($P970&lt;&gt;"",$P970&lt;&gt;"N/A",$P970&lt;&gt;"No Min RQ"),_xlpm.slp,AND($T970&lt;&gt;"",$T970&lt;&gt;"N/A",$T970&lt;&gt;"No Min RQ"),_xlpm.ffp,AND($X970&lt;&gt;"",$X970&lt;&gt;"N/A",$X970&lt;&gt;"No Min RQ"),_xlpm.chp,AND($AB970&lt;&gt;"",$AB970&lt;&gt;"N/A",$AB970&lt;&gt;"No Min RQ"),_xlpm.usp,AND($AF970&lt;&gt;"",$AF970&lt;&gt;"N/A",$AF970&lt;&gt;"No Min RQ"),_xlpm.n,_xlpm.sfp+_xlpm.slp+_xlpm.ffp+_xlpm.chp+_xlpm.usp,_xlpm.sub,(_xlpm.sfp*($P970="Submitted"))+(_xlpm.slp*($T970="Submitted"))+(_xlpm.ffp*($X970="Submitted"))+(_xlpm.chp*($AB970="Submitted"))+(_xlpm.usp*($AF970="Submitted")),_xlpm.term,(_xlpm.sfp*OR($P970="Approved",$P970="Declined"))+(_xlpm.slp*OR($T970="Approved",$T970="Declined"))+(_xlpm.ffp*OR($X970="Approved",$X970="Declined"))+(_xlpm.chp*OR($AB970="Approved",$AB970="Declined"))+(_xlpm.usp*OR($AF970="Approved",$AF970="Declined")),IF(_xlpm.n=0,"No applicable lenders",IF(_xlpm.sub&gt;0,"Stays with Shaw - lender still Submitted",IF(_xlpm.term=_xlpm.n,"Clear - all applicable lenders Approved or Declined","Stays with Shaw - not all lenders Approved or Declined")))))</f>
      </c>
    </row>
    <row r="971" spans="80:80">
      <c r="CB971" s="131">
        <f>IF($A971="","",_xlfn.LET(_xlpm.sfp,AND($P971&lt;&gt;"",$P971&lt;&gt;"N/A",$P971&lt;&gt;"No Min RQ"),_xlpm.slp,AND($T971&lt;&gt;"",$T971&lt;&gt;"N/A",$T971&lt;&gt;"No Min RQ"),_xlpm.ffp,AND($X971&lt;&gt;"",$X971&lt;&gt;"N/A",$X971&lt;&gt;"No Min RQ"),_xlpm.chp,AND($AB971&lt;&gt;"",$AB971&lt;&gt;"N/A",$AB971&lt;&gt;"No Min RQ"),_xlpm.usp,AND($AF971&lt;&gt;"",$AF971&lt;&gt;"N/A",$AF971&lt;&gt;"No Min RQ"),_xlpm.n,_xlpm.sfp+_xlpm.slp+_xlpm.ffp+_xlpm.chp+_xlpm.usp,_xlpm.sub,(_xlpm.sfp*($P971="Submitted"))+(_xlpm.slp*($T971="Submitted"))+(_xlpm.ffp*($X971="Submitted"))+(_xlpm.chp*($AB971="Submitted"))+(_xlpm.usp*($AF971="Submitted")),_xlpm.term,(_xlpm.sfp*OR($P971="Approved",$P971="Declined"))+(_xlpm.slp*OR($T971="Approved",$T971="Declined"))+(_xlpm.ffp*OR($X971="Approved",$X971="Declined"))+(_xlpm.chp*OR($AB971="Approved",$AB971="Declined"))+(_xlpm.usp*OR($AF971="Approved",$AF971="Declined")),IF(_xlpm.n=0,"No applicable lenders",IF(_xlpm.sub&gt;0,"Stays with Shaw - lender still Submitted",IF(_xlpm.term=_xlpm.n,"Clear - all applicable lenders Approved or Declined","Stays with Shaw - not all lenders Approved or Declined")))))</f>
      </c>
    </row>
    <row r="972" spans="80:80">
      <c r="CB972" s="131">
        <f>IF($A972="","",_xlfn.LET(_xlpm.sfp,AND($P972&lt;&gt;"",$P972&lt;&gt;"N/A",$P972&lt;&gt;"No Min RQ"),_xlpm.slp,AND($T972&lt;&gt;"",$T972&lt;&gt;"N/A",$T972&lt;&gt;"No Min RQ"),_xlpm.ffp,AND($X972&lt;&gt;"",$X972&lt;&gt;"N/A",$X972&lt;&gt;"No Min RQ"),_xlpm.chp,AND($AB972&lt;&gt;"",$AB972&lt;&gt;"N/A",$AB972&lt;&gt;"No Min RQ"),_xlpm.usp,AND($AF972&lt;&gt;"",$AF972&lt;&gt;"N/A",$AF972&lt;&gt;"No Min RQ"),_xlpm.n,_xlpm.sfp+_xlpm.slp+_xlpm.ffp+_xlpm.chp+_xlpm.usp,_xlpm.sub,(_xlpm.sfp*($P972="Submitted"))+(_xlpm.slp*($T972="Submitted"))+(_xlpm.ffp*($X972="Submitted"))+(_xlpm.chp*($AB972="Submitted"))+(_xlpm.usp*($AF972="Submitted")),_xlpm.term,(_xlpm.sfp*OR($P972="Approved",$P972="Declined"))+(_xlpm.slp*OR($T972="Approved",$T972="Declined"))+(_xlpm.ffp*OR($X972="Approved",$X972="Declined"))+(_xlpm.chp*OR($AB972="Approved",$AB972="Declined"))+(_xlpm.usp*OR($AF972="Approved",$AF972="Declined")),IF(_xlpm.n=0,"No applicable lenders",IF(_xlpm.sub&gt;0,"Stays with Shaw - lender still Submitted",IF(_xlpm.term=_xlpm.n,"Clear - all applicable lenders Approved or Declined","Stays with Shaw - not all lenders Approved or Declined")))))</f>
      </c>
    </row>
    <row r="973" spans="80:80">
      <c r="CB973" s="131">
        <f>IF($A973="","",_xlfn.LET(_xlpm.sfp,AND($P973&lt;&gt;"",$P973&lt;&gt;"N/A",$P973&lt;&gt;"No Min RQ"),_xlpm.slp,AND($T973&lt;&gt;"",$T973&lt;&gt;"N/A",$T973&lt;&gt;"No Min RQ"),_xlpm.ffp,AND($X973&lt;&gt;"",$X973&lt;&gt;"N/A",$X973&lt;&gt;"No Min RQ"),_xlpm.chp,AND($AB973&lt;&gt;"",$AB973&lt;&gt;"N/A",$AB973&lt;&gt;"No Min RQ"),_xlpm.usp,AND($AF973&lt;&gt;"",$AF973&lt;&gt;"N/A",$AF973&lt;&gt;"No Min RQ"),_xlpm.n,_xlpm.sfp+_xlpm.slp+_xlpm.ffp+_xlpm.chp+_xlpm.usp,_xlpm.sub,(_xlpm.sfp*($P973="Submitted"))+(_xlpm.slp*($T973="Submitted"))+(_xlpm.ffp*($X973="Submitted"))+(_xlpm.chp*($AB973="Submitted"))+(_xlpm.usp*($AF973="Submitted")),_xlpm.term,(_xlpm.sfp*OR($P973="Approved",$P973="Declined"))+(_xlpm.slp*OR($T973="Approved",$T973="Declined"))+(_xlpm.ffp*OR($X973="Approved",$X973="Declined"))+(_xlpm.chp*OR($AB973="Approved",$AB973="Declined"))+(_xlpm.usp*OR($AF973="Approved",$AF973="Declined")),IF(_xlpm.n=0,"No applicable lenders",IF(_xlpm.sub&gt;0,"Stays with Shaw - lender still Submitted",IF(_xlpm.term=_xlpm.n,"Clear - all applicable lenders Approved or Declined","Stays with Shaw - not all lenders Approved or Declined")))))</f>
      </c>
    </row>
    <row r="974" spans="80:80">
      <c r="CB974" s="131">
        <f>IF($A974="","",_xlfn.LET(_xlpm.sfp,AND($P974&lt;&gt;"",$P974&lt;&gt;"N/A",$P974&lt;&gt;"No Min RQ"),_xlpm.slp,AND($T974&lt;&gt;"",$T974&lt;&gt;"N/A",$T974&lt;&gt;"No Min RQ"),_xlpm.ffp,AND($X974&lt;&gt;"",$X974&lt;&gt;"N/A",$X974&lt;&gt;"No Min RQ"),_xlpm.chp,AND($AB974&lt;&gt;"",$AB974&lt;&gt;"N/A",$AB974&lt;&gt;"No Min RQ"),_xlpm.usp,AND($AF974&lt;&gt;"",$AF974&lt;&gt;"N/A",$AF974&lt;&gt;"No Min RQ"),_xlpm.n,_xlpm.sfp+_xlpm.slp+_xlpm.ffp+_xlpm.chp+_xlpm.usp,_xlpm.sub,(_xlpm.sfp*($P974="Submitted"))+(_xlpm.slp*($T974="Submitted"))+(_xlpm.ffp*($X974="Submitted"))+(_xlpm.chp*($AB974="Submitted"))+(_xlpm.usp*($AF974="Submitted")),_xlpm.term,(_xlpm.sfp*OR($P974="Approved",$P974="Declined"))+(_xlpm.slp*OR($T974="Approved",$T974="Declined"))+(_xlpm.ffp*OR($X974="Approved",$X974="Declined"))+(_xlpm.chp*OR($AB974="Approved",$AB974="Declined"))+(_xlpm.usp*OR($AF974="Approved",$AF974="Declined")),IF(_xlpm.n=0,"No applicable lenders",IF(_xlpm.sub&gt;0,"Stays with Shaw - lender still Submitted",IF(_xlpm.term=_xlpm.n,"Clear - all applicable lenders Approved or Declined","Stays with Shaw - not all lenders Approved or Declined")))))</f>
      </c>
    </row>
    <row r="975" spans="80:80">
      <c r="CB975" s="131">
        <f>IF($A975="","",_xlfn.LET(_xlpm.sfp,AND($P975&lt;&gt;"",$P975&lt;&gt;"N/A",$P975&lt;&gt;"No Min RQ"),_xlpm.slp,AND($T975&lt;&gt;"",$T975&lt;&gt;"N/A",$T975&lt;&gt;"No Min RQ"),_xlpm.ffp,AND($X975&lt;&gt;"",$X975&lt;&gt;"N/A",$X975&lt;&gt;"No Min RQ"),_xlpm.chp,AND($AB975&lt;&gt;"",$AB975&lt;&gt;"N/A",$AB975&lt;&gt;"No Min RQ"),_xlpm.usp,AND($AF975&lt;&gt;"",$AF975&lt;&gt;"N/A",$AF975&lt;&gt;"No Min RQ"),_xlpm.n,_xlpm.sfp+_xlpm.slp+_xlpm.ffp+_xlpm.chp+_xlpm.usp,_xlpm.sub,(_xlpm.sfp*($P975="Submitted"))+(_xlpm.slp*($T975="Submitted"))+(_xlpm.ffp*($X975="Submitted"))+(_xlpm.chp*($AB975="Submitted"))+(_xlpm.usp*($AF975="Submitted")),_xlpm.term,(_xlpm.sfp*OR($P975="Approved",$P975="Declined"))+(_xlpm.slp*OR($T975="Approved",$T975="Declined"))+(_xlpm.ffp*OR($X975="Approved",$X975="Declined"))+(_xlpm.chp*OR($AB975="Approved",$AB975="Declined"))+(_xlpm.usp*OR($AF975="Approved",$AF975="Declined")),IF(_xlpm.n=0,"No applicable lenders",IF(_xlpm.sub&gt;0,"Stays with Shaw - lender still Submitted",IF(_xlpm.term=_xlpm.n,"Clear - all applicable lenders Approved or Declined","Stays with Shaw - not all lenders Approved or Declined")))))</f>
      </c>
    </row>
    <row r="976" spans="80:80">
      <c r="CB976" s="131">
        <f>IF($A976="","",_xlfn.LET(_xlpm.sfp,AND($P976&lt;&gt;"",$P976&lt;&gt;"N/A",$P976&lt;&gt;"No Min RQ"),_xlpm.slp,AND($T976&lt;&gt;"",$T976&lt;&gt;"N/A",$T976&lt;&gt;"No Min RQ"),_xlpm.ffp,AND($X976&lt;&gt;"",$X976&lt;&gt;"N/A",$X976&lt;&gt;"No Min RQ"),_xlpm.chp,AND($AB976&lt;&gt;"",$AB976&lt;&gt;"N/A",$AB976&lt;&gt;"No Min RQ"),_xlpm.usp,AND($AF976&lt;&gt;"",$AF976&lt;&gt;"N/A",$AF976&lt;&gt;"No Min RQ"),_xlpm.n,_xlpm.sfp+_xlpm.slp+_xlpm.ffp+_xlpm.chp+_xlpm.usp,_xlpm.sub,(_xlpm.sfp*($P976="Submitted"))+(_xlpm.slp*($T976="Submitted"))+(_xlpm.ffp*($X976="Submitted"))+(_xlpm.chp*($AB976="Submitted"))+(_xlpm.usp*($AF976="Submitted")),_xlpm.term,(_xlpm.sfp*OR($P976="Approved",$P976="Declined"))+(_xlpm.slp*OR($T976="Approved",$T976="Declined"))+(_xlpm.ffp*OR($X976="Approved",$X976="Declined"))+(_xlpm.chp*OR($AB976="Approved",$AB976="Declined"))+(_xlpm.usp*OR($AF976="Approved",$AF976="Declined")),IF(_xlpm.n=0,"No applicable lenders",IF(_xlpm.sub&gt;0,"Stays with Shaw - lender still Submitted",IF(_xlpm.term=_xlpm.n,"Clear - all applicable lenders Approved or Declined","Stays with Shaw - not all lenders Approved or Declined")))))</f>
      </c>
    </row>
    <row r="977" spans="80:80">
      <c r="CB977" s="131">
        <f>IF($A977="","",_xlfn.LET(_xlpm.sfp,AND($P977&lt;&gt;"",$P977&lt;&gt;"N/A",$P977&lt;&gt;"No Min RQ"),_xlpm.slp,AND($T977&lt;&gt;"",$T977&lt;&gt;"N/A",$T977&lt;&gt;"No Min RQ"),_xlpm.ffp,AND($X977&lt;&gt;"",$X977&lt;&gt;"N/A",$X977&lt;&gt;"No Min RQ"),_xlpm.chp,AND($AB977&lt;&gt;"",$AB977&lt;&gt;"N/A",$AB977&lt;&gt;"No Min RQ"),_xlpm.usp,AND($AF977&lt;&gt;"",$AF977&lt;&gt;"N/A",$AF977&lt;&gt;"No Min RQ"),_xlpm.n,_xlpm.sfp+_xlpm.slp+_xlpm.ffp+_xlpm.chp+_xlpm.usp,_xlpm.sub,(_xlpm.sfp*($P977="Submitted"))+(_xlpm.slp*($T977="Submitted"))+(_xlpm.ffp*($X977="Submitted"))+(_xlpm.chp*($AB977="Submitted"))+(_xlpm.usp*($AF977="Submitted")),_xlpm.term,(_xlpm.sfp*OR($P977="Approved",$P977="Declined"))+(_xlpm.slp*OR($T977="Approved",$T977="Declined"))+(_xlpm.ffp*OR($X977="Approved",$X977="Declined"))+(_xlpm.chp*OR($AB977="Approved",$AB977="Declined"))+(_xlpm.usp*OR($AF977="Approved",$AF977="Declined")),IF(_xlpm.n=0,"No applicable lenders",IF(_xlpm.sub&gt;0,"Stays with Shaw - lender still Submitted",IF(_xlpm.term=_xlpm.n,"Clear - all applicable lenders Approved or Declined","Stays with Shaw - not all lenders Approved or Declined")))))</f>
      </c>
    </row>
    <row r="978" spans="80:80">
      <c r="CB978" s="131">
        <f>IF($A978="","",_xlfn.LET(_xlpm.sfp,AND($P978&lt;&gt;"",$P978&lt;&gt;"N/A",$P978&lt;&gt;"No Min RQ"),_xlpm.slp,AND($T978&lt;&gt;"",$T978&lt;&gt;"N/A",$T978&lt;&gt;"No Min RQ"),_xlpm.ffp,AND($X978&lt;&gt;"",$X978&lt;&gt;"N/A",$X978&lt;&gt;"No Min RQ"),_xlpm.chp,AND($AB978&lt;&gt;"",$AB978&lt;&gt;"N/A",$AB978&lt;&gt;"No Min RQ"),_xlpm.usp,AND($AF978&lt;&gt;"",$AF978&lt;&gt;"N/A",$AF978&lt;&gt;"No Min RQ"),_xlpm.n,_xlpm.sfp+_xlpm.slp+_xlpm.ffp+_xlpm.chp+_xlpm.usp,_xlpm.sub,(_xlpm.sfp*($P978="Submitted"))+(_xlpm.slp*($T978="Submitted"))+(_xlpm.ffp*($X978="Submitted"))+(_xlpm.chp*($AB978="Submitted"))+(_xlpm.usp*($AF978="Submitted")),_xlpm.term,(_xlpm.sfp*OR($P978="Approved",$P978="Declined"))+(_xlpm.slp*OR($T978="Approved",$T978="Declined"))+(_xlpm.ffp*OR($X978="Approved",$X978="Declined"))+(_xlpm.chp*OR($AB978="Approved",$AB978="Declined"))+(_xlpm.usp*OR($AF978="Approved",$AF978="Declined")),IF(_xlpm.n=0,"No applicable lenders",IF(_xlpm.sub&gt;0,"Stays with Shaw - lender still Submitted",IF(_xlpm.term=_xlpm.n,"Clear - all applicable lenders Approved or Declined","Stays with Shaw - not all lenders Approved or Declined")))))</f>
      </c>
    </row>
    <row r="979" spans="80:80">
      <c r="CB979" s="131">
        <f>IF($A979="","",_xlfn.LET(_xlpm.sfp,AND($P979&lt;&gt;"",$P979&lt;&gt;"N/A",$P979&lt;&gt;"No Min RQ"),_xlpm.slp,AND($T979&lt;&gt;"",$T979&lt;&gt;"N/A",$T979&lt;&gt;"No Min RQ"),_xlpm.ffp,AND($X979&lt;&gt;"",$X979&lt;&gt;"N/A",$X979&lt;&gt;"No Min RQ"),_xlpm.chp,AND($AB979&lt;&gt;"",$AB979&lt;&gt;"N/A",$AB979&lt;&gt;"No Min RQ"),_xlpm.usp,AND($AF979&lt;&gt;"",$AF979&lt;&gt;"N/A",$AF979&lt;&gt;"No Min RQ"),_xlpm.n,_xlpm.sfp+_xlpm.slp+_xlpm.ffp+_xlpm.chp+_xlpm.usp,_xlpm.sub,(_xlpm.sfp*($P979="Submitted"))+(_xlpm.slp*($T979="Submitted"))+(_xlpm.ffp*($X979="Submitted"))+(_xlpm.chp*($AB979="Submitted"))+(_xlpm.usp*($AF979="Submitted")),_xlpm.term,(_xlpm.sfp*OR($P979="Approved",$P979="Declined"))+(_xlpm.slp*OR($T979="Approved",$T979="Declined"))+(_xlpm.ffp*OR($X979="Approved",$X979="Declined"))+(_xlpm.chp*OR($AB979="Approved",$AB979="Declined"))+(_xlpm.usp*OR($AF979="Approved",$AF979="Declined")),IF(_xlpm.n=0,"No applicable lenders",IF(_xlpm.sub&gt;0,"Stays with Shaw - lender still Submitted",IF(_xlpm.term=_xlpm.n,"Clear - all applicable lenders Approved or Declined","Stays with Shaw - not all lenders Approved or Declined")))))</f>
      </c>
    </row>
    <row r="980" spans="80:80">
      <c r="CB980" s="131">
        <f>IF($A980="","",_xlfn.LET(_xlpm.sfp,AND($P980&lt;&gt;"",$P980&lt;&gt;"N/A",$P980&lt;&gt;"No Min RQ"),_xlpm.slp,AND($T980&lt;&gt;"",$T980&lt;&gt;"N/A",$T980&lt;&gt;"No Min RQ"),_xlpm.ffp,AND($X980&lt;&gt;"",$X980&lt;&gt;"N/A",$X980&lt;&gt;"No Min RQ"),_xlpm.chp,AND($AB980&lt;&gt;"",$AB980&lt;&gt;"N/A",$AB980&lt;&gt;"No Min RQ"),_xlpm.usp,AND($AF980&lt;&gt;"",$AF980&lt;&gt;"N/A",$AF980&lt;&gt;"No Min RQ"),_xlpm.n,_xlpm.sfp+_xlpm.slp+_xlpm.ffp+_xlpm.chp+_xlpm.usp,_xlpm.sub,(_xlpm.sfp*($P980="Submitted"))+(_xlpm.slp*($T980="Submitted"))+(_xlpm.ffp*($X980="Submitted"))+(_xlpm.chp*($AB980="Submitted"))+(_xlpm.usp*($AF980="Submitted")),_xlpm.term,(_xlpm.sfp*OR($P980="Approved",$P980="Declined"))+(_xlpm.slp*OR($T980="Approved",$T980="Declined"))+(_xlpm.ffp*OR($X980="Approved",$X980="Declined"))+(_xlpm.chp*OR($AB980="Approved",$AB980="Declined"))+(_xlpm.usp*OR($AF980="Approved",$AF980="Declined")),IF(_xlpm.n=0,"No applicable lenders",IF(_xlpm.sub&gt;0,"Stays with Shaw - lender still Submitted",IF(_xlpm.term=_xlpm.n,"Clear - all applicable lenders Approved or Declined","Stays with Shaw - not all lenders Approved or Declined")))))</f>
      </c>
    </row>
    <row r="981" spans="80:80">
      <c r="CB981" s="131">
        <f>IF($A981="","",_xlfn.LET(_xlpm.sfp,AND($P981&lt;&gt;"",$P981&lt;&gt;"N/A",$P981&lt;&gt;"No Min RQ"),_xlpm.slp,AND($T981&lt;&gt;"",$T981&lt;&gt;"N/A",$T981&lt;&gt;"No Min RQ"),_xlpm.ffp,AND($X981&lt;&gt;"",$X981&lt;&gt;"N/A",$X981&lt;&gt;"No Min RQ"),_xlpm.chp,AND($AB981&lt;&gt;"",$AB981&lt;&gt;"N/A",$AB981&lt;&gt;"No Min RQ"),_xlpm.usp,AND($AF981&lt;&gt;"",$AF981&lt;&gt;"N/A",$AF981&lt;&gt;"No Min RQ"),_xlpm.n,_xlpm.sfp+_xlpm.slp+_xlpm.ffp+_xlpm.chp+_xlpm.usp,_xlpm.sub,(_xlpm.sfp*($P981="Submitted"))+(_xlpm.slp*($T981="Submitted"))+(_xlpm.ffp*($X981="Submitted"))+(_xlpm.chp*($AB981="Submitted"))+(_xlpm.usp*($AF981="Submitted")),_xlpm.term,(_xlpm.sfp*OR($P981="Approved",$P981="Declined"))+(_xlpm.slp*OR($T981="Approved",$T981="Declined"))+(_xlpm.ffp*OR($X981="Approved",$X981="Declined"))+(_xlpm.chp*OR($AB981="Approved",$AB981="Declined"))+(_xlpm.usp*OR($AF981="Approved",$AF981="Declined")),IF(_xlpm.n=0,"No applicable lenders",IF(_xlpm.sub&gt;0,"Stays with Shaw - lender still Submitted",IF(_xlpm.term=_xlpm.n,"Clear - all applicable lenders Approved or Declined","Stays with Shaw - not all lenders Approved or Declined")))))</f>
      </c>
    </row>
    <row r="982" spans="80:80">
      <c r="CB982" s="131">
        <f>IF($A982="","",_xlfn.LET(_xlpm.sfp,AND($P982&lt;&gt;"",$P982&lt;&gt;"N/A",$P982&lt;&gt;"No Min RQ"),_xlpm.slp,AND($T982&lt;&gt;"",$T982&lt;&gt;"N/A",$T982&lt;&gt;"No Min RQ"),_xlpm.ffp,AND($X982&lt;&gt;"",$X982&lt;&gt;"N/A",$X982&lt;&gt;"No Min RQ"),_xlpm.chp,AND($AB982&lt;&gt;"",$AB982&lt;&gt;"N/A",$AB982&lt;&gt;"No Min RQ"),_xlpm.usp,AND($AF982&lt;&gt;"",$AF982&lt;&gt;"N/A",$AF982&lt;&gt;"No Min RQ"),_xlpm.n,_xlpm.sfp+_xlpm.slp+_xlpm.ffp+_xlpm.chp+_xlpm.usp,_xlpm.sub,(_xlpm.sfp*($P982="Submitted"))+(_xlpm.slp*($T982="Submitted"))+(_xlpm.ffp*($X982="Submitted"))+(_xlpm.chp*($AB982="Submitted"))+(_xlpm.usp*($AF982="Submitted")),_xlpm.term,(_xlpm.sfp*OR($P982="Approved",$P982="Declined"))+(_xlpm.slp*OR($T982="Approved",$T982="Declined"))+(_xlpm.ffp*OR($X982="Approved",$X982="Declined"))+(_xlpm.chp*OR($AB982="Approved",$AB982="Declined"))+(_xlpm.usp*OR($AF982="Approved",$AF982="Declined")),IF(_xlpm.n=0,"No applicable lenders",IF(_xlpm.sub&gt;0,"Stays with Shaw - lender still Submitted",IF(_xlpm.term=_xlpm.n,"Clear - all applicable lenders Approved or Declined","Stays with Shaw - not all lenders Approved or Declined")))))</f>
      </c>
    </row>
    <row r="983" spans="80:80">
      <c r="CB983" s="131">
        <f>IF($A983="","",_xlfn.LET(_xlpm.sfp,AND($P983&lt;&gt;"",$P983&lt;&gt;"N/A",$P983&lt;&gt;"No Min RQ"),_xlpm.slp,AND($T983&lt;&gt;"",$T983&lt;&gt;"N/A",$T983&lt;&gt;"No Min RQ"),_xlpm.ffp,AND($X983&lt;&gt;"",$X983&lt;&gt;"N/A",$X983&lt;&gt;"No Min RQ"),_xlpm.chp,AND($AB983&lt;&gt;"",$AB983&lt;&gt;"N/A",$AB983&lt;&gt;"No Min RQ"),_xlpm.usp,AND($AF983&lt;&gt;"",$AF983&lt;&gt;"N/A",$AF983&lt;&gt;"No Min RQ"),_xlpm.n,_xlpm.sfp+_xlpm.slp+_xlpm.ffp+_xlpm.chp+_xlpm.usp,_xlpm.sub,(_xlpm.sfp*($P983="Submitted"))+(_xlpm.slp*($T983="Submitted"))+(_xlpm.ffp*($X983="Submitted"))+(_xlpm.chp*($AB983="Submitted"))+(_xlpm.usp*($AF983="Submitted")),_xlpm.term,(_xlpm.sfp*OR($P983="Approved",$P983="Declined"))+(_xlpm.slp*OR($T983="Approved",$T983="Declined"))+(_xlpm.ffp*OR($X983="Approved",$X983="Declined"))+(_xlpm.chp*OR($AB983="Approved",$AB983="Declined"))+(_xlpm.usp*OR($AF983="Approved",$AF983="Declined")),IF(_xlpm.n=0,"No applicable lenders",IF(_xlpm.sub&gt;0,"Stays with Shaw - lender still Submitted",IF(_xlpm.term=_xlpm.n,"Clear - all applicable lenders Approved or Declined","Stays with Shaw - not all lenders Approved or Declined")))))</f>
      </c>
    </row>
    <row r="984" spans="80:80">
      <c r="CB984" s="131">
        <f>IF($A984="","",_xlfn.LET(_xlpm.sfp,AND($P984&lt;&gt;"",$P984&lt;&gt;"N/A",$P984&lt;&gt;"No Min RQ"),_xlpm.slp,AND($T984&lt;&gt;"",$T984&lt;&gt;"N/A",$T984&lt;&gt;"No Min RQ"),_xlpm.ffp,AND($X984&lt;&gt;"",$X984&lt;&gt;"N/A",$X984&lt;&gt;"No Min RQ"),_xlpm.chp,AND($AB984&lt;&gt;"",$AB984&lt;&gt;"N/A",$AB984&lt;&gt;"No Min RQ"),_xlpm.usp,AND($AF984&lt;&gt;"",$AF984&lt;&gt;"N/A",$AF984&lt;&gt;"No Min RQ"),_xlpm.n,_xlpm.sfp+_xlpm.slp+_xlpm.ffp+_xlpm.chp+_xlpm.usp,_xlpm.sub,(_xlpm.sfp*($P984="Submitted"))+(_xlpm.slp*($T984="Submitted"))+(_xlpm.ffp*($X984="Submitted"))+(_xlpm.chp*($AB984="Submitted"))+(_xlpm.usp*($AF984="Submitted")),_xlpm.term,(_xlpm.sfp*OR($P984="Approved",$P984="Declined"))+(_xlpm.slp*OR($T984="Approved",$T984="Declined"))+(_xlpm.ffp*OR($X984="Approved",$X984="Declined"))+(_xlpm.chp*OR($AB984="Approved",$AB984="Declined"))+(_xlpm.usp*OR($AF984="Approved",$AF984="Declined")),IF(_xlpm.n=0,"No applicable lenders",IF(_xlpm.sub&gt;0,"Stays with Shaw - lender still Submitted",IF(_xlpm.term=_xlpm.n,"Clear - all applicable lenders Approved or Declined","Stays with Shaw - not all lenders Approved or Declined")))))</f>
      </c>
    </row>
    <row r="985" spans="80:80">
      <c r="CB985" s="131">
        <f>IF($A985="","",_xlfn.LET(_xlpm.sfp,AND($P985&lt;&gt;"",$P985&lt;&gt;"N/A",$P985&lt;&gt;"No Min RQ"),_xlpm.slp,AND($T985&lt;&gt;"",$T985&lt;&gt;"N/A",$T985&lt;&gt;"No Min RQ"),_xlpm.ffp,AND($X985&lt;&gt;"",$X985&lt;&gt;"N/A",$X985&lt;&gt;"No Min RQ"),_xlpm.chp,AND($AB985&lt;&gt;"",$AB985&lt;&gt;"N/A",$AB985&lt;&gt;"No Min RQ"),_xlpm.usp,AND($AF985&lt;&gt;"",$AF985&lt;&gt;"N/A",$AF985&lt;&gt;"No Min RQ"),_xlpm.n,_xlpm.sfp+_xlpm.slp+_xlpm.ffp+_xlpm.chp+_xlpm.usp,_xlpm.sub,(_xlpm.sfp*($P985="Submitted"))+(_xlpm.slp*($T985="Submitted"))+(_xlpm.ffp*($X985="Submitted"))+(_xlpm.chp*($AB985="Submitted"))+(_xlpm.usp*($AF985="Submitted")),_xlpm.term,(_xlpm.sfp*OR($P985="Approved",$P985="Declined"))+(_xlpm.slp*OR($T985="Approved",$T985="Declined"))+(_xlpm.ffp*OR($X985="Approved",$X985="Declined"))+(_xlpm.chp*OR($AB985="Approved",$AB985="Declined"))+(_xlpm.usp*OR($AF985="Approved",$AF985="Declined")),IF(_xlpm.n=0,"No applicable lenders",IF(_xlpm.sub&gt;0,"Stays with Shaw - lender still Submitted",IF(_xlpm.term=_xlpm.n,"Clear - all applicable lenders Approved or Declined","Stays with Shaw - not all lenders Approved or Declined")))))</f>
      </c>
    </row>
    <row r="986" spans="80:80">
      <c r="CB986" s="131">
        <f>IF($A986="","",_xlfn.LET(_xlpm.sfp,AND($P986&lt;&gt;"",$P986&lt;&gt;"N/A",$P986&lt;&gt;"No Min RQ"),_xlpm.slp,AND($T986&lt;&gt;"",$T986&lt;&gt;"N/A",$T986&lt;&gt;"No Min RQ"),_xlpm.ffp,AND($X986&lt;&gt;"",$X986&lt;&gt;"N/A",$X986&lt;&gt;"No Min RQ"),_xlpm.chp,AND($AB986&lt;&gt;"",$AB986&lt;&gt;"N/A",$AB986&lt;&gt;"No Min RQ"),_xlpm.usp,AND($AF986&lt;&gt;"",$AF986&lt;&gt;"N/A",$AF986&lt;&gt;"No Min RQ"),_xlpm.n,_xlpm.sfp+_xlpm.slp+_xlpm.ffp+_xlpm.chp+_xlpm.usp,_xlpm.sub,(_xlpm.sfp*($P986="Submitted"))+(_xlpm.slp*($T986="Submitted"))+(_xlpm.ffp*($X986="Submitted"))+(_xlpm.chp*($AB986="Submitted"))+(_xlpm.usp*($AF986="Submitted")),_xlpm.term,(_xlpm.sfp*OR($P986="Approved",$P986="Declined"))+(_xlpm.slp*OR($T986="Approved",$T986="Declined"))+(_xlpm.ffp*OR($X986="Approved",$X986="Declined"))+(_xlpm.chp*OR($AB986="Approved",$AB986="Declined"))+(_xlpm.usp*OR($AF986="Approved",$AF986="Declined")),IF(_xlpm.n=0,"No applicable lenders",IF(_xlpm.sub&gt;0,"Stays with Shaw - lender still Submitted",IF(_xlpm.term=_xlpm.n,"Clear - all applicable lenders Approved or Declined","Stays with Shaw - not all lenders Approved or Declined")))))</f>
      </c>
    </row>
    <row r="987" spans="80:80">
      <c r="CB987" s="131">
        <f>IF($A987="","",_xlfn.LET(_xlpm.sfp,AND($P987&lt;&gt;"",$P987&lt;&gt;"N/A",$P987&lt;&gt;"No Min RQ"),_xlpm.slp,AND($T987&lt;&gt;"",$T987&lt;&gt;"N/A",$T987&lt;&gt;"No Min RQ"),_xlpm.ffp,AND($X987&lt;&gt;"",$X987&lt;&gt;"N/A",$X987&lt;&gt;"No Min RQ"),_xlpm.chp,AND($AB987&lt;&gt;"",$AB987&lt;&gt;"N/A",$AB987&lt;&gt;"No Min RQ"),_xlpm.usp,AND($AF987&lt;&gt;"",$AF987&lt;&gt;"N/A",$AF987&lt;&gt;"No Min RQ"),_xlpm.n,_xlpm.sfp+_xlpm.slp+_xlpm.ffp+_xlpm.chp+_xlpm.usp,_xlpm.sub,(_xlpm.sfp*($P987="Submitted"))+(_xlpm.slp*($T987="Submitted"))+(_xlpm.ffp*($X987="Submitted"))+(_xlpm.chp*($AB987="Submitted"))+(_xlpm.usp*($AF987="Submitted")),_xlpm.term,(_xlpm.sfp*OR($P987="Approved",$P987="Declined"))+(_xlpm.slp*OR($T987="Approved",$T987="Declined"))+(_xlpm.ffp*OR($X987="Approved",$X987="Declined"))+(_xlpm.chp*OR($AB987="Approved",$AB987="Declined"))+(_xlpm.usp*OR($AF987="Approved",$AF987="Declined")),IF(_xlpm.n=0,"No applicable lenders",IF(_xlpm.sub&gt;0,"Stays with Shaw - lender still Submitted",IF(_xlpm.term=_xlpm.n,"Clear - all applicable lenders Approved or Declined","Stays with Shaw - not all lenders Approved or Declined")))))</f>
      </c>
    </row>
    <row r="988" spans="80:80">
      <c r="CB988" s="131">
        <f>IF($A988="","",_xlfn.LET(_xlpm.sfp,AND($P988&lt;&gt;"",$P988&lt;&gt;"N/A",$P988&lt;&gt;"No Min RQ"),_xlpm.slp,AND($T988&lt;&gt;"",$T988&lt;&gt;"N/A",$T988&lt;&gt;"No Min RQ"),_xlpm.ffp,AND($X988&lt;&gt;"",$X988&lt;&gt;"N/A",$X988&lt;&gt;"No Min RQ"),_xlpm.chp,AND($AB988&lt;&gt;"",$AB988&lt;&gt;"N/A",$AB988&lt;&gt;"No Min RQ"),_xlpm.usp,AND($AF988&lt;&gt;"",$AF988&lt;&gt;"N/A",$AF988&lt;&gt;"No Min RQ"),_xlpm.n,_xlpm.sfp+_xlpm.slp+_xlpm.ffp+_xlpm.chp+_xlpm.usp,_xlpm.sub,(_xlpm.sfp*($P988="Submitted"))+(_xlpm.slp*($T988="Submitted"))+(_xlpm.ffp*($X988="Submitted"))+(_xlpm.chp*($AB988="Submitted"))+(_xlpm.usp*($AF988="Submitted")),_xlpm.term,(_xlpm.sfp*OR($P988="Approved",$P988="Declined"))+(_xlpm.slp*OR($T988="Approved",$T988="Declined"))+(_xlpm.ffp*OR($X988="Approved",$X988="Declined"))+(_xlpm.chp*OR($AB988="Approved",$AB988="Declined"))+(_xlpm.usp*OR($AF988="Approved",$AF988="Declined")),IF(_xlpm.n=0,"No applicable lenders",IF(_xlpm.sub&gt;0,"Stays with Shaw - lender still Submitted",IF(_xlpm.term=_xlpm.n,"Clear - all applicable lenders Approved or Declined","Stays with Shaw - not all lenders Approved or Declined")))))</f>
      </c>
    </row>
    <row r="989" spans="80:80">
      <c r="CB989" s="131">
        <f>IF($A989="","",_xlfn.LET(_xlpm.sfp,AND($P989&lt;&gt;"",$P989&lt;&gt;"N/A",$P989&lt;&gt;"No Min RQ"),_xlpm.slp,AND($T989&lt;&gt;"",$T989&lt;&gt;"N/A",$T989&lt;&gt;"No Min RQ"),_xlpm.ffp,AND($X989&lt;&gt;"",$X989&lt;&gt;"N/A",$X989&lt;&gt;"No Min RQ"),_xlpm.chp,AND($AB989&lt;&gt;"",$AB989&lt;&gt;"N/A",$AB989&lt;&gt;"No Min RQ"),_xlpm.usp,AND($AF989&lt;&gt;"",$AF989&lt;&gt;"N/A",$AF989&lt;&gt;"No Min RQ"),_xlpm.n,_xlpm.sfp+_xlpm.slp+_xlpm.ffp+_xlpm.chp+_xlpm.usp,_xlpm.sub,(_xlpm.sfp*($P989="Submitted"))+(_xlpm.slp*($T989="Submitted"))+(_xlpm.ffp*($X989="Submitted"))+(_xlpm.chp*($AB989="Submitted"))+(_xlpm.usp*($AF989="Submitted")),_xlpm.term,(_xlpm.sfp*OR($P989="Approved",$P989="Declined"))+(_xlpm.slp*OR($T989="Approved",$T989="Declined"))+(_xlpm.ffp*OR($X989="Approved",$X989="Declined"))+(_xlpm.chp*OR($AB989="Approved",$AB989="Declined"))+(_xlpm.usp*OR($AF989="Approved",$AF989="Declined")),IF(_xlpm.n=0,"No applicable lenders",IF(_xlpm.sub&gt;0,"Stays with Shaw - lender still Submitted",IF(_xlpm.term=_xlpm.n,"Clear - all applicable lenders Approved or Declined","Stays with Shaw - not all lenders Approved or Declined")))))</f>
      </c>
    </row>
    <row r="990" spans="80:80">
      <c r="CB990" s="131">
        <f>IF($A990="","",_xlfn.LET(_xlpm.sfp,AND($P990&lt;&gt;"",$P990&lt;&gt;"N/A",$P990&lt;&gt;"No Min RQ"),_xlpm.slp,AND($T990&lt;&gt;"",$T990&lt;&gt;"N/A",$T990&lt;&gt;"No Min RQ"),_xlpm.ffp,AND($X990&lt;&gt;"",$X990&lt;&gt;"N/A",$X990&lt;&gt;"No Min RQ"),_xlpm.chp,AND($AB990&lt;&gt;"",$AB990&lt;&gt;"N/A",$AB990&lt;&gt;"No Min RQ"),_xlpm.usp,AND($AF990&lt;&gt;"",$AF990&lt;&gt;"N/A",$AF990&lt;&gt;"No Min RQ"),_xlpm.n,_xlpm.sfp+_xlpm.slp+_xlpm.ffp+_xlpm.chp+_xlpm.usp,_xlpm.sub,(_xlpm.sfp*($P990="Submitted"))+(_xlpm.slp*($T990="Submitted"))+(_xlpm.ffp*($X990="Submitted"))+(_xlpm.chp*($AB990="Submitted"))+(_xlpm.usp*($AF990="Submitted")),_xlpm.term,(_xlpm.sfp*OR($P990="Approved",$P990="Declined"))+(_xlpm.slp*OR($T990="Approved",$T990="Declined"))+(_xlpm.ffp*OR($X990="Approved",$X990="Declined"))+(_xlpm.chp*OR($AB990="Approved",$AB990="Declined"))+(_xlpm.usp*OR($AF990="Approved",$AF990="Declined")),IF(_xlpm.n=0,"No applicable lenders",IF(_xlpm.sub&gt;0,"Stays with Shaw - lender still Submitted",IF(_xlpm.term=_xlpm.n,"Clear - all applicable lenders Approved or Declined","Stays with Shaw - not all lenders Approved or Declined")))))</f>
      </c>
    </row>
    <row r="991" spans="80:80">
      <c r="CB991" s="131">
        <f>IF($A991="","",_xlfn.LET(_xlpm.sfp,AND($P991&lt;&gt;"",$P991&lt;&gt;"N/A",$P991&lt;&gt;"No Min RQ"),_xlpm.slp,AND($T991&lt;&gt;"",$T991&lt;&gt;"N/A",$T991&lt;&gt;"No Min RQ"),_xlpm.ffp,AND($X991&lt;&gt;"",$X991&lt;&gt;"N/A",$X991&lt;&gt;"No Min RQ"),_xlpm.chp,AND($AB991&lt;&gt;"",$AB991&lt;&gt;"N/A",$AB991&lt;&gt;"No Min RQ"),_xlpm.usp,AND($AF991&lt;&gt;"",$AF991&lt;&gt;"N/A",$AF991&lt;&gt;"No Min RQ"),_xlpm.n,_xlpm.sfp+_xlpm.slp+_xlpm.ffp+_xlpm.chp+_xlpm.usp,_xlpm.sub,(_xlpm.sfp*($P991="Submitted"))+(_xlpm.slp*($T991="Submitted"))+(_xlpm.ffp*($X991="Submitted"))+(_xlpm.chp*($AB991="Submitted"))+(_xlpm.usp*($AF991="Submitted")),_xlpm.term,(_xlpm.sfp*OR($P991="Approved",$P991="Declined"))+(_xlpm.slp*OR($T991="Approved",$T991="Declined"))+(_xlpm.ffp*OR($X991="Approved",$X991="Declined"))+(_xlpm.chp*OR($AB991="Approved",$AB991="Declined"))+(_xlpm.usp*OR($AF991="Approved",$AF991="Declined")),IF(_xlpm.n=0,"No applicable lenders",IF(_xlpm.sub&gt;0,"Stays with Shaw - lender still Submitted",IF(_xlpm.term=_xlpm.n,"Clear - all applicable lenders Approved or Declined","Stays with Shaw - not all lenders Approved or Declined")))))</f>
      </c>
    </row>
    <row r="992" spans="80:80">
      <c r="CB992" s="131">
        <f>IF($A992="","",_xlfn.LET(_xlpm.sfp,AND($P992&lt;&gt;"",$P992&lt;&gt;"N/A",$P992&lt;&gt;"No Min RQ"),_xlpm.slp,AND($T992&lt;&gt;"",$T992&lt;&gt;"N/A",$T992&lt;&gt;"No Min RQ"),_xlpm.ffp,AND($X992&lt;&gt;"",$X992&lt;&gt;"N/A",$X992&lt;&gt;"No Min RQ"),_xlpm.chp,AND($AB992&lt;&gt;"",$AB992&lt;&gt;"N/A",$AB992&lt;&gt;"No Min RQ"),_xlpm.usp,AND($AF992&lt;&gt;"",$AF992&lt;&gt;"N/A",$AF992&lt;&gt;"No Min RQ"),_xlpm.n,_xlpm.sfp+_xlpm.slp+_xlpm.ffp+_xlpm.chp+_xlpm.usp,_xlpm.sub,(_xlpm.sfp*($P992="Submitted"))+(_xlpm.slp*($T992="Submitted"))+(_xlpm.ffp*($X992="Submitted"))+(_xlpm.chp*($AB992="Submitted"))+(_xlpm.usp*($AF992="Submitted")),_xlpm.term,(_xlpm.sfp*OR($P992="Approved",$P992="Declined"))+(_xlpm.slp*OR($T992="Approved",$T992="Declined"))+(_xlpm.ffp*OR($X992="Approved",$X992="Declined"))+(_xlpm.chp*OR($AB992="Approved",$AB992="Declined"))+(_xlpm.usp*OR($AF992="Approved",$AF992="Declined")),IF(_xlpm.n=0,"No applicable lenders",IF(_xlpm.sub&gt;0,"Stays with Shaw - lender still Submitted",IF(_xlpm.term=_xlpm.n,"Clear - all applicable lenders Approved or Declined","Stays with Shaw - not all lenders Approved or Declined")))))</f>
      </c>
    </row>
    <row r="993" spans="80:80">
      <c r="CB993" s="131">
        <f>IF($A993="","",_xlfn.LET(_xlpm.sfp,AND($P993&lt;&gt;"",$P993&lt;&gt;"N/A",$P993&lt;&gt;"No Min RQ"),_xlpm.slp,AND($T993&lt;&gt;"",$T993&lt;&gt;"N/A",$T993&lt;&gt;"No Min RQ"),_xlpm.ffp,AND($X993&lt;&gt;"",$X993&lt;&gt;"N/A",$X993&lt;&gt;"No Min RQ"),_xlpm.chp,AND($AB993&lt;&gt;"",$AB993&lt;&gt;"N/A",$AB993&lt;&gt;"No Min RQ"),_xlpm.usp,AND($AF993&lt;&gt;"",$AF993&lt;&gt;"N/A",$AF993&lt;&gt;"No Min RQ"),_xlpm.n,_xlpm.sfp+_xlpm.slp+_xlpm.ffp+_xlpm.chp+_xlpm.usp,_xlpm.sub,(_xlpm.sfp*($P993="Submitted"))+(_xlpm.slp*($T993="Submitted"))+(_xlpm.ffp*($X993="Submitted"))+(_xlpm.chp*($AB993="Submitted"))+(_xlpm.usp*($AF993="Submitted")),_xlpm.term,(_xlpm.sfp*OR($P993="Approved",$P993="Declined"))+(_xlpm.slp*OR($T993="Approved",$T993="Declined"))+(_xlpm.ffp*OR($X993="Approved",$X993="Declined"))+(_xlpm.chp*OR($AB993="Approved",$AB993="Declined"))+(_xlpm.usp*OR($AF993="Approved",$AF993="Declined")),IF(_xlpm.n=0,"No applicable lenders",IF(_xlpm.sub&gt;0,"Stays with Shaw - lender still Submitted",IF(_xlpm.term=_xlpm.n,"Clear - all applicable lenders Approved or Declined","Stays with Shaw - not all lenders Approved or Declined")))))</f>
      </c>
    </row>
    <row r="994" spans="80:80">
      <c r="CB994" s="131">
        <f>IF($A994="","",_xlfn.LET(_xlpm.sfp,AND($P994&lt;&gt;"",$P994&lt;&gt;"N/A",$P994&lt;&gt;"No Min RQ"),_xlpm.slp,AND($T994&lt;&gt;"",$T994&lt;&gt;"N/A",$T994&lt;&gt;"No Min RQ"),_xlpm.ffp,AND($X994&lt;&gt;"",$X994&lt;&gt;"N/A",$X994&lt;&gt;"No Min RQ"),_xlpm.chp,AND($AB994&lt;&gt;"",$AB994&lt;&gt;"N/A",$AB994&lt;&gt;"No Min RQ"),_xlpm.usp,AND($AF994&lt;&gt;"",$AF994&lt;&gt;"N/A",$AF994&lt;&gt;"No Min RQ"),_xlpm.n,_xlpm.sfp+_xlpm.slp+_xlpm.ffp+_xlpm.chp+_xlpm.usp,_xlpm.sub,(_xlpm.sfp*($P994="Submitted"))+(_xlpm.slp*($T994="Submitted"))+(_xlpm.ffp*($X994="Submitted"))+(_xlpm.chp*($AB994="Submitted"))+(_xlpm.usp*($AF994="Submitted")),_xlpm.term,(_xlpm.sfp*OR($P994="Approved",$P994="Declined"))+(_xlpm.slp*OR($T994="Approved",$T994="Declined"))+(_xlpm.ffp*OR($X994="Approved",$X994="Declined"))+(_xlpm.chp*OR($AB994="Approved",$AB994="Declined"))+(_xlpm.usp*OR($AF994="Approved",$AF994="Declined")),IF(_xlpm.n=0,"No applicable lenders",IF(_xlpm.sub&gt;0,"Stays with Shaw - lender still Submitted",IF(_xlpm.term=_xlpm.n,"Clear - all applicable lenders Approved or Declined","Stays with Shaw - not all lenders Approved or Declined")))))</f>
      </c>
    </row>
    <row r="995" spans="80:80">
      <c r="CB995" s="131">
        <f>IF($A995="","",_xlfn.LET(_xlpm.sfp,AND($P995&lt;&gt;"",$P995&lt;&gt;"N/A",$P995&lt;&gt;"No Min RQ"),_xlpm.slp,AND($T995&lt;&gt;"",$T995&lt;&gt;"N/A",$T995&lt;&gt;"No Min RQ"),_xlpm.ffp,AND($X995&lt;&gt;"",$X995&lt;&gt;"N/A",$X995&lt;&gt;"No Min RQ"),_xlpm.chp,AND($AB995&lt;&gt;"",$AB995&lt;&gt;"N/A",$AB995&lt;&gt;"No Min RQ"),_xlpm.usp,AND($AF995&lt;&gt;"",$AF995&lt;&gt;"N/A",$AF995&lt;&gt;"No Min RQ"),_xlpm.n,_xlpm.sfp+_xlpm.slp+_xlpm.ffp+_xlpm.chp+_xlpm.usp,_xlpm.sub,(_xlpm.sfp*($P995="Submitted"))+(_xlpm.slp*($T995="Submitted"))+(_xlpm.ffp*($X995="Submitted"))+(_xlpm.chp*($AB995="Submitted"))+(_xlpm.usp*($AF995="Submitted")),_xlpm.term,(_xlpm.sfp*OR($P995="Approved",$P995="Declined"))+(_xlpm.slp*OR($T995="Approved",$T995="Declined"))+(_xlpm.ffp*OR($X995="Approved",$X995="Declined"))+(_xlpm.chp*OR($AB995="Approved",$AB995="Declined"))+(_xlpm.usp*OR($AF995="Approved",$AF995="Declined")),IF(_xlpm.n=0,"No applicable lenders",IF(_xlpm.sub&gt;0,"Stays with Shaw - lender still Submitted",IF(_xlpm.term=_xlpm.n,"Clear - all applicable lenders Approved or Declined","Stays with Shaw - not all lenders Approved or Declined")))))</f>
      </c>
    </row>
    <row r="996" spans="80:80">
      <c r="CB996" s="131">
        <f>IF($A996="","",_xlfn.LET(_xlpm.sfp,AND($P996&lt;&gt;"",$P996&lt;&gt;"N/A",$P996&lt;&gt;"No Min RQ"),_xlpm.slp,AND($T996&lt;&gt;"",$T996&lt;&gt;"N/A",$T996&lt;&gt;"No Min RQ"),_xlpm.ffp,AND($X996&lt;&gt;"",$X996&lt;&gt;"N/A",$X996&lt;&gt;"No Min RQ"),_xlpm.chp,AND($AB996&lt;&gt;"",$AB996&lt;&gt;"N/A",$AB996&lt;&gt;"No Min RQ"),_xlpm.usp,AND($AF996&lt;&gt;"",$AF996&lt;&gt;"N/A",$AF996&lt;&gt;"No Min RQ"),_xlpm.n,_xlpm.sfp+_xlpm.slp+_xlpm.ffp+_xlpm.chp+_xlpm.usp,_xlpm.sub,(_xlpm.sfp*($P996="Submitted"))+(_xlpm.slp*($T996="Submitted"))+(_xlpm.ffp*($X996="Submitted"))+(_xlpm.chp*($AB996="Submitted"))+(_xlpm.usp*($AF996="Submitted")),_xlpm.term,(_xlpm.sfp*OR($P996="Approved",$P996="Declined"))+(_xlpm.slp*OR($T996="Approved",$T996="Declined"))+(_xlpm.ffp*OR($X996="Approved",$X996="Declined"))+(_xlpm.chp*OR($AB996="Approved",$AB996="Declined"))+(_xlpm.usp*OR($AF996="Approved",$AF996="Declined")),IF(_xlpm.n=0,"No applicable lenders",IF(_xlpm.sub&gt;0,"Stays with Shaw - lender still Submitted",IF(_xlpm.term=_xlpm.n,"Clear - all applicable lenders Approved or Declined","Stays with Shaw - not all lenders Approved or Declined")))))</f>
      </c>
    </row>
    <row r="997" spans="80:80">
      <c r="CB997" s="131">
        <f>IF($A997="","",_xlfn.LET(_xlpm.sfp,AND($P997&lt;&gt;"",$P997&lt;&gt;"N/A",$P997&lt;&gt;"No Min RQ"),_xlpm.slp,AND($T997&lt;&gt;"",$T997&lt;&gt;"N/A",$T997&lt;&gt;"No Min RQ"),_xlpm.ffp,AND($X997&lt;&gt;"",$X997&lt;&gt;"N/A",$X997&lt;&gt;"No Min RQ"),_xlpm.chp,AND($AB997&lt;&gt;"",$AB997&lt;&gt;"N/A",$AB997&lt;&gt;"No Min RQ"),_xlpm.usp,AND($AF997&lt;&gt;"",$AF997&lt;&gt;"N/A",$AF997&lt;&gt;"No Min RQ"),_xlpm.n,_xlpm.sfp+_xlpm.slp+_xlpm.ffp+_xlpm.chp+_xlpm.usp,_xlpm.sub,(_xlpm.sfp*($P997="Submitted"))+(_xlpm.slp*($T997="Submitted"))+(_xlpm.ffp*($X997="Submitted"))+(_xlpm.chp*($AB997="Submitted"))+(_xlpm.usp*($AF997="Submitted")),_xlpm.term,(_xlpm.sfp*OR($P997="Approved",$P997="Declined"))+(_xlpm.slp*OR($T997="Approved",$T997="Declined"))+(_xlpm.ffp*OR($X997="Approved",$X997="Declined"))+(_xlpm.chp*OR($AB997="Approved",$AB997="Declined"))+(_xlpm.usp*OR($AF997="Approved",$AF997="Declined")),IF(_xlpm.n=0,"No applicable lenders",IF(_xlpm.sub&gt;0,"Stays with Shaw - lender still Submitted",IF(_xlpm.term=_xlpm.n,"Clear - all applicable lenders Approved or Declined","Stays with Shaw - not all lenders Approved or Declined")))))</f>
      </c>
    </row>
    <row r="998" spans="80:80">
      <c r="CB998" s="131">
        <f>IF($A998="","",_xlfn.LET(_xlpm.sfp,AND($P998&lt;&gt;"",$P998&lt;&gt;"N/A",$P998&lt;&gt;"No Min RQ"),_xlpm.slp,AND($T998&lt;&gt;"",$T998&lt;&gt;"N/A",$T998&lt;&gt;"No Min RQ"),_xlpm.ffp,AND($X998&lt;&gt;"",$X998&lt;&gt;"N/A",$X998&lt;&gt;"No Min RQ"),_xlpm.chp,AND($AB998&lt;&gt;"",$AB998&lt;&gt;"N/A",$AB998&lt;&gt;"No Min RQ"),_xlpm.usp,AND($AF998&lt;&gt;"",$AF998&lt;&gt;"N/A",$AF998&lt;&gt;"No Min RQ"),_xlpm.n,_xlpm.sfp+_xlpm.slp+_xlpm.ffp+_xlpm.chp+_xlpm.usp,_xlpm.sub,(_xlpm.sfp*($P998="Submitted"))+(_xlpm.slp*($T998="Submitted"))+(_xlpm.ffp*($X998="Submitted"))+(_xlpm.chp*($AB998="Submitted"))+(_xlpm.usp*($AF998="Submitted")),_xlpm.term,(_xlpm.sfp*OR($P998="Approved",$P998="Declined"))+(_xlpm.slp*OR($T998="Approved",$T998="Declined"))+(_xlpm.ffp*OR($X998="Approved",$X998="Declined"))+(_xlpm.chp*OR($AB998="Approved",$AB998="Declined"))+(_xlpm.usp*OR($AF998="Approved",$AF998="Declined")),IF(_xlpm.n=0,"No applicable lenders",IF(_xlpm.sub&gt;0,"Stays with Shaw - lender still Submitted",IF(_xlpm.term=_xlpm.n,"Clear - all applicable lenders Approved or Declined","Stays with Shaw - not all lenders Approved or Declined")))))</f>
      </c>
    </row>
    <row r="999" spans="80:80">
      <c r="CB999" s="131">
        <f>IF($A999="","",_xlfn.LET(_xlpm.sfp,AND($P999&lt;&gt;"",$P999&lt;&gt;"N/A",$P999&lt;&gt;"No Min RQ"),_xlpm.slp,AND($T999&lt;&gt;"",$T999&lt;&gt;"N/A",$T999&lt;&gt;"No Min RQ"),_xlpm.ffp,AND($X999&lt;&gt;"",$X999&lt;&gt;"N/A",$X999&lt;&gt;"No Min RQ"),_xlpm.chp,AND($AB999&lt;&gt;"",$AB999&lt;&gt;"N/A",$AB999&lt;&gt;"No Min RQ"),_xlpm.usp,AND($AF999&lt;&gt;"",$AF999&lt;&gt;"N/A",$AF999&lt;&gt;"No Min RQ"),_xlpm.n,_xlpm.sfp+_xlpm.slp+_xlpm.ffp+_xlpm.chp+_xlpm.usp,_xlpm.sub,(_xlpm.sfp*($P999="Submitted"))+(_xlpm.slp*($T999="Submitted"))+(_xlpm.ffp*($X999="Submitted"))+(_xlpm.chp*($AB999="Submitted"))+(_xlpm.usp*($AF999="Submitted")),_xlpm.term,(_xlpm.sfp*OR($P999="Approved",$P999="Declined"))+(_xlpm.slp*OR($T999="Approved",$T999="Declined"))+(_xlpm.ffp*OR($X999="Approved",$X999="Declined"))+(_xlpm.chp*OR($AB999="Approved",$AB999="Declined"))+(_xlpm.usp*OR($AF999="Approved",$AF999="Declined")),IF(_xlpm.n=0,"No applicable lenders",IF(_xlpm.sub&gt;0,"Stays with Shaw - lender still Submitted",IF(_xlpm.term=_xlpm.n,"Clear - all applicable lenders Approved or Declined","Stays with Shaw - not all lenders Approved or Declined")))))</f>
      </c>
    </row>
    <row r="1000" spans="80:80">
      <c r="CB1000" s="131">
        <f>IF($A1000="","",_xlfn.LET(_xlpm.sfp,AND($P1000&lt;&gt;"",$P1000&lt;&gt;"N/A",$P1000&lt;&gt;"No Min RQ"),_xlpm.slp,AND($T1000&lt;&gt;"",$T1000&lt;&gt;"N/A",$T1000&lt;&gt;"No Min RQ"),_xlpm.ffp,AND($X1000&lt;&gt;"",$X1000&lt;&gt;"N/A",$X1000&lt;&gt;"No Min RQ"),_xlpm.chp,AND($AB1000&lt;&gt;"",$AB1000&lt;&gt;"N/A",$AB1000&lt;&gt;"No Min RQ"),_xlpm.usp,AND($AF1000&lt;&gt;"",$AF1000&lt;&gt;"N/A",$AF1000&lt;&gt;"No Min RQ"),_xlpm.n,_xlpm.sfp+_xlpm.slp+_xlpm.ffp+_xlpm.chp+_xlpm.usp,_xlpm.sub,(_xlpm.sfp*($P1000="Submitted"))+(_xlpm.slp*($T1000="Submitted"))+(_xlpm.ffp*($X1000="Submitted"))+(_xlpm.chp*($AB1000="Submitted"))+(_xlpm.usp*($AF1000="Submitted")),_xlpm.term,(_xlpm.sfp*OR($P1000="Approved",$P1000="Declined"))+(_xlpm.slp*OR($T1000="Approved",$T1000="Declined"))+(_xlpm.ffp*OR($X1000="Approved",$X1000="Declined"))+(_xlpm.chp*OR($AB1000="Approved",$AB1000="Declined"))+(_xlpm.usp*OR($AF1000="Approved",$AF1000="Declined")),IF(_xlpm.n=0,"No applicable lenders",IF(_xlpm.sub&gt;0,"Stays with Shaw - lender still Submitted",IF(_xlpm.term=_xlpm.n,"Clear - all applicable lenders Approved or Declined","Stays with Shaw - not all lenders Approved or Declined")))))</f>
      </c>
    </row>
    <row r="1001" spans="80:80">
      <c r="CB1001" s="131">
        <f>IF($A1001="","",_xlfn.LET(_xlpm.sfp,AND($P1001&lt;&gt;"",$P1001&lt;&gt;"N/A",$P1001&lt;&gt;"No Min RQ"),_xlpm.slp,AND($T1001&lt;&gt;"",$T1001&lt;&gt;"N/A",$T1001&lt;&gt;"No Min RQ"),_xlpm.ffp,AND($X1001&lt;&gt;"",$X1001&lt;&gt;"N/A",$X1001&lt;&gt;"No Min RQ"),_xlpm.chp,AND($AB1001&lt;&gt;"",$AB1001&lt;&gt;"N/A",$AB1001&lt;&gt;"No Min RQ"),_xlpm.usp,AND($AF1001&lt;&gt;"",$AF1001&lt;&gt;"N/A",$AF1001&lt;&gt;"No Min RQ"),_xlpm.n,_xlpm.sfp+_xlpm.slp+_xlpm.ffp+_xlpm.chp+_xlpm.usp,_xlpm.sub,(_xlpm.sfp*($P1001="Submitted"))+(_xlpm.slp*($T1001="Submitted"))+(_xlpm.ffp*($X1001="Submitted"))+(_xlpm.chp*($AB1001="Submitted"))+(_xlpm.usp*($AF1001="Submitted")),_xlpm.term,(_xlpm.sfp*OR($P1001="Approved",$P1001="Declined"))+(_xlpm.slp*OR($T1001="Approved",$T1001="Declined"))+(_xlpm.ffp*OR($X1001="Approved",$X1001="Declined"))+(_xlpm.chp*OR($AB1001="Approved",$AB1001="Declined"))+(_xlpm.usp*OR($AF1001="Approved",$AF1001="Declined")),IF(_xlpm.n=0,"No applicable lenders",IF(_xlpm.sub&gt;0,"Stays with Shaw - lender still Submitted",IF(_xlpm.term=_xlpm.n,"Clear - all applicable lenders Approved or Declined","Stays with Shaw - not all lenders Approved or Declined")))))</f>
      </c>
    </row>
    <row r="1002" spans="80:80">
      <c r="CB1002" s="131">
        <f>IF($A1002="","",_xlfn.LET(_xlpm.sfp,AND($P1002&lt;&gt;"",$P1002&lt;&gt;"N/A",$P1002&lt;&gt;"No Min RQ"),_xlpm.slp,AND($T1002&lt;&gt;"",$T1002&lt;&gt;"N/A",$T1002&lt;&gt;"No Min RQ"),_xlpm.ffp,AND($X1002&lt;&gt;"",$X1002&lt;&gt;"N/A",$X1002&lt;&gt;"No Min RQ"),_xlpm.chp,AND($AB1002&lt;&gt;"",$AB1002&lt;&gt;"N/A",$AB1002&lt;&gt;"No Min RQ"),_xlpm.usp,AND($AF1002&lt;&gt;"",$AF1002&lt;&gt;"N/A",$AF1002&lt;&gt;"No Min RQ"),_xlpm.n,_xlpm.sfp+_xlpm.slp+_xlpm.ffp+_xlpm.chp+_xlpm.usp,_xlpm.sub,(_xlpm.sfp*($P1002="Submitted"))+(_xlpm.slp*($T1002="Submitted"))+(_xlpm.ffp*($X1002="Submitted"))+(_xlpm.chp*($AB1002="Submitted"))+(_xlpm.usp*($AF1002="Submitted")),_xlpm.term,(_xlpm.sfp*OR($P1002="Approved",$P1002="Declined"))+(_xlpm.slp*OR($T1002="Approved",$T1002="Declined"))+(_xlpm.ffp*OR($X1002="Approved",$X1002="Declined"))+(_xlpm.chp*OR($AB1002="Approved",$AB1002="Declined"))+(_xlpm.usp*OR($AF1002="Approved",$AF1002="Declined")),IF(_xlpm.n=0,"No applicable lenders",IF(_xlpm.sub&gt;0,"Stays with Shaw - lender still Submitted",IF(_xlpm.term=_xlpm.n,"Clear - all applicable lenders Approved or Declined","Stays with Shaw - not all lenders Approved or Declined")))))</f>
      </c>
    </row>
    <row r="1003" spans="80:80">
      <c r="CB1003" s="131">
        <f>IF($A1003="","",_xlfn.LET(_xlpm.sfp,AND($P1003&lt;&gt;"",$P1003&lt;&gt;"N/A",$P1003&lt;&gt;"No Min RQ"),_xlpm.slp,AND($T1003&lt;&gt;"",$T1003&lt;&gt;"N/A",$T1003&lt;&gt;"No Min RQ"),_xlpm.ffp,AND($X1003&lt;&gt;"",$X1003&lt;&gt;"N/A",$X1003&lt;&gt;"No Min RQ"),_xlpm.chp,AND($AB1003&lt;&gt;"",$AB1003&lt;&gt;"N/A",$AB1003&lt;&gt;"No Min RQ"),_xlpm.usp,AND($AF1003&lt;&gt;"",$AF1003&lt;&gt;"N/A",$AF1003&lt;&gt;"No Min RQ"),_xlpm.n,_xlpm.sfp+_xlpm.slp+_xlpm.ffp+_xlpm.chp+_xlpm.usp,_xlpm.sub,(_xlpm.sfp*($P1003="Submitted"))+(_xlpm.slp*($T1003="Submitted"))+(_xlpm.ffp*($X1003="Submitted"))+(_xlpm.chp*($AB1003="Submitted"))+(_xlpm.usp*($AF1003="Submitted")),_xlpm.term,(_xlpm.sfp*OR($P1003="Approved",$P1003="Declined"))+(_xlpm.slp*OR($T1003="Approved",$T1003="Declined"))+(_xlpm.ffp*OR($X1003="Approved",$X1003="Declined"))+(_xlpm.chp*OR($AB1003="Approved",$AB1003="Declined"))+(_xlpm.usp*OR($AF1003="Approved",$AF1003="Declined")),IF(_xlpm.n=0,"No applicable lenders",IF(_xlpm.sub&gt;0,"Stays with Shaw - lender still Submitted",IF(_xlpm.term=_xlpm.n,"Clear - all applicable lenders Approved or Declined","Stays with Shaw - not all lenders Approved or Declined")))))</f>
      </c>
    </row>
    <row r="1004" spans="80:80">
      <c r="CB1004" s="131">
        <f>IF($A1004="","",_xlfn.LET(_xlpm.sfp,AND($P1004&lt;&gt;"",$P1004&lt;&gt;"N/A",$P1004&lt;&gt;"No Min RQ"),_xlpm.slp,AND($T1004&lt;&gt;"",$T1004&lt;&gt;"N/A",$T1004&lt;&gt;"No Min RQ"),_xlpm.ffp,AND($X1004&lt;&gt;"",$X1004&lt;&gt;"N/A",$X1004&lt;&gt;"No Min RQ"),_xlpm.chp,AND($AB1004&lt;&gt;"",$AB1004&lt;&gt;"N/A",$AB1004&lt;&gt;"No Min RQ"),_xlpm.usp,AND($AF1004&lt;&gt;"",$AF1004&lt;&gt;"N/A",$AF1004&lt;&gt;"No Min RQ"),_xlpm.n,_xlpm.sfp+_xlpm.slp+_xlpm.ffp+_xlpm.chp+_xlpm.usp,_xlpm.sub,(_xlpm.sfp*($P1004="Submitted"))+(_xlpm.slp*($T1004="Submitted"))+(_xlpm.ffp*($X1004="Submitted"))+(_xlpm.chp*($AB1004="Submitted"))+(_xlpm.usp*($AF1004="Submitted")),_xlpm.term,(_xlpm.sfp*OR($P1004="Approved",$P1004="Declined"))+(_xlpm.slp*OR($T1004="Approved",$T1004="Declined"))+(_xlpm.ffp*OR($X1004="Approved",$X1004="Declined"))+(_xlpm.chp*OR($AB1004="Approved",$AB1004="Declined"))+(_xlpm.usp*OR($AF1004="Approved",$AF1004="Declined")),IF(_xlpm.n=0,"No applicable lenders",IF(_xlpm.sub&gt;0,"Stays with Shaw - lender still Submitted",IF(_xlpm.term=_xlpm.n,"Clear - all applicable lenders Approved or Declined","Stays with Shaw - not all lenders Approved or Declined")))))</f>
      </c>
    </row>
    <row r="1005" spans="80:80">
      <c r="CB1005" s="131">
        <f>IF($A1005="","",_xlfn.LET(_xlpm.sfp,AND($P1005&lt;&gt;"",$P1005&lt;&gt;"N/A",$P1005&lt;&gt;"No Min RQ"),_xlpm.slp,AND($T1005&lt;&gt;"",$T1005&lt;&gt;"N/A",$T1005&lt;&gt;"No Min RQ"),_xlpm.ffp,AND($X1005&lt;&gt;"",$X1005&lt;&gt;"N/A",$X1005&lt;&gt;"No Min RQ"),_xlpm.chp,AND($AB1005&lt;&gt;"",$AB1005&lt;&gt;"N/A",$AB1005&lt;&gt;"No Min RQ"),_xlpm.usp,AND($AF1005&lt;&gt;"",$AF1005&lt;&gt;"N/A",$AF1005&lt;&gt;"No Min RQ"),_xlpm.n,_xlpm.sfp+_xlpm.slp+_xlpm.ffp+_xlpm.chp+_xlpm.usp,_xlpm.sub,(_xlpm.sfp*($P1005="Submitted"))+(_xlpm.slp*($T1005="Submitted"))+(_xlpm.ffp*($X1005="Submitted"))+(_xlpm.chp*($AB1005="Submitted"))+(_xlpm.usp*($AF1005="Submitted")),_xlpm.term,(_xlpm.sfp*OR($P1005="Approved",$P1005="Declined"))+(_xlpm.slp*OR($T1005="Approved",$T1005="Declined"))+(_xlpm.ffp*OR($X1005="Approved",$X1005="Declined"))+(_xlpm.chp*OR($AB1005="Approved",$AB1005="Declined"))+(_xlpm.usp*OR($AF1005="Approved",$AF1005="Declined")),IF(_xlpm.n=0,"No applicable lenders",IF(_xlpm.sub&gt;0,"Stays with Shaw - lender still Submitted",IF(_xlpm.term=_xlpm.n,"Clear - all applicable lenders Approved or Declined","Stays with Shaw - not all lenders Approved or Declined")))))</f>
      </c>
    </row>
    <row r="1006" spans="80:80">
      <c r="CB1006" s="131">
        <f>IF($A1006="","",_xlfn.LET(_xlpm.sfp,AND($P1006&lt;&gt;"",$P1006&lt;&gt;"N/A",$P1006&lt;&gt;"No Min RQ"),_xlpm.slp,AND($T1006&lt;&gt;"",$T1006&lt;&gt;"N/A",$T1006&lt;&gt;"No Min RQ"),_xlpm.ffp,AND($X1006&lt;&gt;"",$X1006&lt;&gt;"N/A",$X1006&lt;&gt;"No Min RQ"),_xlpm.chp,AND($AB1006&lt;&gt;"",$AB1006&lt;&gt;"N/A",$AB1006&lt;&gt;"No Min RQ"),_xlpm.usp,AND($AF1006&lt;&gt;"",$AF1006&lt;&gt;"N/A",$AF1006&lt;&gt;"No Min RQ"),_xlpm.n,_xlpm.sfp+_xlpm.slp+_xlpm.ffp+_xlpm.chp+_xlpm.usp,_xlpm.sub,(_xlpm.sfp*($P1006="Submitted"))+(_xlpm.slp*($T1006="Submitted"))+(_xlpm.ffp*($X1006="Submitted"))+(_xlpm.chp*($AB1006="Submitted"))+(_xlpm.usp*($AF1006="Submitted")),_xlpm.term,(_xlpm.sfp*OR($P1006="Approved",$P1006="Declined"))+(_xlpm.slp*OR($T1006="Approved",$T1006="Declined"))+(_xlpm.ffp*OR($X1006="Approved",$X1006="Declined"))+(_xlpm.chp*OR($AB1006="Approved",$AB1006="Declined"))+(_xlpm.usp*OR($AF1006="Approved",$AF1006="Declined")),IF(_xlpm.n=0,"No applicable lenders",IF(_xlpm.sub&gt;0,"Stays with Shaw - lender still Submitted",IF(_xlpm.term=_xlpm.n,"Clear - all applicable lenders Approved or Declined","Stays with Shaw - not all lenders Approved or Declined")))))</f>
      </c>
    </row>
    <row r="1007" spans="80:80">
      <c r="CB1007" s="131">
        <f>IF($A1007="","",_xlfn.LET(_xlpm.sfp,AND($P1007&lt;&gt;"",$P1007&lt;&gt;"N/A",$P1007&lt;&gt;"No Min RQ"),_xlpm.slp,AND($T1007&lt;&gt;"",$T1007&lt;&gt;"N/A",$T1007&lt;&gt;"No Min RQ"),_xlpm.ffp,AND($X1007&lt;&gt;"",$X1007&lt;&gt;"N/A",$X1007&lt;&gt;"No Min RQ"),_xlpm.chp,AND($AB1007&lt;&gt;"",$AB1007&lt;&gt;"N/A",$AB1007&lt;&gt;"No Min RQ"),_xlpm.usp,AND($AF1007&lt;&gt;"",$AF1007&lt;&gt;"N/A",$AF1007&lt;&gt;"No Min RQ"),_xlpm.n,_xlpm.sfp+_xlpm.slp+_xlpm.ffp+_xlpm.chp+_xlpm.usp,_xlpm.sub,(_xlpm.sfp*($P1007="Submitted"))+(_xlpm.slp*($T1007="Submitted"))+(_xlpm.ffp*($X1007="Submitted"))+(_xlpm.chp*($AB1007="Submitted"))+(_xlpm.usp*($AF1007="Submitted")),_xlpm.term,(_xlpm.sfp*OR($P1007="Approved",$P1007="Declined"))+(_xlpm.slp*OR($T1007="Approved",$T1007="Declined"))+(_xlpm.ffp*OR($X1007="Approved",$X1007="Declined"))+(_xlpm.chp*OR($AB1007="Approved",$AB1007="Declined"))+(_xlpm.usp*OR($AF1007="Approved",$AF1007="Declined")),IF(_xlpm.n=0,"No applicable lenders",IF(_xlpm.sub&gt;0,"Stays with Shaw - lender still Submitted",IF(_xlpm.term=_xlpm.n,"Clear - all applicable lenders Approved or Declined","Stays with Shaw - not all lenders Approved or Declined")))))</f>
      </c>
    </row>
    <row r="1008" spans="80:80">
      <c r="CB1008" s="131">
        <f>IF($A1008="","",_xlfn.LET(_xlpm.sfp,AND($P1008&lt;&gt;"",$P1008&lt;&gt;"N/A",$P1008&lt;&gt;"No Min RQ"),_xlpm.slp,AND($T1008&lt;&gt;"",$T1008&lt;&gt;"N/A",$T1008&lt;&gt;"No Min RQ"),_xlpm.ffp,AND($X1008&lt;&gt;"",$X1008&lt;&gt;"N/A",$X1008&lt;&gt;"No Min RQ"),_xlpm.chp,AND($AB1008&lt;&gt;"",$AB1008&lt;&gt;"N/A",$AB1008&lt;&gt;"No Min RQ"),_xlpm.usp,AND($AF1008&lt;&gt;"",$AF1008&lt;&gt;"N/A",$AF1008&lt;&gt;"No Min RQ"),_xlpm.n,_xlpm.sfp+_xlpm.slp+_xlpm.ffp+_xlpm.chp+_xlpm.usp,_xlpm.sub,(_xlpm.sfp*($P1008="Submitted"))+(_xlpm.slp*($T1008="Submitted"))+(_xlpm.ffp*($X1008="Submitted"))+(_xlpm.chp*($AB1008="Submitted"))+(_xlpm.usp*($AF1008="Submitted")),_xlpm.term,(_xlpm.sfp*OR($P1008="Approved",$P1008="Declined"))+(_xlpm.slp*OR($T1008="Approved",$T1008="Declined"))+(_xlpm.ffp*OR($X1008="Approved",$X1008="Declined"))+(_xlpm.chp*OR($AB1008="Approved",$AB1008="Declined"))+(_xlpm.usp*OR($AF1008="Approved",$AF1008="Declined")),IF(_xlpm.n=0,"No applicable lenders",IF(_xlpm.sub&gt;0,"Stays with Shaw - lender still Submitted",IF(_xlpm.term=_xlpm.n,"Clear - all applicable lenders Approved or Declined","Stays with Shaw - not all lenders Approved or Declined")))))</f>
      </c>
    </row>
    <row r="1009" spans="80:80">
      <c r="CB1009" s="131">
        <f>IF($A1009="","",_xlfn.LET(_xlpm.sfp,AND($P1009&lt;&gt;"",$P1009&lt;&gt;"N/A",$P1009&lt;&gt;"No Min RQ"),_xlpm.slp,AND($T1009&lt;&gt;"",$T1009&lt;&gt;"N/A",$T1009&lt;&gt;"No Min RQ"),_xlpm.ffp,AND($X1009&lt;&gt;"",$X1009&lt;&gt;"N/A",$X1009&lt;&gt;"No Min RQ"),_xlpm.chp,AND($AB1009&lt;&gt;"",$AB1009&lt;&gt;"N/A",$AB1009&lt;&gt;"No Min RQ"),_xlpm.usp,AND($AF1009&lt;&gt;"",$AF1009&lt;&gt;"N/A",$AF1009&lt;&gt;"No Min RQ"),_xlpm.n,_xlpm.sfp+_xlpm.slp+_xlpm.ffp+_xlpm.chp+_xlpm.usp,_xlpm.sub,(_xlpm.sfp*($P1009="Submitted"))+(_xlpm.slp*($T1009="Submitted"))+(_xlpm.ffp*($X1009="Submitted"))+(_xlpm.chp*($AB1009="Submitted"))+(_xlpm.usp*($AF1009="Submitted")),_xlpm.term,(_xlpm.sfp*OR($P1009="Approved",$P1009="Declined"))+(_xlpm.slp*OR($T1009="Approved",$T1009="Declined"))+(_xlpm.ffp*OR($X1009="Approved",$X1009="Declined"))+(_xlpm.chp*OR($AB1009="Approved",$AB1009="Declined"))+(_xlpm.usp*OR($AF1009="Approved",$AF1009="Declined")),IF(_xlpm.n=0,"No applicable lenders",IF(_xlpm.sub&gt;0,"Stays with Shaw - lender still Submitted",IF(_xlpm.term=_xlpm.n,"Clear - all applicable lenders Approved or Declined","Stays with Shaw - not all lenders Approved or Declined")))))</f>
      </c>
    </row>
    <row r="1010" spans="80:80">
      <c r="CB1010" s="131">
        <f>IF($A1010="","",_xlfn.LET(_xlpm.sfp,AND($P1010&lt;&gt;"",$P1010&lt;&gt;"N/A",$P1010&lt;&gt;"No Min RQ"),_xlpm.slp,AND($T1010&lt;&gt;"",$T1010&lt;&gt;"N/A",$T1010&lt;&gt;"No Min RQ"),_xlpm.ffp,AND($X1010&lt;&gt;"",$X1010&lt;&gt;"N/A",$X1010&lt;&gt;"No Min RQ"),_xlpm.chp,AND($AB1010&lt;&gt;"",$AB1010&lt;&gt;"N/A",$AB1010&lt;&gt;"No Min RQ"),_xlpm.usp,AND($AF1010&lt;&gt;"",$AF1010&lt;&gt;"N/A",$AF1010&lt;&gt;"No Min RQ"),_xlpm.n,_xlpm.sfp+_xlpm.slp+_xlpm.ffp+_xlpm.chp+_xlpm.usp,_xlpm.sub,(_xlpm.sfp*($P1010="Submitted"))+(_xlpm.slp*($T1010="Submitted"))+(_xlpm.ffp*($X1010="Submitted"))+(_xlpm.chp*($AB1010="Submitted"))+(_xlpm.usp*($AF1010="Submitted")),_xlpm.term,(_xlpm.sfp*OR($P1010="Approved",$P1010="Declined"))+(_xlpm.slp*OR($T1010="Approved",$T1010="Declined"))+(_xlpm.ffp*OR($X1010="Approved",$X1010="Declined"))+(_xlpm.chp*OR($AB1010="Approved",$AB1010="Declined"))+(_xlpm.usp*OR($AF1010="Approved",$AF1010="Declined")),IF(_xlpm.n=0,"No applicable lenders",IF(_xlpm.sub&gt;0,"Stays with Shaw - lender still Submitted",IF(_xlpm.term=_xlpm.n,"Clear - all applicable lenders Approved or Declined","Stays with Shaw - not all lenders Approved or Declined")))))</f>
      </c>
    </row>
    <row r="1011" spans="80:80">
      <c r="CB1011" s="131">
        <f>IF($A1011="","",_xlfn.LET(_xlpm.sfp,AND($P1011&lt;&gt;"",$P1011&lt;&gt;"N/A",$P1011&lt;&gt;"No Min RQ"),_xlpm.slp,AND($T1011&lt;&gt;"",$T1011&lt;&gt;"N/A",$T1011&lt;&gt;"No Min RQ"),_xlpm.ffp,AND($X1011&lt;&gt;"",$X1011&lt;&gt;"N/A",$X1011&lt;&gt;"No Min RQ"),_xlpm.chp,AND($AB1011&lt;&gt;"",$AB1011&lt;&gt;"N/A",$AB1011&lt;&gt;"No Min RQ"),_xlpm.usp,AND($AF1011&lt;&gt;"",$AF1011&lt;&gt;"N/A",$AF1011&lt;&gt;"No Min RQ"),_xlpm.n,_xlpm.sfp+_xlpm.slp+_xlpm.ffp+_xlpm.chp+_xlpm.usp,_xlpm.sub,(_xlpm.sfp*($P1011="Submitted"))+(_xlpm.slp*($T1011="Submitted"))+(_xlpm.ffp*($X1011="Submitted"))+(_xlpm.chp*($AB1011="Submitted"))+(_xlpm.usp*($AF1011="Submitted")),_xlpm.term,(_xlpm.sfp*OR($P1011="Approved",$P1011="Declined"))+(_xlpm.slp*OR($T1011="Approved",$T1011="Declined"))+(_xlpm.ffp*OR($X1011="Approved",$X1011="Declined"))+(_xlpm.chp*OR($AB1011="Approved",$AB1011="Declined"))+(_xlpm.usp*OR($AF1011="Approved",$AF1011="Declined")),IF(_xlpm.n=0,"No applicable lenders",IF(_xlpm.sub&gt;0,"Stays with Shaw - lender still Submitted",IF(_xlpm.term=_xlpm.n,"Clear - all applicable lenders Approved or Declined","Stays with Shaw - not all lenders Approved or Declined")))))</f>
      </c>
    </row>
    <row r="1012" spans="80:80">
      <c r="CB1012" s="131">
        <f>IF($A1012="","",_xlfn.LET(_xlpm.sfp,AND($P1012&lt;&gt;"",$P1012&lt;&gt;"N/A",$P1012&lt;&gt;"No Min RQ"),_xlpm.slp,AND($T1012&lt;&gt;"",$T1012&lt;&gt;"N/A",$T1012&lt;&gt;"No Min RQ"),_xlpm.ffp,AND($X1012&lt;&gt;"",$X1012&lt;&gt;"N/A",$X1012&lt;&gt;"No Min RQ"),_xlpm.chp,AND($AB1012&lt;&gt;"",$AB1012&lt;&gt;"N/A",$AB1012&lt;&gt;"No Min RQ"),_xlpm.usp,AND($AF1012&lt;&gt;"",$AF1012&lt;&gt;"N/A",$AF1012&lt;&gt;"No Min RQ"),_xlpm.n,_xlpm.sfp+_xlpm.slp+_xlpm.ffp+_xlpm.chp+_xlpm.usp,_xlpm.sub,(_xlpm.sfp*($P1012="Submitted"))+(_xlpm.slp*($T1012="Submitted"))+(_xlpm.ffp*($X1012="Submitted"))+(_xlpm.chp*($AB1012="Submitted"))+(_xlpm.usp*($AF1012="Submitted")),_xlpm.term,(_xlpm.sfp*OR($P1012="Approved",$P1012="Declined"))+(_xlpm.slp*OR($T1012="Approved",$T1012="Declined"))+(_xlpm.ffp*OR($X1012="Approved",$X1012="Declined"))+(_xlpm.chp*OR($AB1012="Approved",$AB1012="Declined"))+(_xlpm.usp*OR($AF1012="Approved",$AF1012="Declined")),IF(_xlpm.n=0,"No applicable lenders",IF(_xlpm.sub&gt;0,"Stays with Shaw - lender still Submitted",IF(_xlpm.term=_xlpm.n,"Clear - all applicable lenders Approved or Declined","Stays with Shaw - not all lenders Approved or Declined")))))</f>
      </c>
    </row>
    <row r="1013" spans="80:80">
      <c r="CB1013" s="131">
        <f>IF($A1013="","",_xlfn.LET(_xlpm.sfp,AND($P1013&lt;&gt;"",$P1013&lt;&gt;"N/A",$P1013&lt;&gt;"No Min RQ"),_xlpm.slp,AND($T1013&lt;&gt;"",$T1013&lt;&gt;"N/A",$T1013&lt;&gt;"No Min RQ"),_xlpm.ffp,AND($X1013&lt;&gt;"",$X1013&lt;&gt;"N/A",$X1013&lt;&gt;"No Min RQ"),_xlpm.chp,AND($AB1013&lt;&gt;"",$AB1013&lt;&gt;"N/A",$AB1013&lt;&gt;"No Min RQ"),_xlpm.usp,AND($AF1013&lt;&gt;"",$AF1013&lt;&gt;"N/A",$AF1013&lt;&gt;"No Min RQ"),_xlpm.n,_xlpm.sfp+_xlpm.slp+_xlpm.ffp+_xlpm.chp+_xlpm.usp,_xlpm.sub,(_xlpm.sfp*($P1013="Submitted"))+(_xlpm.slp*($T1013="Submitted"))+(_xlpm.ffp*($X1013="Submitted"))+(_xlpm.chp*($AB1013="Submitted"))+(_xlpm.usp*($AF1013="Submitted")),_xlpm.term,(_xlpm.sfp*OR($P1013="Approved",$P1013="Declined"))+(_xlpm.slp*OR($T1013="Approved",$T1013="Declined"))+(_xlpm.ffp*OR($X1013="Approved",$X1013="Declined"))+(_xlpm.chp*OR($AB1013="Approved",$AB1013="Declined"))+(_xlpm.usp*OR($AF1013="Approved",$AF1013="Declined")),IF(_xlpm.n=0,"No applicable lenders",IF(_xlpm.sub&gt;0,"Stays with Shaw - lender still Submitted",IF(_xlpm.term=_xlpm.n,"Clear - all applicable lenders Approved or Declined","Stays with Shaw - not all lenders Approved or Declined")))))</f>
      </c>
    </row>
    <row r="1014" spans="80:80">
      <c r="CB1014" s="131">
        <f>IF($A1014="","",_xlfn.LET(_xlpm.sfp,AND($P1014&lt;&gt;"",$P1014&lt;&gt;"N/A",$P1014&lt;&gt;"No Min RQ"),_xlpm.slp,AND($T1014&lt;&gt;"",$T1014&lt;&gt;"N/A",$T1014&lt;&gt;"No Min RQ"),_xlpm.ffp,AND($X1014&lt;&gt;"",$X1014&lt;&gt;"N/A",$X1014&lt;&gt;"No Min RQ"),_xlpm.chp,AND($AB1014&lt;&gt;"",$AB1014&lt;&gt;"N/A",$AB1014&lt;&gt;"No Min RQ"),_xlpm.usp,AND($AF1014&lt;&gt;"",$AF1014&lt;&gt;"N/A",$AF1014&lt;&gt;"No Min RQ"),_xlpm.n,_xlpm.sfp+_xlpm.slp+_xlpm.ffp+_xlpm.chp+_xlpm.usp,_xlpm.sub,(_xlpm.sfp*($P1014="Submitted"))+(_xlpm.slp*($T1014="Submitted"))+(_xlpm.ffp*($X1014="Submitted"))+(_xlpm.chp*($AB1014="Submitted"))+(_xlpm.usp*($AF1014="Submitted")),_xlpm.term,(_xlpm.sfp*OR($P1014="Approved",$P1014="Declined"))+(_xlpm.slp*OR($T1014="Approved",$T1014="Declined"))+(_xlpm.ffp*OR($X1014="Approved",$X1014="Declined"))+(_xlpm.chp*OR($AB1014="Approved",$AB1014="Declined"))+(_xlpm.usp*OR($AF1014="Approved",$AF1014="Declined")),IF(_xlpm.n=0,"No applicable lenders",IF(_xlpm.sub&gt;0,"Stays with Shaw - lender still Submitted",IF(_xlpm.term=_xlpm.n,"Clear - all applicable lenders Approved or Declined","Stays with Shaw - not all lenders Approved or Declined")))))</f>
      </c>
    </row>
    <row r="1015" spans="80:80">
      <c r="CB1015" s="131">
        <f>IF($A1015="","",_xlfn.LET(_xlpm.sfp,AND($P1015&lt;&gt;"",$P1015&lt;&gt;"N/A",$P1015&lt;&gt;"No Min RQ"),_xlpm.slp,AND($T1015&lt;&gt;"",$T1015&lt;&gt;"N/A",$T1015&lt;&gt;"No Min RQ"),_xlpm.ffp,AND($X1015&lt;&gt;"",$X1015&lt;&gt;"N/A",$X1015&lt;&gt;"No Min RQ"),_xlpm.chp,AND($AB1015&lt;&gt;"",$AB1015&lt;&gt;"N/A",$AB1015&lt;&gt;"No Min RQ"),_xlpm.usp,AND($AF1015&lt;&gt;"",$AF1015&lt;&gt;"N/A",$AF1015&lt;&gt;"No Min RQ"),_xlpm.n,_xlpm.sfp+_xlpm.slp+_xlpm.ffp+_xlpm.chp+_xlpm.usp,_xlpm.sub,(_xlpm.sfp*($P1015="Submitted"))+(_xlpm.slp*($T1015="Submitted"))+(_xlpm.ffp*($X1015="Submitted"))+(_xlpm.chp*($AB1015="Submitted"))+(_xlpm.usp*($AF1015="Submitted")),_xlpm.term,(_xlpm.sfp*OR($P1015="Approved",$P1015="Declined"))+(_xlpm.slp*OR($T1015="Approved",$T1015="Declined"))+(_xlpm.ffp*OR($X1015="Approved",$X1015="Declined"))+(_xlpm.chp*OR($AB1015="Approved",$AB1015="Declined"))+(_xlpm.usp*OR($AF1015="Approved",$AF1015="Declined")),IF(_xlpm.n=0,"No applicable lenders",IF(_xlpm.sub&gt;0,"Stays with Shaw - lender still Submitted",IF(_xlpm.term=_xlpm.n,"Clear - all applicable lenders Approved or Declined","Stays with Shaw - not all lenders Approved or Declined")))))</f>
      </c>
    </row>
    <row r="1016" spans="80:80">
      <c r="CB1016" s="131">
        <f>IF($A1016="","",_xlfn.LET(_xlpm.sfp,AND($P1016&lt;&gt;"",$P1016&lt;&gt;"N/A",$P1016&lt;&gt;"No Min RQ"),_xlpm.slp,AND($T1016&lt;&gt;"",$T1016&lt;&gt;"N/A",$T1016&lt;&gt;"No Min RQ"),_xlpm.ffp,AND($X1016&lt;&gt;"",$X1016&lt;&gt;"N/A",$X1016&lt;&gt;"No Min RQ"),_xlpm.chp,AND($AB1016&lt;&gt;"",$AB1016&lt;&gt;"N/A",$AB1016&lt;&gt;"No Min RQ"),_xlpm.usp,AND($AF1016&lt;&gt;"",$AF1016&lt;&gt;"N/A",$AF1016&lt;&gt;"No Min RQ"),_xlpm.n,_xlpm.sfp+_xlpm.slp+_xlpm.ffp+_xlpm.chp+_xlpm.usp,_xlpm.sub,(_xlpm.sfp*($P1016="Submitted"))+(_xlpm.slp*($T1016="Submitted"))+(_xlpm.ffp*($X1016="Submitted"))+(_xlpm.chp*($AB1016="Submitted"))+(_xlpm.usp*($AF1016="Submitted")),_xlpm.term,(_xlpm.sfp*OR($P1016="Approved",$P1016="Declined"))+(_xlpm.slp*OR($T1016="Approved",$T1016="Declined"))+(_xlpm.ffp*OR($X1016="Approved",$X1016="Declined"))+(_xlpm.chp*OR($AB1016="Approved",$AB1016="Declined"))+(_xlpm.usp*OR($AF1016="Approved",$AF1016="Declined")),IF(_xlpm.n=0,"No applicable lenders",IF(_xlpm.sub&gt;0,"Stays with Shaw - lender still Submitted",IF(_xlpm.term=_xlpm.n,"Clear - all applicable lenders Approved or Declined","Stays with Shaw - not all lenders Approved or Declined")))))</f>
      </c>
    </row>
    <row r="1017" spans="80:80">
      <c r="CB1017" s="131">
        <f>IF($A1017="","",_xlfn.LET(_xlpm.sfp,AND($P1017&lt;&gt;"",$P1017&lt;&gt;"N/A",$P1017&lt;&gt;"No Min RQ"),_xlpm.slp,AND($T1017&lt;&gt;"",$T1017&lt;&gt;"N/A",$T1017&lt;&gt;"No Min RQ"),_xlpm.ffp,AND($X1017&lt;&gt;"",$X1017&lt;&gt;"N/A",$X1017&lt;&gt;"No Min RQ"),_xlpm.chp,AND($AB1017&lt;&gt;"",$AB1017&lt;&gt;"N/A",$AB1017&lt;&gt;"No Min RQ"),_xlpm.usp,AND($AF1017&lt;&gt;"",$AF1017&lt;&gt;"N/A",$AF1017&lt;&gt;"No Min RQ"),_xlpm.n,_xlpm.sfp+_xlpm.slp+_xlpm.ffp+_xlpm.chp+_xlpm.usp,_xlpm.sub,(_xlpm.sfp*($P1017="Submitted"))+(_xlpm.slp*($T1017="Submitted"))+(_xlpm.ffp*($X1017="Submitted"))+(_xlpm.chp*($AB1017="Submitted"))+(_xlpm.usp*($AF1017="Submitted")),_xlpm.term,(_xlpm.sfp*OR($P1017="Approved",$P1017="Declined"))+(_xlpm.slp*OR($T1017="Approved",$T1017="Declined"))+(_xlpm.ffp*OR($X1017="Approved",$X1017="Declined"))+(_xlpm.chp*OR($AB1017="Approved",$AB1017="Declined"))+(_xlpm.usp*OR($AF1017="Approved",$AF1017="Declined")),IF(_xlpm.n=0,"No applicable lenders",IF(_xlpm.sub&gt;0,"Stays with Shaw - lender still Submitted",IF(_xlpm.term=_xlpm.n,"Clear - all applicable lenders Approved or Declined","Stays with Shaw - not all lenders Approved or Declined")))))</f>
      </c>
    </row>
    <row r="1018" spans="80:80">
      <c r="CB1018" s="131">
        <f>IF($A1018="","",_xlfn.LET(_xlpm.sfp,AND($P1018&lt;&gt;"",$P1018&lt;&gt;"N/A",$P1018&lt;&gt;"No Min RQ"),_xlpm.slp,AND($T1018&lt;&gt;"",$T1018&lt;&gt;"N/A",$T1018&lt;&gt;"No Min RQ"),_xlpm.ffp,AND($X1018&lt;&gt;"",$X1018&lt;&gt;"N/A",$X1018&lt;&gt;"No Min RQ"),_xlpm.chp,AND($AB1018&lt;&gt;"",$AB1018&lt;&gt;"N/A",$AB1018&lt;&gt;"No Min RQ"),_xlpm.usp,AND($AF1018&lt;&gt;"",$AF1018&lt;&gt;"N/A",$AF1018&lt;&gt;"No Min RQ"),_xlpm.n,_xlpm.sfp+_xlpm.slp+_xlpm.ffp+_xlpm.chp+_xlpm.usp,_xlpm.sub,(_xlpm.sfp*($P1018="Submitted"))+(_xlpm.slp*($T1018="Submitted"))+(_xlpm.ffp*($X1018="Submitted"))+(_xlpm.chp*($AB1018="Submitted"))+(_xlpm.usp*($AF1018="Submitted")),_xlpm.term,(_xlpm.sfp*OR($P1018="Approved",$P1018="Declined"))+(_xlpm.slp*OR($T1018="Approved",$T1018="Declined"))+(_xlpm.ffp*OR($X1018="Approved",$X1018="Declined"))+(_xlpm.chp*OR($AB1018="Approved",$AB1018="Declined"))+(_xlpm.usp*OR($AF1018="Approved",$AF1018="Declined")),IF(_xlpm.n=0,"No applicable lenders",IF(_xlpm.sub&gt;0,"Stays with Shaw - lender still Submitted",IF(_xlpm.term=_xlpm.n,"Clear - all applicable lenders Approved or Declined","Stays with Shaw - not all lenders Approved or Declined")))))</f>
      </c>
    </row>
    <row r="1019" spans="80:80">
      <c r="CB1019" s="131">
        <f>IF($A1019="","",_xlfn.LET(_xlpm.sfp,AND($P1019&lt;&gt;"",$P1019&lt;&gt;"N/A",$P1019&lt;&gt;"No Min RQ"),_xlpm.slp,AND($T1019&lt;&gt;"",$T1019&lt;&gt;"N/A",$T1019&lt;&gt;"No Min RQ"),_xlpm.ffp,AND($X1019&lt;&gt;"",$X1019&lt;&gt;"N/A",$X1019&lt;&gt;"No Min RQ"),_xlpm.chp,AND($AB1019&lt;&gt;"",$AB1019&lt;&gt;"N/A",$AB1019&lt;&gt;"No Min RQ"),_xlpm.usp,AND($AF1019&lt;&gt;"",$AF1019&lt;&gt;"N/A",$AF1019&lt;&gt;"No Min RQ"),_xlpm.n,_xlpm.sfp+_xlpm.slp+_xlpm.ffp+_xlpm.chp+_xlpm.usp,_xlpm.sub,(_xlpm.sfp*($P1019="Submitted"))+(_xlpm.slp*($T1019="Submitted"))+(_xlpm.ffp*($X1019="Submitted"))+(_xlpm.chp*($AB1019="Submitted"))+(_xlpm.usp*($AF1019="Submitted")),_xlpm.term,(_xlpm.sfp*OR($P1019="Approved",$P1019="Declined"))+(_xlpm.slp*OR($T1019="Approved",$T1019="Declined"))+(_xlpm.ffp*OR($X1019="Approved",$X1019="Declined"))+(_xlpm.chp*OR($AB1019="Approved",$AB1019="Declined"))+(_xlpm.usp*OR($AF1019="Approved",$AF1019="Declined")),IF(_xlpm.n=0,"No applicable lenders",IF(_xlpm.sub&gt;0,"Stays with Shaw - lender still Submitted",IF(_xlpm.term=_xlpm.n,"Clear - all applicable lenders Approved or Declined","Stays with Shaw - not all lenders Approved or Declined")))))</f>
      </c>
    </row>
    <row r="1020" spans="80:80">
      <c r="CB1020" s="131">
        <f>IF($A1020="","",_xlfn.LET(_xlpm.sfp,AND($P1020&lt;&gt;"",$P1020&lt;&gt;"N/A",$P1020&lt;&gt;"No Min RQ"),_xlpm.slp,AND($T1020&lt;&gt;"",$T1020&lt;&gt;"N/A",$T1020&lt;&gt;"No Min RQ"),_xlpm.ffp,AND($X1020&lt;&gt;"",$X1020&lt;&gt;"N/A",$X1020&lt;&gt;"No Min RQ"),_xlpm.chp,AND($AB1020&lt;&gt;"",$AB1020&lt;&gt;"N/A",$AB1020&lt;&gt;"No Min RQ"),_xlpm.usp,AND($AF1020&lt;&gt;"",$AF1020&lt;&gt;"N/A",$AF1020&lt;&gt;"No Min RQ"),_xlpm.n,_xlpm.sfp+_xlpm.slp+_xlpm.ffp+_xlpm.chp+_xlpm.usp,_xlpm.sub,(_xlpm.sfp*($P1020="Submitted"))+(_xlpm.slp*($T1020="Submitted"))+(_xlpm.ffp*($X1020="Submitted"))+(_xlpm.chp*($AB1020="Submitted"))+(_xlpm.usp*($AF1020="Submitted")),_xlpm.term,(_xlpm.sfp*OR($P1020="Approved",$P1020="Declined"))+(_xlpm.slp*OR($T1020="Approved",$T1020="Declined"))+(_xlpm.ffp*OR($X1020="Approved",$X1020="Declined"))+(_xlpm.chp*OR($AB1020="Approved",$AB1020="Declined"))+(_xlpm.usp*OR($AF1020="Approved",$AF1020="Declined")),IF(_xlpm.n=0,"No applicable lenders",IF(_xlpm.sub&gt;0,"Stays with Shaw - lender still Submitted",IF(_xlpm.term=_xlpm.n,"Clear - all applicable lenders Approved or Declined","Stays with Shaw - not all lenders Approved or Declined")))))</f>
      </c>
    </row>
    <row r="1021" spans="80:80">
      <c r="CB1021" s="131">
        <f>IF($A1021="","",_xlfn.LET(_xlpm.sfp,AND($P1021&lt;&gt;"",$P1021&lt;&gt;"N/A",$P1021&lt;&gt;"No Min RQ"),_xlpm.slp,AND($T1021&lt;&gt;"",$T1021&lt;&gt;"N/A",$T1021&lt;&gt;"No Min RQ"),_xlpm.ffp,AND($X1021&lt;&gt;"",$X1021&lt;&gt;"N/A",$X1021&lt;&gt;"No Min RQ"),_xlpm.chp,AND($AB1021&lt;&gt;"",$AB1021&lt;&gt;"N/A",$AB1021&lt;&gt;"No Min RQ"),_xlpm.usp,AND($AF1021&lt;&gt;"",$AF1021&lt;&gt;"N/A",$AF1021&lt;&gt;"No Min RQ"),_xlpm.n,_xlpm.sfp+_xlpm.slp+_xlpm.ffp+_xlpm.chp+_xlpm.usp,_xlpm.sub,(_xlpm.sfp*($P1021="Submitted"))+(_xlpm.slp*($T1021="Submitted"))+(_xlpm.ffp*($X1021="Submitted"))+(_xlpm.chp*($AB1021="Submitted"))+(_xlpm.usp*($AF1021="Submitted")),_xlpm.term,(_xlpm.sfp*OR($P1021="Approved",$P1021="Declined"))+(_xlpm.slp*OR($T1021="Approved",$T1021="Declined"))+(_xlpm.ffp*OR($X1021="Approved",$X1021="Declined"))+(_xlpm.chp*OR($AB1021="Approved",$AB1021="Declined"))+(_xlpm.usp*OR($AF1021="Approved",$AF1021="Declined")),IF(_xlpm.n=0,"No applicable lenders",IF(_xlpm.sub&gt;0,"Stays with Shaw - lender still Submitted",IF(_xlpm.term=_xlpm.n,"Clear - all applicable lenders Approved or Declined","Stays with Shaw - not all lenders Approved or Declined")))))</f>
      </c>
    </row>
  </sheetData>
  <conditionalFormatting sqref="A5:A1021 K5:K1021">
    <cfRule type="expression" dxfId="239" priority="36">
      <formula>$K5=1</formula>
    </cfRule>
  </conditionalFormatting>
  <conditionalFormatting sqref="AJ5:AJ43 AJ45:AJ1021 A5:O1021 Q5:Q1021 U5:U1021 Y5:Y1021 AC5:AC1021 AG5:AG1021">
    <cfRule type="expression" dxfId="238" priority="20">
      <formula>$L5="Dead"</formula>
    </cfRule>
  </conditionalFormatting>
  <conditionalFormatting sqref="A5:O1021 Q5:Q1021 U5:U1021 Y5:Y1021 AC5:AC1021 AG5:AG1021">
    <cfRule type="expression" dxfId="237" priority="23">
      <formula>$L5="LIVE DLR"</formula>
    </cfRule>
  </conditionalFormatting>
  <conditionalFormatting sqref="L5:L1021">
    <cfRule type="expression" dxfId="236" priority="31">
      <formula>$L5="Waiting on Dealer"</formula>
    </cfRule>
    <cfRule type="expression" dxfId="235" priority="32">
      <formula>OR($L5="Waiting on Lender",$L5="Application Submitted")</formula>
    </cfRule>
    <cfRule type="expression" dxfId="234" priority="33">
      <formula>OR($L5="Rate Sheet",$L5="Active")</formula>
    </cfRule>
    <cfRule type="expression" dxfId="233" priority="34">
      <formula>$L5="Dead"</formula>
    </cfRule>
    <cfRule type="containsText" dxfId="232" priority="39" operator="containsText" text="LIVE DLR">
      <formula>NOT(ISERROR(SEARCH("LIVE DLR",L5)))</formula>
    </cfRule>
    <cfRule type="containsText" dxfId="231" priority="40" operator="containsText" text="Training">
      <formula>NOT(ISERROR(SEARCH("Training",L5)))</formula>
    </cfRule>
  </conditionalFormatting>
  <conditionalFormatting sqref="AH5:AK43 AH44:AI44 AK44 AH45:AK1021 P5:P1021 R5:T1021 V5:X1021 Z5:AB1021 AD5:AF1021">
    <cfRule type="expression" dxfId="230" priority="25">
      <formula>P5="Ready 2 Submit"</formula>
    </cfRule>
    <cfRule type="expression" dxfId="229" priority="26">
      <formula>P5="Submitted"</formula>
    </cfRule>
    <cfRule type="expression" dxfId="228" priority="28">
      <formula>OR(P5="Approved",P5="Active")</formula>
    </cfRule>
    <cfRule type="expression" dxfId="227" priority="29">
      <formula>P5="Declined"</formula>
    </cfRule>
    <cfRule type="expression" dxfId="226" priority="30">
      <formula>OR(P5="N/A",P5="No Min RQ")</formula>
    </cfRule>
  </conditionalFormatting>
  <conditionalFormatting sqref="AH5:AK43 AH44:AI44 AK44 AH45:AK1021 P5:P1021 R5:T1021 V5:X1021 Z5:AB1021 AD5:AF1021">
    <cfRule type="expression" dxfId="225" priority="22">
      <formula>P5="Yes"</formula>
    </cfRule>
  </conditionalFormatting>
  <conditionalFormatting sqref="AJ5:AJ43 AJ45:AJ1021">
    <cfRule type="expression" dxfId="224" priority="43">
      <formula>$AK5=TRUE</formula>
    </cfRule>
  </conditionalFormatting>
  <conditionalFormatting sqref="AK5:AZ10 AQ15:AS15 AU15:AZ15 AK16:AZ20 AK21:AO21 AQ21:AZ21 AK22:AZ32 AK33:AO33 AQ33:AZ33 AK14:AO15 AR14:AZ14 AK12:AZ13 AK11:AO11 AQ11:AZ11 AK34:AZ1021 P5:P52 R5:T52 V5:X1021 Z5:AB1021 AD5:AF1021 AH5:AI1021">
    <cfRule type="expression" dxfId="223" priority="19">
      <formula>AND($L5="Dead",XEY5&lt;&gt;"Ready 2 Submit",XEY5&lt;&gt;"Submitted",XEY5&lt;&gt;"Approved",XEY5&lt;&gt;"Active",XEY5&lt;&gt;"Declined",XEY5&lt;&gt;"N/A",XEY5&lt;&gt;"No Min RQ")</formula>
    </cfRule>
    <cfRule type="expression" dxfId="222" priority="21">
      <formula>AND($L5="LIVE DLR",XEY5&lt;&gt;"Ready 2 Submit",XEY5&lt;&gt;"Submitted",XEY5&lt;&gt;"Approved",XEY5&lt;&gt;"Active",XEY5&lt;&gt;"Declined",XEY5&lt;&gt;"N/A",XEY5&lt;&gt;"No Min RQ")</formula>
    </cfRule>
  </conditionalFormatting>
  <conditionalFormatting sqref="AN5:AN1021">
    <cfRule type="expression" dxfId="221" priority="45">
      <formula>AND($AN5&lt;&gt;"",$AN5&gt;3,$L5&lt;&gt;"Active",$L5&lt;&gt;"Dead")</formula>
    </cfRule>
  </conditionalFormatting>
  <conditionalFormatting sqref="P5:P1021 T5:T1021 X5:X1021 AB5:AB1021 AF5:AF1021">
    <cfRule type="expression" dxfId="220" priority="27">
      <formula>P5="Waiting on Dealer"</formula>
    </cfRule>
  </conditionalFormatting>
  <conditionalFormatting sqref="P53:P1021 R53:T1021">
    <cfRule type="expression" dxfId="219" priority="618">
      <formula>AND($L53="Dead",XEY58&lt;&gt;"Ready 2 Submit",XEY58&lt;&gt;"Submitted",XEY58&lt;&gt;"Approved",XEY58&lt;&gt;"Active",XEY58&lt;&gt;"Declined",XEY58&lt;&gt;"N/A",XEY58&lt;&gt;"No Min RQ")</formula>
    </cfRule>
    <cfRule type="expression" dxfId="218" priority="619">
      <formula>AND($L53="LIVE DLR",XEY58&lt;&gt;"Ready 2 Submit",XEY58&lt;&gt;"Submitted",XEY58&lt;&gt;"Approved",XEY58&lt;&gt;"Active",XEY58&lt;&gt;"Declined",XEY58&lt;&gt;"N/A",XEY58&lt;&gt;"No Min RQ")</formula>
    </cfRule>
  </conditionalFormatting>
  <dataValidations count="11">
    <dataValidation type="list" allowBlank="1" sqref="AB1022 P1022 T1022 X1022 AF1022" xr:uid="{00000000-0002-0000-0100-000001000000}">
      <formula1>"Not Started,Submitted,Approved,Active,Declined,N/A,Pending - verify"</formula1>
      <formula2>0</formula2>
    </dataValidation>
    <dataValidation type="list" allowBlank="1" sqref="R1022:S1022 V1022:W1022 Z1022:AA1022 AD1022:AE1022 AH1022:AJ1022" xr:uid="{00000000-0002-0000-0100-000002000000}">
      <formula1>"Yes,No"</formula1>
      <formula2>0</formula2>
    </dataValidation>
    <dataValidation type="list" allowBlank="1" showInputMessage="1" showErrorMessage="1" sqref="L1022:L1048576 L1 L4" xr:uid="{018AB4E4-5EE2-434F-824A-C9A17C114A60}">
      <formula1>"Not Started,In Process,Waiting on Dealer,Waiting on Lender,Active,Complete,Declined,Dead/Inactive,Applications"</formula1>
    </dataValidation>
    <dataValidation type="list" allowBlank="1" sqref="AJ5:AJ43 AI5:AI50 AJ45:AJ50 S5:S1021 AE5:AE1021 AA5:AA1021 W5:W1021 AI51:AJ1021" xr:uid="{94E1A98D-FE45-4E76-904A-525A18771D9C}">
      <formula1>"Yes,No"</formula1>
    </dataValidation>
    <dataValidation allowBlank="1" showInputMessage="1" showErrorMessage="1" sqref="AK52:AK1022 AK5:AK50 L5:L1021" xr:uid="{088F48FE-0595-474B-8785-1773E9E0BA59}"/>
    <dataValidation type="list" allowBlank="1" sqref="R5:R1021 AH5:AH1021 AD5:AD1021 Z5:Z1021 V5:V1021" xr:uid="{451604E9-67E4-4D8B-B582-42FECE99FA1C}">
      <formula1>"Yes,No,N/A"</formula1>
    </dataValidation>
    <dataValidation type="list" allowBlank="1" showInputMessage="1" showErrorMessage="1" sqref="K5:K1021" xr:uid="{438C54B3-B538-406F-95E8-7409BC12FFC5}">
      <formula1>"1,2,3"</formula1>
    </dataValidation>
    <dataValidation type="list" allowBlank="1" showInputMessage="1" sqref="I5:J991" xr:uid="{8F33CD66-E0BB-49E3-8A95-75DFA4246ED4}">
      <formula1>"Roofing,HVAC,Fencing,Windows &amp; Doors,Landscaping,Painting,Hardscaping,Flooring,Turf,Water Treatment,Electronic Shades &amp; Home Theaters,Solar,Construction,Excavation,Insulation,Other"</formula1>
    </dataValidation>
    <dataValidation type="list" allowBlank="1" showInputMessage="1" showErrorMessage="1" sqref="P5:P1021 T5:T1021 X5:X1021 AB5:AB1021 AF5:AF1021" xr:uid="{BC1F7B90-5868-4692-80EF-4971F144B7B1}">
      <formula1>"Waiting on Dealer,Ready 2 Submit,Submitted,Approved,Active,Declined,No Min RQ,N/A"</formula1>
    </dataValidation>
    <dataValidation type="list" allowBlank="1" showInputMessage="1" showErrorMessage="1" promptTitle="Finti Owner" prompt="Evan Young, Brittany Shaw, Brittany Coutu, or Unassigned" errorTitle="Finti Owner" error="Pick Evan Young, Brittany Shaw, Brittany Coutu, or Unassigned." sqref="BZ5:BZ1021">
      <formula1>FintiOwnerList</formula1>
    </dataValidation>
    <dataValidation type="list" allowBlank="1" showInputMessage="1" showErrorMessage="1" promptTitle="Ready for rate sheets" prompt="Yes is the handoff flag. It does not by itself change the owner until the script or the manual steps run." sqref="CA5:CA1021">
      <formula1>"Yes,No"</formula1>
    </dataValidation>
  </dataValidations>
  <hyperlinks>
    <hyperlink ref="F8" r:id="rId1" xr:uid="{9E73E38B-0E1D-46D9-BA23-32834986FBBC}"/>
    <hyperlink ref="F9" r:id="rId2" xr:uid="{87A33635-32A2-4AD5-87DE-181B7DC32414}"/>
    <hyperlink ref="F10" r:id="rId3" xr:uid="{2DC8D593-4ACC-4517-98D2-63521A693A71}"/>
    <hyperlink ref="H33" r:id="rId4" xr:uid="{ED43E5F0-19B9-4388-9A5B-936C387F60D0}"/>
    <hyperlink ref="F5" r:id="rId5" xr:uid="{AE9A7EA1-257D-4787-BA5C-D82266F1F982}"/>
    <hyperlink ref="H5" r:id="rId6" xr:uid="{EEEE774A-6395-40CD-91C1-BA7757CF651E}"/>
    <hyperlink ref="F6" r:id="rId7" xr:uid="{CA2B87C0-3324-49CD-B5F3-023098FD08E8}"/>
    <hyperlink ref="H6" r:id="rId8" xr:uid="{3BEED61B-69B7-48C4-AF96-E49CAEC83981}"/>
    <hyperlink ref="F7" r:id="rId9" xr:uid="{F7CB83C5-6475-4C31-94C6-23A7194D6A43}"/>
    <hyperlink ref="H7" r:id="rId10" xr:uid="{0BB2D020-E5F9-4C1E-9AF2-68CE45089FD0}"/>
    <hyperlink ref="H8" r:id="rId11" xr:uid="{F71F2BE5-4BA2-43B4-927D-4F43A2970BD7}"/>
    <hyperlink ref="H9" r:id="rId12" xr:uid="{81E41D46-B818-46BE-A9F9-B602D853BAC7}"/>
    <hyperlink ref="H10" r:id="rId13" xr:uid="{885F43C6-99F8-4994-831F-1962206C76B3}"/>
    <hyperlink ref="F11" r:id="rId14" xr:uid="{F5A3FF38-A6D7-43F2-949A-188BC113A014}"/>
    <hyperlink ref="H11" r:id="rId15" xr:uid="{84D87FEA-1436-4CD5-8C8E-A3F3B8165D1A}"/>
    <hyperlink ref="F12" r:id="rId16" xr:uid="{25B1774E-6B95-410D-B4E5-A30E9E7D13B8}"/>
    <hyperlink ref="H12" r:id="rId17" xr:uid="{6CC326F1-0A0D-44D6-B0D3-753FE34A19C5}"/>
    <hyperlink ref="F13" r:id="rId18" xr:uid="{EDB3F535-2342-4D92-B747-270C802D3D15}"/>
    <hyperlink ref="H13" r:id="rId19" xr:uid="{C3C385BC-D8EC-4F84-9472-7FDE105E74D5}"/>
    <hyperlink ref="F14" r:id="rId20" xr:uid="{867FD688-2C06-4E83-846D-0E21C6A3C2AD}"/>
    <hyperlink ref="H14" r:id="rId21" xr:uid="{85834E2C-6131-45AC-BDFD-263DCA766309}"/>
    <hyperlink ref="F15" r:id="rId22" xr:uid="{968ECB5D-7F1D-476C-8EA5-8B313233D8D3}"/>
    <hyperlink ref="H15" r:id="rId23" xr:uid="{9B9D6EFA-3A5A-4F19-B15D-0555134382C2}"/>
    <hyperlink ref="F16" r:id="rId24" xr:uid="{08F15D69-D702-4095-A656-730EE7458435}"/>
    <hyperlink ref="H16" r:id="rId25" xr:uid="{C1003914-ACC0-405A-8482-1D6A396D8E2C}"/>
    <hyperlink ref="F17" r:id="rId26" xr:uid="{F7BE38CA-C602-40E3-A552-7E9D60B961BB}"/>
    <hyperlink ref="H17" r:id="rId27" xr:uid="{7D4C249A-B153-43DC-8EB6-E8DAA7186067}"/>
    <hyperlink ref="F18" r:id="rId28" xr:uid="{BCE6A2FB-69F8-4D91-9677-74BE62360D05}"/>
    <hyperlink ref="H18" r:id="rId29" xr:uid="{8AC4D159-1D63-40C2-8750-483549680A26}"/>
    <hyperlink ref="F19" r:id="rId30" xr:uid="{E03558A5-9156-41DB-9956-6659314A3A11}"/>
    <hyperlink ref="H19" r:id="rId31" xr:uid="{D8032ED3-A90E-41AF-9118-5E5E91BE5108}"/>
    <hyperlink ref="F20" r:id="rId32" xr:uid="{FD492970-2754-4F67-ADC7-3AA01DB963D7}"/>
    <hyperlink ref="H20" r:id="rId33" xr:uid="{5ACCCCFE-F12E-40D3-ADEC-0DCFE15A6DE6}"/>
    <hyperlink ref="F21" r:id="rId34" xr:uid="{23E42649-C687-4289-9BB1-0B58CC70E96F}"/>
    <hyperlink ref="H21" r:id="rId35" xr:uid="{1F41FDFA-337B-4FD5-AAED-ABD1D71E543A}"/>
    <hyperlink ref="F22" r:id="rId36" xr:uid="{A5556098-207A-4956-A9BC-E67668455DBB}"/>
    <hyperlink ref="H22" r:id="rId37" xr:uid="{1F452758-39A5-4FA4-B706-50656947C6C7}"/>
    <hyperlink ref="F23" r:id="rId38" xr:uid="{4F5705CA-F1B9-4E95-B298-7CB16A79A711}"/>
    <hyperlink ref="H23" r:id="rId39" xr:uid="{9956C02B-A60D-46AB-83E4-EC68D3263549}"/>
    <hyperlink ref="F24" r:id="rId40" xr:uid="{791463B3-0CDE-4EA8-A081-65C84291FD2E}"/>
    <hyperlink ref="H24" r:id="rId41" xr:uid="{63523FDB-46A0-40CD-A7BA-0E92A4BC5A2F}"/>
    <hyperlink ref="F25" r:id="rId42" xr:uid="{E73C7339-70EC-40AF-811B-752F420155F2}"/>
    <hyperlink ref="H25" r:id="rId43" xr:uid="{839E459D-A6FF-4E5A-9207-258370FC1F3D}"/>
    <hyperlink ref="F26" r:id="rId44" xr:uid="{114DFC44-B1DB-401F-81AD-D664E4D0AF41}"/>
    <hyperlink ref="H26" r:id="rId45" xr:uid="{F5680A1B-FCBE-497E-B8D8-A4BFD3EF6CEF}"/>
    <hyperlink ref="F28" r:id="rId46" xr:uid="{08A986A7-A352-4123-B578-F13558A505F2}"/>
    <hyperlink ref="H28" r:id="rId47" xr:uid="{853A5E3F-4C5E-4881-9803-0656FA9A99B6}"/>
    <hyperlink ref="F29" r:id="rId48" xr:uid="{9788C0E6-D49C-4F8C-A4B7-F07EBF2E11A9}"/>
    <hyperlink ref="H29" r:id="rId49" xr:uid="{03E337A4-B070-4216-86C1-46F200FD1176}"/>
    <hyperlink ref="F30" r:id="rId50" xr:uid="{E4C7B50E-7134-42D6-A73D-C0527CEF8895}"/>
    <hyperlink ref="H30" r:id="rId51" xr:uid="{333CFB81-9322-4513-B6A7-17168035FF80}"/>
    <hyperlink ref="H31" r:id="rId52" xr:uid="{93D85B9A-596D-490C-A2DF-7C143A879015}"/>
    <hyperlink ref="F32" r:id="rId53" xr:uid="{2D684C7E-7F11-4929-96AE-01B5177ABAEE}"/>
    <hyperlink ref="H32" r:id="rId54" xr:uid="{25B73B6B-991F-434E-8382-895E874E8F7A}"/>
    <hyperlink ref="F27" r:id="rId55" xr:uid="{42A64EAF-2A93-4461-ABE1-47CC4B14B53B}"/>
    <hyperlink ref="H27" r:id="rId56" xr:uid="{B8DB335D-4763-4E9F-8881-686FEFF32392}"/>
    <hyperlink ref="F33" r:id="rId57" xr:uid="{866E2E72-DDA5-4FE7-9165-420E4C21FA68}"/>
    <hyperlink ref="H34" r:id="rId58" xr:uid="{E4B5CF04-CDEB-4A8F-B0F3-FD6A04C502C2}"/>
    <hyperlink ref="AR11" r:id="rId59" xr:uid="{6846D70A-F346-4EA6-9D3A-B5BA953D4269}"/>
    <hyperlink ref="F37" r:id="rId60" xr:uid="{67782EBF-7F91-4D33-93AE-4F178ECC8701}"/>
    <hyperlink ref="F39" r:id="rId61" xr:uid="{1A88F6A8-08A0-490B-AECA-1B618441E578}"/>
    <hyperlink ref="AR5" r:id="rId62" xr:uid="{136555AE-3C34-4C2B-9BB5-3682B30C82ED}"/>
    <hyperlink ref="AR8" r:id="rId63" xr:uid="{CC2E3F9F-35BD-40AB-87A7-501CCF2C1BAA}"/>
    <hyperlink ref="AR9" r:id="rId64" xr:uid="{FABD5449-38E9-40B6-87DA-E64A76E8D4C5}"/>
    <hyperlink ref="AR21" r:id="rId65" xr:uid="{8A4ED864-DC65-43DE-82FC-55A66439A361}"/>
    <hyperlink ref="AR14" r:id="rId66" xr:uid="{D28E7F7A-6356-47E3-BE7C-6D12AAD81C50}"/>
  </hyperlinks>
  <pageMargins left="0.75" right="0.75" top="1" bottom="1" header="0.511811023622047" footer="0.511811023622047"/>
  <pageSetup paperSize="9" orientation="portrait" horizontalDpi="300" verticalDpi="300"/>
  <drawing r:id="rId67"/>
  <legacyDrawing r:id="rId68"/>
  <tableParts count="1">
    <tablePart r:id="rId6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FF778-18AB-4AFD-90D7-BC797C8512B3}">
  <dimension ref="A1:M57"/>
  <sheetViews>
    <sheetView workbookViewId="0">
      <pane ySplit="3" topLeftCell="B23" activePane="bottomLeft" state="frozen"/>
      <selection pane="bottomLeft" activeCell="B36" sqref="B36"/>
    </sheetView>
  </sheetViews>
  <sheetFormatPr defaultRowHeight="15"/>
  <cols>
    <col min="1" max="1" width="43.85546875" customWidth="1"/>
    <col min="2" max="2" width="61" customWidth="1"/>
    <col min="3" max="3" width="18.140625" customWidth="1"/>
    <col min="4" max="4" width="17.140625" customWidth="1"/>
    <col min="5" max="5" width="27.5703125" customWidth="1"/>
    <col min="6" max="6" width="22.85546875" customWidth="1"/>
    <col min="7" max="7" width="40" customWidth="1"/>
    <col min="8" max="8" width="28.5703125" customWidth="1"/>
    <col min="9" max="13" width="20" customWidth="1"/>
  </cols>
  <sheetData>
    <row r="1" spans="1:7" ht="30" customHeight="1">
      <c r="A1" s="153" t="s">
        <v>803</v>
      </c>
    </row>
    <row r="2" spans="1:7">
      <c r="A2" s="154" t="s">
        <v>804</v>
      </c>
    </row>
    <row r="4" spans="1:7" ht="21.75" customHeight="1">
      <c r="A4" s="155" t="s">
        <v>805</v>
      </c>
      <c r="B4" s="155"/>
      <c r="C4" s="155"/>
      <c r="D4" s="155"/>
      <c r="E4" s="155"/>
      <c r="F4" s="155"/>
      <c r="G4" s="155"/>
    </row>
    <row r="5" spans="1:7">
      <c r="A5" s="142" t="s">
        <v>806</v>
      </c>
      <c r="B5" s="156"/>
    </row>
    <row r="6" spans="1:7">
      <c r="A6" s="171" t="s">
        <v>807</v>
      </c>
      <c r="B6" s="171" t="s">
        <v>808</v>
      </c>
      <c r="C6" s="171" t="s">
        <v>809</v>
      </c>
      <c r="D6" s="171" t="s">
        <v>810</v>
      </c>
      <c r="E6" s="171"/>
      <c r="F6" s="171"/>
      <c r="G6" s="171" t="s">
        <v>811</v>
      </c>
    </row>
    <row r="7" spans="1:7">
      <c r="A7" s="164">
        <v>1</v>
      </c>
      <c r="B7" s="159" t="s">
        <v>812</v>
      </c>
      <c r="C7" s="159" t="s">
        <v>813</v>
      </c>
      <c r="D7" s="160"/>
      <c r="E7" s="158"/>
      <c r="F7" s="158"/>
      <c r="G7" s="159"/>
    </row>
    <row r="8" spans="1:7">
      <c r="A8" s="164">
        <v>2</v>
      </c>
      <c r="B8" s="159"/>
      <c r="C8" s="159"/>
      <c r="D8" s="160"/>
      <c r="E8" s="158"/>
      <c r="F8" s="158"/>
      <c r="G8" s="159"/>
    </row>
    <row r="9" spans="1:7">
      <c r="A9" s="164">
        <v>3</v>
      </c>
      <c r="B9" s="159"/>
      <c r="C9" s="159"/>
      <c r="D9" s="160"/>
      <c r="E9" s="158"/>
      <c r="F9" s="158"/>
      <c r="G9" s="159"/>
    </row>
    <row r="10" spans="1:7">
      <c r="A10" s="164">
        <v>4</v>
      </c>
      <c r="B10" s="159"/>
      <c r="C10" s="159"/>
      <c r="D10" s="160"/>
      <c r="E10" s="158"/>
      <c r="F10" s="158"/>
      <c r="G10" s="159"/>
    </row>
    <row r="11" spans="1:7">
      <c r="A11" s="164">
        <v>5</v>
      </c>
      <c r="B11" s="159"/>
      <c r="C11" s="159"/>
      <c r="D11" s="160"/>
      <c r="E11" s="158"/>
      <c r="F11" s="158"/>
      <c r="G11" s="159"/>
    </row>
    <row r="13" spans="1:7" ht="21.75" customHeight="1">
      <c r="A13" s="155" t="s">
        <v>814</v>
      </c>
      <c r="B13" s="155"/>
      <c r="C13" s="155"/>
      <c r="D13" s="155"/>
      <c r="E13" s="155"/>
      <c r="F13" s="155"/>
      <c r="G13" s="155"/>
      <c r="I13" s="157" t="inlineStr">
        <is>
          <t>FINTI OWNER COUNTS</t>
        </is>
      </c>
      <c r="J13" s="157" t="inlineStr">
        <is>
          <t>Dealers</t>
        </is>
      </c>
    </row>
    <row r="14" spans="1:7">
      <c r="A14" s="171" t="s">
        <v>815</v>
      </c>
      <c r="B14" s="171" t="s">
        <v>816</v>
      </c>
      <c r="C14" s="171" t="s">
        <v>817</v>
      </c>
      <c r="D14" s="171"/>
      <c r="E14" s="171"/>
      <c r="F14" s="171"/>
      <c r="G14" s="171" t="s">
        <v>811</v>
      </c>
      <c r="I14" s="157" t="inlineStr">
        <is>
          <t>Person</t>
        </is>
      </c>
      <c r="J14" s="157" t="inlineStr">
        <is>
          <t>Named dealers</t>
        </is>
      </c>
    </row>
    <row r="15" spans="1:7">
      <c r="A15" s="159" t="s">
        <v>535</v>
      </c>
      <c r="B15" s="159" t="s">
        <v>818</v>
      </c>
      <c r="C15" s="159"/>
      <c r="D15" s="158"/>
      <c r="E15" s="158"/>
      <c r="F15" s="158"/>
      <c r="G15" s="159"/>
      <c r="I15" t="inlineStr">
        <is>
          <t>Evan Young</t>
        </is>
      </c>
      <c r="J15">
        <f>COUNTIFS('Dealer Master'!$A$5:$A$1021,"&lt;&gt;",'Dealer Master'!$BZ$5:$BZ$1021,"Evan Young")</f>
      </c>
    </row>
    <row r="16" spans="1:7">
      <c r="A16" s="159" t="s">
        <v>819</v>
      </c>
      <c r="B16" s="159" t="s">
        <v>358</v>
      </c>
      <c r="C16" s="159"/>
      <c r="D16" s="158"/>
      <c r="E16" s="158"/>
      <c r="F16" s="158"/>
      <c r="G16" s="159"/>
      <c r="I16" t="inlineStr">
        <is>
          <t>Brittany Shaw</t>
        </is>
      </c>
      <c r="J16">
        <f>COUNTIFS('Dealer Master'!$A$5:$A$1021,"&lt;&gt;",'Dealer Master'!$BZ$5:$BZ$1021,"Brittany Shaw")</f>
      </c>
    </row>
    <row r="17" spans="1:13">
      <c r="A17" s="159" t="s">
        <v>820</v>
      </c>
      <c r="B17" s="159" t="s">
        <v>821</v>
      </c>
      <c r="C17" s="159"/>
      <c r="D17" s="158"/>
      <c r="E17" s="158"/>
      <c r="F17" s="158"/>
      <c r="G17" s="159"/>
      <c r="H17" s="158"/>
      <c r="I17" t="inlineStr">
        <is>
          <t>Brittany Coutu</t>
        </is>
      </c>
      <c r="J17">
        <f>COUNTIFS('Dealer Master'!$A$5:$A$1021,"&lt;&gt;",'Dealer Master'!$BZ$5:$BZ$1021,"Brittany Coutu")</f>
      </c>
    </row>
    <row r="18" spans="1:13">
      <c r="A18" s="159"/>
      <c r="B18" s="159"/>
      <c r="C18" s="159"/>
      <c r="D18" s="158"/>
      <c r="E18" s="158"/>
      <c r="F18" s="158"/>
      <c r="G18" s="159"/>
      <c r="H18" s="158"/>
      <c r="I18" t="inlineStr">
        <is>
          <t>Unassigned</t>
        </is>
      </c>
      <c r="J18">
        <f>COUNTIFS('Dealer Master'!$A$5:$A$1021,"&lt;&gt;",'Dealer Master'!$BZ$5:$BZ$1021,"Unassigned")+COUNTIFS('Dealer Master'!$A$5:$A$1021,"&lt;&gt;",'Dealer Master'!$BZ$5:$BZ$1021,"")</f>
      </c>
    </row>
    <row r="19">
      <c r="I19" t="inlineStr">
        <is>
          <t>Evan All</t>
        </is>
      </c>
      <c r="J19">
        <f>COUNTIF('Dealer Master'!$A$5:$A$1021,"?*")</f>
      </c>
    </row>
    <row r="20" spans="1:13" ht="21.75" customHeight="1">
      <c r="A20" s="155" t="s">
        <v>822</v>
      </c>
      <c r="B20" s="155"/>
      <c r="C20" s="155"/>
      <c r="D20" s="155"/>
      <c r="E20" s="155"/>
      <c r="F20" s="155"/>
      <c r="G20" s="155"/>
      <c r="H20" s="155"/>
    </row>
    <row r="21" spans="1:13">
      <c r="A21" s="154" t="s">
        <v>823</v>
      </c>
    </row>
    <row r="22" spans="1:14">
      <c r="A22" s="157" t="s">
        <v>824</v>
      </c>
      <c r="B22" s="157" t="s">
        <v>307</v>
      </c>
      <c r="C22" s="157" t="s">
        <v>385</v>
      </c>
      <c r="D22" s="157" t="s">
        <v>366</v>
      </c>
      <c r="E22" s="157" t="s">
        <v>25</v>
      </c>
      <c r="F22" s="157" t="s">
        <v>388</v>
      </c>
      <c r="G22" s="157" t="s">
        <v>825</v>
      </c>
      <c r="H22" s="157" t="s">
        <v>187</v>
      </c>
      <c r="I22" s="157" t="s">
        <v>271</v>
      </c>
      <c r="J22" s="157" t="s">
        <v>279</v>
      </c>
      <c r="K22" s="157" t="s">
        <v>286</v>
      </c>
      <c r="L22" s="157" t="s">
        <v>378</v>
      </c>
      <c r="M22" s="157" t="s">
        <v>300</v>
      </c>
      <c r="N22" s="157" t="inlineStr">
        <is>
          <t>Finti Owner</t>
        </is>
      </c>
    </row>
    <row r="23" spans="1:13" ht="30.75">
      <c r="A23" s="161" t="str" cm="1">
        <f t="array" aca="1" ref="A23:N51" ca="1">IFERROR(_xlfn.LET(_xlpm.n,'Dealer Master'!$A$5:$A$1021,_xlpm.ow,IF('Dealer Master'!$BZ$5:$BZ$1021="","Unassigned",'Dealer Master'!$BZ$5:$BZ$1021),_xlpm.td,'Dealer Master'!$AJ$5:$AJ$1021,_xlpm.dn,'Dealer Master'!$AK$5:$AK$1021,_xlpm.p,'Dealer Master'!$K$5:$K$1021,_xlpm.s,'Dealer Master'!$L$5:$L$1021,_xlpm.d,'Dealer Master'!$AN$5:$AN$1021,_xlpm.rp,'Dealer Master'!$G$5:$G$1021,_xlpm.sf,'Dealer Master'!$P$5:$P$1021,_xlpm.sl,'Dealer Master'!$T$5:$T$1021,_xlpm.ff,'Dealer Master'!$X$5:$X$1021,_xlpm.ch,'Dealer Master'!$AB$5:$AB$1021,_xlpm.ub,'Dealer Master'!$AF$5:$AF$1021,_xlpm.pn,IF(ISNUMBER(_xlpm.p),_xlpm.p,9),_xlpm.pd,IF(ISNUMBER(_xlpm.p),_xlpm.p,""),_xlpm.dd,IF(ISNUMBER(_xlpm.d),_xlpm.d,0),_xlpm.ds,IF(ISNUMBER(_xlpm.d),_xlpm.d,""),_xlpm.dt,IF(_xlpm.dn=TRUE,"Done",""),_xlpm.hasname,(_xlpm.n&lt;&gt;""),_xlpm.opn,(_xlpm.td&lt;&gt;"")*(_xlpm.dn&lt;&gt;TRUE),_xlpm.rs,(_xlpm.s="Rate Sheet")*1,_xlpm.stl,(_xlpm.dd&gt;3)*(_xlpm.s&lt;&gt;"LIVE DLR")*(_xlpm.s&lt;&gt;"Dead")*(_xlpm.s&lt;&gt;"Active"),_xlpm.lst,IF(_xlpm.sf="Ready 2 Submit","SF, ","")&amp;IF(_xlpm.sl="Ready 2 Submit","SL, ","")&amp;IF(_xlpm.ff="Ready 2 Submit","FF, ","")&amp;IF(_xlpm.ch="Ready 2 Submit","CH, ","")&amp;IF(_xlpm.ub="Ready 2 Submit","USB, ",""),_xlpm.r2s,(LEN(_xlpm.lst)&gt;0)*1,_xlpm.lnd,IF(LEN(_xlpm.lst)&gt;1,LEFT(_xlpm.lst,LEN(_xlpm.lst)-2),""),_xlpm.sfd,IF(_xlpm.sf="","-",_xlpm.sf),_xlpm.sld,IF(_xlpm.sl="","-",_xlpm.sl),_xlpm.ffd,IF(_xlpm.ff="","-",_xlpm.ff),_xlpm.chd,IF(_xlpm.ch="","-",_xlpm.ch),_xlpm.ubd,IF(_xlpm.ub="","-",_xlpm.ub),_xlpm.rnk,IF((_xlpm.pn=1)*_xlpm.opn,1,IF(_xlpm.r2s,2,IF(_xlpm.rs,3,IF(_xlpm.opn,4,5)))),_xlpm.why,IF((_xlpm.pn=1)*_xlpm.opn,"Priority 1 with an open to-do",IF(_xlpm.r2s,"Ready 2 submit: "&amp;_xlpm.lnd,IF(_xlpm.rs,"Rate sheet owed - Brittany",IF(_xlpm.opn,"Open to-do","No update in "&amp;_xlpm.dd&amp;" days")))),_xlpm.pick,_xlpm.hasname*((_xlpm.opn+_xlpm.rs+_xlpm.stl+_xlpm.r2s)&gt;0),_xlpm.f,_xlfn._xlws.FILTER(_xlfn.HSTACK(_xlpm.rnk,_xlpm.n,_xlpm.td,_xlpm.dt,_xlpm.pd,_xlpm.s,_xlpm.ds,_xlpm.why,_xlpm.rp,_xlpm.pn,_xlpm.sfd,_xlpm.sld,_xlpm.ffd,_xlpm.chd,_xlpm.ubd,_xlpm.ow),_xlpm.pick),_xlpm.q,_xlfn.SORTBY(_xlpm.f,_xlfn.CHOOSECOLS(_xlpm.f,1),1,_xlfn.CHOOSECOLS(_xlpm.f,10),1),_xlfn.CHOOSECOLS(_xlpm.q,2,3,4,5,6,7,8,9,11,12,13,14,15,16)),"Nothing in the queue right now.")</f>
        <v>Agave Roofing LLC</v>
      </c>
      <c r="B23" s="162" t="str">
        <f ca="1"/>
        <v>dealer needs to finish application</v>
      </c>
      <c r="C23" s="163" t="str">
        <f ca="1"/>
        <v/>
      </c>
      <c r="D23" s="163">
        <f ca="1"/>
        <v>1</v>
      </c>
      <c r="E23" s="163" t="str">
        <f ca="1"/>
        <v>Waiting on Dealer</v>
      </c>
      <c r="F23" s="163">
        <f ca="1"/>
        <v>1</v>
      </c>
      <c r="G23" s="162" t="str">
        <f ca="1"/>
        <v>Priority 1 with an open to-do</v>
      </c>
      <c r="H23" s="161" t="str">
        <f ca="1"/>
        <v>Steve Stonebraker</v>
      </c>
      <c r="I23" s="230" t="str">
        <f ca="1"/>
        <v>Waiting on Dealer</v>
      </c>
      <c r="J23" s="230" t="str">
        <f ca="1"/>
        <v>Declined</v>
      </c>
      <c r="K23" s="230" t="str">
        <f ca="1"/>
        <v>Waiting on Dealer</v>
      </c>
      <c r="L23" s="230" t="str">
        <f ca="1"/>
        <v>N/A</v>
      </c>
      <c r="M23" s="230" t="str">
        <f ca="1"/>
        <v>N/A</v>
      </c>
      <c r="N23" s="161" t="str">
        <f ca="1"/>
      </c>
    </row>
    <row r="24" spans="1:13">
      <c r="A24" s="161" t="str">
        <f ca="1"/>
        <v>L.A.B.A LLC</v>
      </c>
      <c r="B24" s="162" t="str">
        <f ca="1"/>
        <v xml:space="preserve"> FF owner call complete - FFC needs ownership documentation</v>
      </c>
      <c r="C24" s="163" t="str">
        <f ca="1"/>
        <v/>
      </c>
      <c r="D24" s="163">
        <f ca="1"/>
        <v>1</v>
      </c>
      <c r="E24" s="163" t="str">
        <f ca="1"/>
        <v>Waiting on Dealer</v>
      </c>
      <c r="F24" s="163">
        <f ca="1"/>
        <v>1</v>
      </c>
      <c r="G24" s="162" t="str">
        <f ca="1"/>
        <v>Priority 1 with an open to-do</v>
      </c>
      <c r="H24" s="161" t="str">
        <f ca="1"/>
        <v>Steve Stonebraker</v>
      </c>
      <c r="I24" s="230" t="str">
        <f ca="1"/>
        <v>Submitted</v>
      </c>
      <c r="J24" s="230" t="str">
        <f ca="1"/>
        <v>Declined</v>
      </c>
      <c r="K24" s="230" t="str">
        <f ca="1"/>
        <v>Submitted</v>
      </c>
      <c r="L24" s="230" t="str">
        <f ca="1"/>
        <v>N/A</v>
      </c>
      <c r="M24" s="230" t="str">
        <f ca="1"/>
        <v>N/A</v>
      </c>
      <c r="N24" s="161" t="str">
        <f ca="1"/>
      </c>
    </row>
    <row r="25" spans="1:13">
      <c r="A25" s="161" t="str">
        <f ca="1"/>
        <v>Golden Nail Roofing LLC</v>
      </c>
      <c r="B25" s="162" t="str">
        <f ca="1"/>
        <v>Finish Application | Agreements</v>
      </c>
      <c r="C25" s="163" t="str">
        <f ca="1"/>
        <v/>
      </c>
      <c r="D25" s="163">
        <f ca="1"/>
        <v>1</v>
      </c>
      <c r="E25" s="163" t="str">
        <f ca="1"/>
        <v>Waiting on Dealer</v>
      </c>
      <c r="F25" s="163">
        <f ca="1"/>
        <v>1</v>
      </c>
      <c r="G25" s="162" t="str">
        <f ca="1"/>
        <v>Priority 1 with an open to-do</v>
      </c>
      <c r="H25" s="161" t="str">
        <f ca="1"/>
        <v>sales Rabbit</v>
      </c>
      <c r="I25" s="230" t="str">
        <f ca="1"/>
        <v>Waiting on Dealer</v>
      </c>
      <c r="J25" s="230" t="str">
        <f ca="1"/>
        <v>Waiting on Dealer</v>
      </c>
      <c r="K25" s="230" t="str">
        <f ca="1"/>
        <v>Waiting on Dealer</v>
      </c>
      <c r="L25" s="230" t="str">
        <f ca="1"/>
        <v>N/A</v>
      </c>
      <c r="M25" s="230" t="str">
        <f ca="1"/>
        <v>N/A</v>
      </c>
      <c r="N25" s="161" t="str">
        <f ca="1"/>
      </c>
    </row>
    <row r="26" spans="1:13">
      <c r="A26" s="161" t="str">
        <f ca="1"/>
        <v>Landscaping experts llc</v>
      </c>
      <c r="B26" s="162" t="str">
        <f ca="1"/>
        <v>upload all docs | Agreements</v>
      </c>
      <c r="C26" s="163" t="str">
        <f ca="1"/>
        <v/>
      </c>
      <c r="D26" s="163">
        <f ca="1"/>
        <v>1</v>
      </c>
      <c r="E26" s="163" t="str">
        <f ca="1"/>
        <v>Waiting on Dealer</v>
      </c>
      <c r="F26" s="163">
        <f ca="1"/>
        <v>1</v>
      </c>
      <c r="G26" s="162" t="str">
        <f ca="1"/>
        <v>Priority 1 with an open to-do</v>
      </c>
      <c r="H26" s="161" t="str">
        <f ca="1"/>
        <v>Scott Coombs</v>
      </c>
      <c r="I26" s="230" t="str">
        <f ca="1"/>
        <v>Waiting on Dealer</v>
      </c>
      <c r="J26" s="230" t="str">
        <f ca="1"/>
        <v>Waiting on Dealer</v>
      </c>
      <c r="K26" s="230" t="str">
        <f ca="1"/>
        <v>Waiting on Dealer</v>
      </c>
      <c r="L26" s="230" t="str">
        <f ca="1"/>
        <v>N/A</v>
      </c>
      <c r="M26" s="230" t="str">
        <f ca="1"/>
        <v>N/A</v>
      </c>
      <c r="N26" s="161" t="str">
        <f ca="1"/>
      </c>
    </row>
    <row r="27" spans="1:13">
      <c r="A27" s="161" t="str">
        <f ca="1"/>
        <v>Bolton Heating &amp; Air</v>
      </c>
      <c r="B27" s="162" t="str">
        <f ca="1"/>
        <v>Banking and all docs</v>
      </c>
      <c r="C27" s="163" t="str">
        <f ca="1"/>
        <v/>
      </c>
      <c r="D27" s="163">
        <f ca="1"/>
        <v>1</v>
      </c>
      <c r="E27" s="163" t="str">
        <f ca="1"/>
        <v>Waiting on Dealer</v>
      </c>
      <c r="F27" s="163">
        <f ca="1"/>
        <v>1</v>
      </c>
      <c r="G27" s="162" t="str">
        <f ca="1"/>
        <v>Priority 1 with an open to-do</v>
      </c>
      <c r="H27" s="161" t="str">
        <f ca="1"/>
        <v>Payden Yates</v>
      </c>
      <c r="I27" s="230" t="str">
        <f ca="1"/>
        <v>Waiting on Dealer</v>
      </c>
      <c r="J27" s="230" t="str">
        <f ca="1"/>
        <v>Waiting on Dealer</v>
      </c>
      <c r="K27" s="230" t="str">
        <f ca="1"/>
        <v>Waiting on Dealer</v>
      </c>
      <c r="L27" s="230" t="str">
        <f ca="1"/>
        <v>Waiting on Dealer</v>
      </c>
      <c r="M27" s="230" t="str">
        <f ca="1"/>
        <v>N/A</v>
      </c>
      <c r="N27" s="161" t="str">
        <f ca="1"/>
      </c>
    </row>
    <row r="28" spans="1:13">
      <c r="A28" s="161" t="str">
        <f ca="1"/>
        <v>Natural Construction LLC</v>
      </c>
      <c r="B28" s="162" t="str">
        <f ca="1"/>
        <v>Complete dealer call for Foundation - FFC has attempted 1st owner call, no answer</v>
      </c>
      <c r="C28" s="163" t="str">
        <f ca="1"/>
        <v>Done</v>
      </c>
      <c r="D28" s="163">
        <f ca="1"/>
        <v>1</v>
      </c>
      <c r="E28" s="163" t="str">
        <f ca="1"/>
        <v>Waiting on Lender</v>
      </c>
      <c r="F28" s="163">
        <f ca="1"/>
        <v>22</v>
      </c>
      <c r="G28" s="162" t="str">
        <f ca="1"/>
        <v>Ready 2 submit: SF</v>
      </c>
      <c r="H28" s="161" t="str">
        <f ca="1"/>
        <v>Trevor Young</v>
      </c>
      <c r="I28" s="230" t="str">
        <f ca="1"/>
        <v>Ready 2 Submit</v>
      </c>
      <c r="J28" s="230" t="str">
        <f ca="1"/>
        <v>Active</v>
      </c>
      <c r="K28" s="230" t="str">
        <f ca="1"/>
        <v>Submitted</v>
      </c>
      <c r="L28" s="230" t="str">
        <f ca="1"/>
        <v>N/A</v>
      </c>
      <c r="M28" s="230" t="str">
        <f ca="1"/>
        <v>N/A</v>
      </c>
      <c r="N28" s="161" t="str">
        <f ca="1"/>
      </c>
    </row>
    <row r="29" spans="1:13">
      <c r="A29" s="161" t="str">
        <f ca="1"/>
        <v>roofio, LLC.</v>
      </c>
      <c r="B29" s="162" t="str">
        <f ca="1"/>
        <v>Roofio will provide legal docs proving they didnt do what the lenders think they did</v>
      </c>
      <c r="C29" s="163" t="str">
        <f ca="1"/>
        <v>Done</v>
      </c>
      <c r="D29" s="163">
        <f ca="1"/>
        <v>2</v>
      </c>
      <c r="E29" s="163" t="str">
        <f ca="1"/>
        <v>Application Submitted</v>
      </c>
      <c r="F29" s="163" t="str">
        <f ca="1"/>
        <v/>
      </c>
      <c r="G29" s="162" t="str">
        <f ca="1"/>
        <v>Ready 2 submit: SF</v>
      </c>
      <c r="H29" s="161" t="str">
        <f ca="1"/>
        <v>Scott Coombs</v>
      </c>
      <c r="I29" s="230" t="str">
        <f ca="1"/>
        <v>Ready 2 Submit</v>
      </c>
      <c r="J29" s="230" t="str">
        <f ca="1"/>
        <v>Declined</v>
      </c>
      <c r="K29" s="230" t="str">
        <f ca="1"/>
        <v>Declined</v>
      </c>
      <c r="L29" s="230" t="str">
        <f ca="1"/>
        <v>N/A</v>
      </c>
      <c r="M29" s="230" t="str">
        <f ca="1"/>
        <v>N/A</v>
      </c>
      <c r="N29" s="161" t="str">
        <f ca="1"/>
      </c>
    </row>
    <row r="30" spans="1:13">
      <c r="A30" s="161" t="str">
        <f ca="1"/>
        <v>Empower Solar, Inc</v>
      </c>
      <c r="B30" s="162" t="str">
        <f ca="1"/>
        <v>Upload docs for AZ &amp; TX</v>
      </c>
      <c r="C30" s="163" t="str">
        <f ca="1"/>
        <v/>
      </c>
      <c r="D30" s="163" t="str">
        <f ca="1"/>
        <v/>
      </c>
      <c r="E30" s="163" t="str">
        <f ca="1"/>
        <v>Waiting on Dealer</v>
      </c>
      <c r="F30" s="163">
        <f ca="1"/>
        <v>1</v>
      </c>
      <c r="G30" s="162" t="str">
        <f ca="1"/>
        <v>Ready 2 submit: SL, FF, CH</v>
      </c>
      <c r="H30" s="161" t="str">
        <f ca="1"/>
        <v>David Yates</v>
      </c>
      <c r="I30" s="230" t="str">
        <f ca="1"/>
        <v>Submitted</v>
      </c>
      <c r="J30" s="230" t="str">
        <f ca="1"/>
        <v>Ready 2 Submit</v>
      </c>
      <c r="K30" s="230" t="str">
        <f ca="1"/>
        <v>Ready 2 Submit</v>
      </c>
      <c r="L30" s="230" t="str">
        <f ca="1"/>
        <v>Ready 2 Submit</v>
      </c>
      <c r="M30" s="230" t="str">
        <f ca="1"/>
        <v>N/A</v>
      </c>
      <c r="N30" s="161" t="str">
        <f ca="1"/>
      </c>
    </row>
    <row r="31" spans="1:13">
      <c r="A31" s="161" t="str">
        <f ca="1"/>
        <v>Qntum, LLC</v>
      </c>
      <c r="B31" s="162" t="str">
        <f ca="1"/>
        <v>Submitted to lenders 8/25/26</v>
      </c>
      <c r="C31" s="163" t="str">
        <f ca="1"/>
        <v>Done</v>
      </c>
      <c r="D31" s="163">
        <f ca="1"/>
        <v>1</v>
      </c>
      <c r="E31" s="163" t="str">
        <f ca="1"/>
        <v>Rate Sheet</v>
      </c>
      <c r="F31" s="163">
        <f ca="1"/>
        <v>15</v>
      </c>
      <c r="G31" s="162" t="str">
        <f ca="1"/>
        <v>Rate sheet owed - Brittany</v>
      </c>
      <c r="H31" s="161" t="str">
        <f ca="1"/>
        <v>Steve Stonebraker</v>
      </c>
      <c r="I31" s="230" t="str">
        <f ca="1"/>
        <v>Active</v>
      </c>
      <c r="J31" s="230" t="str">
        <f ca="1"/>
        <v>Active</v>
      </c>
      <c r="K31" s="230" t="str">
        <f ca="1"/>
        <v>Declined</v>
      </c>
      <c r="L31" s="230" t="str">
        <f ca="1"/>
        <v>N/A</v>
      </c>
      <c r="M31" s="230" t="str">
        <f ca="1"/>
        <v>N/A</v>
      </c>
      <c r="N31" s="161" t="str">
        <f ca="1"/>
      </c>
    </row>
    <row r="32" spans="1:13">
      <c r="A32" s="161" t="str">
        <f ca="1"/>
        <v>Roof Boyz LLC</v>
      </c>
      <c r="B32" s="162" t="str">
        <f ca="1"/>
        <v xml:space="preserve">In process </v>
      </c>
      <c r="C32" s="163" t="str">
        <f ca="1"/>
        <v>Done</v>
      </c>
      <c r="D32" s="163">
        <f ca="1"/>
        <v>1</v>
      </c>
      <c r="E32" s="163" t="str">
        <f ca="1"/>
        <v>Rate Sheet</v>
      </c>
      <c r="F32" s="163">
        <f ca="1"/>
        <v>15</v>
      </c>
      <c r="G32" s="162" t="str">
        <f ca="1"/>
        <v>Rate sheet owed - Brittany</v>
      </c>
      <c r="H32" s="161" t="str">
        <f ca="1"/>
        <v>Evan Young</v>
      </c>
      <c r="I32" s="230" t="str">
        <f ca="1"/>
        <v>Active</v>
      </c>
      <c r="J32" s="230" t="str">
        <f ca="1"/>
        <v>Approved</v>
      </c>
      <c r="K32" s="230" t="str">
        <f ca="1"/>
        <v>Active</v>
      </c>
      <c r="L32" s="230" t="str">
        <f ca="1"/>
        <v>N/A</v>
      </c>
      <c r="M32" s="230" t="str">
        <f ca="1"/>
        <v>N/A</v>
      </c>
      <c r="N32" s="161" t="str">
        <f ca="1"/>
      </c>
    </row>
    <row r="33" spans="1:13">
      <c r="A33" s="161" t="str">
        <f ca="1"/>
        <v>Bluebird Turf Co</v>
      </c>
      <c r="B33" s="162" t="str">
        <f ca="1"/>
        <v>Owner call complete - FFC registration approved 9/2/26</v>
      </c>
      <c r="C33" s="163" t="str">
        <f ca="1"/>
        <v>Done</v>
      </c>
      <c r="D33" s="163">
        <f ca="1"/>
        <v>3</v>
      </c>
      <c r="E33" s="163" t="str">
        <f ca="1"/>
        <v>Rate Sheet</v>
      </c>
      <c r="F33" s="163">
        <f ca="1"/>
        <v>14</v>
      </c>
      <c r="G33" s="162" t="str">
        <f ca="1"/>
        <v>Rate sheet owed - Brittany</v>
      </c>
      <c r="H33" s="161" t="str">
        <f ca="1"/>
        <v>Spencer Jackson</v>
      </c>
      <c r="I33" s="230" t="str">
        <f ca="1"/>
        <v>N/A</v>
      </c>
      <c r="J33" s="230" t="str">
        <f ca="1"/>
        <v>N/A</v>
      </c>
      <c r="K33" s="230" t="str">
        <f ca="1"/>
        <v>Approved</v>
      </c>
      <c r="L33" s="230" t="str">
        <f ca="1"/>
        <v>N/A</v>
      </c>
      <c r="M33" s="230" t="str">
        <f ca="1"/>
        <v>N/A</v>
      </c>
      <c r="N33" s="161" t="str">
        <f ca="1"/>
      </c>
    </row>
    <row r="34" spans="1:13">
      <c r="A34" s="161" t="str">
        <f ca="1"/>
        <v>DANIEL FREUND</v>
      </c>
      <c r="B34" s="162" t="str">
        <f ca="1"/>
        <v>Daniel is out of state for work. will get it fixed when he gets back.</v>
      </c>
      <c r="C34" s="163" t="str">
        <f ca="1"/>
        <v/>
      </c>
      <c r="D34" s="163">
        <f ca="1"/>
        <v>2</v>
      </c>
      <c r="E34" s="163" t="str">
        <f ca="1"/>
        <v>Waiting on Dealer</v>
      </c>
      <c r="F34" s="163">
        <f ca="1"/>
        <v>21</v>
      </c>
      <c r="G34" s="162" t="str">
        <f ca="1"/>
        <v>Open to-do</v>
      </c>
      <c r="H34" s="161" t="str">
        <f ca="1"/>
        <v>Evan Young</v>
      </c>
      <c r="I34" s="230" t="str">
        <f ca="1"/>
        <v>Waiting on Dealer</v>
      </c>
      <c r="J34" s="230" t="str">
        <f ca="1"/>
        <v>Waiting on Dealer</v>
      </c>
      <c r="K34" s="230" t="str">
        <f ca="1"/>
        <v>Waiting on Dealer</v>
      </c>
      <c r="L34" s="230" t="str">
        <f ca="1"/>
        <v>N/A</v>
      </c>
      <c r="M34" s="230" t="str">
        <f ca="1"/>
        <v>N/A</v>
      </c>
      <c r="N34" s="161" t="str">
        <f ca="1"/>
      </c>
    </row>
    <row r="35" spans="1:13" ht="45.75">
      <c r="A35" s="161" t="str">
        <f ca="1"/>
        <v>Bestway Heating &amp; Air LLC</v>
      </c>
      <c r="B35" s="162" t="str">
        <f ca="1"/>
        <v>Voided Check and Bank Statements</v>
      </c>
      <c r="C35" s="163" t="str">
        <f ca="1"/>
        <v/>
      </c>
      <c r="D35" s="163">
        <f ca="1"/>
        <v>2</v>
      </c>
      <c r="E35" s="163" t="str">
        <f ca="1"/>
        <v>Waiting on Dealer</v>
      </c>
      <c r="F35" s="163">
        <f ca="1"/>
        <v>1</v>
      </c>
      <c r="G35" s="162" t="str">
        <f ca="1"/>
        <v>Open to-do</v>
      </c>
      <c r="H35" s="161" t="str">
        <f ca="1"/>
        <v>Trevor Young</v>
      </c>
      <c r="I35" s="230" t="str">
        <f ca="1"/>
        <v>Waiting on Dealer</v>
      </c>
      <c r="J35" s="230" t="str">
        <f ca="1"/>
        <v>Waiting on Dealer</v>
      </c>
      <c r="K35" s="230" t="str">
        <f ca="1"/>
        <v>Waiting on Dealer</v>
      </c>
      <c r="L35" s="230" t="str">
        <f ca="1"/>
        <v>Waiting on Dealer</v>
      </c>
      <c r="M35" s="230" t="str">
        <f ca="1"/>
        <v>N/A</v>
      </c>
      <c r="N35" s="161" t="str">
        <f ca="1"/>
      </c>
    </row>
    <row r="36" spans="1:13">
      <c r="A36" s="161" t="str">
        <f ca="1"/>
        <v>Goodco Soulutions LLC</v>
      </c>
      <c r="B36" s="162" t="str">
        <f ca="1"/>
        <v>Merchant needs to update website to include roofing and remove solar, then let us know when it's complete</v>
      </c>
      <c r="C36" s="163" t="str">
        <f ca="1"/>
        <v/>
      </c>
      <c r="D36" s="163">
        <f ca="1"/>
        <v>2</v>
      </c>
      <c r="E36" s="163" t="str">
        <f ca="1"/>
        <v>Waiting on Dealer</v>
      </c>
      <c r="F36" s="163">
        <f ca="1"/>
        <v>1</v>
      </c>
      <c r="G36" s="162" t="str">
        <f ca="1"/>
        <v>Open to-do</v>
      </c>
      <c r="H36" s="161" t="str">
        <f ca="1"/>
        <v>Doug Yates</v>
      </c>
      <c r="I36" s="230" t="str">
        <f ca="1"/>
        <v>Waiting on Dealer</v>
      </c>
      <c r="J36" s="230" t="str">
        <f ca="1"/>
        <v>Waiting on Dealer</v>
      </c>
      <c r="K36" s="230" t="str">
        <f ca="1"/>
        <v>Waiting on Dealer</v>
      </c>
      <c r="L36" s="230" t="str">
        <f ca="1"/>
        <v>N/A</v>
      </c>
      <c r="M36" s="230" t="str">
        <f ca="1"/>
        <v>N/A</v>
      </c>
      <c r="N36" s="161" t="str">
        <f ca="1"/>
      </c>
    </row>
    <row r="37" spans="1:13" ht="30.75">
      <c r="A37" s="161" t="str">
        <f ca="1"/>
        <v>Everhome LLC</v>
      </c>
      <c r="B37" s="162" t="str">
        <f ca="1"/>
        <v>All Docs Upload | Agreements | Finish Application</v>
      </c>
      <c r="C37" s="163" t="str">
        <f ca="1"/>
        <v/>
      </c>
      <c r="D37" s="163">
        <f ca="1"/>
        <v>2</v>
      </c>
      <c r="E37" s="163" t="str">
        <f ca="1"/>
        <v>Waiting on Dealer</v>
      </c>
      <c r="F37" s="163">
        <f ca="1"/>
        <v>1</v>
      </c>
      <c r="G37" s="162" t="str">
        <f ca="1"/>
        <v>Open to-do</v>
      </c>
      <c r="H37" s="161" t="str">
        <f ca="1"/>
        <v>Scott Coombs</v>
      </c>
      <c r="I37" s="230" t="str">
        <f ca="1"/>
        <v>Waiting on Dealer</v>
      </c>
      <c r="J37" s="230" t="str">
        <f ca="1"/>
        <v>Waiting on Dealer</v>
      </c>
      <c r="K37" s="230" t="str">
        <f ca="1"/>
        <v>Waiting on Dealer</v>
      </c>
      <c r="L37" s="230" t="str">
        <f ca="1"/>
        <v>Waiting on Dealer</v>
      </c>
      <c r="M37" s="230" t="str">
        <f ca="1"/>
        <v>Waiting on Dealer</v>
      </c>
      <c r="N37" s="161" t="str">
        <f ca="1"/>
      </c>
    </row>
    <row r="38" spans="1:13">
      <c r="A38" s="161" t="str">
        <f ca="1"/>
        <v>united better homes, llc</v>
      </c>
      <c r="B38" s="162" t="str">
        <f ca="1"/>
        <v>All Documents need to be uploaded, Trade References need to be updated | Agreements</v>
      </c>
      <c r="C38" s="163" t="str">
        <f ca="1"/>
        <v/>
      </c>
      <c r="D38" s="163">
        <f ca="1"/>
        <v>2</v>
      </c>
      <c r="E38" s="163" t="str">
        <f ca="1"/>
        <v>Waiting on Dealer</v>
      </c>
      <c r="F38" s="163">
        <f ca="1"/>
        <v>1</v>
      </c>
      <c r="G38" s="162" t="str">
        <f ca="1"/>
        <v>Open to-do</v>
      </c>
      <c r="H38" s="161" t="str">
        <f ca="1"/>
        <v>Spencer Gradley</v>
      </c>
      <c r="I38" s="230" t="str">
        <f ca="1"/>
        <v>Waiting on Dealer</v>
      </c>
      <c r="J38" s="230" t="str">
        <f ca="1"/>
        <v>Waiting on Dealer</v>
      </c>
      <c r="K38" s="230" t="str">
        <f ca="1"/>
        <v>Waiting on Dealer</v>
      </c>
      <c r="L38" s="230" t="str">
        <f ca="1"/>
        <v>Waiting on Dealer</v>
      </c>
      <c r="M38" s="230" t="str">
        <f ca="1"/>
        <v>N/A</v>
      </c>
      <c r="N38" s="161" t="str">
        <f ca="1"/>
      </c>
    </row>
    <row r="39" spans="1:13">
      <c r="A39" s="161" t="str">
        <f ca="1"/>
        <v>Dirty Fence and Concrete</v>
      </c>
      <c r="B39" s="162" t="str">
        <f ca="1"/>
        <v>US Bank needs financial statements</v>
      </c>
      <c r="C39" s="163" t="str">
        <f ca="1"/>
        <v/>
      </c>
      <c r="D39" s="163">
        <f ca="1"/>
        <v>3</v>
      </c>
      <c r="E39" s="163" t="str">
        <f ca="1"/>
        <v>Active</v>
      </c>
      <c r="F39" s="163">
        <f ca="1"/>
        <v>1</v>
      </c>
      <c r="G39" s="162" t="str">
        <f ca="1"/>
        <v>Open to-do</v>
      </c>
      <c r="H39" s="161" t="str">
        <f ca="1"/>
        <v>Gentry Knight</v>
      </c>
      <c r="I39" s="230" t="str">
        <f ca="1"/>
        <v>Declined</v>
      </c>
      <c r="J39" s="230" t="str">
        <f ca="1"/>
        <v>Declined</v>
      </c>
      <c r="K39" s="230" t="str">
        <f ca="1"/>
        <v>Active</v>
      </c>
      <c r="L39" s="230" t="str">
        <f ca="1"/>
        <v>N/A</v>
      </c>
      <c r="M39" s="230" t="str">
        <f ca="1"/>
        <v>Submitted</v>
      </c>
      <c r="N39" s="161" t="str">
        <f ca="1"/>
      </c>
    </row>
    <row r="40" spans="1:13">
      <c r="A40" s="161" t="str">
        <f ca="1"/>
        <v>Fortitude Builders and Restoratin</v>
      </c>
      <c r="B40" s="162" t="str">
        <f ca="1"/>
        <v>Need est Rev updated</v>
      </c>
      <c r="C40" s="163" t="str">
        <f ca="1"/>
        <v/>
      </c>
      <c r="D40" s="163">
        <f ca="1"/>
        <v>3</v>
      </c>
      <c r="E40" s="163" t="str">
        <f ca="1"/>
        <v>Waiting on Dealer</v>
      </c>
      <c r="F40" s="163">
        <f ca="1"/>
        <v>1</v>
      </c>
      <c r="G40" s="162" t="str">
        <f ca="1"/>
        <v>Open to-do</v>
      </c>
      <c r="H40" s="161" t="str">
        <f ca="1"/>
        <v>Heriberto Rivera</v>
      </c>
      <c r="I40" s="230" t="str">
        <f ca="1"/>
        <v>Waiting on Dealer</v>
      </c>
      <c r="J40" s="230" t="str">
        <f ca="1"/>
        <v>Waiting on Dealer</v>
      </c>
      <c r="K40" s="230" t="str">
        <f ca="1"/>
        <v>Waiting on Dealer</v>
      </c>
      <c r="L40" s="230" t="str">
        <f ca="1"/>
        <v>N/A</v>
      </c>
      <c r="M40" s="230" t="str">
        <f ca="1"/>
        <v>N/A</v>
      </c>
      <c r="N40" s="161" t="str">
        <f ca="1"/>
      </c>
    </row>
    <row r="41" spans="1:13" ht="60.75">
      <c r="A41" s="161" t="str">
        <f ca="1"/>
        <v>TGR Consultant LLC</v>
      </c>
      <c r="B41" s="162" t="str">
        <f ca="1"/>
        <v>Need website and all missing document uploads</v>
      </c>
      <c r="C41" s="163" t="str">
        <f ca="1"/>
        <v/>
      </c>
      <c r="D41" s="163">
        <f ca="1"/>
        <v>3</v>
      </c>
      <c r="E41" s="163" t="str">
        <f ca="1"/>
        <v>Waiting on Dealer</v>
      </c>
      <c r="F41" s="163">
        <f ca="1"/>
        <v>1</v>
      </c>
      <c r="G41" s="162" t="str">
        <f ca="1"/>
        <v>Open to-do</v>
      </c>
      <c r="H41" s="161" t="str">
        <f ca="1"/>
        <v>Rob Garcia</v>
      </c>
      <c r="I41" s="230" t="str">
        <f ca="1"/>
        <v>Waiting on Dealer</v>
      </c>
      <c r="J41" s="230" t="str">
        <f ca="1"/>
        <v>Waiting on Dealer</v>
      </c>
      <c r="K41" s="230" t="str">
        <f ca="1"/>
        <v>Waiting on Dealer</v>
      </c>
      <c r="L41" s="230" t="str">
        <f ca="1"/>
        <v>N/A</v>
      </c>
      <c r="M41" s="230" t="str">
        <f ca="1"/>
        <v>N/A</v>
      </c>
      <c r="N41" s="161" t="str">
        <f ca="1"/>
      </c>
    </row>
    <row r="42" spans="1:13">
      <c r="A42" s="161" t="str">
        <f ca="1"/>
        <v>Expert affordable roofing LLC</v>
      </c>
      <c r="B42" s="162" t="str">
        <f ca="1"/>
        <v>Complete Insights, verify website &amp; reputation link, confirm DBA name, upload 2 bank statements and voided check (Articles of Incorporation field), sign Agreement page and DocuSign, then submit to lenders.</v>
      </c>
      <c r="C42" s="163" t="str">
        <f ca="1"/>
        <v/>
      </c>
      <c r="D42" s="163">
        <f ca="1"/>
        <v>3</v>
      </c>
      <c r="E42" s="163" t="str">
        <f ca="1"/>
        <v>Waiting on Dealer</v>
      </c>
      <c r="F42" s="163">
        <f ca="1"/>
        <v>1</v>
      </c>
      <c r="G42" s="162" t="str">
        <f ca="1"/>
        <v>Open to-do</v>
      </c>
      <c r="H42" s="161" t="str">
        <f ca="1"/>
        <v>Ryan Tall</v>
      </c>
      <c r="I42" s="230" t="str">
        <f ca="1"/>
        <v>Waiting on Dealer</v>
      </c>
      <c r="J42" s="230" t="str">
        <f ca="1"/>
        <v>N/A</v>
      </c>
      <c r="K42" s="230" t="str">
        <f ca="1"/>
        <v>Waiting on Dealer</v>
      </c>
      <c r="L42" s="230" t="str">
        <f ca="1"/>
        <v>N/A</v>
      </c>
      <c r="M42" s="230" t="str">
        <f ca="1"/>
        <v>N/A</v>
      </c>
      <c r="N42" s="161" t="str">
        <f ca="1"/>
      </c>
    </row>
    <row r="43" spans="1:13">
      <c r="A43" s="161" t="str">
        <f ca="1"/>
        <v>GH Cutting EDGE LLC</v>
      </c>
      <c r="B43" s="162" t="str">
        <f ca="1"/>
        <v>ALL DOCS | agreements</v>
      </c>
      <c r="C43" s="163" t="str">
        <f ca="1"/>
        <v/>
      </c>
      <c r="D43" s="163">
        <f ca="1"/>
        <v>3</v>
      </c>
      <c r="E43" s="163" t="str">
        <f ca="1"/>
        <v>Waiting on Dealer</v>
      </c>
      <c r="F43" s="163">
        <f ca="1"/>
        <v>1</v>
      </c>
      <c r="G43" s="162" t="str">
        <f ca="1"/>
        <v>Open to-do</v>
      </c>
      <c r="H43" s="161" t="str">
        <f ca="1"/>
        <v>Rob Garcia</v>
      </c>
      <c r="I43" s="230" t="str">
        <f ca="1"/>
        <v>N/A</v>
      </c>
      <c r="J43" s="230" t="str">
        <f ca="1"/>
        <v>N/A</v>
      </c>
      <c r="K43" s="230" t="str">
        <f ca="1"/>
        <v>Waiting on Dealer</v>
      </c>
      <c r="L43" s="230" t="str">
        <f ca="1"/>
        <v>N/A</v>
      </c>
      <c r="M43" s="230" t="str">
        <f ca="1"/>
        <v>N/A</v>
      </c>
      <c r="N43" s="161" t="str">
        <f ca="1"/>
      </c>
    </row>
    <row r="44" spans="1:13">
      <c r="A44" s="161" t="str">
        <f ca="1"/>
        <v>Bumble Bee Blinds of Utah Valley</v>
      </c>
      <c r="B44" s="162" t="str">
        <f ca="1"/>
        <v>Fix trade References. Upload all docs and sign agreements</v>
      </c>
      <c r="C44" s="163" t="str">
        <f ca="1"/>
        <v/>
      </c>
      <c r="D44" s="163">
        <f ca="1"/>
        <v>3</v>
      </c>
      <c r="E44" s="163" t="str">
        <f ca="1"/>
        <v>Waiting on Dealer</v>
      </c>
      <c r="F44" s="163">
        <f ca="1"/>
        <v>1</v>
      </c>
      <c r="G44" s="162" t="str">
        <f ca="1"/>
        <v>Open to-do</v>
      </c>
      <c r="H44" s="161" t="str">
        <f ca="1"/>
        <v>Scott Coombs</v>
      </c>
      <c r="I44" s="230" t="str">
        <f ca="1"/>
        <v>Waiting on Dealer</v>
      </c>
      <c r="J44" s="230" t="str">
        <f ca="1"/>
        <v>N/A</v>
      </c>
      <c r="K44" s="230" t="str">
        <f ca="1"/>
        <v>Waiting on Dealer</v>
      </c>
      <c r="L44" s="230" t="str">
        <f ca="1"/>
        <v>N/A</v>
      </c>
      <c r="M44" s="230" t="str">
        <f ca="1"/>
        <v>N/A</v>
      </c>
      <c r="N44" s="161" t="str">
        <f ca="1"/>
      </c>
    </row>
    <row r="45" spans="1:13">
      <c r="A45" s="161" t="str">
        <f ca="1"/>
        <v>Boss Lighting LLC</v>
      </c>
      <c r="B45" s="162" t="str">
        <f ca="1"/>
        <v xml:space="preserve">Upload all docs </v>
      </c>
      <c r="C45" s="163" t="str">
        <f ca="1"/>
        <v/>
      </c>
      <c r="D45" s="163">
        <f ca="1"/>
        <v>3</v>
      </c>
      <c r="E45" s="163" t="str">
        <f ca="1"/>
        <v>Waiting on Dealer</v>
      </c>
      <c r="F45" s="163">
        <f ca="1"/>
        <v>1</v>
      </c>
      <c r="G45" s="162" t="str">
        <f ca="1"/>
        <v>Open to-do</v>
      </c>
      <c r="H45" s="161" t="str">
        <f ca="1"/>
        <v>chris Shipley</v>
      </c>
      <c r="I45" s="230" t="str">
        <f ca="1"/>
        <v>Waiting on Dealer</v>
      </c>
      <c r="J45" s="230" t="str">
        <f ca="1"/>
        <v>Waiting on Dealer</v>
      </c>
      <c r="K45" s="230" t="str">
        <f ca="1"/>
        <v>Waiting on Dealer</v>
      </c>
      <c r="L45" s="230" t="str">
        <f ca="1"/>
        <v>N/A</v>
      </c>
      <c r="M45" s="230" t="str">
        <f ca="1"/>
        <v>N/A</v>
      </c>
      <c r="N45" s="161" t="str">
        <f ca="1"/>
      </c>
    </row>
    <row r="46" spans="1:13">
      <c r="A46" s="161" t="str">
        <f ca="1"/>
        <v>Mahan Home &amp; Commercial Services, LLC</v>
      </c>
      <c r="B46" s="162" t="str">
        <f ca="1"/>
        <v>Sent to lenders and sent dlr "lenders submitted" email.</v>
      </c>
      <c r="C46" s="163" t="str">
        <f ca="1"/>
        <v>Done</v>
      </c>
      <c r="D46" s="163">
        <f ca="1"/>
        <v>1</v>
      </c>
      <c r="E46" s="163" t="str">
        <f ca="1"/>
        <v>Waiting on Lender</v>
      </c>
      <c r="F46" s="163">
        <f ca="1"/>
        <v>9</v>
      </c>
      <c r="G46" s="162" t="str">
        <f ca="1"/>
        <v>No update in 9 days</v>
      </c>
      <c r="H46" s="161" t="str">
        <f ca="1"/>
        <v>Steve Stonebraker</v>
      </c>
      <c r="I46" s="230" t="str">
        <f ca="1"/>
        <v>Submitted</v>
      </c>
      <c r="J46" s="230" t="str">
        <f ca="1"/>
        <v>Declined</v>
      </c>
      <c r="K46" s="230" t="str">
        <f ca="1"/>
        <v>Active</v>
      </c>
      <c r="L46" s="230" t="str">
        <f ca="1"/>
        <v>N/A</v>
      </c>
      <c r="M46" s="230" t="str">
        <f ca="1"/>
        <v>N/A</v>
      </c>
      <c r="N46" s="161" t="str">
        <f ca="1"/>
      </c>
    </row>
    <row r="47" spans="1:13">
      <c r="A47" s="161" t="str">
        <f ca="1"/>
        <v>Black Sage Construction LLC</v>
      </c>
      <c r="B47" s="162" t="str">
        <f ca="1"/>
        <v>IDK how to catagorize in SFC APP. Foundation approved 9/21/26 - owner call done.</v>
      </c>
      <c r="C47" s="163" t="str">
        <f ca="1"/>
        <v>Done</v>
      </c>
      <c r="D47" s="163">
        <f ca="1"/>
        <v>2</v>
      </c>
      <c r="E47" s="163" t="str">
        <f ca="1"/>
        <v>Waiting on Lender</v>
      </c>
      <c r="F47" s="163">
        <f ca="1"/>
        <v>7</v>
      </c>
      <c r="G47" s="162" t="str">
        <f ca="1"/>
        <v>No update in 7 days</v>
      </c>
      <c r="H47" s="161" t="str">
        <f ca="1"/>
        <v>Clint Cowley</v>
      </c>
      <c r="I47" s="230" t="str">
        <f ca="1"/>
        <v>Submitted</v>
      </c>
      <c r="J47" s="230" t="str">
        <f ca="1"/>
        <v>No Min RQ</v>
      </c>
      <c r="K47" s="230" t="str">
        <f ca="1"/>
        <v>Approved</v>
      </c>
      <c r="L47" s="230" t="str">
        <f ca="1"/>
        <v>N/A</v>
      </c>
      <c r="M47" s="230" t="str">
        <f ca="1"/>
        <v>N/A</v>
      </c>
      <c r="N47" s="161" t="str">
        <f ca="1"/>
      </c>
    </row>
    <row r="48" spans="1:13">
      <c r="A48" s="161" t="str">
        <f ca="1"/>
        <v>Top Roofing LLC</v>
      </c>
      <c r="B48" s="162" t="str">
        <f ca="1"/>
        <v xml:space="preserve">Prior year annual revenue | Agreements </v>
      </c>
      <c r="C48" s="163" t="str">
        <f ca="1"/>
        <v>Done</v>
      </c>
      <c r="D48" s="163">
        <f ca="1"/>
        <v>2</v>
      </c>
      <c r="E48" s="163" t="str">
        <f ca="1"/>
        <v>Waiting on Lender</v>
      </c>
      <c r="F48" s="163">
        <f ca="1"/>
        <v>8</v>
      </c>
      <c r="G48" s="162" t="str">
        <f ca="1"/>
        <v>No update in 8 days</v>
      </c>
      <c r="H48" s="161" t="str">
        <f ca="1"/>
        <v>Mark Robichaud</v>
      </c>
      <c r="I48" s="230" t="str">
        <f ca="1"/>
        <v>Submitted</v>
      </c>
      <c r="J48" s="230" t="str">
        <f ca="1"/>
        <v>Approved</v>
      </c>
      <c r="K48" s="230" t="str">
        <f ca="1"/>
        <v>Submitted</v>
      </c>
      <c r="L48" s="230" t="str">
        <f ca="1"/>
        <v>N/A</v>
      </c>
      <c r="M48" s="230" t="str">
        <f ca="1"/>
        <v>N/A</v>
      </c>
      <c r="N48" s="161" t="str">
        <f ca="1"/>
      </c>
    </row>
    <row r="49" spans="1:13">
      <c r="A49" s="161" t="str">
        <f ca="1"/>
        <v>Rise Above LLC</v>
      </c>
      <c r="B49" s="162" t="str">
        <f ca="1"/>
        <v>Finish document upload</v>
      </c>
      <c r="C49" s="163" t="str">
        <f ca="1"/>
        <v>Done</v>
      </c>
      <c r="D49" s="163">
        <f ca="1"/>
        <v>2</v>
      </c>
      <c r="E49" s="163" t="str">
        <f ca="1"/>
        <v>Waiting on Lender</v>
      </c>
      <c r="F49" s="163">
        <f ca="1"/>
        <v>6</v>
      </c>
      <c r="G49" s="162" t="str">
        <f ca="1"/>
        <v>No update in 6 days</v>
      </c>
      <c r="H49" s="161" t="str">
        <f ca="1"/>
        <v>Steve Stonebraker</v>
      </c>
      <c r="I49" s="230" t="str">
        <f ca="1"/>
        <v>N/A</v>
      </c>
      <c r="J49" s="230" t="str">
        <f ca="1"/>
        <v>Submitted</v>
      </c>
      <c r="K49" s="230" t="str">
        <f ca="1"/>
        <v>Submitted</v>
      </c>
      <c r="L49" s="230" t="str">
        <f ca="1"/>
        <v>N/A</v>
      </c>
      <c r="M49" s="230" t="str">
        <f ca="1"/>
        <v>N/A</v>
      </c>
      <c r="N49" s="161" t="str">
        <f ca="1"/>
      </c>
    </row>
    <row r="50" spans="1:13">
      <c r="A50" s="161" t="str">
        <f ca="1"/>
        <v>Taves Contracting Services LLC</v>
      </c>
      <c r="B50" s="162" t="str">
        <f ca="1"/>
        <v>Sunlight needs additional documents - sales contract, insurance, July or August bank statement. Foundation approved 9/17/26 - dealer call done.</v>
      </c>
      <c r="C50" s="163" t="str">
        <f ca="1"/>
        <v>Done</v>
      </c>
      <c r="D50" s="163" t="str">
        <f ca="1"/>
        <v/>
      </c>
      <c r="E50" s="163" t="str">
        <f ca="1"/>
        <v>Waiting on Lender</v>
      </c>
      <c r="F50" s="163">
        <f ca="1"/>
        <v>19</v>
      </c>
      <c r="G50" s="162" t="str">
        <f ca="1"/>
        <v>No update in 19 days</v>
      </c>
      <c r="H50" s="161" t="str">
        <f ca="1"/>
        <v>Scott Williams</v>
      </c>
      <c r="I50" s="230" t="str">
        <f ca="1"/>
        <v>Submitted</v>
      </c>
      <c r="J50" s="230" t="str">
        <f ca="1"/>
        <v>Approved</v>
      </c>
      <c r="K50" s="230" t="str">
        <f ca="1"/>
        <v>Approved</v>
      </c>
      <c r="L50" s="230" t="str">
        <f ca="1"/>
        <v>N/A</v>
      </c>
      <c r="M50" s="230" t="str">
        <f ca="1"/>
        <v>N/A</v>
      </c>
      <c r="N50" s="161" t="str">
        <f ca="1"/>
      </c>
    </row>
    <row r="51" spans="1:13">
      <c r="A51" s="161" t="str">
        <f ca="1"/>
        <v>Iron Ridge Group LLC</v>
      </c>
      <c r="B51" s="162" t="str">
        <f ca="1"/>
        <v>Need voided check and contractor's license for Chowder</v>
      </c>
      <c r="C51" s="163" t="str">
        <f ca="1"/>
        <v>Done</v>
      </c>
      <c r="D51" s="163" t="str">
        <f ca="1"/>
        <v/>
      </c>
      <c r="E51" s="163" t="str">
        <f ca="1"/>
        <v>Application Submitted</v>
      </c>
      <c r="F51" s="163">
        <f ca="1"/>
        <v>7</v>
      </c>
      <c r="G51" s="162" t="str">
        <f ca="1"/>
        <v>No update in 7 days</v>
      </c>
      <c r="H51" s="161" t="str">
        <f ca="1"/>
        <v>Steve Stonebraker</v>
      </c>
      <c r="I51" s="230" t="str">
        <f ca="1"/>
        <v>No Min RQ</v>
      </c>
      <c r="J51" s="230" t="str">
        <f ca="1"/>
        <v>No Min RQ</v>
      </c>
      <c r="K51" s="230" t="str">
        <f ca="1"/>
        <v>No Min RQ</v>
      </c>
      <c r="L51" s="230" t="str">
        <f ca="1"/>
        <v>N/A</v>
      </c>
      <c r="M51" s="230" t="str">
        <f ca="1"/>
        <v>N/A</v>
      </c>
      <c r="N51" s="161" t="str">
        <f ca="1"/>
      </c>
    </row>
    <row r="52" spans="1:13">
      <c r="A52" s="161"/>
      <c r="B52" s="162"/>
      <c r="C52" s="163"/>
      <c r="D52" s="163"/>
      <c r="E52" s="163"/>
      <c r="F52" s="163"/>
      <c r="G52" s="162"/>
      <c r="H52" s="161"/>
      <c r="I52" s="230"/>
      <c r="J52" s="230"/>
      <c r="K52" s="230"/>
      <c r="L52" s="230"/>
      <c r="M52" s="230"/>
    </row>
    <row r="53" spans="1:13">
      <c r="A53" s="161"/>
      <c r="B53" s="162"/>
      <c r="C53" s="163"/>
      <c r="D53" s="163"/>
      <c r="E53" s="163"/>
      <c r="F53" s="163"/>
      <c r="G53" s="162"/>
      <c r="H53" s="161"/>
      <c r="I53" s="230"/>
      <c r="J53" s="230"/>
      <c r="K53" s="230"/>
      <c r="L53" s="230"/>
      <c r="M53" s="230"/>
    </row>
    <row r="54" spans="1:13">
      <c r="A54" s="161"/>
      <c r="B54" s="162"/>
      <c r="C54" s="163"/>
      <c r="D54" s="163"/>
      <c r="E54" s="163"/>
      <c r="F54" s="163"/>
      <c r="G54" s="162"/>
      <c r="H54" s="161"/>
      <c r="I54" s="230"/>
      <c r="J54" s="230"/>
      <c r="K54" s="230"/>
      <c r="L54" s="230"/>
      <c r="M54" s="230"/>
    </row>
    <row r="55" spans="1:13">
      <c r="A55" s="161"/>
      <c r="B55" s="162"/>
      <c r="C55" s="163"/>
      <c r="D55" s="163"/>
      <c r="E55" s="163"/>
      <c r="F55" s="163"/>
      <c r="G55" s="162"/>
      <c r="H55" s="161"/>
      <c r="I55" s="230"/>
      <c r="J55" s="230"/>
      <c r="K55" s="230"/>
      <c r="L55" s="230"/>
      <c r="M55" s="230"/>
    </row>
    <row r="56" spans="1:13">
      <c r="A56" s="161"/>
      <c r="B56" s="162"/>
      <c r="C56" s="163"/>
      <c r="D56" s="163"/>
      <c r="E56" s="163"/>
      <c r="F56" s="163"/>
      <c r="G56" s="162"/>
      <c r="H56" s="161"/>
      <c r="I56" s="230"/>
      <c r="J56" s="230"/>
      <c r="K56" s="230"/>
      <c r="L56" s="230"/>
      <c r="M56" s="230"/>
    </row>
    <row r="57" spans="1:13">
      <c r="A57" s="161"/>
      <c r="B57" s="162"/>
      <c r="C57" s="163"/>
      <c r="D57" s="163"/>
      <c r="E57" s="163"/>
      <c r="F57" s="163"/>
      <c r="G57" s="162"/>
      <c r="H57" s="161"/>
      <c r="I57" s="230"/>
      <c r="J57" s="230"/>
      <c r="K57" s="230"/>
      <c r="L57" s="230"/>
      <c r="M57" s="230"/>
    </row>
  </sheetData>
  <conditionalFormatting sqref="F23:F196">
    <cfRule type="expression" dxfId="59" priority="1">
      <formula>AND($F23&lt;&gt;"",$F23&gt;3,$E23&lt;&gt;"Active",$E23&lt;&gt;"Dead")</formula>
    </cfRule>
  </conditionalFormatting>
  <conditionalFormatting sqref="B23:B196">
    <cfRule type="expression" dxfId="58" priority="2">
      <formula>$C23="Done"</formula>
    </cfRule>
  </conditionalFormatting>
  <conditionalFormatting sqref="A23:A196 D23:D196">
    <cfRule type="expression" dxfId="57" priority="3">
      <formula>$D23=1</formula>
    </cfRule>
  </conditionalFormatting>
  <conditionalFormatting sqref="E23:E196">
    <cfRule type="expression" dxfId="56" priority="5">
      <formula>ISNUMBER(SEARCH("Training",$E23))</formula>
    </cfRule>
  </conditionalFormatting>
  <conditionalFormatting sqref="E23:E196">
    <cfRule type="expression" dxfId="55" priority="6">
      <formula>ISNUMBER(SEARCH("LIVE DLR",$E23))</formula>
    </cfRule>
  </conditionalFormatting>
  <conditionalFormatting sqref="E23:E196">
    <cfRule type="expression" dxfId="54" priority="7">
      <formula>$E23="Dead"</formula>
    </cfRule>
  </conditionalFormatting>
  <conditionalFormatting sqref="E23:E196">
    <cfRule type="expression" dxfId="53" priority="8">
      <formula>OR($E23="Rate Sheet",$E23="Active")</formula>
    </cfRule>
  </conditionalFormatting>
  <conditionalFormatting sqref="E23:E196">
    <cfRule type="expression" dxfId="52" priority="9">
      <formula>OR($E23="Waiting on Lender",$E23="Application Submitted")</formula>
    </cfRule>
  </conditionalFormatting>
  <conditionalFormatting sqref="E23:E196">
    <cfRule type="expression" dxfId="51" priority="10">
      <formula>$E23="Waiting on Dealer"</formula>
    </cfRule>
  </conditionalFormatting>
  <conditionalFormatting sqref="A23:H196">
    <cfRule type="expression" dxfId="50" priority="11">
      <formula>$E23="LIVE DLR"</formula>
    </cfRule>
  </conditionalFormatting>
  <conditionalFormatting sqref="A23:H196">
    <cfRule type="expression" dxfId="49" priority="12">
      <formula>$E23="Dead"</formula>
    </cfRule>
  </conditionalFormatting>
  <conditionalFormatting sqref="I23:M80">
    <cfRule type="expression" dxfId="48" priority="13">
      <formula>I23="Ready 2 Submit"</formula>
    </cfRule>
  </conditionalFormatting>
  <conditionalFormatting sqref="I23:M80">
    <cfRule type="expression" dxfId="47" priority="14">
      <formula>I23="Submitted"</formula>
    </cfRule>
  </conditionalFormatting>
  <conditionalFormatting sqref="I23:M80">
    <cfRule type="expression" dxfId="46" priority="15">
      <formula>I23="Waiting on Dealer"</formula>
    </cfRule>
  </conditionalFormatting>
  <conditionalFormatting sqref="I23:M80">
    <cfRule type="expression" dxfId="45" priority="16">
      <formula>OR(I23="Approved",I23="Active")</formula>
    </cfRule>
  </conditionalFormatting>
  <conditionalFormatting sqref="I23:M80">
    <cfRule type="expression" dxfId="44" priority="17">
      <formula>I23="Declined"</formula>
    </cfRule>
  </conditionalFormatting>
  <conditionalFormatting sqref="I23:M80">
    <cfRule type="expression" dxfId="43" priority="18">
      <formula>OR(I23="N/A",I23="No Min RQ")</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9D18E"/>
  </sheetPr>
  <dimension ref="A1:L31"/>
  <sheetViews>
    <sheetView showGridLines="0" zoomScaleNormal="100" workbookViewId="0">
      <pane ySplit="1" topLeftCell="A17" activePane="bottomLeft" state="frozen"/>
      <selection pane="bottomLeft" activeCell="A27" sqref="A27:XFD27"/>
    </sheetView>
  </sheetViews>
  <sheetFormatPr defaultColWidth="8.7109375" defaultRowHeight="15"/>
  <cols>
    <col min="1" max="1" width="30.42578125" style="10" customWidth="1"/>
    <col min="2" max="2" width="17.140625" style="10" customWidth="1"/>
    <col min="3" max="9" width="80" style="10" customWidth="1"/>
    <col min="10" max="12" width="30.42578125" style="10" customWidth="1"/>
    <col min="13" max="16384" width="8.7109375" style="10"/>
  </cols>
  <sheetData>
    <row r="1" spans="1:12">
      <c r="A1" s="26" t="s">
        <v>363</v>
      </c>
      <c r="B1" s="27" t="s">
        <v>826</v>
      </c>
      <c r="C1" s="27" t="s">
        <v>827</v>
      </c>
      <c r="D1" s="27" t="s">
        <v>828</v>
      </c>
      <c r="E1" s="27" t="s">
        <v>829</v>
      </c>
      <c r="F1" s="27" t="s">
        <v>830</v>
      </c>
      <c r="G1" s="27" t="s">
        <v>831</v>
      </c>
      <c r="H1" s="27" t="s">
        <v>832</v>
      </c>
      <c r="I1" s="27" t="s">
        <v>833</v>
      </c>
      <c r="J1" s="27" t="s">
        <v>834</v>
      </c>
      <c r="K1" s="27" t="s">
        <v>835</v>
      </c>
      <c r="L1" s="28" t="s">
        <v>836</v>
      </c>
    </row>
    <row r="2" spans="1:12" ht="41.25">
      <c r="A2" s="29" t="s">
        <v>426</v>
      </c>
      <c r="B2" s="30" t="s">
        <v>837</v>
      </c>
      <c r="C2" s="12" t="s">
        <v>435</v>
      </c>
      <c r="D2" s="12" t="s">
        <v>838</v>
      </c>
      <c r="E2" s="15" t="s">
        <v>839</v>
      </c>
      <c r="F2" s="12" t="s">
        <v>840</v>
      </c>
      <c r="G2" s="12" t="s">
        <v>437</v>
      </c>
      <c r="H2" s="12" t="s">
        <v>437</v>
      </c>
      <c r="I2" s="12" t="s">
        <v>841</v>
      </c>
      <c r="J2" s="12" t="s">
        <v>437</v>
      </c>
      <c r="K2" s="12"/>
      <c r="L2" s="31" t="s">
        <v>842</v>
      </c>
    </row>
    <row r="3" spans="1:12" ht="86.25">
      <c r="A3" s="29" t="s">
        <v>442</v>
      </c>
      <c r="B3" s="30" t="s">
        <v>837</v>
      </c>
      <c r="C3" s="12" t="s">
        <v>449</v>
      </c>
      <c r="D3" s="12" t="s">
        <v>843</v>
      </c>
      <c r="E3" s="12" t="s">
        <v>844</v>
      </c>
      <c r="F3" s="12" t="s">
        <v>845</v>
      </c>
      <c r="G3" s="12"/>
      <c r="H3" s="12" t="s">
        <v>846</v>
      </c>
      <c r="I3" s="12"/>
      <c r="J3" s="12"/>
      <c r="K3" s="12"/>
      <c r="L3" s="31" t="s">
        <v>847</v>
      </c>
    </row>
    <row r="4" spans="1:12" ht="25.5">
      <c r="A4" s="29" t="s">
        <v>452</v>
      </c>
      <c r="B4" s="30" t="s">
        <v>837</v>
      </c>
      <c r="C4" s="12" t="s">
        <v>848</v>
      </c>
      <c r="D4" s="12" t="s">
        <v>849</v>
      </c>
      <c r="E4" s="12" t="s">
        <v>850</v>
      </c>
      <c r="F4" s="12" t="s">
        <v>851</v>
      </c>
      <c r="G4" s="12"/>
      <c r="H4" s="12" t="s">
        <v>852</v>
      </c>
      <c r="I4" s="12"/>
      <c r="J4" s="12"/>
      <c r="K4" s="12"/>
      <c r="L4" s="31" t="s">
        <v>853</v>
      </c>
    </row>
    <row r="5" spans="1:12" ht="37.5">
      <c r="A5" s="29" t="s">
        <v>460</v>
      </c>
      <c r="B5" s="30" t="s">
        <v>837</v>
      </c>
      <c r="C5" s="12" t="s">
        <v>469</v>
      </c>
      <c r="D5" s="12" t="s">
        <v>854</v>
      </c>
      <c r="E5" s="15" t="s">
        <v>855</v>
      </c>
      <c r="F5" s="12" t="s">
        <v>856</v>
      </c>
      <c r="G5" s="12" t="s">
        <v>857</v>
      </c>
      <c r="H5" s="12" t="s">
        <v>437</v>
      </c>
      <c r="I5" s="12"/>
      <c r="J5" s="12"/>
      <c r="K5" s="12"/>
      <c r="L5" s="31" t="s">
        <v>858</v>
      </c>
    </row>
    <row r="6" spans="1:12">
      <c r="A6" s="29" t="s">
        <v>475</v>
      </c>
      <c r="B6" s="30" t="s">
        <v>837</v>
      </c>
      <c r="C6" s="12" t="s">
        <v>435</v>
      </c>
      <c r="D6" s="12" t="s">
        <v>859</v>
      </c>
      <c r="E6" s="15" t="s">
        <v>860</v>
      </c>
      <c r="F6" s="12" t="s">
        <v>861</v>
      </c>
      <c r="G6" s="12"/>
      <c r="H6" s="12"/>
      <c r="I6" s="12"/>
      <c r="J6" s="12"/>
      <c r="K6" s="12"/>
      <c r="L6" s="31" t="s">
        <v>862</v>
      </c>
    </row>
    <row r="7" spans="1:12" ht="25.5">
      <c r="A7" s="29" t="s">
        <v>483</v>
      </c>
      <c r="B7" s="30" t="s">
        <v>837</v>
      </c>
      <c r="C7" s="12" t="s">
        <v>490</v>
      </c>
      <c r="D7" s="12" t="s">
        <v>863</v>
      </c>
      <c r="E7" s="12" t="s">
        <v>864</v>
      </c>
      <c r="F7" s="12" t="s">
        <v>865</v>
      </c>
      <c r="G7" s="12"/>
      <c r="H7" s="12"/>
      <c r="I7" s="12"/>
      <c r="J7" s="12"/>
      <c r="K7" s="12"/>
      <c r="L7" s="31" t="s">
        <v>866</v>
      </c>
    </row>
    <row r="8" spans="1:12" ht="68.25">
      <c r="A8" s="29" t="s">
        <v>492</v>
      </c>
      <c r="B8" s="30" t="s">
        <v>837</v>
      </c>
      <c r="C8" s="12" t="s">
        <v>500</v>
      </c>
      <c r="D8" s="12" t="s">
        <v>867</v>
      </c>
      <c r="E8" s="15" t="s">
        <v>868</v>
      </c>
      <c r="F8" s="12" t="s">
        <v>869</v>
      </c>
      <c r="G8" s="12" t="s">
        <v>870</v>
      </c>
      <c r="H8" s="12" t="s">
        <v>437</v>
      </c>
      <c r="I8" s="12" t="s">
        <v>871</v>
      </c>
      <c r="J8" s="12"/>
      <c r="K8" s="12"/>
      <c r="L8" s="31" t="s">
        <v>872</v>
      </c>
    </row>
    <row r="9" spans="1:12">
      <c r="A9" s="29" t="s">
        <v>504</v>
      </c>
      <c r="B9" s="30" t="s">
        <v>837</v>
      </c>
      <c r="C9" s="12" t="s">
        <v>873</v>
      </c>
      <c r="D9" s="12"/>
      <c r="E9" s="12"/>
      <c r="F9" s="12"/>
      <c r="G9" s="12"/>
      <c r="H9" s="12"/>
      <c r="I9" s="12"/>
      <c r="J9" s="12"/>
      <c r="K9" s="12"/>
      <c r="L9" s="31" t="s">
        <v>874</v>
      </c>
    </row>
    <row r="10" spans="1:12">
      <c r="A10" s="32" t="s">
        <v>515</v>
      </c>
      <c r="B10" s="33" t="s">
        <v>837</v>
      </c>
      <c r="C10" s="34" t="s">
        <v>875</v>
      </c>
      <c r="D10" s="34" t="s">
        <v>876</v>
      </c>
      <c r="E10" s="34" t="s">
        <v>877</v>
      </c>
      <c r="F10" s="34" t="s">
        <v>876</v>
      </c>
      <c r="G10" s="34"/>
      <c r="H10" s="34"/>
      <c r="I10" s="34"/>
      <c r="J10" s="34"/>
      <c r="K10" s="34"/>
      <c r="L10" s="35" t="s">
        <v>878</v>
      </c>
    </row>
    <row r="11" spans="1:12">
      <c r="A11" s="29" t="s">
        <v>521</v>
      </c>
      <c r="B11" s="30" t="s">
        <v>837</v>
      </c>
      <c r="C11" s="12" t="s">
        <v>528</v>
      </c>
      <c r="D11" s="12" t="s">
        <v>879</v>
      </c>
      <c r="E11" s="15" t="s">
        <v>880</v>
      </c>
      <c r="F11" s="12" t="s">
        <v>879</v>
      </c>
      <c r="G11" s="12"/>
      <c r="H11" s="12"/>
      <c r="I11" s="12"/>
      <c r="J11" s="12"/>
      <c r="K11" s="12"/>
      <c r="L11" s="31" t="s">
        <v>881</v>
      </c>
    </row>
    <row r="12" spans="1:12" ht="25.5">
      <c r="A12" s="29" t="s">
        <v>530</v>
      </c>
      <c r="B12" s="30" t="s">
        <v>837</v>
      </c>
      <c r="C12" s="12" t="s">
        <v>539</v>
      </c>
      <c r="D12" s="12" t="s">
        <v>882</v>
      </c>
      <c r="E12" s="12" t="s">
        <v>883</v>
      </c>
      <c r="F12" s="12" t="s">
        <v>884</v>
      </c>
      <c r="G12" s="12"/>
      <c r="H12" s="12"/>
      <c r="I12" s="12"/>
      <c r="J12" s="12"/>
      <c r="K12" s="12"/>
      <c r="L12" s="31" t="s">
        <v>885</v>
      </c>
    </row>
    <row r="13" spans="1:12">
      <c r="A13" s="29" t="s">
        <v>540</v>
      </c>
      <c r="B13" s="30" t="s">
        <v>837</v>
      </c>
      <c r="C13" s="12" t="s">
        <v>886</v>
      </c>
      <c r="D13" s="12" t="s">
        <v>887</v>
      </c>
      <c r="E13" s="12" t="s">
        <v>888</v>
      </c>
      <c r="F13" s="12" t="s">
        <v>887</v>
      </c>
      <c r="G13" s="12"/>
      <c r="H13" s="12"/>
      <c r="I13" s="12"/>
      <c r="J13" s="12"/>
      <c r="K13" s="12"/>
      <c r="L13" s="31" t="s">
        <v>889</v>
      </c>
    </row>
    <row r="14" spans="1:12">
      <c r="A14" s="29" t="s">
        <v>545</v>
      </c>
      <c r="B14" s="30" t="s">
        <v>837</v>
      </c>
      <c r="C14" s="12" t="s">
        <v>890</v>
      </c>
      <c r="D14" s="12" t="s">
        <v>891</v>
      </c>
      <c r="E14" s="12" t="s">
        <v>891</v>
      </c>
      <c r="F14" s="12" t="s">
        <v>892</v>
      </c>
      <c r="G14" s="12" t="s">
        <v>437</v>
      </c>
      <c r="H14" s="12"/>
      <c r="I14" s="12"/>
      <c r="J14" s="12"/>
      <c r="K14" s="12"/>
      <c r="L14" s="31" t="s">
        <v>893</v>
      </c>
    </row>
    <row r="15" spans="1:12">
      <c r="A15" s="29" t="s">
        <v>555</v>
      </c>
      <c r="B15" s="30" t="s">
        <v>837</v>
      </c>
      <c r="C15" s="12" t="s">
        <v>894</v>
      </c>
      <c r="D15" s="12"/>
      <c r="E15" s="12"/>
      <c r="F15" s="12"/>
      <c r="G15" s="12"/>
      <c r="H15" s="12"/>
      <c r="I15" s="12"/>
      <c r="J15" s="12"/>
      <c r="K15" s="12"/>
      <c r="L15" s="31" t="s">
        <v>895</v>
      </c>
    </row>
    <row r="16" spans="1:12">
      <c r="A16" s="29" t="s">
        <v>565</v>
      </c>
      <c r="B16" s="30" t="s">
        <v>837</v>
      </c>
      <c r="C16" s="12" t="s">
        <v>896</v>
      </c>
      <c r="D16" s="12" t="s">
        <v>897</v>
      </c>
      <c r="E16" s="12" t="s">
        <v>897</v>
      </c>
      <c r="F16" s="12" t="s">
        <v>897</v>
      </c>
      <c r="G16" s="12"/>
      <c r="H16" s="12"/>
      <c r="I16" s="12"/>
      <c r="J16" s="12"/>
      <c r="K16" s="12"/>
      <c r="L16" s="31" t="s">
        <v>898</v>
      </c>
    </row>
    <row r="17" spans="1:12">
      <c r="A17" s="29" t="s">
        <v>571</v>
      </c>
      <c r="B17" s="30" t="s">
        <v>837</v>
      </c>
      <c r="C17" s="12" t="s">
        <v>899</v>
      </c>
      <c r="D17" s="12" t="s">
        <v>897</v>
      </c>
      <c r="E17" s="12" t="s">
        <v>897</v>
      </c>
      <c r="F17" s="12" t="s">
        <v>897</v>
      </c>
      <c r="G17" s="12"/>
      <c r="H17" s="12"/>
      <c r="I17" s="12"/>
      <c r="J17" s="12"/>
      <c r="K17" s="12"/>
      <c r="L17" s="31" t="s">
        <v>900</v>
      </c>
    </row>
    <row r="18" spans="1:12" ht="37.5">
      <c r="A18" s="29" t="s">
        <v>578</v>
      </c>
      <c r="B18" s="30" t="s">
        <v>837</v>
      </c>
      <c r="C18" s="12" t="s">
        <v>587</v>
      </c>
      <c r="D18" s="12" t="s">
        <v>901</v>
      </c>
      <c r="E18" s="15" t="s">
        <v>902</v>
      </c>
      <c r="F18" s="12" t="s">
        <v>903</v>
      </c>
      <c r="G18" s="12" t="s">
        <v>904</v>
      </c>
      <c r="H18" s="12"/>
      <c r="I18" s="12"/>
      <c r="J18" s="12"/>
      <c r="K18" s="12"/>
      <c r="L18" s="31" t="s">
        <v>905</v>
      </c>
    </row>
    <row r="19" spans="1:12" ht="25.5">
      <c r="A19" s="29" t="s">
        <v>592</v>
      </c>
      <c r="B19" s="30" t="s">
        <v>837</v>
      </c>
      <c r="C19" s="12" t="s">
        <v>597</v>
      </c>
      <c r="D19" s="12" t="s">
        <v>906</v>
      </c>
      <c r="E19" s="12" t="s">
        <v>906</v>
      </c>
      <c r="F19" s="12" t="s">
        <v>906</v>
      </c>
      <c r="G19" s="12"/>
      <c r="H19" s="12"/>
      <c r="I19" s="12"/>
      <c r="J19" s="12"/>
      <c r="K19" s="12"/>
      <c r="L19" s="31" t="s">
        <v>907</v>
      </c>
    </row>
    <row r="20" spans="1:12" ht="25.5">
      <c r="A20" s="29" t="s">
        <v>908</v>
      </c>
      <c r="B20" s="30" t="s">
        <v>837</v>
      </c>
      <c r="C20" s="12" t="s">
        <v>909</v>
      </c>
      <c r="D20" s="12"/>
      <c r="E20" s="12"/>
      <c r="F20" s="12"/>
      <c r="G20" s="12"/>
      <c r="H20" s="12"/>
      <c r="I20" s="12"/>
      <c r="J20" s="12"/>
      <c r="K20" s="12"/>
      <c r="L20" s="31" t="s">
        <v>910</v>
      </c>
    </row>
    <row r="21" spans="1:12">
      <c r="A21" s="29" t="s">
        <v>606</v>
      </c>
      <c r="B21" s="30" t="s">
        <v>837</v>
      </c>
      <c r="C21" s="12" t="s">
        <v>911</v>
      </c>
      <c r="D21" s="12" t="s">
        <v>437</v>
      </c>
      <c r="E21" s="12" t="s">
        <v>912</v>
      </c>
      <c r="F21" s="12" t="s">
        <v>912</v>
      </c>
      <c r="G21" s="12"/>
      <c r="H21" s="12"/>
      <c r="I21" s="12"/>
      <c r="J21" s="12"/>
      <c r="K21" s="12"/>
      <c r="L21" s="31" t="s">
        <v>913</v>
      </c>
    </row>
    <row r="22" spans="1:12" ht="25.5">
      <c r="A22" s="29" t="s">
        <v>615</v>
      </c>
      <c r="B22" s="30" t="s">
        <v>837</v>
      </c>
      <c r="C22" s="12" t="s">
        <v>909</v>
      </c>
      <c r="D22" s="12"/>
      <c r="E22" s="12"/>
      <c r="F22" s="12"/>
      <c r="G22" s="12"/>
      <c r="H22" s="12"/>
      <c r="I22" s="12"/>
      <c r="J22" s="12"/>
      <c r="K22" s="12"/>
      <c r="L22" s="31" t="s">
        <v>914</v>
      </c>
    </row>
    <row r="23" spans="1:12">
      <c r="A23" s="29" t="s">
        <v>623</v>
      </c>
      <c r="B23" s="30" t="s">
        <v>837</v>
      </c>
      <c r="C23" s="12" t="s">
        <v>915</v>
      </c>
      <c r="D23" s="12"/>
      <c r="E23" s="12" t="s">
        <v>897</v>
      </c>
      <c r="F23" s="12" t="s">
        <v>897</v>
      </c>
      <c r="G23" s="12" t="s">
        <v>897</v>
      </c>
      <c r="H23" s="12"/>
      <c r="I23" s="12"/>
      <c r="J23" s="12"/>
      <c r="K23" s="12"/>
      <c r="L23" s="31" t="s">
        <v>916</v>
      </c>
    </row>
    <row r="24" spans="1:12" ht="75">
      <c r="A24" s="29" t="s">
        <v>630</v>
      </c>
      <c r="B24" s="30" t="s">
        <v>837</v>
      </c>
      <c r="C24" s="12" t="s">
        <v>917</v>
      </c>
      <c r="D24" s="12" t="s">
        <v>897</v>
      </c>
      <c r="E24" s="12" t="s">
        <v>918</v>
      </c>
      <c r="F24" s="12" t="s">
        <v>897</v>
      </c>
      <c r="G24" s="12"/>
      <c r="H24" s="12"/>
      <c r="I24" s="12"/>
      <c r="J24" s="12"/>
      <c r="K24" s="36" t="s">
        <v>919</v>
      </c>
      <c r="L24" s="31" t="s">
        <v>920</v>
      </c>
    </row>
    <row r="25" spans="1:12" ht="25.5">
      <c r="A25" s="29" t="s">
        <v>638</v>
      </c>
      <c r="B25" s="30" t="s">
        <v>837</v>
      </c>
      <c r="C25" s="12" t="s">
        <v>921</v>
      </c>
      <c r="D25" s="12"/>
      <c r="E25" s="12" t="s">
        <v>897</v>
      </c>
      <c r="F25" s="12" t="s">
        <v>897</v>
      </c>
      <c r="G25" s="12" t="s">
        <v>897</v>
      </c>
      <c r="H25" s="12"/>
      <c r="I25" s="12"/>
      <c r="J25" s="12"/>
      <c r="K25" s="12"/>
      <c r="L25" s="31" t="s">
        <v>922</v>
      </c>
    </row>
    <row r="26" spans="1:12">
      <c r="A26" s="29" t="s">
        <v>644</v>
      </c>
      <c r="B26" s="30" t="s">
        <v>837</v>
      </c>
      <c r="C26" s="12" t="s">
        <v>923</v>
      </c>
      <c r="D26" s="12" t="s">
        <v>897</v>
      </c>
      <c r="E26" s="12" t="s">
        <v>897</v>
      </c>
      <c r="F26" s="12" t="s">
        <v>897</v>
      </c>
      <c r="G26" s="12"/>
      <c r="H26" s="12"/>
      <c r="I26" s="12"/>
      <c r="J26" s="12"/>
      <c r="K26" s="12"/>
      <c r="L26" s="31" t="s">
        <v>924</v>
      </c>
    </row>
    <row r="27" spans="1:12">
      <c r="A27" s="29" t="s">
        <v>649</v>
      </c>
      <c r="B27" s="30" t="s">
        <v>837</v>
      </c>
      <c r="C27" s="12" t="s">
        <v>890</v>
      </c>
      <c r="D27" s="12" t="s">
        <v>892</v>
      </c>
      <c r="E27" s="12"/>
      <c r="F27" s="12" t="s">
        <v>925</v>
      </c>
      <c r="G27" s="12"/>
      <c r="H27" s="12"/>
      <c r="I27" s="12"/>
      <c r="J27" s="12"/>
      <c r="K27" s="12"/>
      <c r="L27" s="31" t="s">
        <v>926</v>
      </c>
    </row>
    <row r="28" spans="1:12">
      <c r="A28" s="32" t="s">
        <v>659</v>
      </c>
      <c r="B28" s="33" t="s">
        <v>837</v>
      </c>
      <c r="C28" s="34" t="s">
        <v>490</v>
      </c>
      <c r="D28" s="34" t="s">
        <v>927</v>
      </c>
      <c r="E28" s="34" t="s">
        <v>928</v>
      </c>
      <c r="F28" s="34" t="s">
        <v>929</v>
      </c>
      <c r="G28" s="34"/>
      <c r="H28" s="34"/>
      <c r="I28" s="34"/>
      <c r="J28" s="34"/>
      <c r="K28" s="34"/>
      <c r="L28" s="35" t="s">
        <v>930</v>
      </c>
    </row>
    <row r="29" spans="1:12">
      <c r="A29" s="29" t="s">
        <v>663</v>
      </c>
      <c r="B29" s="30" t="s">
        <v>837</v>
      </c>
      <c r="C29" s="12"/>
      <c r="D29" s="12"/>
      <c r="E29" s="12"/>
      <c r="F29" s="12" t="s">
        <v>931</v>
      </c>
      <c r="G29" s="12"/>
      <c r="H29" s="12"/>
      <c r="I29" s="12"/>
      <c r="J29" s="12"/>
      <c r="K29" s="12"/>
      <c r="L29" s="31" t="s">
        <v>932</v>
      </c>
    </row>
    <row r="30" spans="1:12" ht="75">
      <c r="A30" s="29" t="s">
        <v>630</v>
      </c>
      <c r="B30" s="16" t="s">
        <v>933</v>
      </c>
      <c r="C30" s="12" t="s">
        <v>934</v>
      </c>
      <c r="D30" s="12"/>
      <c r="E30" s="12"/>
      <c r="F30" s="12"/>
      <c r="G30" s="12"/>
      <c r="H30" s="12"/>
      <c r="I30" s="12"/>
      <c r="J30" s="12"/>
      <c r="K30" s="36" t="s">
        <v>919</v>
      </c>
      <c r="L30" s="31" t="s">
        <v>935</v>
      </c>
    </row>
    <row r="31" spans="1:12">
      <c r="A31" s="37" t="s">
        <v>671</v>
      </c>
      <c r="B31" s="38" t="s">
        <v>837</v>
      </c>
      <c r="C31" s="39"/>
      <c r="D31" s="39"/>
      <c r="E31" s="39"/>
      <c r="F31" s="39"/>
      <c r="G31" s="39"/>
      <c r="H31" s="39"/>
      <c r="I31" s="39" t="s">
        <v>936</v>
      </c>
      <c r="J31" s="39"/>
      <c r="K31" s="39"/>
      <c r="L31" s="40"/>
    </row>
  </sheetData>
  <hyperlinks>
    <hyperlink ref="B2" location="'Dealer Master'!A5" tooltip="Back to Dealer Master" display="◄ Back" xr:uid="{00000000-0004-0000-0200-000000000000}"/>
    <hyperlink ref="B3" location="'Dealer Master'!A6" tooltip="Back to Dealer Master" display="◄ Back" xr:uid="{00000000-0004-0000-0200-000001000000}"/>
    <hyperlink ref="B4" location="'Dealer Master'!A7" tooltip="Back to Dealer Master" display="◄ Back" xr:uid="{00000000-0004-0000-0200-000002000000}"/>
    <hyperlink ref="B5" location="'Dealer Master'!A8" tooltip="Back to Dealer Master" display="◄ Back" xr:uid="{00000000-0004-0000-0200-000003000000}"/>
    <hyperlink ref="B6" location="'Dealer Master'!A9" tooltip="Back to Dealer Master" display="◄ Back" xr:uid="{00000000-0004-0000-0200-000004000000}"/>
    <hyperlink ref="B7" location="'Dealer Master'!A10" tooltip="Back to Dealer Master" display="◄ Back" xr:uid="{00000000-0004-0000-0200-000005000000}"/>
    <hyperlink ref="B8" location="'Dealer Master'!A11" tooltip="Back to Dealer Master" display="◄ Back" xr:uid="{00000000-0004-0000-0200-000006000000}"/>
    <hyperlink ref="B9" location="'Dealer Master'!A12" tooltip="Back to Dealer Master" display="◄ Back" xr:uid="{00000000-0004-0000-0200-000007000000}"/>
    <hyperlink ref="B10" location="'Dealer Master'!A13" tooltip="Back to Dealer Master" display="◄ Back" xr:uid="{00000000-0004-0000-0200-000008000000}"/>
    <hyperlink ref="B11" location="'Dealer Master'!A14" tooltip="Back to Dealer Master" display="◄ Back" xr:uid="{00000000-0004-0000-0200-000009000000}"/>
    <hyperlink ref="B12" location="'Dealer Master'!A15" tooltip="Back to Dealer Master" display="◄ Back" xr:uid="{00000000-0004-0000-0200-00000A000000}"/>
    <hyperlink ref="B13" location="'Dealer Master'!A16" tooltip="Back to Dealer Master" display="◄ Back" xr:uid="{00000000-0004-0000-0200-00000B000000}"/>
    <hyperlink ref="B14" location="'Dealer Master'!A17" tooltip="Back to Dealer Master" display="◄ Back" xr:uid="{00000000-0004-0000-0200-00000C000000}"/>
    <hyperlink ref="B15" location="'Dealer Master'!A18" tooltip="Back to Dealer Master" display="◄ Back" xr:uid="{00000000-0004-0000-0200-00000D000000}"/>
    <hyperlink ref="B16" location="'Dealer Master'!A19" tooltip="Back to Dealer Master" display="◄ Back" xr:uid="{00000000-0004-0000-0200-00000E000000}"/>
    <hyperlink ref="B17" location="'Dealer Master'!A20" tooltip="Back to Dealer Master" display="◄ Back" xr:uid="{00000000-0004-0000-0200-00000F000000}"/>
    <hyperlink ref="B18" location="'Dealer Master'!A21" tooltip="Back to Dealer Master" display="◄ Back" xr:uid="{00000000-0004-0000-0200-000010000000}"/>
    <hyperlink ref="B19" location="'Dealer Master'!A22" tooltip="Back to Dealer Master" display="◄ Back" xr:uid="{00000000-0004-0000-0200-000011000000}"/>
    <hyperlink ref="B20" location="'Dealer Master'!A23" tooltip="Back to Dealer Master" display="◄ Back" xr:uid="{00000000-0004-0000-0200-000012000000}"/>
    <hyperlink ref="B21" location="'Dealer Master'!A24" tooltip="Back to Dealer Master" display="◄ Back" xr:uid="{00000000-0004-0000-0200-000013000000}"/>
    <hyperlink ref="B22" location="'Dealer Master'!A25" tooltip="Back to Dealer Master" display="◄ Back" xr:uid="{00000000-0004-0000-0200-000014000000}"/>
    <hyperlink ref="B23" location="'Dealer Master'!A26" tooltip="Back to Dealer Master" display="◄ Back" xr:uid="{00000000-0004-0000-0200-000015000000}"/>
    <hyperlink ref="B24" location="'Dealer Master'!A33" tooltip="Back to Dealer Master" display="◄ Back" xr:uid="{00000000-0004-0000-0200-000016000000}"/>
    <hyperlink ref="B25" location="'Dealer Master'!A28" tooltip="Back to Dealer Master" display="◄ Back" xr:uid="{00000000-0004-0000-0200-000017000000}"/>
    <hyperlink ref="B26" location="'Dealer Master'!A29" tooltip="Back to Dealer Master" display="◄ Back" xr:uid="{00000000-0004-0000-0200-000018000000}"/>
    <hyperlink ref="B27" location="'Dealer Master'!A30" tooltip="Back to Dealer Master" display="◄ Back" xr:uid="{00000000-0004-0000-0200-000019000000}"/>
    <hyperlink ref="B28" location="'Dealer Master'!A31" tooltip="Back to Dealer Master" display="◄ Back" xr:uid="{00000000-0004-0000-0200-00001A000000}"/>
    <hyperlink ref="B29" location="'Dealer Master'!A32" tooltip="Back to Dealer Master" display="◄ Back" xr:uid="{00000000-0004-0000-0200-00001B000000}"/>
    <hyperlink ref="B30" r:id="rId1" location="'Dealer%20Master'!A35" xr:uid="{00000000-0004-0000-0200-00001C000000}"/>
    <hyperlink ref="E2" r:id="rId2" xr:uid="{BB4D8AAF-6867-4F17-93F3-92A91DAF61A9}"/>
    <hyperlink ref="E5" r:id="rId3" xr:uid="{1FEEF4A1-F462-45E3-9551-361CAD754835}"/>
    <hyperlink ref="E6" r:id="rId4" xr:uid="{3BFDA574-423F-407B-B5FF-70469AE61AA4}"/>
    <hyperlink ref="E8" r:id="rId5" xr:uid="{D3A3124F-DDE4-46EF-BA29-FF85840E5CA2}"/>
    <hyperlink ref="E11" r:id="rId6" xr:uid="{20B3B4A1-9E5F-4715-91E5-0E5CB675895D}"/>
    <hyperlink ref="E18" r:id="rId7" xr:uid="{7D0B8A2A-C48F-44EE-B073-A895EBFE7023}"/>
    <hyperlink ref="B31" location="'Dealer Master'!A34" tooltip="Back to Dealer Master" display="◄ Back" xr:uid="{D3E3F3FB-B6DA-4CBE-B5C1-68EA5CBCC3FB}"/>
  </hyperlinks>
  <pageMargins left="0.75" right="0.75" top="1" bottom="1" header="0.511811023622047" footer="0.511811023622047"/>
  <pageSetup paperSize="9" orientation="portrait" horizontalDpi="300" verticalDpi="300"/>
  <tableParts count="1">
    <tablePart r:id="rId8"/>
  </tableParts>
  <extLst>
    <ext xmlns:x14="http://schemas.microsoft.com/office/spreadsheetml/2009/9/main" uri="{78C0D931-6437-407d-A8EE-F0AAD7539E65}">
      <x14:conditionalFormattings>
        <x14:conditionalFormatting xmlns:xm="http://schemas.microsoft.com/office/excel/2006/main">
          <x14:cfRule type="expression" priority="1" id="{2879E4BB-EC3B-4646-92AC-4D2196484532}">
            <xm:f>COUNTIFS('Dealer Master'!$A:$A,$A2,'Dealer Master'!$L:$L,"Declined")&gt;0</xm:f>
            <x14:dxf>
              <fill>
                <patternFill patternType="solid">
                  <fgColor indexed="64"/>
                  <bgColor rgb="FFFF0000"/>
                </patternFill>
              </fill>
            </x14:dxf>
          </x14:cfRule>
          <xm:sqref>A2:L31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7DA64-86DA-4337-86B7-83E0745F1CDB}">
  <dimension ref="A1:A43"/>
  <sheetViews>
    <sheetView workbookViewId="0">
      <selection activeCell="A38" sqref="A38"/>
    </sheetView>
  </sheetViews>
  <sheetFormatPr defaultColWidth="9.140625" defaultRowHeight="15"/>
  <cols>
    <col min="1" max="16384" width="9.140625" style="10"/>
  </cols>
  <sheetData>
    <row r="1" spans="1:1">
      <c r="A1" s="9" t="s">
        <v>937</v>
      </c>
    </row>
    <row r="2" spans="1:1">
      <c r="A2" s="42"/>
    </row>
    <row r="3" spans="1:1">
      <c r="A3" s="43" t="s">
        <v>938</v>
      </c>
    </row>
    <row r="4" spans="1:1">
      <c r="A4" s="141" t="s">
        <v>939</v>
      </c>
    </row>
    <row r="5" spans="1:1">
      <c r="A5" s="42" t="s">
        <v>940</v>
      </c>
    </row>
    <row r="6" spans="1:1">
      <c r="A6" s="44" t="s">
        <v>941</v>
      </c>
    </row>
    <row r="7" spans="1:1">
      <c r="A7" s="44" t="s">
        <v>942</v>
      </c>
    </row>
    <row r="8" spans="1:1">
      <c r="A8" s="45"/>
    </row>
    <row r="9" spans="1:1">
      <c r="A9" s="41" t="s">
        <v>943</v>
      </c>
    </row>
    <row r="10" spans="1:1">
      <c r="A10" s="42" t="s">
        <v>944</v>
      </c>
    </row>
    <row r="11" spans="1:1">
      <c r="A11" s="42" t="s">
        <v>945</v>
      </c>
    </row>
    <row r="12" spans="1:1">
      <c r="A12" s="42" t="s">
        <v>946</v>
      </c>
    </row>
    <row r="13" spans="1:1">
      <c r="A13" s="41" t="s">
        <v>947</v>
      </c>
    </row>
    <row r="14" spans="1:1">
      <c r="A14" s="41" t="s">
        <v>948</v>
      </c>
    </row>
    <row r="15" spans="1:1">
      <c r="A15" s="41" t="s">
        <v>949</v>
      </c>
    </row>
    <row r="16" spans="1:1">
      <c r="A16" s="42" t="s">
        <v>950</v>
      </c>
    </row>
    <row r="18" spans="1:1">
      <c r="A18" s="41" t="s">
        <v>951</v>
      </c>
    </row>
    <row r="19" spans="1:1">
      <c r="A19" s="41" t="s">
        <v>952</v>
      </c>
    </row>
    <row r="20" spans="1:1">
      <c r="A20" s="46" t="s">
        <v>953</v>
      </c>
    </row>
    <row r="21" spans="1:1">
      <c r="A21" s="41" t="s">
        <v>954</v>
      </c>
    </row>
    <row r="22" spans="1:1">
      <c r="A22" s="41" t="s">
        <v>955</v>
      </c>
    </row>
    <row r="23" spans="1:1">
      <c r="A23" s="41" t="s">
        <v>956</v>
      </c>
    </row>
    <row r="24" spans="1:1">
      <c r="A24" s="41" t="s">
        <v>957</v>
      </c>
    </row>
    <row r="25" spans="1:1">
      <c r="A25" s="41" t="s">
        <v>958</v>
      </c>
    </row>
    <row r="26" spans="1:1">
      <c r="A26" s="41" t="s">
        <v>959</v>
      </c>
    </row>
    <row r="27" spans="1:1">
      <c r="A27" s="41"/>
    </row>
    <row r="28" spans="1:1">
      <c r="A28" s="41" t="s">
        <v>960</v>
      </c>
    </row>
    <row r="29" spans="1:1">
      <c r="A29" s="9" t="s">
        <v>961</v>
      </c>
    </row>
    <row r="30" spans="1:1">
      <c r="A30" s="9" t="s">
        <v>962</v>
      </c>
    </row>
    <row r="31" spans="1:1">
      <c r="A31" s="9" t="s">
        <v>963</v>
      </c>
    </row>
    <row r="32" spans="1:1">
      <c r="A32" s="9" t="s">
        <v>964</v>
      </c>
    </row>
    <row r="33" spans="1:1">
      <c r="A33" s="9" t="s">
        <v>965</v>
      </c>
    </row>
    <row r="34" spans="1:1">
      <c r="A34" s="9" t="s">
        <v>966</v>
      </c>
    </row>
    <row r="35" spans="1:1">
      <c r="A35" s="9" t="s">
        <v>967</v>
      </c>
    </row>
    <row r="36" spans="1:1">
      <c r="A36" s="9"/>
    </row>
    <row r="37" spans="1:1">
      <c r="A37" s="41" t="s">
        <v>968</v>
      </c>
    </row>
    <row r="38" spans="1:1">
      <c r="A38" s="9" t="s">
        <v>969</v>
      </c>
    </row>
    <row r="39" spans="1:1">
      <c r="A39" s="9" t="s">
        <v>970</v>
      </c>
    </row>
    <row r="40" spans="1:1">
      <c r="A40" s="9"/>
    </row>
    <row r="41" spans="1:1">
      <c r="A41" s="41" t="s">
        <v>971</v>
      </c>
    </row>
    <row r="42" spans="1:1">
      <c r="A42" s="9" t="s">
        <v>972</v>
      </c>
    </row>
    <row r="43" spans="1:1">
      <c r="A43" s="9" t="s">
        <v>973</v>
      </c>
    </row>
  </sheetData>
  <hyperlinks>
    <hyperlink ref="A4" r:id="rId1" xr:uid="{7F552D2D-EB6C-45A2-84E1-C8AB467160D5}"/>
    <hyperlink ref="A5" r:id="rId2" xr:uid="{7671919F-856E-43CD-80BF-CEC565025C0F}"/>
    <hyperlink ref="A10" r:id="rId3" xr:uid="{EA6FC77B-CFF9-4E9E-A47A-B801A1CDC533}"/>
    <hyperlink ref="A11" r:id="rId4" xr:uid="{D7346E4E-E425-40EB-9706-F672A04A9C2E}"/>
    <hyperlink ref="A12" r:id="rId5" xr:uid="{376337E3-99A8-4E2B-A4C2-838A2F4992B3}"/>
    <hyperlink ref="A16" r:id="rId6" xr:uid="{9A4282C9-9F67-4065-B95E-4178A0F38E2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9000"/>
  </sheetPr>
  <dimension ref="A1:C2269"/>
  <sheetViews>
    <sheetView showGridLines="0" zoomScaleNormal="100" workbookViewId="0">
      <pane ySplit="4" topLeftCell="A326" activePane="bottomLeft" state="frozen"/>
      <selection pane="bottomLeft"/>
    </sheetView>
  </sheetViews>
  <sheetFormatPr defaultColWidth="8.7109375" defaultRowHeight="15"/>
  <cols>
    <col min="1" max="1" width="26" customWidth="1"/>
    <col min="2" max="2" width="10" customWidth="1"/>
    <col min="3" max="3" width="120" customWidth="1"/>
  </cols>
  <sheetData>
    <row r="1" spans="1:3" ht="25.5" customHeight="1">
      <c r="A1" s="302" t="s">
        <v>974</v>
      </c>
      <c r="B1" s="302"/>
      <c r="C1" s="302"/>
    </row>
    <row r="2" spans="1:3" ht="30" customHeight="1">
      <c r="A2" s="303" t="s">
        <v>975</v>
      </c>
      <c r="B2" s="303"/>
      <c r="C2" s="303"/>
    </row>
    <row r="3" spans="1:3">
      <c r="A3" s="1"/>
      <c r="B3" s="1"/>
      <c r="C3" s="1"/>
    </row>
    <row r="4" spans="1:3" ht="24" customHeight="1">
      <c r="A4" s="2" t="s">
        <v>976</v>
      </c>
      <c r="B4" s="2" t="s">
        <v>977</v>
      </c>
      <c r="C4" s="2" t="s">
        <v>978</v>
      </c>
    </row>
    <row r="5" spans="1:3" ht="19.5" customHeight="1">
      <c r="A5" s="5" t="s">
        <v>979</v>
      </c>
      <c r="B5" s="6"/>
      <c r="C5" s="6"/>
    </row>
    <row r="6" spans="1:3">
      <c r="A6" s="1" t="s">
        <v>980</v>
      </c>
      <c r="B6" s="1" t="s">
        <v>981</v>
      </c>
      <c r="C6" s="7" t="s">
        <v>982</v>
      </c>
    </row>
    <row r="7" spans="1:3">
      <c r="A7" s="1" t="s">
        <v>980</v>
      </c>
      <c r="B7" s="1" t="s">
        <v>983</v>
      </c>
      <c r="C7" s="7" t="s">
        <v>984</v>
      </c>
    </row>
    <row r="8" spans="1:3">
      <c r="A8" s="1" t="s">
        <v>980</v>
      </c>
      <c r="B8" s="1" t="s">
        <v>985</v>
      </c>
      <c r="C8" s="7" t="s">
        <v>794</v>
      </c>
    </row>
    <row r="9" spans="1:3" ht="181.5" customHeight="1">
      <c r="A9" s="1" t="s">
        <v>980</v>
      </c>
      <c r="B9" s="1" t="s">
        <v>986</v>
      </c>
      <c r="C9" s="7" t="s">
        <v>987</v>
      </c>
    </row>
    <row r="10" spans="1:3" ht="43.5" customHeight="1">
      <c r="A10" s="1" t="s">
        <v>980</v>
      </c>
      <c r="B10" s="1" t="s">
        <v>988</v>
      </c>
      <c r="C10" s="7" t="s">
        <v>989</v>
      </c>
    </row>
    <row r="11" spans="1:3">
      <c r="A11" s="1" t="s">
        <v>980</v>
      </c>
      <c r="B11" s="1" t="s">
        <v>990</v>
      </c>
      <c r="C11" s="7" t="s">
        <v>991</v>
      </c>
    </row>
    <row r="12" spans="1:3" ht="142.5" customHeight="1">
      <c r="A12" s="1" t="s">
        <v>980</v>
      </c>
      <c r="B12" s="1" t="s">
        <v>992</v>
      </c>
      <c r="C12" s="7" t="s">
        <v>993</v>
      </c>
    </row>
    <row r="13" spans="1:3">
      <c r="A13" s="1" t="s">
        <v>980</v>
      </c>
      <c r="B13" s="1" t="s">
        <v>994</v>
      </c>
      <c r="C13" s="7" t="s">
        <v>995</v>
      </c>
    </row>
    <row r="14" spans="1:3">
      <c r="A14" s="1" t="s">
        <v>980</v>
      </c>
      <c r="B14" s="1" t="s">
        <v>996</v>
      </c>
      <c r="C14" s="7" t="s">
        <v>997</v>
      </c>
    </row>
    <row r="15" spans="1:3" ht="51.75" customHeight="1">
      <c r="A15" s="1" t="s">
        <v>980</v>
      </c>
      <c r="B15" s="1" t="s">
        <v>998</v>
      </c>
      <c r="C15" s="7" t="s">
        <v>999</v>
      </c>
    </row>
    <row r="16" spans="1:3">
      <c r="A16" s="1" t="s">
        <v>980</v>
      </c>
      <c r="B16" s="1" t="s">
        <v>1000</v>
      </c>
      <c r="C16" s="7" t="s">
        <v>1001</v>
      </c>
    </row>
    <row r="17" spans="1:3">
      <c r="A17" s="1" t="s">
        <v>980</v>
      </c>
      <c r="B17" s="1" t="s">
        <v>1002</v>
      </c>
      <c r="C17" s="7" t="s">
        <v>1003</v>
      </c>
    </row>
    <row r="18" spans="1:3">
      <c r="A18" s="1" t="s">
        <v>980</v>
      </c>
      <c r="B18" s="1" t="s">
        <v>1004</v>
      </c>
      <c r="C18" s="7" t="s">
        <v>1005</v>
      </c>
    </row>
    <row r="19" spans="1:3" ht="90.75" customHeight="1">
      <c r="A19" s="1" t="s">
        <v>980</v>
      </c>
      <c r="B19" s="1" t="s">
        <v>1006</v>
      </c>
      <c r="C19" s="7" t="s">
        <v>1007</v>
      </c>
    </row>
    <row r="20" spans="1:3">
      <c r="A20" s="1" t="s">
        <v>980</v>
      </c>
      <c r="B20" s="1" t="s">
        <v>1008</v>
      </c>
      <c r="C20" s="7" t="s">
        <v>1009</v>
      </c>
    </row>
    <row r="21" spans="1:3" ht="39" customHeight="1">
      <c r="A21" s="1" t="s">
        <v>980</v>
      </c>
      <c r="B21" s="1" t="s">
        <v>1010</v>
      </c>
      <c r="C21" s="7" t="s">
        <v>1011</v>
      </c>
    </row>
    <row r="22" spans="1:3">
      <c r="A22" s="1" t="s">
        <v>980</v>
      </c>
      <c r="B22" s="1" t="s">
        <v>1012</v>
      </c>
      <c r="C22" s="7" t="s">
        <v>1013</v>
      </c>
    </row>
    <row r="23" spans="1:3">
      <c r="A23" s="1" t="s">
        <v>980</v>
      </c>
      <c r="B23" s="1" t="s">
        <v>1014</v>
      </c>
      <c r="C23" s="7" t="s">
        <v>1015</v>
      </c>
    </row>
    <row r="24" spans="1:3">
      <c r="A24" s="1" t="s">
        <v>980</v>
      </c>
      <c r="B24" s="1" t="s">
        <v>1016</v>
      </c>
      <c r="C24" s="7" t="s">
        <v>1017</v>
      </c>
    </row>
    <row r="25" spans="1:3">
      <c r="A25" s="1" t="s">
        <v>980</v>
      </c>
      <c r="B25" s="1" t="s">
        <v>1018</v>
      </c>
      <c r="C25" s="7" t="s">
        <v>1019</v>
      </c>
    </row>
    <row r="26" spans="1:3" ht="25.5" customHeight="1">
      <c r="A26" s="1" t="s">
        <v>980</v>
      </c>
      <c r="B26" s="1" t="s">
        <v>1020</v>
      </c>
      <c r="C26" s="7" t="s">
        <v>1021</v>
      </c>
    </row>
    <row r="27" spans="1:3" ht="39" customHeight="1">
      <c r="A27" s="1" t="s">
        <v>980</v>
      </c>
      <c r="B27" s="1" t="s">
        <v>1022</v>
      </c>
      <c r="C27" s="7" t="s">
        <v>1023</v>
      </c>
    </row>
    <row r="28" spans="1:3">
      <c r="A28" s="1" t="s">
        <v>980</v>
      </c>
      <c r="B28" s="1" t="s">
        <v>1024</v>
      </c>
      <c r="C28" s="7" t="s">
        <v>1025</v>
      </c>
    </row>
    <row r="29" spans="1:3">
      <c r="A29" s="1" t="s">
        <v>980</v>
      </c>
      <c r="B29" s="1" t="s">
        <v>1026</v>
      </c>
      <c r="C29" s="7" t="s">
        <v>1027</v>
      </c>
    </row>
    <row r="30" spans="1:3" ht="39" customHeight="1">
      <c r="A30" s="1" t="s">
        <v>980</v>
      </c>
      <c r="B30" s="1" t="s">
        <v>1028</v>
      </c>
      <c r="C30" s="7" t="s">
        <v>1029</v>
      </c>
    </row>
    <row r="31" spans="1:3">
      <c r="A31" s="1" t="s">
        <v>980</v>
      </c>
      <c r="B31" s="1" t="s">
        <v>1030</v>
      </c>
      <c r="C31" s="7" t="s">
        <v>1031</v>
      </c>
    </row>
    <row r="32" spans="1:3">
      <c r="A32" s="1" t="s">
        <v>980</v>
      </c>
      <c r="B32" s="1" t="s">
        <v>1032</v>
      </c>
      <c r="C32" s="7" t="s">
        <v>1033</v>
      </c>
    </row>
    <row r="33" spans="1:3" ht="25.5" customHeight="1">
      <c r="A33" s="1" t="s">
        <v>980</v>
      </c>
      <c r="B33" s="1" t="s">
        <v>1034</v>
      </c>
      <c r="C33" s="7" t="s">
        <v>1035</v>
      </c>
    </row>
    <row r="34" spans="1:3">
      <c r="A34" s="1" t="s">
        <v>980</v>
      </c>
      <c r="B34" s="1" t="s">
        <v>1036</v>
      </c>
      <c r="C34" s="7" t="s">
        <v>1037</v>
      </c>
    </row>
    <row r="35" spans="1:3">
      <c r="A35" s="1" t="s">
        <v>980</v>
      </c>
      <c r="B35" s="1" t="s">
        <v>1038</v>
      </c>
      <c r="C35" s="7" t="s">
        <v>1039</v>
      </c>
    </row>
    <row r="36" spans="1:3" ht="25.5" customHeight="1">
      <c r="A36" s="1" t="s">
        <v>980</v>
      </c>
      <c r="B36" s="1" t="s">
        <v>1040</v>
      </c>
      <c r="C36" s="7" t="s">
        <v>1041</v>
      </c>
    </row>
    <row r="37" spans="1:3">
      <c r="A37" s="1" t="s">
        <v>980</v>
      </c>
      <c r="B37" s="1" t="s">
        <v>1042</v>
      </c>
      <c r="C37" s="7" t="s">
        <v>1043</v>
      </c>
    </row>
    <row r="38" spans="1:3">
      <c r="A38" s="1" t="s">
        <v>980</v>
      </c>
      <c r="B38" s="1" t="s">
        <v>1044</v>
      </c>
      <c r="C38" s="7" t="s">
        <v>1045</v>
      </c>
    </row>
    <row r="39" spans="1:3">
      <c r="A39" s="1" t="s">
        <v>980</v>
      </c>
      <c r="B39" s="1" t="s">
        <v>1046</v>
      </c>
      <c r="C39" s="7" t="s">
        <v>1047</v>
      </c>
    </row>
    <row r="40" spans="1:3">
      <c r="A40" s="1" t="s">
        <v>980</v>
      </c>
      <c r="B40" s="1" t="s">
        <v>1048</v>
      </c>
      <c r="C40" s="7" t="s">
        <v>1049</v>
      </c>
    </row>
    <row r="41" spans="1:3">
      <c r="A41" s="1" t="s">
        <v>980</v>
      </c>
      <c r="B41" s="1" t="s">
        <v>1050</v>
      </c>
      <c r="C41" s="7" t="s">
        <v>1051</v>
      </c>
    </row>
    <row r="42" spans="1:3">
      <c r="A42" s="1" t="s">
        <v>980</v>
      </c>
      <c r="B42" s="1" t="s">
        <v>1052</v>
      </c>
      <c r="C42" s="7" t="s">
        <v>1053</v>
      </c>
    </row>
    <row r="43" spans="1:3">
      <c r="A43" s="1" t="s">
        <v>980</v>
      </c>
      <c r="B43" s="1" t="s">
        <v>1054</v>
      </c>
      <c r="C43" s="7" t="s">
        <v>1051</v>
      </c>
    </row>
    <row r="44" spans="1:3">
      <c r="A44" s="1" t="s">
        <v>980</v>
      </c>
      <c r="B44" s="1" t="s">
        <v>1055</v>
      </c>
      <c r="C44" s="7" t="s">
        <v>1056</v>
      </c>
    </row>
    <row r="45" spans="1:3">
      <c r="A45" s="1" t="s">
        <v>980</v>
      </c>
      <c r="B45" s="1" t="s">
        <v>1057</v>
      </c>
      <c r="C45" s="7" t="s">
        <v>1058</v>
      </c>
    </row>
    <row r="46" spans="1:3">
      <c r="A46" s="1" t="s">
        <v>980</v>
      </c>
      <c r="B46" s="1" t="s">
        <v>1059</v>
      </c>
      <c r="C46" s="7" t="s">
        <v>1060</v>
      </c>
    </row>
    <row r="47" spans="1:3">
      <c r="A47" s="1" t="s">
        <v>980</v>
      </c>
      <c r="B47" s="1" t="s">
        <v>1061</v>
      </c>
      <c r="C47" s="7" t="s">
        <v>1051</v>
      </c>
    </row>
    <row r="48" spans="1:3">
      <c r="A48" s="1" t="s">
        <v>980</v>
      </c>
      <c r="B48" s="1" t="s">
        <v>1062</v>
      </c>
      <c r="C48" s="7" t="s">
        <v>1063</v>
      </c>
    </row>
    <row r="49" spans="1:3">
      <c r="A49" s="1" t="s">
        <v>980</v>
      </c>
      <c r="B49" s="1" t="s">
        <v>1064</v>
      </c>
      <c r="C49" s="7" t="s">
        <v>1051</v>
      </c>
    </row>
    <row r="50" spans="1:3">
      <c r="A50" s="1" t="s">
        <v>980</v>
      </c>
      <c r="B50" s="1" t="s">
        <v>1065</v>
      </c>
      <c r="C50" s="7" t="s">
        <v>1066</v>
      </c>
    </row>
    <row r="51" spans="1:3">
      <c r="A51" s="1" t="s">
        <v>980</v>
      </c>
      <c r="B51" s="1" t="s">
        <v>1067</v>
      </c>
      <c r="C51" s="7" t="s">
        <v>1051</v>
      </c>
    </row>
    <row r="52" spans="1:3">
      <c r="A52" s="1" t="s">
        <v>980</v>
      </c>
      <c r="B52" s="1" t="s">
        <v>1068</v>
      </c>
      <c r="C52" s="7" t="s">
        <v>1069</v>
      </c>
    </row>
    <row r="53" spans="1:3">
      <c r="A53" s="1" t="s">
        <v>980</v>
      </c>
      <c r="B53" s="1" t="s">
        <v>1070</v>
      </c>
      <c r="C53" s="7" t="s">
        <v>1051</v>
      </c>
    </row>
    <row r="54" spans="1:3" ht="19.5" customHeight="1">
      <c r="A54" s="5" t="s">
        <v>1071</v>
      </c>
      <c r="B54" s="6"/>
      <c r="C54" s="6"/>
    </row>
    <row r="55" spans="1:3">
      <c r="A55" s="1" t="s">
        <v>279</v>
      </c>
      <c r="B55" s="1" t="s">
        <v>981</v>
      </c>
      <c r="C55" s="7" t="s">
        <v>1072</v>
      </c>
    </row>
    <row r="56" spans="1:3">
      <c r="A56" s="1" t="s">
        <v>279</v>
      </c>
      <c r="B56" s="1" t="s">
        <v>1073</v>
      </c>
      <c r="C56" s="7" t="s">
        <v>1074</v>
      </c>
    </row>
    <row r="57" spans="1:3">
      <c r="A57" s="1" t="s">
        <v>279</v>
      </c>
      <c r="B57" s="1" t="s">
        <v>985</v>
      </c>
      <c r="C57" s="4" t="s">
        <v>1075</v>
      </c>
    </row>
    <row r="58" spans="1:3">
      <c r="A58" s="1" t="s">
        <v>279</v>
      </c>
      <c r="B58" s="1" t="s">
        <v>1076</v>
      </c>
      <c r="C58" s="7" t="s">
        <v>1077</v>
      </c>
    </row>
    <row r="59" spans="1:3">
      <c r="A59" s="1" t="s">
        <v>279</v>
      </c>
      <c r="B59" s="1" t="s">
        <v>1078</v>
      </c>
      <c r="C59" s="4" t="s">
        <v>1079</v>
      </c>
    </row>
    <row r="60" spans="1:3">
      <c r="A60" s="1" t="s">
        <v>279</v>
      </c>
      <c r="B60" s="1" t="s">
        <v>1080</v>
      </c>
      <c r="C60" s="7" t="s">
        <v>1081</v>
      </c>
    </row>
    <row r="61" spans="1:3">
      <c r="A61" s="1" t="s">
        <v>279</v>
      </c>
      <c r="B61" s="1" t="s">
        <v>1082</v>
      </c>
      <c r="C61" s="7" t="s">
        <v>1083</v>
      </c>
    </row>
    <row r="62" spans="1:3" ht="51.75" customHeight="1">
      <c r="A62" s="1" t="s">
        <v>279</v>
      </c>
      <c r="B62" s="1" t="s">
        <v>1084</v>
      </c>
      <c r="C62" s="4" t="s">
        <v>1085</v>
      </c>
    </row>
    <row r="63" spans="1:3">
      <c r="A63" s="1" t="s">
        <v>279</v>
      </c>
      <c r="B63" s="1" t="s">
        <v>1086</v>
      </c>
      <c r="C63" s="7" t="s">
        <v>1087</v>
      </c>
    </row>
    <row r="64" spans="1:3" ht="39" customHeight="1">
      <c r="A64" s="1" t="s">
        <v>279</v>
      </c>
      <c r="B64" s="1" t="s">
        <v>996</v>
      </c>
      <c r="C64" s="7" t="s">
        <v>1088</v>
      </c>
    </row>
    <row r="65" spans="1:3">
      <c r="A65" s="1" t="s">
        <v>279</v>
      </c>
      <c r="B65" s="1" t="s">
        <v>1089</v>
      </c>
      <c r="C65" s="7" t="s">
        <v>1090</v>
      </c>
    </row>
    <row r="66" spans="1:3">
      <c r="A66" s="1" t="s">
        <v>279</v>
      </c>
      <c r="B66" s="1" t="s">
        <v>1002</v>
      </c>
      <c r="C66" s="4" t="s">
        <v>1091</v>
      </c>
    </row>
    <row r="67" spans="1:3">
      <c r="A67" s="1" t="s">
        <v>279</v>
      </c>
      <c r="B67" s="1" t="s">
        <v>1092</v>
      </c>
      <c r="C67" s="4" t="s">
        <v>1093</v>
      </c>
    </row>
    <row r="68" spans="1:3">
      <c r="A68" s="1" t="s">
        <v>279</v>
      </c>
      <c r="B68" s="1" t="s">
        <v>1094</v>
      </c>
      <c r="C68" s="4" t="s">
        <v>1095</v>
      </c>
    </row>
    <row r="69" spans="1:3">
      <c r="A69" s="1" t="s">
        <v>279</v>
      </c>
      <c r="B69" s="1" t="s">
        <v>1006</v>
      </c>
      <c r="C69" s="4" t="s">
        <v>1091</v>
      </c>
    </row>
    <row r="70" spans="1:3">
      <c r="A70" s="1" t="s">
        <v>279</v>
      </c>
      <c r="B70" s="1" t="s">
        <v>1010</v>
      </c>
      <c r="C70" s="7" t="s">
        <v>1096</v>
      </c>
    </row>
    <row r="71" spans="1:3">
      <c r="A71" s="1" t="s">
        <v>279</v>
      </c>
      <c r="B71" s="1" t="s">
        <v>1097</v>
      </c>
      <c r="C71" s="7" t="s">
        <v>1098</v>
      </c>
    </row>
    <row r="72" spans="1:3">
      <c r="A72" s="1" t="s">
        <v>279</v>
      </c>
      <c r="B72" s="1" t="s">
        <v>1012</v>
      </c>
      <c r="C72" s="7" t="s">
        <v>1099</v>
      </c>
    </row>
    <row r="73" spans="1:3">
      <c r="A73" s="1" t="s">
        <v>279</v>
      </c>
      <c r="B73" s="1" t="s">
        <v>1100</v>
      </c>
      <c r="C73" s="7" t="s">
        <v>1101</v>
      </c>
    </row>
    <row r="74" spans="1:3">
      <c r="A74" s="1" t="s">
        <v>279</v>
      </c>
      <c r="B74" s="1" t="s">
        <v>1102</v>
      </c>
      <c r="C74" s="7" t="s">
        <v>1103</v>
      </c>
    </row>
    <row r="75" spans="1:3">
      <c r="A75" s="1" t="s">
        <v>279</v>
      </c>
      <c r="B75" s="1" t="s">
        <v>1104</v>
      </c>
      <c r="C75" s="7" t="s">
        <v>365</v>
      </c>
    </row>
    <row r="76" spans="1:3">
      <c r="A76" s="1" t="s">
        <v>279</v>
      </c>
      <c r="B76" s="1" t="s">
        <v>1105</v>
      </c>
      <c r="C76" s="7" t="s">
        <v>952</v>
      </c>
    </row>
    <row r="77" spans="1:3" ht="25.5" customHeight="1">
      <c r="A77" s="1" t="s">
        <v>279</v>
      </c>
      <c r="B77" s="1" t="s">
        <v>1106</v>
      </c>
      <c r="C77" s="7" t="s">
        <v>1107</v>
      </c>
    </row>
    <row r="78" spans="1:3">
      <c r="A78" s="1" t="s">
        <v>279</v>
      </c>
      <c r="B78" s="1" t="s">
        <v>1108</v>
      </c>
      <c r="C78" s="7" t="s">
        <v>1109</v>
      </c>
    </row>
    <row r="79" spans="1:3">
      <c r="A79" s="1" t="s">
        <v>279</v>
      </c>
      <c r="B79" s="1" t="s">
        <v>1110</v>
      </c>
      <c r="C79" s="7" t="s">
        <v>1111</v>
      </c>
    </row>
    <row r="80" spans="1:3">
      <c r="A80" s="1" t="s">
        <v>279</v>
      </c>
      <c r="B80" s="1" t="s">
        <v>1112</v>
      </c>
      <c r="C80" s="7" t="s">
        <v>1113</v>
      </c>
    </row>
    <row r="81" spans="1:3">
      <c r="A81" s="1" t="s">
        <v>279</v>
      </c>
      <c r="B81" s="1" t="s">
        <v>1114</v>
      </c>
      <c r="C81" s="7" t="s">
        <v>954</v>
      </c>
    </row>
    <row r="82" spans="1:3">
      <c r="A82" s="1" t="s">
        <v>279</v>
      </c>
      <c r="B82" s="1" t="s">
        <v>1115</v>
      </c>
      <c r="C82" s="7" t="s">
        <v>1116</v>
      </c>
    </row>
    <row r="83" spans="1:3">
      <c r="A83" s="1" t="s">
        <v>279</v>
      </c>
      <c r="B83" s="1" t="s">
        <v>1117</v>
      </c>
      <c r="C83" s="7" t="s">
        <v>1118</v>
      </c>
    </row>
    <row r="84" spans="1:3">
      <c r="A84" s="1" t="s">
        <v>279</v>
      </c>
      <c r="B84" s="1" t="s">
        <v>1119</v>
      </c>
      <c r="C84" s="7" t="s">
        <v>955</v>
      </c>
    </row>
    <row r="85" spans="1:3">
      <c r="A85" s="1" t="s">
        <v>279</v>
      </c>
      <c r="B85" s="1" t="s">
        <v>1120</v>
      </c>
      <c r="C85" s="7" t="s">
        <v>1121</v>
      </c>
    </row>
    <row r="86" spans="1:3">
      <c r="A86" s="1" t="s">
        <v>279</v>
      </c>
      <c r="B86" s="1" t="s">
        <v>1122</v>
      </c>
      <c r="C86" s="7" t="s">
        <v>1123</v>
      </c>
    </row>
    <row r="87" spans="1:3">
      <c r="A87" s="1" t="s">
        <v>279</v>
      </c>
      <c r="B87" s="1" t="s">
        <v>1124</v>
      </c>
      <c r="C87" s="7" t="s">
        <v>1125</v>
      </c>
    </row>
    <row r="88" spans="1:3">
      <c r="A88" s="1" t="s">
        <v>279</v>
      </c>
      <c r="B88" s="1" t="s">
        <v>1126</v>
      </c>
      <c r="C88" s="7" t="s">
        <v>957</v>
      </c>
    </row>
    <row r="89" spans="1:3">
      <c r="A89" s="1" t="s">
        <v>279</v>
      </c>
      <c r="B89" s="1" t="s">
        <v>1127</v>
      </c>
      <c r="C89" s="7" t="s">
        <v>1128</v>
      </c>
    </row>
    <row r="90" spans="1:3">
      <c r="A90" s="1" t="s">
        <v>279</v>
      </c>
      <c r="B90" s="1" t="s">
        <v>1129</v>
      </c>
      <c r="C90" s="7" t="s">
        <v>1130</v>
      </c>
    </row>
    <row r="91" spans="1:3">
      <c r="A91" s="1" t="s">
        <v>279</v>
      </c>
      <c r="B91" s="1" t="s">
        <v>1131</v>
      </c>
      <c r="C91" s="7" t="s">
        <v>961</v>
      </c>
    </row>
    <row r="92" spans="1:3">
      <c r="A92" s="1" t="s">
        <v>279</v>
      </c>
      <c r="B92" s="1" t="s">
        <v>1132</v>
      </c>
      <c r="C92" s="7" t="s">
        <v>1133</v>
      </c>
    </row>
    <row r="93" spans="1:3">
      <c r="A93" s="1" t="s">
        <v>279</v>
      </c>
      <c r="B93" s="1" t="s">
        <v>1134</v>
      </c>
      <c r="C93" s="7" t="s">
        <v>963</v>
      </c>
    </row>
    <row r="94" spans="1:3">
      <c r="A94" s="1" t="s">
        <v>279</v>
      </c>
      <c r="B94" s="1" t="s">
        <v>1135</v>
      </c>
      <c r="C94" s="7" t="s">
        <v>1136</v>
      </c>
    </row>
    <row r="95" spans="1:3">
      <c r="A95" s="1" t="s">
        <v>279</v>
      </c>
      <c r="B95" s="1" t="s">
        <v>1137</v>
      </c>
      <c r="C95" s="7" t="s">
        <v>1138</v>
      </c>
    </row>
    <row r="96" spans="1:3">
      <c r="A96" s="1" t="s">
        <v>279</v>
      </c>
      <c r="B96" s="1" t="s">
        <v>1139</v>
      </c>
      <c r="C96" s="7" t="s">
        <v>1140</v>
      </c>
    </row>
    <row r="97" spans="1:3">
      <c r="A97" s="1" t="s">
        <v>279</v>
      </c>
      <c r="B97" s="1" t="s">
        <v>1141</v>
      </c>
      <c r="C97" s="7" t="s">
        <v>1142</v>
      </c>
    </row>
    <row r="98" spans="1:3">
      <c r="A98" s="1" t="s">
        <v>279</v>
      </c>
      <c r="B98" s="1" t="s">
        <v>1143</v>
      </c>
      <c r="C98" s="7" t="s">
        <v>1144</v>
      </c>
    </row>
    <row r="99" spans="1:3">
      <c r="A99" s="1" t="s">
        <v>279</v>
      </c>
      <c r="B99" s="1" t="s">
        <v>1145</v>
      </c>
      <c r="C99" s="7" t="s">
        <v>1146</v>
      </c>
    </row>
    <row r="100" spans="1:3">
      <c r="A100" s="1" t="s">
        <v>279</v>
      </c>
      <c r="B100" s="1" t="s">
        <v>1040</v>
      </c>
      <c r="C100" s="7" t="s">
        <v>1147</v>
      </c>
    </row>
    <row r="101" spans="1:3">
      <c r="A101" s="1" t="s">
        <v>279</v>
      </c>
      <c r="B101" s="1" t="s">
        <v>1148</v>
      </c>
      <c r="C101" s="7" t="s">
        <v>1149</v>
      </c>
    </row>
    <row r="102" spans="1:3">
      <c r="A102" s="1" t="s">
        <v>279</v>
      </c>
      <c r="B102" s="1" t="s">
        <v>1042</v>
      </c>
      <c r="C102" s="7" t="s">
        <v>1150</v>
      </c>
    </row>
    <row r="103" spans="1:3">
      <c r="A103" s="1" t="s">
        <v>279</v>
      </c>
      <c r="B103" s="1" t="s">
        <v>1151</v>
      </c>
      <c r="C103" s="7" t="s">
        <v>1152</v>
      </c>
    </row>
    <row r="104" spans="1:3">
      <c r="A104" s="1" t="s">
        <v>279</v>
      </c>
      <c r="B104" s="1" t="s">
        <v>1153</v>
      </c>
      <c r="C104" s="7" t="s">
        <v>1154</v>
      </c>
    </row>
    <row r="105" spans="1:3">
      <c r="A105" s="1" t="s">
        <v>279</v>
      </c>
      <c r="B105" s="1" t="s">
        <v>1155</v>
      </c>
      <c r="C105" s="7" t="s">
        <v>1156</v>
      </c>
    </row>
    <row r="106" spans="1:3">
      <c r="A106" s="1" t="s">
        <v>279</v>
      </c>
      <c r="B106" s="1" t="s">
        <v>1157</v>
      </c>
      <c r="C106" s="7" t="s">
        <v>1158</v>
      </c>
    </row>
    <row r="107" spans="1:3">
      <c r="A107" s="1" t="s">
        <v>279</v>
      </c>
      <c r="B107" s="1" t="s">
        <v>1048</v>
      </c>
      <c r="C107" s="7" t="s">
        <v>1159</v>
      </c>
    </row>
    <row r="108" spans="1:3" ht="25.5" customHeight="1">
      <c r="A108" s="1" t="s">
        <v>279</v>
      </c>
      <c r="B108" s="1" t="s">
        <v>1050</v>
      </c>
      <c r="C108" s="7" t="s">
        <v>1160</v>
      </c>
    </row>
    <row r="109" spans="1:3">
      <c r="A109" s="1" t="s">
        <v>279</v>
      </c>
      <c r="B109" s="1" t="s">
        <v>1161</v>
      </c>
      <c r="C109" s="7" t="s">
        <v>1162</v>
      </c>
    </row>
    <row r="110" spans="1:3">
      <c r="A110" s="1" t="s">
        <v>279</v>
      </c>
      <c r="B110" s="1" t="s">
        <v>1052</v>
      </c>
      <c r="C110" s="7" t="s">
        <v>1163</v>
      </c>
    </row>
    <row r="111" spans="1:3">
      <c r="A111" s="1" t="s">
        <v>279</v>
      </c>
      <c r="B111" s="1" t="s">
        <v>1054</v>
      </c>
      <c r="C111" s="7" t="s">
        <v>1164</v>
      </c>
    </row>
    <row r="112" spans="1:3">
      <c r="A112" s="1" t="s">
        <v>279</v>
      </c>
      <c r="B112" s="1" t="s">
        <v>1165</v>
      </c>
      <c r="C112" s="7" t="s">
        <v>1166</v>
      </c>
    </row>
    <row r="113" spans="1:3">
      <c r="A113" s="1" t="s">
        <v>279</v>
      </c>
      <c r="B113" s="1" t="s">
        <v>1055</v>
      </c>
      <c r="C113" s="7" t="s">
        <v>1167</v>
      </c>
    </row>
    <row r="114" spans="1:3">
      <c r="A114" s="1" t="s">
        <v>279</v>
      </c>
      <c r="B114" s="1" t="s">
        <v>1168</v>
      </c>
      <c r="C114" s="7" t="s">
        <v>1169</v>
      </c>
    </row>
    <row r="115" spans="1:3">
      <c r="A115" s="1" t="s">
        <v>279</v>
      </c>
      <c r="B115" s="1" t="s">
        <v>1170</v>
      </c>
      <c r="C115" s="7" t="s">
        <v>1171</v>
      </c>
    </row>
    <row r="116" spans="1:3">
      <c r="A116" s="1" t="s">
        <v>279</v>
      </c>
      <c r="B116" s="1" t="s">
        <v>1172</v>
      </c>
      <c r="C116" s="7" t="s">
        <v>1173</v>
      </c>
    </row>
    <row r="117" spans="1:3">
      <c r="A117" s="1" t="s">
        <v>279</v>
      </c>
      <c r="B117" s="1" t="s">
        <v>1174</v>
      </c>
      <c r="C117" s="7" t="s">
        <v>1175</v>
      </c>
    </row>
    <row r="118" spans="1:3">
      <c r="A118" s="1" t="s">
        <v>279</v>
      </c>
      <c r="B118" s="1" t="s">
        <v>1176</v>
      </c>
      <c r="C118" s="7" t="s">
        <v>1177</v>
      </c>
    </row>
    <row r="119" spans="1:3">
      <c r="A119" s="1" t="s">
        <v>279</v>
      </c>
      <c r="B119" s="1" t="s">
        <v>1178</v>
      </c>
      <c r="C119" s="7" t="s">
        <v>1179</v>
      </c>
    </row>
    <row r="120" spans="1:3">
      <c r="A120" s="1" t="s">
        <v>279</v>
      </c>
      <c r="B120" s="1" t="s">
        <v>1180</v>
      </c>
      <c r="C120" s="7" t="s">
        <v>1181</v>
      </c>
    </row>
    <row r="121" spans="1:3">
      <c r="A121" s="1" t="s">
        <v>279</v>
      </c>
      <c r="B121" s="1" t="s">
        <v>1182</v>
      </c>
      <c r="C121" s="7" t="s">
        <v>1183</v>
      </c>
    </row>
    <row r="122" spans="1:3">
      <c r="A122" s="1" t="s">
        <v>279</v>
      </c>
      <c r="B122" s="1" t="s">
        <v>1184</v>
      </c>
      <c r="C122" s="7" t="s">
        <v>1185</v>
      </c>
    </row>
    <row r="123" spans="1:3">
      <c r="A123" s="1" t="s">
        <v>279</v>
      </c>
      <c r="B123" s="1" t="s">
        <v>1186</v>
      </c>
      <c r="C123" s="7" t="s">
        <v>1187</v>
      </c>
    </row>
    <row r="124" spans="1:3">
      <c r="A124" s="1" t="s">
        <v>279</v>
      </c>
      <c r="B124" s="1" t="s">
        <v>1188</v>
      </c>
      <c r="C124" s="7" t="s">
        <v>1189</v>
      </c>
    </row>
    <row r="125" spans="1:3" ht="25.5" customHeight="1">
      <c r="A125" s="1" t="s">
        <v>279</v>
      </c>
      <c r="B125" s="1" t="s">
        <v>1190</v>
      </c>
      <c r="C125" s="7" t="s">
        <v>1191</v>
      </c>
    </row>
    <row r="126" spans="1:3">
      <c r="A126" s="1" t="s">
        <v>279</v>
      </c>
      <c r="B126" s="1" t="s">
        <v>1192</v>
      </c>
      <c r="C126" s="7" t="s">
        <v>1193</v>
      </c>
    </row>
    <row r="127" spans="1:3">
      <c r="A127" s="1" t="s">
        <v>279</v>
      </c>
      <c r="B127" s="1" t="s">
        <v>1194</v>
      </c>
      <c r="C127" s="7" t="s">
        <v>1195</v>
      </c>
    </row>
    <row r="128" spans="1:3">
      <c r="A128" s="1" t="s">
        <v>279</v>
      </c>
      <c r="B128" s="1" t="s">
        <v>1196</v>
      </c>
      <c r="C128" s="7" t="s">
        <v>1197</v>
      </c>
    </row>
    <row r="129" spans="1:3">
      <c r="A129" s="1" t="s">
        <v>279</v>
      </c>
      <c r="B129" s="1" t="s">
        <v>1198</v>
      </c>
      <c r="C129" s="7" t="s">
        <v>1199</v>
      </c>
    </row>
    <row r="130" spans="1:3">
      <c r="A130" s="1" t="s">
        <v>279</v>
      </c>
      <c r="B130" s="1" t="s">
        <v>1200</v>
      </c>
      <c r="C130" s="7" t="s">
        <v>794</v>
      </c>
    </row>
    <row r="131" spans="1:3">
      <c r="A131" s="1" t="s">
        <v>279</v>
      </c>
      <c r="B131" s="1" t="s">
        <v>1201</v>
      </c>
      <c r="C131" s="7" t="s">
        <v>1202</v>
      </c>
    </row>
    <row r="132" spans="1:3">
      <c r="A132" s="1" t="s">
        <v>279</v>
      </c>
      <c r="B132" s="1" t="s">
        <v>1203</v>
      </c>
      <c r="C132" s="7" t="s">
        <v>1204</v>
      </c>
    </row>
    <row r="133" spans="1:3">
      <c r="A133" s="1" t="s">
        <v>279</v>
      </c>
      <c r="B133" s="1" t="s">
        <v>1205</v>
      </c>
      <c r="C133" s="7" t="s">
        <v>991</v>
      </c>
    </row>
    <row r="134" spans="1:3">
      <c r="A134" s="1" t="s">
        <v>279</v>
      </c>
      <c r="B134" s="1" t="s">
        <v>1206</v>
      </c>
      <c r="C134" s="7" t="s">
        <v>1207</v>
      </c>
    </row>
    <row r="135" spans="1:3">
      <c r="A135" s="1" t="s">
        <v>279</v>
      </c>
      <c r="B135" s="1" t="s">
        <v>1208</v>
      </c>
      <c r="C135" s="7" t="s">
        <v>1209</v>
      </c>
    </row>
    <row r="136" spans="1:3">
      <c r="A136" s="1" t="s">
        <v>279</v>
      </c>
      <c r="B136" s="1" t="s">
        <v>1210</v>
      </c>
      <c r="C136" s="7" t="s">
        <v>1211</v>
      </c>
    </row>
    <row r="137" spans="1:3">
      <c r="A137" s="1" t="s">
        <v>279</v>
      </c>
      <c r="B137" s="1" t="s">
        <v>1212</v>
      </c>
      <c r="C137" s="7" t="s">
        <v>1213</v>
      </c>
    </row>
    <row r="138" spans="1:3">
      <c r="A138" s="1" t="s">
        <v>279</v>
      </c>
      <c r="B138" s="1" t="s">
        <v>1214</v>
      </c>
      <c r="C138" s="7" t="s">
        <v>1215</v>
      </c>
    </row>
    <row r="139" spans="1:3">
      <c r="A139" s="1" t="s">
        <v>279</v>
      </c>
      <c r="B139" s="1" t="s">
        <v>1216</v>
      </c>
      <c r="C139" s="7" t="s">
        <v>1217</v>
      </c>
    </row>
    <row r="140" spans="1:3">
      <c r="A140" s="1" t="s">
        <v>279</v>
      </c>
      <c r="B140" s="1" t="s">
        <v>1218</v>
      </c>
      <c r="C140" s="7" t="s">
        <v>497</v>
      </c>
    </row>
    <row r="141" spans="1:3">
      <c r="A141" s="1" t="s">
        <v>279</v>
      </c>
      <c r="B141" s="1" t="s">
        <v>1219</v>
      </c>
      <c r="C141" s="7" t="s">
        <v>1220</v>
      </c>
    </row>
    <row r="142" spans="1:3">
      <c r="A142" s="1" t="s">
        <v>279</v>
      </c>
      <c r="B142" s="1" t="s">
        <v>1221</v>
      </c>
      <c r="C142" s="7" t="s">
        <v>537</v>
      </c>
    </row>
    <row r="143" spans="1:3">
      <c r="A143" s="1" t="s">
        <v>279</v>
      </c>
      <c r="B143" s="1" t="s">
        <v>1222</v>
      </c>
      <c r="C143" s="7" t="s">
        <v>456</v>
      </c>
    </row>
    <row r="144" spans="1:3">
      <c r="A144" s="1" t="s">
        <v>279</v>
      </c>
      <c r="B144" s="1" t="s">
        <v>1223</v>
      </c>
      <c r="C144" s="7" t="s">
        <v>1224</v>
      </c>
    </row>
    <row r="145" spans="1:3">
      <c r="A145" s="1" t="s">
        <v>279</v>
      </c>
      <c r="B145" s="1" t="s">
        <v>1225</v>
      </c>
      <c r="C145" s="7" t="s">
        <v>1226</v>
      </c>
    </row>
    <row r="146" spans="1:3">
      <c r="A146" s="1" t="s">
        <v>279</v>
      </c>
      <c r="B146" s="1" t="s">
        <v>1227</v>
      </c>
      <c r="C146" s="7" t="s">
        <v>1228</v>
      </c>
    </row>
    <row r="147" spans="1:3">
      <c r="A147" s="1" t="s">
        <v>279</v>
      </c>
      <c r="B147" s="1" t="s">
        <v>1229</v>
      </c>
      <c r="C147" s="7" t="s">
        <v>1230</v>
      </c>
    </row>
    <row r="148" spans="1:3">
      <c r="A148" s="1" t="s">
        <v>279</v>
      </c>
      <c r="B148" s="1" t="s">
        <v>1231</v>
      </c>
      <c r="C148" s="4" t="s">
        <v>1232</v>
      </c>
    </row>
    <row r="149" spans="1:3" ht="25.5" customHeight="1">
      <c r="A149" s="1" t="s">
        <v>279</v>
      </c>
      <c r="B149" s="1" t="s">
        <v>1233</v>
      </c>
      <c r="C149" s="7" t="s">
        <v>1234</v>
      </c>
    </row>
    <row r="150" spans="1:3">
      <c r="A150" s="1" t="s">
        <v>279</v>
      </c>
      <c r="B150" s="1" t="s">
        <v>1235</v>
      </c>
      <c r="C150" s="7" t="s">
        <v>1236</v>
      </c>
    </row>
    <row r="151" spans="1:3">
      <c r="A151" s="1" t="s">
        <v>279</v>
      </c>
      <c r="B151" s="1" t="s">
        <v>1237</v>
      </c>
      <c r="C151" s="7" t="s">
        <v>1238</v>
      </c>
    </row>
    <row r="152" spans="1:3" ht="19.5" customHeight="1">
      <c r="A152" s="5" t="s">
        <v>1239</v>
      </c>
      <c r="B152" s="6"/>
      <c r="C152" s="6"/>
    </row>
    <row r="153" spans="1:3">
      <c r="A153" s="1" t="s">
        <v>271</v>
      </c>
      <c r="B153" s="1" t="s">
        <v>981</v>
      </c>
      <c r="C153" s="7" t="s">
        <v>1240</v>
      </c>
    </row>
    <row r="154" spans="1:3">
      <c r="A154" s="1" t="s">
        <v>271</v>
      </c>
      <c r="B154" s="1" t="s">
        <v>983</v>
      </c>
      <c r="C154" s="7" t="s">
        <v>1241</v>
      </c>
    </row>
    <row r="155" spans="1:3">
      <c r="A155" s="1" t="s">
        <v>271</v>
      </c>
      <c r="B155" s="1" t="s">
        <v>1242</v>
      </c>
      <c r="C155" s="4" t="s">
        <v>1243</v>
      </c>
    </row>
    <row r="156" spans="1:3">
      <c r="A156" s="1" t="s">
        <v>271</v>
      </c>
      <c r="B156" s="1" t="s">
        <v>985</v>
      </c>
      <c r="C156" s="7" t="s">
        <v>1244</v>
      </c>
    </row>
    <row r="157" spans="1:3">
      <c r="A157" s="1" t="s">
        <v>271</v>
      </c>
      <c r="B157" s="1" t="s">
        <v>1078</v>
      </c>
      <c r="C157" s="7" t="s">
        <v>1245</v>
      </c>
    </row>
    <row r="158" spans="1:3">
      <c r="A158" s="1" t="s">
        <v>271</v>
      </c>
      <c r="B158" s="1" t="s">
        <v>1246</v>
      </c>
      <c r="C158" s="7" t="s">
        <v>1247</v>
      </c>
    </row>
    <row r="159" spans="1:3">
      <c r="A159" s="1" t="s">
        <v>271</v>
      </c>
      <c r="B159" s="1" t="s">
        <v>1248</v>
      </c>
      <c r="C159" s="7" t="s">
        <v>1249</v>
      </c>
    </row>
    <row r="160" spans="1:3">
      <c r="A160" s="1" t="s">
        <v>271</v>
      </c>
      <c r="B160" s="1" t="s">
        <v>1250</v>
      </c>
      <c r="C160" s="7" t="s">
        <v>1251</v>
      </c>
    </row>
    <row r="161" spans="1:3">
      <c r="A161" s="1" t="s">
        <v>271</v>
      </c>
      <c r="B161" s="1" t="s">
        <v>1252</v>
      </c>
      <c r="C161" s="7" t="s">
        <v>1253</v>
      </c>
    </row>
    <row r="162" spans="1:3">
      <c r="A162" s="1" t="s">
        <v>271</v>
      </c>
      <c r="B162" s="1" t="s">
        <v>1254</v>
      </c>
      <c r="C162" s="7" t="s">
        <v>1255</v>
      </c>
    </row>
    <row r="163" spans="1:3">
      <c r="A163" s="1" t="s">
        <v>271</v>
      </c>
      <c r="B163" s="1" t="s">
        <v>1256</v>
      </c>
      <c r="C163" s="7" t="s">
        <v>1257</v>
      </c>
    </row>
    <row r="164" spans="1:3">
      <c r="A164" s="1" t="s">
        <v>271</v>
      </c>
      <c r="B164" s="1" t="s">
        <v>1258</v>
      </c>
      <c r="C164" s="7" t="s">
        <v>1259</v>
      </c>
    </row>
    <row r="165" spans="1:3">
      <c r="A165" s="1" t="s">
        <v>271</v>
      </c>
      <c r="B165" s="1" t="s">
        <v>990</v>
      </c>
      <c r="C165" s="7" t="s">
        <v>1260</v>
      </c>
    </row>
    <row r="166" spans="1:3">
      <c r="A166" s="1" t="s">
        <v>271</v>
      </c>
      <c r="B166" s="1" t="s">
        <v>1082</v>
      </c>
      <c r="C166" s="4" t="s">
        <v>1261</v>
      </c>
    </row>
    <row r="167" spans="1:3">
      <c r="A167" s="1" t="s">
        <v>271</v>
      </c>
      <c r="B167" s="1" t="s">
        <v>996</v>
      </c>
      <c r="C167" s="7" t="s">
        <v>1262</v>
      </c>
    </row>
    <row r="168" spans="1:3">
      <c r="A168" s="1" t="s">
        <v>271</v>
      </c>
      <c r="B168" s="1" t="s">
        <v>1263</v>
      </c>
      <c r="C168" s="4" t="s">
        <v>1264</v>
      </c>
    </row>
    <row r="169" spans="1:3">
      <c r="A169" s="1" t="s">
        <v>271</v>
      </c>
      <c r="B169" s="1" t="s">
        <v>1265</v>
      </c>
      <c r="C169" s="7" t="s">
        <v>1266</v>
      </c>
    </row>
    <row r="170" spans="1:3">
      <c r="A170" s="1" t="s">
        <v>271</v>
      </c>
      <c r="B170" s="1" t="s">
        <v>1089</v>
      </c>
      <c r="C170" s="7" t="s">
        <v>1267</v>
      </c>
    </row>
    <row r="171" spans="1:3">
      <c r="A171" s="1" t="s">
        <v>271</v>
      </c>
      <c r="B171" s="1" t="s">
        <v>1268</v>
      </c>
      <c r="C171" s="7" t="s">
        <v>1269</v>
      </c>
    </row>
    <row r="172" spans="1:3">
      <c r="A172" s="1" t="s">
        <v>271</v>
      </c>
      <c r="B172" s="1" t="s">
        <v>1004</v>
      </c>
      <c r="C172" s="7" t="s">
        <v>1270</v>
      </c>
    </row>
    <row r="173" spans="1:3">
      <c r="A173" s="1" t="s">
        <v>271</v>
      </c>
      <c r="B173" s="1" t="s">
        <v>1271</v>
      </c>
      <c r="C173" s="7" t="s">
        <v>1272</v>
      </c>
    </row>
    <row r="174" spans="1:3">
      <c r="A174" s="1" t="s">
        <v>271</v>
      </c>
      <c r="B174" s="1" t="s">
        <v>1273</v>
      </c>
      <c r="C174" s="7" t="s">
        <v>1274</v>
      </c>
    </row>
    <row r="175" spans="1:3">
      <c r="A175" s="1" t="s">
        <v>271</v>
      </c>
      <c r="B175" s="1" t="s">
        <v>1008</v>
      </c>
      <c r="C175" s="7" t="s">
        <v>1275</v>
      </c>
    </row>
    <row r="176" spans="1:3">
      <c r="A176" s="1" t="s">
        <v>271</v>
      </c>
      <c r="B176" s="1" t="s">
        <v>1276</v>
      </c>
      <c r="C176" s="7" t="s">
        <v>1277</v>
      </c>
    </row>
    <row r="177" spans="1:3">
      <c r="A177" s="1" t="s">
        <v>271</v>
      </c>
      <c r="B177" s="1" t="s">
        <v>1278</v>
      </c>
      <c r="C177" s="7" t="s">
        <v>1279</v>
      </c>
    </row>
    <row r="178" spans="1:3">
      <c r="A178" s="1" t="s">
        <v>271</v>
      </c>
      <c r="B178" s="1" t="s">
        <v>1280</v>
      </c>
      <c r="C178" s="7" t="s">
        <v>1281</v>
      </c>
    </row>
    <row r="179" spans="1:3">
      <c r="A179" s="1" t="s">
        <v>271</v>
      </c>
      <c r="B179" s="1" t="s">
        <v>1282</v>
      </c>
      <c r="C179" s="7" t="s">
        <v>1283</v>
      </c>
    </row>
    <row r="180" spans="1:3">
      <c r="A180" s="1" t="s">
        <v>271</v>
      </c>
      <c r="B180" s="1" t="s">
        <v>1284</v>
      </c>
      <c r="C180" s="7" t="s">
        <v>1285</v>
      </c>
    </row>
    <row r="181" spans="1:3">
      <c r="A181" s="1" t="s">
        <v>271</v>
      </c>
      <c r="B181" s="1" t="s">
        <v>1102</v>
      </c>
      <c r="C181" s="7" t="s">
        <v>1286</v>
      </c>
    </row>
    <row r="182" spans="1:3">
      <c r="A182" s="1" t="s">
        <v>271</v>
      </c>
      <c r="B182" s="1" t="s">
        <v>1287</v>
      </c>
      <c r="C182" s="7" t="s">
        <v>1288</v>
      </c>
    </row>
    <row r="183" spans="1:3">
      <c r="A183" s="1" t="s">
        <v>271</v>
      </c>
      <c r="B183" s="1" t="s">
        <v>1105</v>
      </c>
      <c r="C183" s="7" t="s">
        <v>1289</v>
      </c>
    </row>
    <row r="184" spans="1:3" ht="25.5" customHeight="1">
      <c r="A184" s="1" t="s">
        <v>271</v>
      </c>
      <c r="B184" s="1" t="s">
        <v>1290</v>
      </c>
      <c r="C184" s="7" t="s">
        <v>1291</v>
      </c>
    </row>
    <row r="185" spans="1:3">
      <c r="A185" s="1" t="s">
        <v>271</v>
      </c>
      <c r="B185" s="1" t="s">
        <v>1108</v>
      </c>
      <c r="C185" s="7" t="s">
        <v>1292</v>
      </c>
    </row>
    <row r="186" spans="1:3">
      <c r="A186" s="1" t="s">
        <v>271</v>
      </c>
      <c r="B186" s="1" t="s">
        <v>1114</v>
      </c>
      <c r="C186" s="7" t="s">
        <v>1293</v>
      </c>
    </row>
    <row r="187" spans="1:3">
      <c r="A187" s="1" t="s">
        <v>271</v>
      </c>
      <c r="B187" s="1" t="s">
        <v>1119</v>
      </c>
      <c r="C187" s="7" t="s">
        <v>1294</v>
      </c>
    </row>
    <row r="188" spans="1:3">
      <c r="A188" s="1" t="s">
        <v>271</v>
      </c>
      <c r="B188" s="1" t="s">
        <v>1122</v>
      </c>
      <c r="C188" s="7" t="s">
        <v>1295</v>
      </c>
    </row>
    <row r="189" spans="1:3">
      <c r="A189" s="1" t="s">
        <v>271</v>
      </c>
      <c r="B189" s="1" t="s">
        <v>1126</v>
      </c>
      <c r="C189" s="7" t="s">
        <v>1296</v>
      </c>
    </row>
    <row r="190" spans="1:3">
      <c r="A190" s="1" t="s">
        <v>271</v>
      </c>
      <c r="B190" s="1" t="s">
        <v>1127</v>
      </c>
      <c r="C190" s="7" t="s">
        <v>1297</v>
      </c>
    </row>
    <row r="191" spans="1:3">
      <c r="A191" s="1" t="s">
        <v>271</v>
      </c>
      <c r="B191" s="1" t="s">
        <v>1298</v>
      </c>
      <c r="C191" s="7" t="s">
        <v>1299</v>
      </c>
    </row>
    <row r="192" spans="1:3">
      <c r="A192" s="1" t="s">
        <v>271</v>
      </c>
      <c r="B192" s="1" t="s">
        <v>1129</v>
      </c>
      <c r="C192" s="7" t="s">
        <v>1300</v>
      </c>
    </row>
    <row r="193" spans="1:3">
      <c r="A193" s="1" t="s">
        <v>271</v>
      </c>
      <c r="B193" s="1" t="s">
        <v>1131</v>
      </c>
      <c r="C193" s="7" t="s">
        <v>1301</v>
      </c>
    </row>
    <row r="194" spans="1:3">
      <c r="A194" s="1" t="s">
        <v>271</v>
      </c>
      <c r="B194" s="1" t="s">
        <v>1132</v>
      </c>
      <c r="C194" s="7" t="s">
        <v>1302</v>
      </c>
    </row>
    <row r="195" spans="1:3">
      <c r="A195" s="1" t="s">
        <v>271</v>
      </c>
      <c r="B195" s="1" t="s">
        <v>1135</v>
      </c>
      <c r="C195" s="7" t="s">
        <v>1303</v>
      </c>
    </row>
    <row r="196" spans="1:3" ht="39" customHeight="1">
      <c r="A196" s="1" t="s">
        <v>271</v>
      </c>
      <c r="B196" s="1" t="s">
        <v>1141</v>
      </c>
      <c r="C196" s="7" t="s">
        <v>1304</v>
      </c>
    </row>
    <row r="197" spans="1:3">
      <c r="A197" s="1" t="s">
        <v>271</v>
      </c>
      <c r="B197" s="1" t="s">
        <v>1305</v>
      </c>
      <c r="C197" s="7" t="s">
        <v>1306</v>
      </c>
    </row>
    <row r="198" spans="1:3">
      <c r="A198" s="1" t="s">
        <v>271</v>
      </c>
      <c r="B198" s="1" t="s">
        <v>1145</v>
      </c>
      <c r="C198" s="7" t="s">
        <v>1307</v>
      </c>
    </row>
    <row r="199" spans="1:3">
      <c r="A199" s="1" t="s">
        <v>271</v>
      </c>
      <c r="B199" s="1" t="s">
        <v>1308</v>
      </c>
      <c r="C199" s="7" t="s">
        <v>1309</v>
      </c>
    </row>
    <row r="200" spans="1:3">
      <c r="A200" s="1" t="s">
        <v>271</v>
      </c>
      <c r="B200" s="1" t="s">
        <v>1310</v>
      </c>
      <c r="C200" s="7" t="s">
        <v>1311</v>
      </c>
    </row>
    <row r="201" spans="1:3">
      <c r="A201" s="1" t="s">
        <v>271</v>
      </c>
      <c r="B201" s="1" t="s">
        <v>1312</v>
      </c>
      <c r="C201" s="7" t="s">
        <v>365</v>
      </c>
    </row>
    <row r="202" spans="1:3">
      <c r="A202" s="1" t="s">
        <v>271</v>
      </c>
      <c r="B202" s="1" t="s">
        <v>1313</v>
      </c>
      <c r="C202" s="7" t="s">
        <v>1314</v>
      </c>
    </row>
    <row r="203" spans="1:3">
      <c r="A203" s="1" t="s">
        <v>271</v>
      </c>
      <c r="B203" s="1" t="s">
        <v>1040</v>
      </c>
      <c r="C203" s="7" t="s">
        <v>1315</v>
      </c>
    </row>
    <row r="204" spans="1:3">
      <c r="A204" s="1" t="s">
        <v>271</v>
      </c>
      <c r="B204" s="1" t="s">
        <v>1316</v>
      </c>
      <c r="C204" s="7" t="s">
        <v>1317</v>
      </c>
    </row>
    <row r="205" spans="1:3">
      <c r="A205" s="1" t="s">
        <v>271</v>
      </c>
      <c r="B205" s="1" t="s">
        <v>1318</v>
      </c>
      <c r="C205" s="4" t="s">
        <v>1319</v>
      </c>
    </row>
    <row r="206" spans="1:3">
      <c r="A206" s="1" t="s">
        <v>271</v>
      </c>
      <c r="B206" s="1" t="s">
        <v>1320</v>
      </c>
      <c r="C206" s="7" t="s">
        <v>1321</v>
      </c>
    </row>
    <row r="207" spans="1:3">
      <c r="A207" s="1" t="s">
        <v>271</v>
      </c>
      <c r="B207" s="1" t="s">
        <v>1148</v>
      </c>
      <c r="C207" s="7" t="s">
        <v>1322</v>
      </c>
    </row>
    <row r="208" spans="1:3">
      <c r="A208" s="1" t="s">
        <v>271</v>
      </c>
      <c r="B208" s="1" t="s">
        <v>1323</v>
      </c>
      <c r="C208" s="7" t="s">
        <v>1324</v>
      </c>
    </row>
    <row r="209" spans="1:3">
      <c r="A209" s="1" t="s">
        <v>271</v>
      </c>
      <c r="B209" s="1" t="s">
        <v>1325</v>
      </c>
      <c r="C209" s="4" t="s">
        <v>1326</v>
      </c>
    </row>
    <row r="210" spans="1:3">
      <c r="A210" s="1" t="s">
        <v>271</v>
      </c>
      <c r="B210" s="1" t="s">
        <v>1327</v>
      </c>
      <c r="C210" s="7" t="s">
        <v>1328</v>
      </c>
    </row>
    <row r="211" spans="1:3">
      <c r="A211" s="1" t="s">
        <v>271</v>
      </c>
      <c r="B211" s="1" t="s">
        <v>1042</v>
      </c>
      <c r="C211" s="7" t="s">
        <v>1329</v>
      </c>
    </row>
    <row r="212" spans="1:3">
      <c r="A212" s="1" t="s">
        <v>271</v>
      </c>
      <c r="B212" s="1" t="s">
        <v>1330</v>
      </c>
      <c r="C212" s="7" t="s">
        <v>1331</v>
      </c>
    </row>
    <row r="213" spans="1:3">
      <c r="A213" s="1" t="s">
        <v>271</v>
      </c>
      <c r="B213" s="1" t="s">
        <v>1332</v>
      </c>
      <c r="C213" s="4" t="s">
        <v>1333</v>
      </c>
    </row>
    <row r="214" spans="1:3">
      <c r="A214" s="1" t="s">
        <v>271</v>
      </c>
      <c r="B214" s="1" t="s">
        <v>1151</v>
      </c>
      <c r="C214" s="7" t="s">
        <v>1334</v>
      </c>
    </row>
    <row r="215" spans="1:3">
      <c r="A215" s="1" t="s">
        <v>271</v>
      </c>
      <c r="B215" s="1" t="s">
        <v>1044</v>
      </c>
      <c r="C215" s="7" t="s">
        <v>1269</v>
      </c>
    </row>
    <row r="216" spans="1:3">
      <c r="A216" s="1" t="s">
        <v>271</v>
      </c>
      <c r="B216" s="1" t="s">
        <v>1335</v>
      </c>
      <c r="C216" s="7" t="s">
        <v>1336</v>
      </c>
    </row>
    <row r="217" spans="1:3">
      <c r="A217" s="1" t="s">
        <v>271</v>
      </c>
      <c r="B217" s="1" t="s">
        <v>1337</v>
      </c>
      <c r="C217" s="4" t="s">
        <v>1338</v>
      </c>
    </row>
    <row r="218" spans="1:3">
      <c r="A218" s="1" t="s">
        <v>271</v>
      </c>
      <c r="B218" s="1" t="s">
        <v>1339</v>
      </c>
      <c r="C218" s="7" t="s">
        <v>1340</v>
      </c>
    </row>
    <row r="219" spans="1:3">
      <c r="A219" s="1" t="s">
        <v>271</v>
      </c>
      <c r="B219" s="1" t="s">
        <v>1153</v>
      </c>
      <c r="C219" s="7" t="s">
        <v>1341</v>
      </c>
    </row>
    <row r="220" spans="1:3">
      <c r="A220" s="1" t="s">
        <v>271</v>
      </c>
      <c r="B220" s="1" t="s">
        <v>1342</v>
      </c>
      <c r="C220" s="7" t="s">
        <v>1343</v>
      </c>
    </row>
    <row r="221" spans="1:3">
      <c r="A221" s="1" t="s">
        <v>271</v>
      </c>
      <c r="B221" s="1" t="s">
        <v>1344</v>
      </c>
      <c r="C221" s="4" t="s">
        <v>1345</v>
      </c>
    </row>
    <row r="222" spans="1:3">
      <c r="A222" s="1" t="s">
        <v>271</v>
      </c>
      <c r="B222" s="1" t="s">
        <v>1155</v>
      </c>
      <c r="C222" s="7" t="s">
        <v>1346</v>
      </c>
    </row>
    <row r="223" spans="1:3">
      <c r="A223" s="1" t="s">
        <v>271</v>
      </c>
      <c r="B223" s="1" t="s">
        <v>1046</v>
      </c>
      <c r="C223" s="7" t="s">
        <v>1347</v>
      </c>
    </row>
    <row r="224" spans="1:3">
      <c r="A224" s="1" t="s">
        <v>271</v>
      </c>
      <c r="B224" s="1" t="s">
        <v>1348</v>
      </c>
      <c r="C224" s="7" t="s">
        <v>1349</v>
      </c>
    </row>
    <row r="225" spans="1:3">
      <c r="A225" s="1" t="s">
        <v>271</v>
      </c>
      <c r="B225" s="1" t="s">
        <v>1350</v>
      </c>
      <c r="C225" s="4" t="s">
        <v>1351</v>
      </c>
    </row>
    <row r="226" spans="1:3">
      <c r="A226" s="1" t="s">
        <v>271</v>
      </c>
      <c r="B226" s="1" t="s">
        <v>1352</v>
      </c>
      <c r="C226" s="7" t="s">
        <v>1353</v>
      </c>
    </row>
    <row r="227" spans="1:3">
      <c r="A227" s="1" t="s">
        <v>271</v>
      </c>
      <c r="B227" s="1" t="s">
        <v>1157</v>
      </c>
      <c r="C227" s="7" t="s">
        <v>1354</v>
      </c>
    </row>
    <row r="228" spans="1:3">
      <c r="A228" s="1" t="s">
        <v>271</v>
      </c>
      <c r="B228" s="1" t="s">
        <v>1355</v>
      </c>
      <c r="C228" s="7" t="s">
        <v>1356</v>
      </c>
    </row>
    <row r="229" spans="1:3">
      <c r="A229" s="1" t="s">
        <v>271</v>
      </c>
      <c r="B229" s="1" t="s">
        <v>1357</v>
      </c>
      <c r="C229" s="4" t="s">
        <v>1358</v>
      </c>
    </row>
    <row r="230" spans="1:3">
      <c r="A230" s="1" t="s">
        <v>271</v>
      </c>
      <c r="B230" s="1" t="s">
        <v>1359</v>
      </c>
      <c r="C230" s="7" t="s">
        <v>1360</v>
      </c>
    </row>
    <row r="231" spans="1:3">
      <c r="A231" s="1" t="s">
        <v>271</v>
      </c>
      <c r="B231" s="1" t="s">
        <v>1361</v>
      </c>
      <c r="C231" s="7" t="s">
        <v>1362</v>
      </c>
    </row>
    <row r="232" spans="1:3">
      <c r="A232" s="1" t="s">
        <v>271</v>
      </c>
      <c r="B232" s="1" t="s">
        <v>1363</v>
      </c>
      <c r="C232" s="7" t="s">
        <v>1364</v>
      </c>
    </row>
    <row r="233" spans="1:3">
      <c r="A233" s="1" t="s">
        <v>271</v>
      </c>
      <c r="B233" s="1" t="s">
        <v>1365</v>
      </c>
      <c r="C233" s="7" t="s">
        <v>1307</v>
      </c>
    </row>
    <row r="234" spans="1:3">
      <c r="A234" s="1" t="s">
        <v>271</v>
      </c>
      <c r="B234" s="1" t="s">
        <v>1161</v>
      </c>
      <c r="C234" s="7" t="s">
        <v>1309</v>
      </c>
    </row>
    <row r="235" spans="1:3">
      <c r="A235" s="1" t="s">
        <v>271</v>
      </c>
      <c r="B235" s="1" t="s">
        <v>1366</v>
      </c>
      <c r="C235" s="7" t="s">
        <v>1311</v>
      </c>
    </row>
    <row r="236" spans="1:3">
      <c r="A236" s="1" t="s">
        <v>271</v>
      </c>
      <c r="B236" s="1" t="s">
        <v>1367</v>
      </c>
      <c r="C236" s="7" t="s">
        <v>365</v>
      </c>
    </row>
    <row r="237" spans="1:3">
      <c r="A237" s="1" t="s">
        <v>271</v>
      </c>
      <c r="B237" s="1" t="s">
        <v>1368</v>
      </c>
      <c r="C237" s="7" t="s">
        <v>1369</v>
      </c>
    </row>
    <row r="238" spans="1:3">
      <c r="A238" s="1" t="s">
        <v>271</v>
      </c>
      <c r="B238" s="1" t="s">
        <v>1052</v>
      </c>
      <c r="C238" s="7" t="s">
        <v>1370</v>
      </c>
    </row>
    <row r="239" spans="1:3">
      <c r="A239" s="1" t="s">
        <v>271</v>
      </c>
      <c r="B239" s="1" t="s">
        <v>1371</v>
      </c>
      <c r="C239" s="7" t="s">
        <v>1372</v>
      </c>
    </row>
    <row r="240" spans="1:3">
      <c r="A240" s="1" t="s">
        <v>271</v>
      </c>
      <c r="B240" s="1" t="s">
        <v>1373</v>
      </c>
      <c r="C240" s="4" t="s">
        <v>1374</v>
      </c>
    </row>
    <row r="241" spans="1:3">
      <c r="A241" s="1" t="s">
        <v>271</v>
      </c>
      <c r="B241" s="1" t="s">
        <v>1375</v>
      </c>
      <c r="C241" s="7" t="s">
        <v>1376</v>
      </c>
    </row>
    <row r="242" spans="1:3">
      <c r="A242" s="1" t="s">
        <v>271</v>
      </c>
      <c r="B242" s="1" t="s">
        <v>1054</v>
      </c>
      <c r="C242" s="7" t="s">
        <v>1377</v>
      </c>
    </row>
    <row r="243" spans="1:3">
      <c r="A243" s="1" t="s">
        <v>271</v>
      </c>
      <c r="B243" s="1" t="s">
        <v>1378</v>
      </c>
      <c r="C243" s="7" t="s">
        <v>1379</v>
      </c>
    </row>
    <row r="244" spans="1:3">
      <c r="A244" s="1" t="s">
        <v>271</v>
      </c>
      <c r="B244" s="1" t="s">
        <v>1380</v>
      </c>
      <c r="C244" s="4" t="s">
        <v>1381</v>
      </c>
    </row>
    <row r="245" spans="1:3">
      <c r="A245" s="1" t="s">
        <v>271</v>
      </c>
      <c r="B245" s="1" t="s">
        <v>1165</v>
      </c>
      <c r="C245" s="7" t="s">
        <v>1382</v>
      </c>
    </row>
    <row r="246" spans="1:3">
      <c r="A246" s="1" t="s">
        <v>271</v>
      </c>
      <c r="B246" s="1" t="s">
        <v>1383</v>
      </c>
      <c r="C246" s="7" t="s">
        <v>1384</v>
      </c>
    </row>
    <row r="247" spans="1:3">
      <c r="A247" s="1" t="s">
        <v>271</v>
      </c>
      <c r="B247" s="1" t="s">
        <v>1385</v>
      </c>
      <c r="C247" s="7" t="s">
        <v>1386</v>
      </c>
    </row>
    <row r="248" spans="1:3">
      <c r="A248" s="1" t="s">
        <v>271</v>
      </c>
      <c r="B248" s="1" t="s">
        <v>1387</v>
      </c>
      <c r="C248" s="4" t="s">
        <v>1388</v>
      </c>
    </row>
    <row r="249" spans="1:3">
      <c r="A249" s="1" t="s">
        <v>271</v>
      </c>
      <c r="B249" s="1" t="s">
        <v>1389</v>
      </c>
      <c r="C249" s="7" t="s">
        <v>1390</v>
      </c>
    </row>
    <row r="250" spans="1:3">
      <c r="A250" s="1" t="s">
        <v>271</v>
      </c>
      <c r="B250" s="1" t="s">
        <v>1055</v>
      </c>
      <c r="C250" s="7" t="s">
        <v>1391</v>
      </c>
    </row>
    <row r="251" spans="1:3">
      <c r="A251" s="1" t="s">
        <v>271</v>
      </c>
      <c r="B251" s="1" t="s">
        <v>1392</v>
      </c>
      <c r="C251" s="7" t="s">
        <v>1393</v>
      </c>
    </row>
    <row r="252" spans="1:3">
      <c r="A252" s="1" t="s">
        <v>271</v>
      </c>
      <c r="B252" s="1" t="s">
        <v>1394</v>
      </c>
      <c r="C252" s="4" t="s">
        <v>1395</v>
      </c>
    </row>
    <row r="253" spans="1:3">
      <c r="A253" s="1" t="s">
        <v>271</v>
      </c>
      <c r="B253" s="1" t="s">
        <v>1170</v>
      </c>
      <c r="C253" s="7" t="s">
        <v>1396</v>
      </c>
    </row>
    <row r="254" spans="1:3">
      <c r="A254" s="1" t="s">
        <v>271</v>
      </c>
      <c r="B254" s="1" t="s">
        <v>1172</v>
      </c>
      <c r="C254" s="7" t="s">
        <v>1307</v>
      </c>
    </row>
    <row r="255" spans="1:3">
      <c r="A255" s="1" t="s">
        <v>271</v>
      </c>
      <c r="B255" s="1" t="s">
        <v>1059</v>
      </c>
      <c r="C255" s="7" t="s">
        <v>1309</v>
      </c>
    </row>
    <row r="256" spans="1:3">
      <c r="A256" s="1" t="s">
        <v>271</v>
      </c>
      <c r="B256" s="1" t="s">
        <v>1397</v>
      </c>
      <c r="C256" s="7" t="s">
        <v>365</v>
      </c>
    </row>
    <row r="257" spans="1:3">
      <c r="A257" s="1" t="s">
        <v>271</v>
      </c>
      <c r="B257" s="1" t="s">
        <v>1174</v>
      </c>
      <c r="C257" s="7" t="s">
        <v>1398</v>
      </c>
    </row>
    <row r="258" spans="1:3">
      <c r="A258" s="1" t="s">
        <v>271</v>
      </c>
      <c r="B258" s="1" t="s">
        <v>1061</v>
      </c>
      <c r="C258" s="7" t="s">
        <v>1399</v>
      </c>
    </row>
    <row r="259" spans="1:3">
      <c r="A259" s="1" t="s">
        <v>271</v>
      </c>
      <c r="B259" s="1" t="s">
        <v>1400</v>
      </c>
      <c r="C259" s="4" t="s">
        <v>1401</v>
      </c>
    </row>
    <row r="260" spans="1:3">
      <c r="A260" s="1" t="s">
        <v>271</v>
      </c>
      <c r="B260" s="1" t="s">
        <v>1176</v>
      </c>
      <c r="C260" s="7" t="s">
        <v>1402</v>
      </c>
    </row>
    <row r="261" spans="1:3">
      <c r="A261" s="1" t="s">
        <v>271</v>
      </c>
      <c r="B261" s="1" t="s">
        <v>1403</v>
      </c>
      <c r="C261" s="7" t="s">
        <v>1404</v>
      </c>
    </row>
    <row r="262" spans="1:3">
      <c r="A262" s="1" t="s">
        <v>271</v>
      </c>
      <c r="B262" s="1" t="s">
        <v>1405</v>
      </c>
      <c r="C262" s="4" t="s">
        <v>1406</v>
      </c>
    </row>
    <row r="263" spans="1:3">
      <c r="A263" s="1" t="s">
        <v>271</v>
      </c>
      <c r="B263" s="1" t="s">
        <v>1180</v>
      </c>
      <c r="C263" s="7" t="s">
        <v>1407</v>
      </c>
    </row>
    <row r="264" spans="1:3">
      <c r="A264" s="1" t="s">
        <v>271</v>
      </c>
      <c r="B264" s="1" t="s">
        <v>1408</v>
      </c>
      <c r="C264" s="7" t="s">
        <v>1307</v>
      </c>
    </row>
    <row r="265" spans="1:3">
      <c r="A265" s="1" t="s">
        <v>271</v>
      </c>
      <c r="B265" s="1" t="s">
        <v>1409</v>
      </c>
      <c r="C265" s="7" t="s">
        <v>1309</v>
      </c>
    </row>
    <row r="266" spans="1:3">
      <c r="A266" s="1" t="s">
        <v>271</v>
      </c>
      <c r="B266" s="1" t="s">
        <v>1410</v>
      </c>
      <c r="C266" s="7" t="s">
        <v>1311</v>
      </c>
    </row>
    <row r="267" spans="1:3">
      <c r="A267" s="1" t="s">
        <v>271</v>
      </c>
      <c r="B267" s="1" t="s">
        <v>1411</v>
      </c>
      <c r="C267" s="7" t="s">
        <v>365</v>
      </c>
    </row>
    <row r="268" spans="1:3">
      <c r="A268" s="1" t="s">
        <v>271</v>
      </c>
      <c r="B268" s="1" t="s">
        <v>1182</v>
      </c>
      <c r="C268" s="7" t="s">
        <v>1346</v>
      </c>
    </row>
    <row r="269" spans="1:3">
      <c r="A269" s="1" t="s">
        <v>271</v>
      </c>
      <c r="B269" s="1" t="s">
        <v>1065</v>
      </c>
      <c r="C269" s="7" t="s">
        <v>1347</v>
      </c>
    </row>
    <row r="270" spans="1:3">
      <c r="A270" s="1" t="s">
        <v>271</v>
      </c>
      <c r="B270" s="1" t="s">
        <v>1412</v>
      </c>
      <c r="C270" s="7" t="s">
        <v>1349</v>
      </c>
    </row>
    <row r="271" spans="1:3">
      <c r="A271" s="1" t="s">
        <v>271</v>
      </c>
      <c r="B271" s="1" t="s">
        <v>1413</v>
      </c>
      <c r="C271" s="4" t="s">
        <v>1351</v>
      </c>
    </row>
    <row r="272" spans="1:3">
      <c r="A272" s="1" t="s">
        <v>271</v>
      </c>
      <c r="B272" s="1" t="s">
        <v>1184</v>
      </c>
      <c r="C272" s="7" t="s">
        <v>1353</v>
      </c>
    </row>
    <row r="273" spans="1:3">
      <c r="A273" s="1" t="s">
        <v>271</v>
      </c>
      <c r="B273" s="1" t="s">
        <v>1067</v>
      </c>
      <c r="C273" s="7" t="s">
        <v>1354</v>
      </c>
    </row>
    <row r="274" spans="1:3">
      <c r="A274" s="1" t="s">
        <v>271</v>
      </c>
      <c r="B274" s="1" t="s">
        <v>1414</v>
      </c>
      <c r="C274" s="7" t="s">
        <v>1356</v>
      </c>
    </row>
    <row r="275" spans="1:3">
      <c r="A275" s="1" t="s">
        <v>271</v>
      </c>
      <c r="B275" s="1" t="s">
        <v>1415</v>
      </c>
      <c r="C275" s="4" t="s">
        <v>1358</v>
      </c>
    </row>
    <row r="276" spans="1:3" ht="19.5" customHeight="1">
      <c r="A276" s="5" t="s">
        <v>1416</v>
      </c>
      <c r="B276" s="6"/>
      <c r="C276" s="6"/>
    </row>
    <row r="277" spans="1:3">
      <c r="A277" s="1" t="s">
        <v>286</v>
      </c>
      <c r="B277" s="1" t="s">
        <v>981</v>
      </c>
      <c r="C277" s="7" t="s">
        <v>1417</v>
      </c>
    </row>
    <row r="278" spans="1:3">
      <c r="A278" s="1" t="s">
        <v>286</v>
      </c>
      <c r="B278" s="1" t="s">
        <v>1418</v>
      </c>
      <c r="C278" s="7" t="s">
        <v>1419</v>
      </c>
    </row>
    <row r="279" spans="1:3">
      <c r="A279" s="1" t="s">
        <v>286</v>
      </c>
      <c r="B279" s="1" t="s">
        <v>985</v>
      </c>
      <c r="C279" s="7" t="s">
        <v>1420</v>
      </c>
    </row>
    <row r="280" spans="1:3">
      <c r="A280" s="1" t="s">
        <v>286</v>
      </c>
      <c r="B280" s="1" t="s">
        <v>1421</v>
      </c>
      <c r="C280" s="4" t="s">
        <v>1422</v>
      </c>
    </row>
    <row r="281" spans="1:3" ht="51.75" customHeight="1">
      <c r="A281" s="1" t="s">
        <v>286</v>
      </c>
      <c r="B281" s="1" t="s">
        <v>1423</v>
      </c>
      <c r="C281" s="7" t="s">
        <v>1424</v>
      </c>
    </row>
    <row r="282" spans="1:3">
      <c r="A282" s="1" t="s">
        <v>286</v>
      </c>
      <c r="B282" s="1" t="s">
        <v>990</v>
      </c>
      <c r="C282" s="7" t="s">
        <v>1425</v>
      </c>
    </row>
    <row r="283" spans="1:3" ht="25.5" customHeight="1">
      <c r="A283" s="1" t="s">
        <v>286</v>
      </c>
      <c r="B283" s="1" t="s">
        <v>1086</v>
      </c>
      <c r="C283" s="7" t="s">
        <v>1426</v>
      </c>
    </row>
    <row r="284" spans="1:3">
      <c r="A284" s="1" t="s">
        <v>286</v>
      </c>
      <c r="B284" s="1" t="s">
        <v>1427</v>
      </c>
      <c r="C284" s="7" t="s">
        <v>499</v>
      </c>
    </row>
    <row r="285" spans="1:3">
      <c r="A285" s="1" t="s">
        <v>286</v>
      </c>
      <c r="B285" s="1" t="s">
        <v>1428</v>
      </c>
      <c r="C285" s="7" t="s">
        <v>1429</v>
      </c>
    </row>
    <row r="286" spans="1:3">
      <c r="A286" s="1" t="s">
        <v>286</v>
      </c>
      <c r="B286" s="1" t="s">
        <v>996</v>
      </c>
      <c r="C286" s="4" t="s">
        <v>1430</v>
      </c>
    </row>
    <row r="287" spans="1:3">
      <c r="A287" s="1" t="s">
        <v>286</v>
      </c>
      <c r="B287" s="1" t="s">
        <v>1431</v>
      </c>
      <c r="C287" s="7" t="s">
        <v>1432</v>
      </c>
    </row>
    <row r="288" spans="1:3">
      <c r="A288" s="1" t="s">
        <v>286</v>
      </c>
      <c r="B288" s="1" t="s">
        <v>1433</v>
      </c>
      <c r="C288" s="7" t="s">
        <v>1434</v>
      </c>
    </row>
    <row r="289" spans="1:3">
      <c r="A289" s="1" t="s">
        <v>286</v>
      </c>
      <c r="B289" s="1" t="s">
        <v>1089</v>
      </c>
      <c r="C289" s="7" t="s">
        <v>1435</v>
      </c>
    </row>
    <row r="290" spans="1:3">
      <c r="A290" s="1" t="s">
        <v>286</v>
      </c>
      <c r="B290" s="1" t="s">
        <v>1436</v>
      </c>
      <c r="C290" s="7" t="s">
        <v>1437</v>
      </c>
    </row>
    <row r="291" spans="1:3">
      <c r="A291" s="1" t="s">
        <v>286</v>
      </c>
      <c r="B291" s="1" t="s">
        <v>1438</v>
      </c>
      <c r="C291" s="7" t="s">
        <v>1439</v>
      </c>
    </row>
    <row r="292" spans="1:3">
      <c r="A292" s="1" t="s">
        <v>286</v>
      </c>
      <c r="B292" s="1" t="s">
        <v>1004</v>
      </c>
      <c r="C292" s="7" t="s">
        <v>1440</v>
      </c>
    </row>
    <row r="293" spans="1:3">
      <c r="A293" s="1" t="s">
        <v>286</v>
      </c>
      <c r="B293" s="1" t="s">
        <v>1441</v>
      </c>
      <c r="C293" s="7" t="s">
        <v>1442</v>
      </c>
    </row>
    <row r="294" spans="1:3">
      <c r="A294" s="1" t="s">
        <v>286</v>
      </c>
      <c r="B294" s="1" t="s">
        <v>1443</v>
      </c>
      <c r="C294" s="7" t="s">
        <v>1444</v>
      </c>
    </row>
    <row r="295" spans="1:3">
      <c r="A295" s="1" t="s">
        <v>286</v>
      </c>
      <c r="B295" s="1" t="s">
        <v>1008</v>
      </c>
      <c r="C295" s="7" t="s">
        <v>1445</v>
      </c>
    </row>
    <row r="296" spans="1:3">
      <c r="A296" s="1" t="s">
        <v>286</v>
      </c>
      <c r="B296" s="1" t="s">
        <v>1446</v>
      </c>
      <c r="C296" s="7" t="s">
        <v>1447</v>
      </c>
    </row>
    <row r="297" spans="1:3">
      <c r="A297" s="1" t="s">
        <v>286</v>
      </c>
      <c r="B297" s="1" t="s">
        <v>1448</v>
      </c>
      <c r="C297" s="7" t="s">
        <v>1449</v>
      </c>
    </row>
    <row r="298" spans="1:3">
      <c r="A298" s="1" t="s">
        <v>286</v>
      </c>
      <c r="B298" s="1" t="s">
        <v>1278</v>
      </c>
      <c r="C298" s="7" t="s">
        <v>1450</v>
      </c>
    </row>
    <row r="299" spans="1:3">
      <c r="A299" s="1" t="s">
        <v>286</v>
      </c>
      <c r="B299" s="1" t="s">
        <v>1451</v>
      </c>
      <c r="C299" s="7" t="s">
        <v>1452</v>
      </c>
    </row>
    <row r="300" spans="1:3">
      <c r="A300" s="1" t="s">
        <v>286</v>
      </c>
      <c r="B300" s="1" t="s">
        <v>1453</v>
      </c>
      <c r="C300" s="7" t="s">
        <v>1454</v>
      </c>
    </row>
    <row r="301" spans="1:3">
      <c r="A301" s="1" t="s">
        <v>286</v>
      </c>
      <c r="B301" s="1" t="s">
        <v>1280</v>
      </c>
      <c r="C301" s="7" t="s">
        <v>1455</v>
      </c>
    </row>
    <row r="302" spans="1:3">
      <c r="A302" s="1" t="s">
        <v>286</v>
      </c>
      <c r="B302" s="1" t="s">
        <v>1456</v>
      </c>
      <c r="C302" s="7" t="s">
        <v>1457</v>
      </c>
    </row>
    <row r="303" spans="1:3">
      <c r="A303" s="1" t="s">
        <v>286</v>
      </c>
      <c r="B303" s="1" t="s">
        <v>1458</v>
      </c>
      <c r="C303" s="7" t="s">
        <v>1459</v>
      </c>
    </row>
    <row r="304" spans="1:3">
      <c r="A304" s="1" t="s">
        <v>286</v>
      </c>
      <c r="B304" s="1" t="s">
        <v>1282</v>
      </c>
      <c r="C304" s="7" t="s">
        <v>1460</v>
      </c>
    </row>
    <row r="305" spans="1:3">
      <c r="A305" s="1" t="s">
        <v>286</v>
      </c>
      <c r="B305" s="1" t="s">
        <v>1461</v>
      </c>
      <c r="C305" s="7" t="s">
        <v>1462</v>
      </c>
    </row>
    <row r="306" spans="1:3">
      <c r="A306" s="1" t="s">
        <v>286</v>
      </c>
      <c r="B306" s="1" t="s">
        <v>1463</v>
      </c>
      <c r="C306" s="7" t="s">
        <v>1464</v>
      </c>
    </row>
    <row r="307" spans="1:3">
      <c r="A307" s="1" t="s">
        <v>286</v>
      </c>
      <c r="B307" s="1" t="s">
        <v>1102</v>
      </c>
      <c r="C307" s="4" t="s">
        <v>1465</v>
      </c>
    </row>
    <row r="308" spans="1:3">
      <c r="A308" s="1" t="s">
        <v>286</v>
      </c>
      <c r="B308" s="1" t="s">
        <v>1016</v>
      </c>
      <c r="C308" s="4" t="s">
        <v>1466</v>
      </c>
    </row>
    <row r="309" spans="1:3">
      <c r="A309" s="1" t="s">
        <v>286</v>
      </c>
      <c r="B309" s="1" t="s">
        <v>1467</v>
      </c>
      <c r="C309" s="7" t="s">
        <v>1468</v>
      </c>
    </row>
    <row r="310" spans="1:3">
      <c r="A310" s="1" t="s">
        <v>286</v>
      </c>
      <c r="B310" s="1" t="s">
        <v>1469</v>
      </c>
      <c r="C310" s="7" t="s">
        <v>1470</v>
      </c>
    </row>
    <row r="311" spans="1:3">
      <c r="A311" s="1" t="s">
        <v>286</v>
      </c>
      <c r="B311" s="1" t="s">
        <v>1105</v>
      </c>
      <c r="C311" s="7" t="s">
        <v>1471</v>
      </c>
    </row>
    <row r="312" spans="1:3" ht="25.5" customHeight="1">
      <c r="A312" s="1" t="s">
        <v>286</v>
      </c>
      <c r="B312" s="1" t="s">
        <v>1472</v>
      </c>
      <c r="C312" s="7" t="s">
        <v>1021</v>
      </c>
    </row>
    <row r="313" spans="1:3">
      <c r="A313" s="1" t="s">
        <v>286</v>
      </c>
      <c r="B313" s="1" t="s">
        <v>1473</v>
      </c>
      <c r="C313" s="7" t="s">
        <v>1474</v>
      </c>
    </row>
    <row r="314" spans="1:3">
      <c r="A314" s="1" t="s">
        <v>286</v>
      </c>
      <c r="B314" s="1" t="s">
        <v>1475</v>
      </c>
      <c r="C314" s="7" t="s">
        <v>1476</v>
      </c>
    </row>
    <row r="315" spans="1:3">
      <c r="A315" s="1" t="s">
        <v>286</v>
      </c>
      <c r="B315" s="1" t="s">
        <v>1477</v>
      </c>
      <c r="C315" s="7" t="s">
        <v>1478</v>
      </c>
    </row>
    <row r="316" spans="1:3">
      <c r="A316" s="1" t="s">
        <v>286</v>
      </c>
      <c r="B316" s="1" t="s">
        <v>1479</v>
      </c>
      <c r="C316" s="7" t="s">
        <v>1480</v>
      </c>
    </row>
    <row r="317" spans="1:3">
      <c r="A317" s="1" t="s">
        <v>286</v>
      </c>
      <c r="B317" s="1" t="s">
        <v>1114</v>
      </c>
      <c r="C317" s="7" t="s">
        <v>1481</v>
      </c>
    </row>
    <row r="318" spans="1:3">
      <c r="A318" s="1" t="s">
        <v>286</v>
      </c>
      <c r="B318" s="1" t="s">
        <v>1482</v>
      </c>
      <c r="C318" s="7" t="s">
        <v>1483</v>
      </c>
    </row>
    <row r="319" spans="1:3">
      <c r="A319" s="1" t="s">
        <v>286</v>
      </c>
      <c r="B319" s="1" t="s">
        <v>1484</v>
      </c>
      <c r="C319" s="7" t="s">
        <v>1485</v>
      </c>
    </row>
    <row r="320" spans="1:3">
      <c r="A320" s="1" t="s">
        <v>286</v>
      </c>
      <c r="B320" s="1" t="s">
        <v>1486</v>
      </c>
      <c r="C320" s="7" t="s">
        <v>1487</v>
      </c>
    </row>
    <row r="321" spans="1:3">
      <c r="A321" s="1" t="s">
        <v>286</v>
      </c>
      <c r="B321" s="1" t="s">
        <v>1119</v>
      </c>
      <c r="C321" s="7" t="s">
        <v>1488</v>
      </c>
    </row>
    <row r="322" spans="1:3">
      <c r="A322" s="1" t="s">
        <v>286</v>
      </c>
      <c r="B322" s="1" t="s">
        <v>1489</v>
      </c>
      <c r="C322" s="7" t="s">
        <v>1490</v>
      </c>
    </row>
    <row r="323" spans="1:3">
      <c r="A323" s="1" t="s">
        <v>286</v>
      </c>
      <c r="B323" s="1" t="s">
        <v>1491</v>
      </c>
      <c r="C323" s="7" t="s">
        <v>1492</v>
      </c>
    </row>
    <row r="324" spans="1:3" ht="51.75" customHeight="1">
      <c r="A324" s="1" t="s">
        <v>286</v>
      </c>
      <c r="B324" s="1" t="s">
        <v>1122</v>
      </c>
      <c r="C324" s="7" t="s">
        <v>1493</v>
      </c>
    </row>
    <row r="325" spans="1:3">
      <c r="A325" s="1" t="s">
        <v>286</v>
      </c>
      <c r="B325" s="1" t="s">
        <v>1494</v>
      </c>
      <c r="C325" s="7" t="s">
        <v>1495</v>
      </c>
    </row>
    <row r="326" spans="1:3">
      <c r="A326" s="1" t="s">
        <v>286</v>
      </c>
      <c r="B326" s="1" t="s">
        <v>1496</v>
      </c>
      <c r="C326" s="7" t="s">
        <v>1497</v>
      </c>
    </row>
    <row r="327" spans="1:3" ht="25.5" customHeight="1">
      <c r="A327" s="1" t="s">
        <v>286</v>
      </c>
      <c r="B327" s="1" t="s">
        <v>1126</v>
      </c>
      <c r="C327" s="7" t="s">
        <v>1498</v>
      </c>
    </row>
    <row r="328" spans="1:3">
      <c r="A328" s="1" t="s">
        <v>286</v>
      </c>
      <c r="B328" s="1" t="s">
        <v>1499</v>
      </c>
      <c r="C328" s="7" t="s">
        <v>1500</v>
      </c>
    </row>
    <row r="329" spans="1:3">
      <c r="A329" s="1" t="s">
        <v>286</v>
      </c>
      <c r="B329" s="1" t="s">
        <v>1127</v>
      </c>
      <c r="C329" s="7" t="s">
        <v>1501</v>
      </c>
    </row>
    <row r="330" spans="1:3">
      <c r="A330" s="1" t="s">
        <v>286</v>
      </c>
      <c r="B330" s="1" t="s">
        <v>1502</v>
      </c>
      <c r="C330" s="7" t="s">
        <v>1503</v>
      </c>
    </row>
    <row r="331" spans="1:3">
      <c r="A331" s="1" t="s">
        <v>286</v>
      </c>
      <c r="B331" s="1" t="s">
        <v>1504</v>
      </c>
      <c r="C331" s="7" t="s">
        <v>1505</v>
      </c>
    </row>
    <row r="332" spans="1:3">
      <c r="A332" s="1" t="s">
        <v>286</v>
      </c>
      <c r="B332" s="1" t="s">
        <v>1506</v>
      </c>
      <c r="C332" s="7" t="s">
        <v>1507</v>
      </c>
    </row>
    <row r="333" spans="1:3">
      <c r="A333" s="1" t="s">
        <v>286</v>
      </c>
      <c r="B333" s="1" t="s">
        <v>1298</v>
      </c>
      <c r="C333" s="7" t="s">
        <v>1508</v>
      </c>
    </row>
    <row r="334" spans="1:3">
      <c r="A334" s="1" t="s">
        <v>286</v>
      </c>
      <c r="B334" s="1" t="s">
        <v>1509</v>
      </c>
      <c r="C334" s="4" t="s">
        <v>1510</v>
      </c>
    </row>
    <row r="335" spans="1:3">
      <c r="A335" s="1" t="s">
        <v>286</v>
      </c>
      <c r="B335" s="1" t="s">
        <v>1511</v>
      </c>
      <c r="C335" s="7" t="s">
        <v>1512</v>
      </c>
    </row>
    <row r="336" spans="1:3">
      <c r="A336" s="1" t="s">
        <v>286</v>
      </c>
      <c r="B336" s="1" t="s">
        <v>1513</v>
      </c>
      <c r="C336" s="7" t="s">
        <v>1514</v>
      </c>
    </row>
    <row r="337" spans="1:3">
      <c r="A337" s="1" t="s">
        <v>286</v>
      </c>
      <c r="B337" s="1" t="s">
        <v>1129</v>
      </c>
      <c r="C337" s="7" t="s">
        <v>1515</v>
      </c>
    </row>
    <row r="338" spans="1:3">
      <c r="A338" s="1" t="s">
        <v>286</v>
      </c>
      <c r="B338" s="1" t="s">
        <v>1516</v>
      </c>
      <c r="C338" s="7" t="s">
        <v>1517</v>
      </c>
    </row>
    <row r="339" spans="1:3">
      <c r="A339" s="1" t="s">
        <v>286</v>
      </c>
      <c r="B339" s="1" t="s">
        <v>1518</v>
      </c>
      <c r="C339" s="7" t="s">
        <v>1519</v>
      </c>
    </row>
    <row r="340" spans="1:3">
      <c r="A340" s="1" t="s">
        <v>286</v>
      </c>
      <c r="B340" s="1" t="s">
        <v>1520</v>
      </c>
      <c r="C340" s="7" t="s">
        <v>1521</v>
      </c>
    </row>
    <row r="341" spans="1:3">
      <c r="A341" s="1" t="s">
        <v>286</v>
      </c>
      <c r="B341" s="1" t="s">
        <v>1131</v>
      </c>
      <c r="C341" s="7" t="s">
        <v>1522</v>
      </c>
    </row>
    <row r="342" spans="1:3">
      <c r="A342" s="1" t="s">
        <v>286</v>
      </c>
      <c r="B342" s="1" t="s">
        <v>1523</v>
      </c>
      <c r="C342" s="4" t="s">
        <v>1524</v>
      </c>
    </row>
    <row r="343" spans="1:3">
      <c r="A343" s="1" t="s">
        <v>286</v>
      </c>
      <c r="B343" s="1" t="s">
        <v>1525</v>
      </c>
      <c r="C343" s="7" t="s">
        <v>1526</v>
      </c>
    </row>
    <row r="344" spans="1:3">
      <c r="A344" s="1" t="s">
        <v>286</v>
      </c>
      <c r="B344" s="1" t="s">
        <v>1527</v>
      </c>
      <c r="C344" s="7" t="s">
        <v>1528</v>
      </c>
    </row>
    <row r="345" spans="1:3">
      <c r="A345" s="1" t="s">
        <v>286</v>
      </c>
      <c r="B345" s="1" t="s">
        <v>1132</v>
      </c>
      <c r="C345" s="7" t="s">
        <v>1529</v>
      </c>
    </row>
    <row r="346" spans="1:3">
      <c r="A346" s="1" t="s">
        <v>286</v>
      </c>
      <c r="B346" s="1" t="s">
        <v>1530</v>
      </c>
      <c r="C346" s="7" t="s">
        <v>1531</v>
      </c>
    </row>
    <row r="347" spans="1:3">
      <c r="A347" s="1" t="s">
        <v>286</v>
      </c>
      <c r="B347" s="1" t="s">
        <v>1532</v>
      </c>
      <c r="C347" s="7" t="s">
        <v>286</v>
      </c>
    </row>
    <row r="348" spans="1:3">
      <c r="A348" s="1" t="s">
        <v>286</v>
      </c>
      <c r="B348" s="1" t="s">
        <v>1533</v>
      </c>
      <c r="C348" s="7" t="s">
        <v>1534</v>
      </c>
    </row>
    <row r="349" spans="1:3">
      <c r="A349" s="1" t="s">
        <v>286</v>
      </c>
      <c r="B349" s="1" t="s">
        <v>1134</v>
      </c>
      <c r="C349" s="7" t="s">
        <v>365</v>
      </c>
    </row>
    <row r="350" spans="1:3">
      <c r="A350" s="1" t="s">
        <v>286</v>
      </c>
      <c r="B350" s="1" t="s">
        <v>1535</v>
      </c>
      <c r="C350" s="4" t="s">
        <v>1536</v>
      </c>
    </row>
    <row r="351" spans="1:3">
      <c r="A351" s="1" t="s">
        <v>286</v>
      </c>
      <c r="B351" s="1" t="s">
        <v>1537</v>
      </c>
      <c r="C351" s="7" t="s">
        <v>1538</v>
      </c>
    </row>
    <row r="352" spans="1:3">
      <c r="A352" s="1" t="s">
        <v>286</v>
      </c>
      <c r="B352" s="1" t="s">
        <v>1539</v>
      </c>
      <c r="C352" s="7" t="s">
        <v>1540</v>
      </c>
    </row>
    <row r="353" spans="1:3">
      <c r="A353" s="1" t="s">
        <v>286</v>
      </c>
      <c r="B353" s="1" t="s">
        <v>1541</v>
      </c>
      <c r="C353" s="7" t="s">
        <v>1542</v>
      </c>
    </row>
    <row r="354" spans="1:3">
      <c r="A354" s="1" t="s">
        <v>286</v>
      </c>
      <c r="B354" s="1" t="s">
        <v>1135</v>
      </c>
      <c r="C354" s="7" t="s">
        <v>1543</v>
      </c>
    </row>
    <row r="355" spans="1:3">
      <c r="A355" s="1" t="s">
        <v>286</v>
      </c>
      <c r="B355" s="1" t="s">
        <v>1544</v>
      </c>
      <c r="C355" s="4" t="s">
        <v>1545</v>
      </c>
    </row>
    <row r="356" spans="1:3">
      <c r="A356" s="1" t="s">
        <v>286</v>
      </c>
      <c r="B356" s="1" t="s">
        <v>1546</v>
      </c>
      <c r="C356" s="7" t="s">
        <v>1547</v>
      </c>
    </row>
    <row r="357" spans="1:3">
      <c r="A357" s="1" t="s">
        <v>286</v>
      </c>
      <c r="B357" s="1" t="s">
        <v>1548</v>
      </c>
      <c r="C357" s="7" t="s">
        <v>1549</v>
      </c>
    </row>
    <row r="358" spans="1:3">
      <c r="A358" s="1" t="s">
        <v>286</v>
      </c>
      <c r="B358" s="1" t="s">
        <v>1550</v>
      </c>
      <c r="C358" s="7" t="s">
        <v>497</v>
      </c>
    </row>
    <row r="359" spans="1:3">
      <c r="A359" s="1" t="s">
        <v>286</v>
      </c>
      <c r="B359" s="1" t="s">
        <v>1551</v>
      </c>
      <c r="C359" s="7" t="s">
        <v>1552</v>
      </c>
    </row>
    <row r="360" spans="1:3">
      <c r="A360" s="1" t="s">
        <v>286</v>
      </c>
      <c r="B360" s="1" t="s">
        <v>1553</v>
      </c>
      <c r="C360" s="7" t="s">
        <v>1554</v>
      </c>
    </row>
    <row r="361" spans="1:3">
      <c r="A361" s="1" t="s">
        <v>286</v>
      </c>
      <c r="B361" s="1" t="s">
        <v>1555</v>
      </c>
      <c r="C361" s="7" t="s">
        <v>1556</v>
      </c>
    </row>
    <row r="362" spans="1:3">
      <c r="A362" s="1" t="s">
        <v>286</v>
      </c>
      <c r="B362" s="1" t="s">
        <v>1557</v>
      </c>
      <c r="C362" s="7" t="s">
        <v>1558</v>
      </c>
    </row>
    <row r="363" spans="1:3">
      <c r="A363" s="1" t="s">
        <v>286</v>
      </c>
      <c r="B363" s="1" t="s">
        <v>1559</v>
      </c>
      <c r="C363" s="7" t="s">
        <v>1560</v>
      </c>
    </row>
    <row r="364" spans="1:3">
      <c r="A364" s="1" t="s">
        <v>286</v>
      </c>
      <c r="B364" s="1" t="s">
        <v>1561</v>
      </c>
      <c r="C364" s="7" t="s">
        <v>1562</v>
      </c>
    </row>
    <row r="365" spans="1:3">
      <c r="A365" s="1" t="s">
        <v>286</v>
      </c>
      <c r="B365" s="1" t="s">
        <v>1563</v>
      </c>
      <c r="C365" s="7" t="s">
        <v>1564</v>
      </c>
    </row>
    <row r="366" spans="1:3">
      <c r="A366" s="1" t="s">
        <v>286</v>
      </c>
      <c r="B366" s="1" t="s">
        <v>1565</v>
      </c>
      <c r="C366" s="7" t="s">
        <v>1566</v>
      </c>
    </row>
    <row r="367" spans="1:3">
      <c r="A367" s="1" t="s">
        <v>286</v>
      </c>
      <c r="B367" s="1" t="s">
        <v>1567</v>
      </c>
      <c r="C367" s="7" t="s">
        <v>1568</v>
      </c>
    </row>
    <row r="368" spans="1:3">
      <c r="A368" s="1" t="s">
        <v>286</v>
      </c>
      <c r="B368" s="1" t="s">
        <v>1569</v>
      </c>
      <c r="C368" s="7" t="s">
        <v>1570</v>
      </c>
    </row>
    <row r="369" spans="1:3">
      <c r="A369" s="1" t="s">
        <v>286</v>
      </c>
      <c r="B369" s="1" t="s">
        <v>1571</v>
      </c>
      <c r="C369" s="7" t="s">
        <v>1572</v>
      </c>
    </row>
    <row r="370" spans="1:3">
      <c r="A370" s="1" t="s">
        <v>286</v>
      </c>
      <c r="B370" s="1" t="s">
        <v>1573</v>
      </c>
      <c r="C370" s="7" t="s">
        <v>1574</v>
      </c>
    </row>
    <row r="371" spans="1:3">
      <c r="A371" s="1" t="s">
        <v>286</v>
      </c>
      <c r="B371" s="1" t="s">
        <v>1575</v>
      </c>
      <c r="C371" s="7" t="s">
        <v>1576</v>
      </c>
    </row>
    <row r="372" spans="1:3">
      <c r="A372" s="1" t="s">
        <v>286</v>
      </c>
      <c r="B372" s="1" t="s">
        <v>1577</v>
      </c>
      <c r="C372" s="7" t="s">
        <v>628</v>
      </c>
    </row>
    <row r="373" spans="1:3">
      <c r="A373" s="1" t="s">
        <v>286</v>
      </c>
      <c r="B373" s="1" t="s">
        <v>1578</v>
      </c>
      <c r="C373" s="7" t="s">
        <v>1579</v>
      </c>
    </row>
    <row r="374" spans="1:3">
      <c r="A374" s="1" t="s">
        <v>286</v>
      </c>
      <c r="B374" s="1" t="s">
        <v>1580</v>
      </c>
      <c r="C374" s="7" t="s">
        <v>1581</v>
      </c>
    </row>
    <row r="375" spans="1:3">
      <c r="A375" s="1" t="s">
        <v>286</v>
      </c>
      <c r="B375" s="1" t="s">
        <v>1582</v>
      </c>
      <c r="C375" s="7" t="s">
        <v>1583</v>
      </c>
    </row>
    <row r="376" spans="1:3">
      <c r="A376" s="1" t="s">
        <v>286</v>
      </c>
      <c r="B376" s="1" t="s">
        <v>1584</v>
      </c>
      <c r="C376" s="7" t="s">
        <v>1585</v>
      </c>
    </row>
    <row r="377" spans="1:3">
      <c r="A377" s="1" t="s">
        <v>286</v>
      </c>
      <c r="B377" s="1" t="s">
        <v>1586</v>
      </c>
      <c r="C377" s="7" t="s">
        <v>1587</v>
      </c>
    </row>
    <row r="378" spans="1:3">
      <c r="A378" s="1" t="s">
        <v>286</v>
      </c>
      <c r="B378" s="1" t="s">
        <v>1588</v>
      </c>
      <c r="C378" s="7" t="s">
        <v>537</v>
      </c>
    </row>
    <row r="379" spans="1:3">
      <c r="A379" s="1" t="s">
        <v>286</v>
      </c>
      <c r="B379" s="1" t="s">
        <v>1589</v>
      </c>
      <c r="C379" s="7" t="s">
        <v>1590</v>
      </c>
    </row>
    <row r="380" spans="1:3">
      <c r="A380" s="1" t="s">
        <v>286</v>
      </c>
      <c r="B380" s="1" t="s">
        <v>1591</v>
      </c>
      <c r="C380" s="7" t="s">
        <v>1592</v>
      </c>
    </row>
    <row r="381" spans="1:3">
      <c r="A381" s="1" t="s">
        <v>286</v>
      </c>
      <c r="B381" s="1" t="s">
        <v>1593</v>
      </c>
      <c r="C381" s="7" t="s">
        <v>1594</v>
      </c>
    </row>
    <row r="382" spans="1:3">
      <c r="A382" s="1" t="s">
        <v>286</v>
      </c>
      <c r="B382" s="1" t="s">
        <v>1595</v>
      </c>
      <c r="C382" s="7" t="s">
        <v>1596</v>
      </c>
    </row>
    <row r="383" spans="1:3">
      <c r="A383" s="1" t="s">
        <v>286</v>
      </c>
      <c r="B383" s="1" t="s">
        <v>1597</v>
      </c>
      <c r="C383" s="7" t="s">
        <v>1598</v>
      </c>
    </row>
    <row r="384" spans="1:3">
      <c r="A384" s="1" t="s">
        <v>286</v>
      </c>
      <c r="B384" s="1" t="s">
        <v>1599</v>
      </c>
      <c r="C384" s="7" t="s">
        <v>1600</v>
      </c>
    </row>
    <row r="385" spans="1:3">
      <c r="A385" s="1" t="s">
        <v>286</v>
      </c>
      <c r="B385" s="1" t="s">
        <v>1601</v>
      </c>
      <c r="C385" s="7" t="s">
        <v>1602</v>
      </c>
    </row>
    <row r="386" spans="1:3">
      <c r="A386" s="1" t="s">
        <v>286</v>
      </c>
      <c r="B386" s="1" t="s">
        <v>1603</v>
      </c>
      <c r="C386" s="7" t="s">
        <v>552</v>
      </c>
    </row>
    <row r="387" spans="1:3">
      <c r="A387" s="1" t="s">
        <v>286</v>
      </c>
      <c r="B387" s="1" t="s">
        <v>1604</v>
      </c>
      <c r="C387" s="7" t="s">
        <v>1605</v>
      </c>
    </row>
    <row r="388" spans="1:3">
      <c r="A388" s="1" t="s">
        <v>286</v>
      </c>
      <c r="B388" s="1" t="s">
        <v>1606</v>
      </c>
      <c r="C388" s="7" t="s">
        <v>1607</v>
      </c>
    </row>
    <row r="389" spans="1:3">
      <c r="A389" s="1" t="s">
        <v>286</v>
      </c>
      <c r="B389" s="1" t="s">
        <v>1608</v>
      </c>
      <c r="C389" s="7" t="s">
        <v>1609</v>
      </c>
    </row>
    <row r="390" spans="1:3">
      <c r="A390" s="1" t="s">
        <v>286</v>
      </c>
      <c r="B390" s="1" t="s">
        <v>1610</v>
      </c>
      <c r="C390" s="7" t="s">
        <v>1611</v>
      </c>
    </row>
    <row r="391" spans="1:3">
      <c r="A391" s="1" t="s">
        <v>286</v>
      </c>
      <c r="B391" s="1" t="s">
        <v>1612</v>
      </c>
      <c r="C391" s="7" t="s">
        <v>1613</v>
      </c>
    </row>
    <row r="392" spans="1:3">
      <c r="A392" s="1" t="s">
        <v>286</v>
      </c>
      <c r="B392" s="1" t="s">
        <v>1614</v>
      </c>
      <c r="C392" s="4" t="s">
        <v>1615</v>
      </c>
    </row>
    <row r="393" spans="1:3">
      <c r="A393" s="1" t="s">
        <v>286</v>
      </c>
      <c r="B393" s="1" t="s">
        <v>1616</v>
      </c>
      <c r="C393" s="7" t="s">
        <v>1617</v>
      </c>
    </row>
    <row r="394" spans="1:3">
      <c r="A394" s="1" t="s">
        <v>286</v>
      </c>
      <c r="B394" s="1" t="s">
        <v>1618</v>
      </c>
      <c r="C394" s="7" t="s">
        <v>1619</v>
      </c>
    </row>
    <row r="395" spans="1:3">
      <c r="A395" s="1" t="s">
        <v>286</v>
      </c>
      <c r="B395" s="1" t="s">
        <v>1620</v>
      </c>
      <c r="C395" s="7" t="s">
        <v>1621</v>
      </c>
    </row>
    <row r="396" spans="1:3">
      <c r="A396" s="1" t="s">
        <v>286</v>
      </c>
      <c r="B396" s="1" t="s">
        <v>1622</v>
      </c>
      <c r="C396" s="7" t="s">
        <v>1623</v>
      </c>
    </row>
    <row r="397" spans="1:3">
      <c r="A397" s="1" t="s">
        <v>286</v>
      </c>
      <c r="B397" s="1" t="s">
        <v>1624</v>
      </c>
      <c r="C397" s="7" t="s">
        <v>1625</v>
      </c>
    </row>
    <row r="398" spans="1:3">
      <c r="A398" s="1" t="s">
        <v>286</v>
      </c>
      <c r="B398" s="1" t="s">
        <v>1626</v>
      </c>
      <c r="C398" s="7" t="s">
        <v>1627</v>
      </c>
    </row>
    <row r="399" spans="1:3">
      <c r="A399" s="1" t="s">
        <v>286</v>
      </c>
      <c r="B399" s="1" t="s">
        <v>1628</v>
      </c>
      <c r="C399" s="7" t="s">
        <v>1629</v>
      </c>
    </row>
    <row r="400" spans="1:3">
      <c r="A400" s="1" t="s">
        <v>286</v>
      </c>
      <c r="B400" s="1" t="s">
        <v>1630</v>
      </c>
      <c r="C400" s="7" t="s">
        <v>1631</v>
      </c>
    </row>
    <row r="401" spans="1:3">
      <c r="A401" s="1" t="s">
        <v>286</v>
      </c>
      <c r="B401" s="1" t="s">
        <v>1632</v>
      </c>
      <c r="C401" s="7" t="s">
        <v>1633</v>
      </c>
    </row>
    <row r="402" spans="1:3">
      <c r="A402" s="1" t="s">
        <v>286</v>
      </c>
      <c r="B402" s="1" t="s">
        <v>1634</v>
      </c>
      <c r="C402" s="7" t="s">
        <v>1635</v>
      </c>
    </row>
    <row r="403" spans="1:3">
      <c r="A403" s="1" t="s">
        <v>286</v>
      </c>
      <c r="B403" s="1" t="s">
        <v>1636</v>
      </c>
      <c r="C403" s="7" t="s">
        <v>1637</v>
      </c>
    </row>
    <row r="404" spans="1:3">
      <c r="A404" s="1" t="s">
        <v>286</v>
      </c>
      <c r="B404" s="1" t="s">
        <v>1638</v>
      </c>
      <c r="C404" s="7" t="s">
        <v>1639</v>
      </c>
    </row>
    <row r="405" spans="1:3">
      <c r="A405" s="1" t="s">
        <v>286</v>
      </c>
      <c r="B405" s="1" t="s">
        <v>1640</v>
      </c>
      <c r="C405" s="7" t="s">
        <v>1641</v>
      </c>
    </row>
    <row r="406" spans="1:3">
      <c r="A406" s="1" t="s">
        <v>286</v>
      </c>
      <c r="B406" s="1" t="s">
        <v>1642</v>
      </c>
      <c r="C406" s="7" t="s">
        <v>1643</v>
      </c>
    </row>
    <row r="407" spans="1:3">
      <c r="A407" s="1" t="s">
        <v>286</v>
      </c>
      <c r="B407" s="1" t="s">
        <v>1644</v>
      </c>
      <c r="C407" s="7" t="s">
        <v>1645</v>
      </c>
    </row>
    <row r="408" spans="1:3">
      <c r="A408" s="1" t="s">
        <v>286</v>
      </c>
      <c r="B408" s="1" t="s">
        <v>1646</v>
      </c>
      <c r="C408" s="4" t="s">
        <v>1647</v>
      </c>
    </row>
    <row r="409" spans="1:3">
      <c r="A409" s="1" t="s">
        <v>286</v>
      </c>
      <c r="B409" s="1" t="s">
        <v>1648</v>
      </c>
      <c r="C409" s="7" t="s">
        <v>1649</v>
      </c>
    </row>
    <row r="410" spans="1:3">
      <c r="A410" s="1" t="s">
        <v>286</v>
      </c>
      <c r="B410" s="1" t="s">
        <v>1650</v>
      </c>
      <c r="C410" s="7" t="s">
        <v>1651</v>
      </c>
    </row>
    <row r="411" spans="1:3">
      <c r="A411" s="1" t="s">
        <v>286</v>
      </c>
      <c r="B411" s="1" t="s">
        <v>1652</v>
      </c>
      <c r="C411" s="7" t="s">
        <v>1653</v>
      </c>
    </row>
    <row r="412" spans="1:3">
      <c r="A412" s="1" t="s">
        <v>286</v>
      </c>
      <c r="B412" s="1" t="s">
        <v>1654</v>
      </c>
      <c r="C412" s="7" t="s">
        <v>1655</v>
      </c>
    </row>
    <row r="413" spans="1:3">
      <c r="A413" s="1" t="s">
        <v>286</v>
      </c>
      <c r="B413" s="1" t="s">
        <v>1656</v>
      </c>
      <c r="C413" s="7" t="s">
        <v>1657</v>
      </c>
    </row>
    <row r="414" spans="1:3">
      <c r="A414" s="1" t="s">
        <v>286</v>
      </c>
      <c r="B414" s="1" t="s">
        <v>1658</v>
      </c>
      <c r="C414" s="7" t="s">
        <v>1659</v>
      </c>
    </row>
    <row r="415" spans="1:3">
      <c r="A415" s="1" t="s">
        <v>286</v>
      </c>
      <c r="B415" s="1" t="s">
        <v>1660</v>
      </c>
      <c r="C415" s="7" t="s">
        <v>1637</v>
      </c>
    </row>
    <row r="416" spans="1:3">
      <c r="A416" s="1" t="s">
        <v>286</v>
      </c>
      <c r="B416" s="1" t="s">
        <v>1661</v>
      </c>
      <c r="C416" s="7" t="s">
        <v>1662</v>
      </c>
    </row>
    <row r="417" spans="1:3">
      <c r="A417" s="1" t="s">
        <v>286</v>
      </c>
      <c r="B417" s="1" t="s">
        <v>1663</v>
      </c>
      <c r="C417" s="7" t="s">
        <v>1664</v>
      </c>
    </row>
    <row r="418" spans="1:3">
      <c r="A418" s="1" t="s">
        <v>286</v>
      </c>
      <c r="B418" s="1" t="s">
        <v>1665</v>
      </c>
      <c r="C418" s="7" t="s">
        <v>1666</v>
      </c>
    </row>
    <row r="419" spans="1:3">
      <c r="A419" s="1" t="s">
        <v>286</v>
      </c>
      <c r="B419" s="1" t="s">
        <v>1667</v>
      </c>
      <c r="C419" s="7" t="s">
        <v>1668</v>
      </c>
    </row>
    <row r="420" spans="1:3">
      <c r="A420" s="1" t="s">
        <v>286</v>
      </c>
      <c r="B420" s="1" t="s">
        <v>1669</v>
      </c>
      <c r="C420" s="7" t="s">
        <v>1670</v>
      </c>
    </row>
    <row r="421" spans="1:3">
      <c r="A421" s="1" t="s">
        <v>286</v>
      </c>
      <c r="B421" s="1" t="s">
        <v>1671</v>
      </c>
      <c r="C421" s="7" t="s">
        <v>1672</v>
      </c>
    </row>
    <row r="422" spans="1:3">
      <c r="A422" s="1" t="s">
        <v>286</v>
      </c>
      <c r="B422" s="1" t="s">
        <v>1673</v>
      </c>
      <c r="C422" s="7" t="s">
        <v>1674</v>
      </c>
    </row>
    <row r="423" spans="1:3">
      <c r="A423" s="1" t="s">
        <v>286</v>
      </c>
      <c r="B423" s="1" t="s">
        <v>1675</v>
      </c>
      <c r="C423" s="7" t="s">
        <v>1676</v>
      </c>
    </row>
    <row r="424" spans="1:3">
      <c r="A424" s="1" t="s">
        <v>286</v>
      </c>
      <c r="B424" s="1" t="s">
        <v>1677</v>
      </c>
      <c r="C424" s="7" t="s">
        <v>1678</v>
      </c>
    </row>
    <row r="425" spans="1:3">
      <c r="A425" s="1" t="s">
        <v>286</v>
      </c>
      <c r="B425" s="1" t="s">
        <v>1679</v>
      </c>
      <c r="C425" s="7" t="s">
        <v>1680</v>
      </c>
    </row>
    <row r="426" spans="1:3">
      <c r="A426" s="1" t="s">
        <v>286</v>
      </c>
      <c r="B426" s="1" t="s">
        <v>1681</v>
      </c>
      <c r="C426" s="7" t="s">
        <v>1682</v>
      </c>
    </row>
    <row r="427" spans="1:3">
      <c r="A427" s="1" t="s">
        <v>286</v>
      </c>
      <c r="B427" s="1" t="s">
        <v>1683</v>
      </c>
      <c r="C427" s="7" t="s">
        <v>1684</v>
      </c>
    </row>
    <row r="428" spans="1:3">
      <c r="A428" s="1" t="s">
        <v>286</v>
      </c>
      <c r="B428" s="1" t="s">
        <v>1685</v>
      </c>
      <c r="C428" s="7" t="s">
        <v>1686</v>
      </c>
    </row>
    <row r="429" spans="1:3">
      <c r="A429" s="1" t="s">
        <v>286</v>
      </c>
      <c r="B429" s="1" t="s">
        <v>1687</v>
      </c>
      <c r="C429" s="7" t="s">
        <v>1688</v>
      </c>
    </row>
    <row r="430" spans="1:3">
      <c r="A430" s="1" t="s">
        <v>286</v>
      </c>
      <c r="B430" s="1" t="s">
        <v>1689</v>
      </c>
      <c r="C430" s="7" t="s">
        <v>1690</v>
      </c>
    </row>
    <row r="431" spans="1:3">
      <c r="A431" s="1" t="s">
        <v>286</v>
      </c>
      <c r="B431" s="1" t="s">
        <v>1691</v>
      </c>
      <c r="C431" s="7" t="s">
        <v>1692</v>
      </c>
    </row>
    <row r="432" spans="1:3">
      <c r="A432" s="1" t="s">
        <v>286</v>
      </c>
      <c r="B432" s="1" t="s">
        <v>1693</v>
      </c>
      <c r="C432" s="7" t="s">
        <v>1694</v>
      </c>
    </row>
    <row r="433" spans="1:3">
      <c r="A433" s="1" t="s">
        <v>286</v>
      </c>
      <c r="B433" s="1" t="s">
        <v>1695</v>
      </c>
      <c r="C433" s="7" t="s">
        <v>1696</v>
      </c>
    </row>
    <row r="434" spans="1:3">
      <c r="A434" s="1" t="s">
        <v>286</v>
      </c>
      <c r="B434" s="1" t="s">
        <v>1697</v>
      </c>
      <c r="C434" s="7" t="s">
        <v>1698</v>
      </c>
    </row>
    <row r="435" spans="1:3">
      <c r="A435" s="1" t="s">
        <v>286</v>
      </c>
      <c r="B435" s="1" t="s">
        <v>1699</v>
      </c>
      <c r="C435" s="7" t="s">
        <v>1700</v>
      </c>
    </row>
    <row r="436" spans="1:3">
      <c r="A436" s="1" t="s">
        <v>286</v>
      </c>
      <c r="B436" s="1" t="s">
        <v>1701</v>
      </c>
      <c r="C436" s="7" t="s">
        <v>1702</v>
      </c>
    </row>
    <row r="437" spans="1:3">
      <c r="A437" s="1" t="s">
        <v>286</v>
      </c>
      <c r="B437" s="1" t="s">
        <v>1703</v>
      </c>
      <c r="C437" s="7" t="s">
        <v>1704</v>
      </c>
    </row>
    <row r="438" spans="1:3">
      <c r="A438" s="1" t="s">
        <v>286</v>
      </c>
      <c r="B438" s="1" t="s">
        <v>1705</v>
      </c>
      <c r="C438" s="7" t="s">
        <v>1706</v>
      </c>
    </row>
    <row r="439" spans="1:3">
      <c r="A439" s="1" t="s">
        <v>286</v>
      </c>
      <c r="B439" s="1" t="s">
        <v>1707</v>
      </c>
      <c r="C439" s="7" t="s">
        <v>1708</v>
      </c>
    </row>
    <row r="440" spans="1:3">
      <c r="A440" s="1" t="s">
        <v>286</v>
      </c>
      <c r="B440" s="1" t="s">
        <v>1709</v>
      </c>
      <c r="C440" s="7" t="s">
        <v>1710</v>
      </c>
    </row>
    <row r="441" spans="1:3" ht="19.5" customHeight="1">
      <c r="A441" s="5" t="s">
        <v>1711</v>
      </c>
      <c r="B441" s="6"/>
      <c r="C441" s="6"/>
    </row>
    <row r="442" spans="1:3">
      <c r="A442" s="1" t="s">
        <v>378</v>
      </c>
      <c r="B442" s="1" t="s">
        <v>981</v>
      </c>
      <c r="C442" s="7" t="s">
        <v>1712</v>
      </c>
    </row>
    <row r="443" spans="1:3">
      <c r="A443" s="1" t="s">
        <v>378</v>
      </c>
      <c r="B443" s="1" t="s">
        <v>1713</v>
      </c>
      <c r="C443" s="7" t="s">
        <v>1714</v>
      </c>
    </row>
    <row r="444" spans="1:3">
      <c r="A444" s="1" t="s">
        <v>378</v>
      </c>
      <c r="B444" s="1" t="s">
        <v>1715</v>
      </c>
      <c r="C444" s="7" t="s">
        <v>1716</v>
      </c>
    </row>
    <row r="445" spans="1:3">
      <c r="A445" s="1" t="s">
        <v>378</v>
      </c>
      <c r="B445" s="1" t="s">
        <v>1717</v>
      </c>
      <c r="C445" s="7" t="s">
        <v>1718</v>
      </c>
    </row>
    <row r="446" spans="1:3">
      <c r="A446" s="1" t="s">
        <v>378</v>
      </c>
      <c r="B446" s="1" t="s">
        <v>1073</v>
      </c>
      <c r="C446" s="7" t="s">
        <v>1719</v>
      </c>
    </row>
    <row r="447" spans="1:3">
      <c r="A447" s="1" t="s">
        <v>378</v>
      </c>
      <c r="B447" s="1" t="s">
        <v>1242</v>
      </c>
      <c r="C447" s="7" t="s">
        <v>1720</v>
      </c>
    </row>
    <row r="448" spans="1:3">
      <c r="A448" s="1" t="s">
        <v>378</v>
      </c>
      <c r="B448" s="1" t="s">
        <v>1721</v>
      </c>
      <c r="C448" s="7" t="s">
        <v>1722</v>
      </c>
    </row>
    <row r="449" spans="1:3">
      <c r="A449" s="1" t="s">
        <v>378</v>
      </c>
      <c r="B449" s="1" t="s">
        <v>1723</v>
      </c>
      <c r="C449" s="7" t="s">
        <v>1716</v>
      </c>
    </row>
    <row r="450" spans="1:3">
      <c r="A450" s="1" t="s">
        <v>378</v>
      </c>
      <c r="B450" s="1" t="s">
        <v>985</v>
      </c>
      <c r="C450" s="7" t="s">
        <v>1724</v>
      </c>
    </row>
    <row r="451" spans="1:3">
      <c r="A451" s="1" t="s">
        <v>378</v>
      </c>
      <c r="B451" s="1" t="s">
        <v>988</v>
      </c>
      <c r="C451" s="7" t="s">
        <v>198</v>
      </c>
    </row>
    <row r="452" spans="1:3">
      <c r="A452" s="1" t="s">
        <v>378</v>
      </c>
      <c r="B452" s="1" t="s">
        <v>1421</v>
      </c>
      <c r="C452" s="7" t="s">
        <v>435</v>
      </c>
    </row>
    <row r="453" spans="1:3">
      <c r="A453" s="1" t="s">
        <v>378</v>
      </c>
      <c r="B453" s="1" t="s">
        <v>1725</v>
      </c>
      <c r="C453" s="7" t="s">
        <v>298</v>
      </c>
    </row>
    <row r="454" spans="1:3">
      <c r="A454" s="1" t="s">
        <v>378</v>
      </c>
      <c r="B454" s="1" t="s">
        <v>1076</v>
      </c>
      <c r="C454" s="7" t="s">
        <v>1726</v>
      </c>
    </row>
    <row r="455" spans="1:3">
      <c r="A455" s="1" t="s">
        <v>378</v>
      </c>
      <c r="B455" s="1" t="s">
        <v>1078</v>
      </c>
      <c r="C455" s="7" t="s">
        <v>1727</v>
      </c>
    </row>
    <row r="456" spans="1:3">
      <c r="A456" s="1" t="s">
        <v>378</v>
      </c>
      <c r="B456" s="1" t="s">
        <v>1728</v>
      </c>
      <c r="C456" s="7" t="s">
        <v>198</v>
      </c>
    </row>
    <row r="457" spans="1:3">
      <c r="A457" s="1" t="s">
        <v>378</v>
      </c>
      <c r="B457" s="1" t="s">
        <v>1729</v>
      </c>
      <c r="C457" s="7" t="s">
        <v>435</v>
      </c>
    </row>
    <row r="458" spans="1:3">
      <c r="A458" s="1" t="s">
        <v>378</v>
      </c>
      <c r="B458" s="1" t="s">
        <v>990</v>
      </c>
      <c r="C458" s="7" t="s">
        <v>1730</v>
      </c>
    </row>
    <row r="459" spans="1:3">
      <c r="A459" s="1" t="s">
        <v>378</v>
      </c>
      <c r="B459" s="1" t="s">
        <v>994</v>
      </c>
      <c r="C459" s="7" t="s">
        <v>189</v>
      </c>
    </row>
    <row r="460" spans="1:3">
      <c r="A460" s="1" t="s">
        <v>378</v>
      </c>
      <c r="B460" s="1" t="s">
        <v>1731</v>
      </c>
      <c r="C460" s="7" t="s">
        <v>435</v>
      </c>
    </row>
    <row r="461" spans="1:3">
      <c r="A461" s="1" t="s">
        <v>378</v>
      </c>
      <c r="B461" s="1" t="s">
        <v>1732</v>
      </c>
      <c r="C461" s="7" t="s">
        <v>224</v>
      </c>
    </row>
    <row r="462" spans="1:3">
      <c r="A462" s="1" t="s">
        <v>378</v>
      </c>
      <c r="B462" s="1" t="s">
        <v>1080</v>
      </c>
      <c r="C462" s="7" t="s">
        <v>188</v>
      </c>
    </row>
    <row r="463" spans="1:3">
      <c r="A463" s="1" t="s">
        <v>378</v>
      </c>
      <c r="B463" s="1" t="s">
        <v>1082</v>
      </c>
      <c r="C463" s="7" t="s">
        <v>1733</v>
      </c>
    </row>
    <row r="464" spans="1:3">
      <c r="A464" s="1" t="s">
        <v>378</v>
      </c>
      <c r="B464" s="1" t="s">
        <v>1084</v>
      </c>
      <c r="C464" s="7" t="s">
        <v>189</v>
      </c>
    </row>
    <row r="465" spans="1:3">
      <c r="A465" s="1" t="s">
        <v>378</v>
      </c>
      <c r="B465" s="1" t="s">
        <v>1734</v>
      </c>
      <c r="C465" s="7" t="s">
        <v>435</v>
      </c>
    </row>
    <row r="466" spans="1:3">
      <c r="A466" s="1" t="s">
        <v>378</v>
      </c>
      <c r="B466" s="1" t="s">
        <v>996</v>
      </c>
      <c r="C466" s="7" t="s">
        <v>1735</v>
      </c>
    </row>
    <row r="467" spans="1:3">
      <c r="A467" s="1" t="s">
        <v>378</v>
      </c>
      <c r="B467" s="1" t="s">
        <v>1000</v>
      </c>
      <c r="C467" s="7" t="s">
        <v>216</v>
      </c>
    </row>
    <row r="468" spans="1:3">
      <c r="A468" s="1" t="s">
        <v>378</v>
      </c>
      <c r="B468" s="1" t="s">
        <v>1736</v>
      </c>
      <c r="C468" s="7" t="s">
        <v>435</v>
      </c>
    </row>
    <row r="469" spans="1:3">
      <c r="A469" s="1" t="s">
        <v>378</v>
      </c>
      <c r="B469" s="1" t="s">
        <v>1737</v>
      </c>
      <c r="C469" s="7" t="s">
        <v>277</v>
      </c>
    </row>
    <row r="470" spans="1:3">
      <c r="A470" s="1" t="s">
        <v>378</v>
      </c>
      <c r="B470" s="1" t="s">
        <v>1738</v>
      </c>
      <c r="C470" s="7" t="s">
        <v>1739</v>
      </c>
    </row>
    <row r="471" spans="1:3">
      <c r="A471" s="1" t="s">
        <v>378</v>
      </c>
      <c r="B471" s="1" t="s">
        <v>1263</v>
      </c>
      <c r="C471" s="7" t="s">
        <v>961</v>
      </c>
    </row>
    <row r="472" spans="1:3">
      <c r="A472" s="1" t="s">
        <v>378</v>
      </c>
      <c r="B472" s="1" t="s">
        <v>1740</v>
      </c>
      <c r="C472" s="7" t="s">
        <v>216</v>
      </c>
    </row>
    <row r="473" spans="1:3">
      <c r="A473" s="1" t="s">
        <v>378</v>
      </c>
      <c r="B473" s="1" t="s">
        <v>1741</v>
      </c>
      <c r="C473" s="7" t="s">
        <v>435</v>
      </c>
    </row>
    <row r="474" spans="1:3">
      <c r="A474" s="1" t="s">
        <v>378</v>
      </c>
      <c r="B474" s="1" t="s">
        <v>1742</v>
      </c>
      <c r="C474" s="7" t="s">
        <v>207</v>
      </c>
    </row>
    <row r="475" spans="1:3">
      <c r="A475" s="1" t="s">
        <v>378</v>
      </c>
      <c r="B475" s="1" t="s">
        <v>1743</v>
      </c>
      <c r="C475" s="7" t="s">
        <v>435</v>
      </c>
    </row>
    <row r="476" spans="1:3">
      <c r="A476" s="1" t="s">
        <v>378</v>
      </c>
      <c r="B476" s="1" t="s">
        <v>1744</v>
      </c>
      <c r="C476" s="7" t="s">
        <v>273</v>
      </c>
    </row>
    <row r="477" spans="1:3">
      <c r="A477" s="1" t="s">
        <v>378</v>
      </c>
      <c r="B477" s="1" t="s">
        <v>1092</v>
      </c>
      <c r="C477" s="7" t="s">
        <v>1745</v>
      </c>
    </row>
    <row r="478" spans="1:3">
      <c r="A478" s="1" t="s">
        <v>378</v>
      </c>
      <c r="B478" s="1" t="s">
        <v>1746</v>
      </c>
      <c r="C478" s="7" t="s">
        <v>207</v>
      </c>
    </row>
    <row r="479" spans="1:3">
      <c r="A479" s="1" t="s">
        <v>378</v>
      </c>
      <c r="B479" s="1" t="s">
        <v>1094</v>
      </c>
      <c r="C479" s="7" t="s">
        <v>435</v>
      </c>
    </row>
    <row r="480" spans="1:3">
      <c r="A480" s="1" t="s">
        <v>378</v>
      </c>
      <c r="B480" s="1" t="s">
        <v>1004</v>
      </c>
      <c r="C480" s="7" t="s">
        <v>1747</v>
      </c>
    </row>
    <row r="481" spans="1:3">
      <c r="A481" s="1" t="s">
        <v>378</v>
      </c>
      <c r="B481" s="1" t="s">
        <v>1748</v>
      </c>
      <c r="C481" s="7" t="s">
        <v>233</v>
      </c>
    </row>
    <row r="482" spans="1:3">
      <c r="A482" s="1" t="s">
        <v>378</v>
      </c>
      <c r="B482" s="1" t="s">
        <v>1749</v>
      </c>
      <c r="C482" s="7" t="s">
        <v>435</v>
      </c>
    </row>
    <row r="483" spans="1:3">
      <c r="A483" s="1" t="s">
        <v>378</v>
      </c>
      <c r="B483" s="1" t="s">
        <v>1750</v>
      </c>
      <c r="C483" s="7" t="s">
        <v>305</v>
      </c>
    </row>
    <row r="484" spans="1:3">
      <c r="A484" s="1" t="s">
        <v>378</v>
      </c>
      <c r="B484" s="1" t="s">
        <v>1751</v>
      </c>
      <c r="C484" s="7" t="s">
        <v>1752</v>
      </c>
    </row>
    <row r="485" spans="1:3">
      <c r="A485" s="1" t="s">
        <v>378</v>
      </c>
      <c r="B485" s="1" t="s">
        <v>1271</v>
      </c>
      <c r="C485" s="7" t="s">
        <v>1753</v>
      </c>
    </row>
    <row r="486" spans="1:3">
      <c r="A486" s="1" t="s">
        <v>378</v>
      </c>
      <c r="B486" s="1" t="s">
        <v>1754</v>
      </c>
      <c r="C486" s="7" t="s">
        <v>233</v>
      </c>
    </row>
    <row r="487" spans="1:3">
      <c r="A487" s="1" t="s">
        <v>378</v>
      </c>
      <c r="B487" s="1" t="s">
        <v>1755</v>
      </c>
      <c r="C487" s="7" t="s">
        <v>435</v>
      </c>
    </row>
    <row r="488" spans="1:3">
      <c r="A488" s="1" t="s">
        <v>378</v>
      </c>
      <c r="B488" s="1" t="s">
        <v>1008</v>
      </c>
      <c r="C488" s="4" t="s">
        <v>1756</v>
      </c>
    </row>
    <row r="489" spans="1:3">
      <c r="A489" s="1" t="s">
        <v>378</v>
      </c>
      <c r="B489" s="1" t="s">
        <v>1757</v>
      </c>
      <c r="C489" s="7" t="s">
        <v>242</v>
      </c>
    </row>
    <row r="490" spans="1:3">
      <c r="A490" s="1" t="s">
        <v>378</v>
      </c>
      <c r="B490" s="1" t="s">
        <v>1758</v>
      </c>
      <c r="C490" s="7" t="s">
        <v>435</v>
      </c>
    </row>
    <row r="491" spans="1:3">
      <c r="A491" s="1" t="s">
        <v>378</v>
      </c>
      <c r="B491" s="1" t="s">
        <v>1759</v>
      </c>
      <c r="C491" s="7" t="s">
        <v>312</v>
      </c>
    </row>
    <row r="492" spans="1:3">
      <c r="A492" s="1" t="s">
        <v>378</v>
      </c>
      <c r="B492" s="1" t="s">
        <v>1760</v>
      </c>
      <c r="C492" s="7" t="s">
        <v>1761</v>
      </c>
    </row>
    <row r="493" spans="1:3">
      <c r="A493" s="1" t="s">
        <v>378</v>
      </c>
      <c r="B493" s="1" t="s">
        <v>1276</v>
      </c>
      <c r="C493" s="4" t="s">
        <v>1762</v>
      </c>
    </row>
    <row r="494" spans="1:3">
      <c r="A494" s="1" t="s">
        <v>378</v>
      </c>
      <c r="B494" s="1" t="s">
        <v>1763</v>
      </c>
      <c r="C494" s="7" t="s">
        <v>242</v>
      </c>
    </row>
    <row r="495" spans="1:3">
      <c r="A495" s="1" t="s">
        <v>378</v>
      </c>
      <c r="B495" s="1" t="s">
        <v>1764</v>
      </c>
      <c r="C495" s="7" t="s">
        <v>435</v>
      </c>
    </row>
    <row r="496" spans="1:3">
      <c r="A496" s="1" t="s">
        <v>378</v>
      </c>
      <c r="B496" s="1" t="s">
        <v>1278</v>
      </c>
      <c r="C496" s="7" t="s">
        <v>1311</v>
      </c>
    </row>
    <row r="497" spans="1:3">
      <c r="A497" s="1" t="s">
        <v>378</v>
      </c>
      <c r="B497" s="1" t="s">
        <v>1097</v>
      </c>
      <c r="C497" s="7" t="s">
        <v>1765</v>
      </c>
    </row>
    <row r="498" spans="1:3">
      <c r="A498" s="1" t="s">
        <v>378</v>
      </c>
      <c r="B498" s="1" t="s">
        <v>1766</v>
      </c>
      <c r="C498" s="7" t="s">
        <v>1767</v>
      </c>
    </row>
    <row r="499" spans="1:3">
      <c r="A499" s="1" t="s">
        <v>378</v>
      </c>
      <c r="B499" s="1" t="s">
        <v>1768</v>
      </c>
      <c r="C499" s="7" t="s">
        <v>435</v>
      </c>
    </row>
    <row r="500" spans="1:3">
      <c r="A500" s="1" t="s">
        <v>378</v>
      </c>
      <c r="B500" s="1" t="s">
        <v>1769</v>
      </c>
      <c r="C500" s="7" t="s">
        <v>289</v>
      </c>
    </row>
    <row r="501" spans="1:3">
      <c r="A501" s="1" t="s">
        <v>378</v>
      </c>
      <c r="B501" s="1" t="s">
        <v>1770</v>
      </c>
      <c r="C501" s="7" t="s">
        <v>1771</v>
      </c>
    </row>
    <row r="502" spans="1:3">
      <c r="A502" s="1" t="s">
        <v>378</v>
      </c>
      <c r="B502" s="1" t="s">
        <v>1772</v>
      </c>
      <c r="C502" s="7" t="s">
        <v>1767</v>
      </c>
    </row>
    <row r="503" spans="1:3">
      <c r="A503" s="1" t="s">
        <v>378</v>
      </c>
      <c r="B503" s="1" t="s">
        <v>1773</v>
      </c>
      <c r="C503" s="7" t="s">
        <v>435</v>
      </c>
    </row>
    <row r="504" spans="1:3" ht="25.5" customHeight="1">
      <c r="A504" s="1" t="s">
        <v>378</v>
      </c>
      <c r="B504" s="1" t="s">
        <v>1280</v>
      </c>
      <c r="C504" s="7" t="s">
        <v>1774</v>
      </c>
    </row>
    <row r="505" spans="1:3">
      <c r="A505" s="1" t="s">
        <v>378</v>
      </c>
      <c r="B505" s="1" t="s">
        <v>1775</v>
      </c>
      <c r="C505" s="7" t="s">
        <v>251</v>
      </c>
    </row>
    <row r="506" spans="1:3">
      <c r="A506" s="1" t="s">
        <v>378</v>
      </c>
      <c r="B506" s="1" t="s">
        <v>1776</v>
      </c>
      <c r="C506" s="7" t="s">
        <v>435</v>
      </c>
    </row>
    <row r="507" spans="1:3">
      <c r="A507" s="1" t="s">
        <v>378</v>
      </c>
      <c r="B507" s="1" t="s">
        <v>1777</v>
      </c>
      <c r="C507" s="7" t="s">
        <v>218</v>
      </c>
    </row>
    <row r="508" spans="1:3">
      <c r="A508" s="1" t="s">
        <v>378</v>
      </c>
      <c r="B508" s="1" t="s">
        <v>1778</v>
      </c>
      <c r="C508" s="7" t="s">
        <v>1779</v>
      </c>
    </row>
    <row r="509" spans="1:3">
      <c r="A509" s="1" t="s">
        <v>378</v>
      </c>
      <c r="B509" s="1" t="s">
        <v>1780</v>
      </c>
      <c r="C509" s="7" t="s">
        <v>251</v>
      </c>
    </row>
    <row r="510" spans="1:3">
      <c r="A510" s="1" t="s">
        <v>378</v>
      </c>
      <c r="B510" s="1" t="s">
        <v>1781</v>
      </c>
      <c r="C510" s="7" t="s">
        <v>435</v>
      </c>
    </row>
    <row r="511" spans="1:3">
      <c r="A511" s="1" t="s">
        <v>378</v>
      </c>
      <c r="B511" s="1" t="s">
        <v>1282</v>
      </c>
      <c r="C511" s="4" t="s">
        <v>1782</v>
      </c>
    </row>
    <row r="512" spans="1:3">
      <c r="A512" s="1" t="s">
        <v>378</v>
      </c>
      <c r="B512" s="1" t="s">
        <v>1783</v>
      </c>
      <c r="C512" s="7" t="s">
        <v>258</v>
      </c>
    </row>
    <row r="513" spans="1:3">
      <c r="A513" s="1" t="s">
        <v>378</v>
      </c>
      <c r="B513" s="1" t="s">
        <v>1784</v>
      </c>
      <c r="C513" s="7" t="s">
        <v>435</v>
      </c>
    </row>
    <row r="514" spans="1:3">
      <c r="A514" s="1" t="s">
        <v>378</v>
      </c>
      <c r="B514" s="1" t="s">
        <v>1785</v>
      </c>
      <c r="C514" s="7" t="s">
        <v>235</v>
      </c>
    </row>
    <row r="515" spans="1:3">
      <c r="A515" s="1" t="s">
        <v>378</v>
      </c>
      <c r="B515" s="1" t="s">
        <v>1786</v>
      </c>
      <c r="C515" s="7" t="s">
        <v>1787</v>
      </c>
    </row>
    <row r="516" spans="1:3">
      <c r="A516" s="1" t="s">
        <v>378</v>
      </c>
      <c r="B516" s="1" t="s">
        <v>1788</v>
      </c>
      <c r="C516" s="7" t="s">
        <v>258</v>
      </c>
    </row>
    <row r="517" spans="1:3">
      <c r="A517" s="1" t="s">
        <v>378</v>
      </c>
      <c r="B517" s="1" t="s">
        <v>1789</v>
      </c>
      <c r="C517" s="7" t="s">
        <v>435</v>
      </c>
    </row>
    <row r="518" spans="1:3">
      <c r="A518" s="1" t="s">
        <v>378</v>
      </c>
      <c r="B518" s="1" t="s">
        <v>1102</v>
      </c>
      <c r="C518" s="4" t="s">
        <v>1762</v>
      </c>
    </row>
    <row r="519" spans="1:3">
      <c r="A519" s="1" t="s">
        <v>378</v>
      </c>
      <c r="B519" s="1" t="s">
        <v>1790</v>
      </c>
      <c r="C519" s="7" t="s">
        <v>265</v>
      </c>
    </row>
    <row r="520" spans="1:3">
      <c r="A520" s="1" t="s">
        <v>378</v>
      </c>
      <c r="B520" s="1" t="s">
        <v>1791</v>
      </c>
      <c r="C520" s="7" t="s">
        <v>435</v>
      </c>
    </row>
    <row r="521" spans="1:3">
      <c r="A521" s="1" t="s">
        <v>378</v>
      </c>
      <c r="B521" s="1" t="s">
        <v>1792</v>
      </c>
      <c r="C521" s="7" t="s">
        <v>1714</v>
      </c>
    </row>
    <row r="522" spans="1:3">
      <c r="A522" s="1" t="s">
        <v>378</v>
      </c>
      <c r="B522" s="1" t="s">
        <v>1793</v>
      </c>
      <c r="C522" s="7" t="s">
        <v>265</v>
      </c>
    </row>
    <row r="523" spans="1:3">
      <c r="A523" s="1" t="s">
        <v>378</v>
      </c>
      <c r="B523" s="1" t="s">
        <v>1794</v>
      </c>
      <c r="C523" s="7" t="s">
        <v>435</v>
      </c>
    </row>
    <row r="524" spans="1:3">
      <c r="A524" s="1" t="s">
        <v>378</v>
      </c>
      <c r="B524" s="1" t="s">
        <v>1105</v>
      </c>
      <c r="C524" s="7" t="s">
        <v>1795</v>
      </c>
    </row>
    <row r="525" spans="1:3">
      <c r="A525" s="1" t="s">
        <v>378</v>
      </c>
      <c r="B525" s="1" t="s">
        <v>1796</v>
      </c>
      <c r="C525" s="7" t="s">
        <v>301</v>
      </c>
    </row>
    <row r="526" spans="1:3">
      <c r="A526" s="1" t="s">
        <v>378</v>
      </c>
      <c r="B526" s="1" t="s">
        <v>1797</v>
      </c>
      <c r="C526" s="7" t="s">
        <v>435</v>
      </c>
    </row>
    <row r="527" spans="1:3">
      <c r="A527" s="1" t="s">
        <v>378</v>
      </c>
      <c r="B527" s="1" t="s">
        <v>1798</v>
      </c>
      <c r="C527" s="7" t="s">
        <v>1799</v>
      </c>
    </row>
    <row r="528" spans="1:3">
      <c r="A528" s="1" t="s">
        <v>378</v>
      </c>
      <c r="B528" s="1" t="s">
        <v>1472</v>
      </c>
      <c r="C528" s="7" t="s">
        <v>301</v>
      </c>
    </row>
    <row r="529" spans="1:3">
      <c r="A529" s="1" t="s">
        <v>378</v>
      </c>
      <c r="B529" s="1" t="s">
        <v>1800</v>
      </c>
      <c r="C529" s="7" t="s">
        <v>435</v>
      </c>
    </row>
    <row r="530" spans="1:3">
      <c r="A530" s="1" t="s">
        <v>378</v>
      </c>
      <c r="B530" s="1" t="s">
        <v>1108</v>
      </c>
      <c r="C530" s="4" t="s">
        <v>1801</v>
      </c>
    </row>
    <row r="531" spans="1:3">
      <c r="A531" s="1" t="s">
        <v>378</v>
      </c>
      <c r="B531" s="1" t="s">
        <v>1802</v>
      </c>
      <c r="C531" s="7" t="s">
        <v>280</v>
      </c>
    </row>
    <row r="532" spans="1:3">
      <c r="A532" s="1" t="s">
        <v>378</v>
      </c>
      <c r="B532" s="1" t="s">
        <v>1803</v>
      </c>
      <c r="C532" s="7" t="s">
        <v>435</v>
      </c>
    </row>
    <row r="533" spans="1:3">
      <c r="A533" s="1" t="s">
        <v>378</v>
      </c>
      <c r="B533" s="1" t="s">
        <v>1804</v>
      </c>
      <c r="C533" s="7" t="s">
        <v>1805</v>
      </c>
    </row>
    <row r="534" spans="1:3">
      <c r="A534" s="1" t="s">
        <v>378</v>
      </c>
      <c r="B534" s="1" t="s">
        <v>1806</v>
      </c>
      <c r="C534" s="7" t="s">
        <v>280</v>
      </c>
    </row>
    <row r="535" spans="1:3">
      <c r="A535" s="1" t="s">
        <v>378</v>
      </c>
      <c r="B535" s="1" t="s">
        <v>1807</v>
      </c>
      <c r="C535" s="7" t="s">
        <v>435</v>
      </c>
    </row>
    <row r="536" spans="1:3">
      <c r="A536" s="1" t="s">
        <v>378</v>
      </c>
      <c r="B536" s="1" t="s">
        <v>1482</v>
      </c>
      <c r="C536" s="7" t="s">
        <v>287</v>
      </c>
    </row>
    <row r="537" spans="1:3">
      <c r="A537" s="1" t="s">
        <v>378</v>
      </c>
      <c r="B537" s="1" t="s">
        <v>1808</v>
      </c>
      <c r="C537" s="7" t="s">
        <v>435</v>
      </c>
    </row>
    <row r="538" spans="1:3">
      <c r="A538" s="1" t="s">
        <v>378</v>
      </c>
      <c r="B538" s="1" t="s">
        <v>1809</v>
      </c>
      <c r="C538" s="7" t="s">
        <v>329</v>
      </c>
    </row>
    <row r="539" spans="1:3">
      <c r="A539" s="1" t="s">
        <v>378</v>
      </c>
      <c r="B539" s="1" t="s">
        <v>1810</v>
      </c>
      <c r="C539" s="7" t="s">
        <v>287</v>
      </c>
    </row>
    <row r="540" spans="1:3">
      <c r="A540" s="1" t="s">
        <v>378</v>
      </c>
      <c r="B540" s="1" t="s">
        <v>1811</v>
      </c>
      <c r="C540" s="7" t="s">
        <v>435</v>
      </c>
    </row>
    <row r="541" spans="1:3">
      <c r="A541" s="1" t="s">
        <v>378</v>
      </c>
      <c r="B541" s="1" t="s">
        <v>1812</v>
      </c>
      <c r="C541" s="7" t="s">
        <v>294</v>
      </c>
    </row>
    <row r="542" spans="1:3">
      <c r="A542" s="1" t="s">
        <v>378</v>
      </c>
      <c r="B542" s="1" t="s">
        <v>1813</v>
      </c>
      <c r="C542" s="7" t="s">
        <v>435</v>
      </c>
    </row>
    <row r="543" spans="1:3">
      <c r="A543" s="1" t="s">
        <v>378</v>
      </c>
      <c r="B543" s="1" t="s">
        <v>1814</v>
      </c>
      <c r="C543" s="7" t="s">
        <v>1815</v>
      </c>
    </row>
    <row r="544" spans="1:3">
      <c r="A544" s="1" t="s">
        <v>378</v>
      </c>
      <c r="B544" s="1" t="s">
        <v>1816</v>
      </c>
      <c r="C544" s="7" t="s">
        <v>294</v>
      </c>
    </row>
    <row r="545" spans="1:3">
      <c r="A545" s="1" t="s">
        <v>378</v>
      </c>
      <c r="B545" s="1" t="s">
        <v>1817</v>
      </c>
      <c r="C545" s="7" t="s">
        <v>435</v>
      </c>
    </row>
    <row r="546" spans="1:3">
      <c r="A546" s="1" t="s">
        <v>378</v>
      </c>
      <c r="B546" s="1" t="s">
        <v>1818</v>
      </c>
      <c r="C546" s="7" t="s">
        <v>308</v>
      </c>
    </row>
    <row r="547" spans="1:3">
      <c r="A547" s="1" t="s">
        <v>378</v>
      </c>
      <c r="B547" s="1" t="s">
        <v>1819</v>
      </c>
      <c r="C547" s="7" t="s">
        <v>435</v>
      </c>
    </row>
    <row r="548" spans="1:3">
      <c r="A548" s="1" t="s">
        <v>378</v>
      </c>
      <c r="B548" s="1" t="s">
        <v>1820</v>
      </c>
      <c r="C548" s="7" t="s">
        <v>1821</v>
      </c>
    </row>
    <row r="549" spans="1:3">
      <c r="A549" s="1" t="s">
        <v>378</v>
      </c>
      <c r="B549" s="1" t="s">
        <v>1822</v>
      </c>
      <c r="C549" s="7" t="s">
        <v>308</v>
      </c>
    </row>
    <row r="550" spans="1:3">
      <c r="A550" s="1" t="s">
        <v>378</v>
      </c>
      <c r="B550" s="1" t="s">
        <v>1823</v>
      </c>
      <c r="C550" s="7" t="s">
        <v>435</v>
      </c>
    </row>
    <row r="551" spans="1:3">
      <c r="A551" s="1" t="s">
        <v>378</v>
      </c>
      <c r="B551" s="1" t="s">
        <v>1824</v>
      </c>
      <c r="C551" s="7" t="s">
        <v>315</v>
      </c>
    </row>
    <row r="552" spans="1:3">
      <c r="A552" s="1" t="s">
        <v>378</v>
      </c>
      <c r="B552" s="1" t="s">
        <v>1024</v>
      </c>
      <c r="C552" s="7" t="s">
        <v>435</v>
      </c>
    </row>
    <row r="553" spans="1:3">
      <c r="A553" s="1" t="s">
        <v>378</v>
      </c>
      <c r="B553" s="1" t="s">
        <v>1825</v>
      </c>
      <c r="C553" s="7" t="s">
        <v>1826</v>
      </c>
    </row>
    <row r="554" spans="1:3">
      <c r="A554" s="1" t="s">
        <v>378</v>
      </c>
      <c r="B554" s="1" t="s">
        <v>1827</v>
      </c>
      <c r="C554" s="7" t="s">
        <v>315</v>
      </c>
    </row>
    <row r="555" spans="1:3">
      <c r="A555" s="1" t="s">
        <v>378</v>
      </c>
      <c r="B555" s="1" t="s">
        <v>1828</v>
      </c>
      <c r="C555" s="7" t="s">
        <v>435</v>
      </c>
    </row>
    <row r="556" spans="1:3">
      <c r="A556" s="1" t="s">
        <v>378</v>
      </c>
      <c r="B556" s="1" t="s">
        <v>1829</v>
      </c>
      <c r="C556" s="7" t="s">
        <v>191</v>
      </c>
    </row>
    <row r="557" spans="1:3">
      <c r="A557" s="1" t="s">
        <v>378</v>
      </c>
      <c r="B557" s="1" t="s">
        <v>1830</v>
      </c>
      <c r="C557" s="7" t="s">
        <v>435</v>
      </c>
    </row>
    <row r="558" spans="1:3">
      <c r="A558" s="1" t="s">
        <v>378</v>
      </c>
      <c r="B558" s="1" t="s">
        <v>1831</v>
      </c>
      <c r="C558" s="7" t="s">
        <v>1832</v>
      </c>
    </row>
    <row r="559" spans="1:3">
      <c r="A559" s="1" t="s">
        <v>378</v>
      </c>
      <c r="B559" s="1" t="s">
        <v>1833</v>
      </c>
      <c r="C559" s="7" t="s">
        <v>191</v>
      </c>
    </row>
    <row r="560" spans="1:3">
      <c r="A560" s="1" t="s">
        <v>378</v>
      </c>
      <c r="B560" s="1" t="s">
        <v>1834</v>
      </c>
      <c r="C560" s="7" t="s">
        <v>435</v>
      </c>
    </row>
    <row r="561" spans="1:3">
      <c r="A561" s="1" t="s">
        <v>378</v>
      </c>
      <c r="B561" s="1" t="s">
        <v>1835</v>
      </c>
      <c r="C561" s="7" t="s">
        <v>209</v>
      </c>
    </row>
    <row r="562" spans="1:3">
      <c r="A562" s="1" t="s">
        <v>378</v>
      </c>
      <c r="B562" s="1" t="s">
        <v>1836</v>
      </c>
      <c r="C562" s="7" t="s">
        <v>435</v>
      </c>
    </row>
    <row r="563" spans="1:3">
      <c r="A563" s="1" t="s">
        <v>378</v>
      </c>
      <c r="B563" s="1" t="s">
        <v>1837</v>
      </c>
      <c r="C563" s="7" t="s">
        <v>1838</v>
      </c>
    </row>
    <row r="564" spans="1:3">
      <c r="A564" s="1" t="s">
        <v>378</v>
      </c>
      <c r="B564" s="1" t="s">
        <v>1839</v>
      </c>
      <c r="C564" s="7" t="s">
        <v>209</v>
      </c>
    </row>
    <row r="565" spans="1:3">
      <c r="A565" s="1" t="s">
        <v>378</v>
      </c>
      <c r="B565" s="1" t="s">
        <v>1840</v>
      </c>
      <c r="C565" s="7" t="s">
        <v>435</v>
      </c>
    </row>
    <row r="566" spans="1:3">
      <c r="A566" s="1" t="s">
        <v>378</v>
      </c>
      <c r="B566" s="1" t="s">
        <v>1030</v>
      </c>
      <c r="C566" s="7" t="s">
        <v>253</v>
      </c>
    </row>
    <row r="567" spans="1:3">
      <c r="A567" s="1" t="s">
        <v>378</v>
      </c>
      <c r="B567" s="1" t="s">
        <v>1841</v>
      </c>
      <c r="C567" s="7" t="s">
        <v>435</v>
      </c>
    </row>
    <row r="568" spans="1:3">
      <c r="A568" s="1" t="s">
        <v>378</v>
      </c>
      <c r="B568" s="1" t="s">
        <v>1842</v>
      </c>
      <c r="C568" s="7" t="s">
        <v>1843</v>
      </c>
    </row>
    <row r="569" spans="1:3">
      <c r="A569" s="1" t="s">
        <v>378</v>
      </c>
      <c r="B569" s="1" t="s">
        <v>1844</v>
      </c>
      <c r="C569" s="7" t="s">
        <v>253</v>
      </c>
    </row>
    <row r="570" spans="1:3">
      <c r="A570" s="1" t="s">
        <v>378</v>
      </c>
      <c r="B570" s="1" t="s">
        <v>1845</v>
      </c>
      <c r="C570" s="7" t="s">
        <v>435</v>
      </c>
    </row>
    <row r="571" spans="1:3">
      <c r="A571" s="1" t="s">
        <v>378</v>
      </c>
      <c r="B571" s="1" t="s">
        <v>1846</v>
      </c>
      <c r="C571" s="7" t="s">
        <v>244</v>
      </c>
    </row>
    <row r="572" spans="1:3">
      <c r="A572" s="1" t="s">
        <v>378</v>
      </c>
      <c r="B572" s="1" t="s">
        <v>1847</v>
      </c>
      <c r="C572" s="7" t="s">
        <v>435</v>
      </c>
    </row>
    <row r="573" spans="1:3">
      <c r="A573" s="1" t="s">
        <v>378</v>
      </c>
      <c r="B573" s="1" t="s">
        <v>1848</v>
      </c>
      <c r="C573" s="7" t="s">
        <v>1849</v>
      </c>
    </row>
    <row r="574" spans="1:3">
      <c r="A574" s="1" t="s">
        <v>378</v>
      </c>
      <c r="B574" s="1" t="s">
        <v>1850</v>
      </c>
      <c r="C574" s="7" t="s">
        <v>244</v>
      </c>
    </row>
    <row r="575" spans="1:3">
      <c r="A575" s="1" t="s">
        <v>378</v>
      </c>
      <c r="B575" s="1" t="s">
        <v>1851</v>
      </c>
      <c r="C575" s="7" t="s">
        <v>435</v>
      </c>
    </row>
    <row r="576" spans="1:3">
      <c r="A576" s="1" t="s">
        <v>378</v>
      </c>
      <c r="B576" s="1" t="s">
        <v>1852</v>
      </c>
      <c r="C576" s="7" t="s">
        <v>260</v>
      </c>
    </row>
    <row r="577" spans="1:3">
      <c r="A577" s="1" t="s">
        <v>378</v>
      </c>
      <c r="B577" s="1" t="s">
        <v>1853</v>
      </c>
      <c r="C577" s="7" t="s">
        <v>435</v>
      </c>
    </row>
    <row r="578" spans="1:3">
      <c r="A578" s="1" t="s">
        <v>378</v>
      </c>
      <c r="B578" s="1" t="s">
        <v>1854</v>
      </c>
      <c r="C578" s="7" t="s">
        <v>1855</v>
      </c>
    </row>
    <row r="579" spans="1:3">
      <c r="A579" s="1" t="s">
        <v>378</v>
      </c>
      <c r="B579" s="1" t="s">
        <v>1856</v>
      </c>
      <c r="C579" s="7" t="s">
        <v>260</v>
      </c>
    </row>
    <row r="580" spans="1:3">
      <c r="A580" s="1" t="s">
        <v>378</v>
      </c>
      <c r="B580" s="1" t="s">
        <v>1857</v>
      </c>
      <c r="C580" s="7" t="s">
        <v>435</v>
      </c>
    </row>
    <row r="581" spans="1:3">
      <c r="A581" s="1" t="s">
        <v>378</v>
      </c>
      <c r="B581" s="1" t="s">
        <v>1858</v>
      </c>
      <c r="C581" s="7" t="s">
        <v>310</v>
      </c>
    </row>
    <row r="582" spans="1:3">
      <c r="A582" s="1" t="s">
        <v>378</v>
      </c>
      <c r="B582" s="1" t="s">
        <v>1859</v>
      </c>
      <c r="C582" s="7" t="s">
        <v>435</v>
      </c>
    </row>
    <row r="583" spans="1:3">
      <c r="A583" s="1" t="s">
        <v>378</v>
      </c>
      <c r="B583" s="1" t="s">
        <v>1860</v>
      </c>
      <c r="C583" s="7" t="s">
        <v>1861</v>
      </c>
    </row>
    <row r="584" spans="1:3">
      <c r="A584" s="1" t="s">
        <v>378</v>
      </c>
      <c r="B584" s="1" t="s">
        <v>1862</v>
      </c>
      <c r="C584" s="7" t="s">
        <v>310</v>
      </c>
    </row>
    <row r="585" spans="1:3">
      <c r="A585" s="1" t="s">
        <v>378</v>
      </c>
      <c r="B585" s="1" t="s">
        <v>1863</v>
      </c>
      <c r="C585" s="7" t="s">
        <v>435</v>
      </c>
    </row>
    <row r="586" spans="1:3">
      <c r="A586" s="1" t="s">
        <v>378</v>
      </c>
      <c r="B586" s="1" t="s">
        <v>1864</v>
      </c>
      <c r="C586" s="7" t="s">
        <v>317</v>
      </c>
    </row>
    <row r="587" spans="1:3">
      <c r="A587" s="1" t="s">
        <v>378</v>
      </c>
      <c r="B587" s="1" t="s">
        <v>1865</v>
      </c>
      <c r="C587" s="7" t="s">
        <v>435</v>
      </c>
    </row>
    <row r="588" spans="1:3">
      <c r="A588" s="1" t="s">
        <v>378</v>
      </c>
      <c r="B588" s="1" t="s">
        <v>1866</v>
      </c>
      <c r="C588" s="7" t="s">
        <v>1867</v>
      </c>
    </row>
    <row r="589" spans="1:3">
      <c r="A589" s="1" t="s">
        <v>378</v>
      </c>
      <c r="B589" s="1" t="s">
        <v>1868</v>
      </c>
      <c r="C589" s="7" t="s">
        <v>317</v>
      </c>
    </row>
    <row r="590" spans="1:3">
      <c r="A590" s="1" t="s">
        <v>378</v>
      </c>
      <c r="B590" s="1" t="s">
        <v>1869</v>
      </c>
      <c r="C590" s="7" t="s">
        <v>435</v>
      </c>
    </row>
    <row r="591" spans="1:3">
      <c r="A591" s="1" t="s">
        <v>378</v>
      </c>
      <c r="B591" s="1" t="s">
        <v>1870</v>
      </c>
      <c r="C591" s="7" t="s">
        <v>267</v>
      </c>
    </row>
    <row r="592" spans="1:3">
      <c r="A592" s="1" t="s">
        <v>378</v>
      </c>
      <c r="B592" s="1" t="s">
        <v>1871</v>
      </c>
      <c r="C592" s="7" t="s">
        <v>435</v>
      </c>
    </row>
    <row r="593" spans="1:3">
      <c r="A593" s="1" t="s">
        <v>378</v>
      </c>
      <c r="B593" s="1" t="s">
        <v>1872</v>
      </c>
      <c r="C593" s="7" t="s">
        <v>1873</v>
      </c>
    </row>
    <row r="594" spans="1:3">
      <c r="A594" s="1" t="s">
        <v>378</v>
      </c>
      <c r="B594" s="1" t="s">
        <v>1874</v>
      </c>
      <c r="C594" s="7" t="s">
        <v>267</v>
      </c>
    </row>
    <row r="595" spans="1:3">
      <c r="A595" s="1" t="s">
        <v>378</v>
      </c>
      <c r="B595" s="1" t="s">
        <v>1875</v>
      </c>
      <c r="C595" s="7" t="s">
        <v>435</v>
      </c>
    </row>
    <row r="596" spans="1:3">
      <c r="A596" s="1" t="s">
        <v>378</v>
      </c>
      <c r="B596" s="1" t="s">
        <v>1876</v>
      </c>
      <c r="C596" s="7" t="s">
        <v>282</v>
      </c>
    </row>
    <row r="597" spans="1:3">
      <c r="A597" s="1" t="s">
        <v>378</v>
      </c>
      <c r="B597" s="1" t="s">
        <v>1877</v>
      </c>
      <c r="C597" s="7" t="s">
        <v>435</v>
      </c>
    </row>
    <row r="598" spans="1:3">
      <c r="A598" s="1" t="s">
        <v>378</v>
      </c>
      <c r="B598" s="1" t="s">
        <v>1878</v>
      </c>
      <c r="C598" s="7" t="s">
        <v>1879</v>
      </c>
    </row>
    <row r="599" spans="1:3">
      <c r="A599" s="1" t="s">
        <v>378</v>
      </c>
      <c r="B599" s="1" t="s">
        <v>1880</v>
      </c>
      <c r="C599" s="7" t="s">
        <v>282</v>
      </c>
    </row>
    <row r="600" spans="1:3">
      <c r="A600" s="1" t="s">
        <v>378</v>
      </c>
      <c r="B600" s="1" t="s">
        <v>1881</v>
      </c>
      <c r="C600" s="7" t="s">
        <v>435</v>
      </c>
    </row>
    <row r="601" spans="1:3">
      <c r="A601" s="1" t="s">
        <v>378</v>
      </c>
      <c r="B601" s="1" t="s">
        <v>1882</v>
      </c>
      <c r="C601" s="7" t="s">
        <v>296</v>
      </c>
    </row>
    <row r="602" spans="1:3">
      <c r="A602" s="1" t="s">
        <v>378</v>
      </c>
      <c r="B602" s="1" t="s">
        <v>1883</v>
      </c>
      <c r="C602" s="7" t="s">
        <v>435</v>
      </c>
    </row>
    <row r="603" spans="1:3">
      <c r="A603" s="1" t="s">
        <v>378</v>
      </c>
      <c r="B603" s="1" t="s">
        <v>1884</v>
      </c>
      <c r="C603" s="7" t="s">
        <v>1885</v>
      </c>
    </row>
    <row r="604" spans="1:3">
      <c r="A604" s="1" t="s">
        <v>378</v>
      </c>
      <c r="B604" s="1" t="s">
        <v>1886</v>
      </c>
      <c r="C604" s="7" t="s">
        <v>296</v>
      </c>
    </row>
    <row r="605" spans="1:3">
      <c r="A605" s="1" t="s">
        <v>378</v>
      </c>
      <c r="B605" s="1" t="s">
        <v>1887</v>
      </c>
      <c r="C605" s="7" t="s">
        <v>435</v>
      </c>
    </row>
    <row r="606" spans="1:3">
      <c r="A606" s="1" t="s">
        <v>378</v>
      </c>
      <c r="B606" s="1" t="s">
        <v>1888</v>
      </c>
      <c r="C606" s="7" t="s">
        <v>275</v>
      </c>
    </row>
    <row r="607" spans="1:3">
      <c r="A607" s="1" t="s">
        <v>378</v>
      </c>
      <c r="B607" s="1" t="s">
        <v>1889</v>
      </c>
      <c r="C607" s="7" t="s">
        <v>435</v>
      </c>
    </row>
    <row r="608" spans="1:3">
      <c r="A608" s="1" t="s">
        <v>378</v>
      </c>
      <c r="B608" s="1" t="s">
        <v>1890</v>
      </c>
      <c r="C608" s="7" t="s">
        <v>1891</v>
      </c>
    </row>
    <row r="609" spans="1:3">
      <c r="A609" s="1" t="s">
        <v>378</v>
      </c>
      <c r="B609" s="1" t="s">
        <v>1892</v>
      </c>
      <c r="C609" s="7" t="s">
        <v>275</v>
      </c>
    </row>
    <row r="610" spans="1:3">
      <c r="A610" s="1" t="s">
        <v>378</v>
      </c>
      <c r="B610" s="1" t="s">
        <v>1893</v>
      </c>
      <c r="C610" s="7" t="s">
        <v>435</v>
      </c>
    </row>
    <row r="611" spans="1:3">
      <c r="A611" s="1" t="s">
        <v>378</v>
      </c>
      <c r="B611" s="1" t="s">
        <v>1894</v>
      </c>
      <c r="C611" s="7" t="s">
        <v>193</v>
      </c>
    </row>
    <row r="612" spans="1:3">
      <c r="A612" s="1" t="s">
        <v>378</v>
      </c>
      <c r="B612" s="1" t="s">
        <v>1895</v>
      </c>
      <c r="C612" s="7" t="s">
        <v>435</v>
      </c>
    </row>
    <row r="613" spans="1:3">
      <c r="A613" s="1" t="s">
        <v>378</v>
      </c>
      <c r="B613" s="1" t="s">
        <v>1896</v>
      </c>
      <c r="C613" s="7" t="s">
        <v>1720</v>
      </c>
    </row>
    <row r="614" spans="1:3">
      <c r="A614" s="1" t="s">
        <v>378</v>
      </c>
      <c r="B614" s="1" t="s">
        <v>1897</v>
      </c>
      <c r="C614" s="7" t="s">
        <v>193</v>
      </c>
    </row>
    <row r="615" spans="1:3">
      <c r="A615" s="1" t="s">
        <v>378</v>
      </c>
      <c r="B615" s="1" t="s">
        <v>1898</v>
      </c>
      <c r="C615" s="7" t="s">
        <v>435</v>
      </c>
    </row>
    <row r="616" spans="1:3">
      <c r="A616" s="1" t="s">
        <v>378</v>
      </c>
      <c r="B616" s="1" t="s">
        <v>1310</v>
      </c>
      <c r="C616" s="7" t="s">
        <v>202</v>
      </c>
    </row>
    <row r="617" spans="1:3">
      <c r="A617" s="1" t="s">
        <v>378</v>
      </c>
      <c r="B617" s="1" t="s">
        <v>1312</v>
      </c>
      <c r="C617" s="7" t="s">
        <v>435</v>
      </c>
    </row>
    <row r="618" spans="1:3">
      <c r="A618" s="1" t="s">
        <v>378</v>
      </c>
      <c r="B618" s="1" t="s">
        <v>1899</v>
      </c>
      <c r="C618" s="7" t="s">
        <v>1727</v>
      </c>
    </row>
    <row r="619" spans="1:3">
      <c r="A619" s="1" t="s">
        <v>378</v>
      </c>
      <c r="B619" s="1" t="s">
        <v>1900</v>
      </c>
      <c r="C619" s="7" t="s">
        <v>202</v>
      </c>
    </row>
    <row r="620" spans="1:3">
      <c r="A620" s="1" t="s">
        <v>378</v>
      </c>
      <c r="B620" s="1" t="s">
        <v>1901</v>
      </c>
      <c r="C620" s="7" t="s">
        <v>435</v>
      </c>
    </row>
    <row r="621" spans="1:3">
      <c r="A621" s="1" t="s">
        <v>378</v>
      </c>
      <c r="B621" s="1" t="s">
        <v>1316</v>
      </c>
      <c r="C621" s="7" t="s">
        <v>211</v>
      </c>
    </row>
    <row r="622" spans="1:3">
      <c r="A622" s="1" t="s">
        <v>378</v>
      </c>
      <c r="B622" s="1" t="s">
        <v>1318</v>
      </c>
      <c r="C622" s="7" t="s">
        <v>435</v>
      </c>
    </row>
    <row r="623" spans="1:3">
      <c r="A623" s="1" t="s">
        <v>378</v>
      </c>
      <c r="B623" s="1" t="s">
        <v>1902</v>
      </c>
      <c r="C623" s="7" t="s">
        <v>1733</v>
      </c>
    </row>
    <row r="624" spans="1:3">
      <c r="A624" s="1" t="s">
        <v>378</v>
      </c>
      <c r="B624" s="1" t="s">
        <v>1903</v>
      </c>
      <c r="C624" s="7" t="s">
        <v>211</v>
      </c>
    </row>
    <row r="625" spans="1:3">
      <c r="A625" s="1" t="s">
        <v>378</v>
      </c>
      <c r="B625" s="1" t="s">
        <v>1904</v>
      </c>
      <c r="C625" s="7" t="s">
        <v>435</v>
      </c>
    </row>
    <row r="626" spans="1:3">
      <c r="A626" s="1" t="s">
        <v>378</v>
      </c>
      <c r="B626" s="1" t="s">
        <v>1323</v>
      </c>
      <c r="C626" s="7" t="s">
        <v>220</v>
      </c>
    </row>
    <row r="627" spans="1:3">
      <c r="A627" s="1" t="s">
        <v>378</v>
      </c>
      <c r="B627" s="1" t="s">
        <v>1325</v>
      </c>
      <c r="C627" s="7" t="s">
        <v>435</v>
      </c>
    </row>
    <row r="628" spans="1:3">
      <c r="A628" s="1" t="s">
        <v>378</v>
      </c>
      <c r="B628" s="1" t="s">
        <v>1905</v>
      </c>
      <c r="C628" s="7" t="s">
        <v>961</v>
      </c>
    </row>
    <row r="629" spans="1:3">
      <c r="A629" s="1" t="s">
        <v>378</v>
      </c>
      <c r="B629" s="1" t="s">
        <v>1906</v>
      </c>
      <c r="C629" s="7" t="s">
        <v>220</v>
      </c>
    </row>
    <row r="630" spans="1:3">
      <c r="A630" s="1" t="s">
        <v>378</v>
      </c>
      <c r="B630" s="1" t="s">
        <v>1907</v>
      </c>
      <c r="C630" s="7" t="s">
        <v>435</v>
      </c>
    </row>
    <row r="631" spans="1:3">
      <c r="A631" s="1" t="s">
        <v>378</v>
      </c>
      <c r="B631" s="1" t="s">
        <v>1330</v>
      </c>
      <c r="C631" s="7" t="s">
        <v>228</v>
      </c>
    </row>
    <row r="632" spans="1:3">
      <c r="A632" s="1" t="s">
        <v>378</v>
      </c>
      <c r="B632" s="1" t="s">
        <v>1332</v>
      </c>
      <c r="C632" s="7" t="s">
        <v>435</v>
      </c>
    </row>
    <row r="633" spans="1:3">
      <c r="A633" s="1" t="s">
        <v>378</v>
      </c>
      <c r="B633" s="1" t="s">
        <v>1908</v>
      </c>
      <c r="C633" s="7" t="s">
        <v>1909</v>
      </c>
    </row>
    <row r="634" spans="1:3">
      <c r="A634" s="1" t="s">
        <v>378</v>
      </c>
      <c r="B634" s="1" t="s">
        <v>1910</v>
      </c>
      <c r="C634" s="7" t="s">
        <v>228</v>
      </c>
    </row>
    <row r="635" spans="1:3">
      <c r="A635" s="1" t="s">
        <v>378</v>
      </c>
      <c r="B635" s="1" t="s">
        <v>1911</v>
      </c>
      <c r="C635" s="7" t="s">
        <v>435</v>
      </c>
    </row>
    <row r="636" spans="1:3">
      <c r="A636" s="1" t="s">
        <v>378</v>
      </c>
      <c r="B636" s="1" t="s">
        <v>1335</v>
      </c>
      <c r="C636" s="7" t="s">
        <v>237</v>
      </c>
    </row>
    <row r="637" spans="1:3">
      <c r="A637" s="1" t="s">
        <v>378</v>
      </c>
      <c r="B637" s="1" t="s">
        <v>1337</v>
      </c>
      <c r="C637" s="7" t="s">
        <v>435</v>
      </c>
    </row>
    <row r="638" spans="1:3">
      <c r="A638" s="1" t="s">
        <v>378</v>
      </c>
      <c r="B638" s="1" t="s">
        <v>1912</v>
      </c>
      <c r="C638" s="7" t="s">
        <v>237</v>
      </c>
    </row>
    <row r="639" spans="1:3">
      <c r="A639" s="1" t="s">
        <v>378</v>
      </c>
      <c r="B639" s="1" t="s">
        <v>1913</v>
      </c>
      <c r="C639" s="7" t="s">
        <v>435</v>
      </c>
    </row>
    <row r="640" spans="1:3">
      <c r="A640" s="1" t="s">
        <v>378</v>
      </c>
      <c r="B640" s="1" t="s">
        <v>1342</v>
      </c>
      <c r="C640" s="7" t="s">
        <v>246</v>
      </c>
    </row>
    <row r="641" spans="1:3">
      <c r="A641" s="1" t="s">
        <v>378</v>
      </c>
      <c r="B641" s="1" t="s">
        <v>1344</v>
      </c>
      <c r="C641" s="7" t="s">
        <v>435</v>
      </c>
    </row>
    <row r="642" spans="1:3">
      <c r="A642" s="1" t="s">
        <v>378</v>
      </c>
      <c r="B642" s="1" t="s">
        <v>1914</v>
      </c>
      <c r="C642" s="7" t="s">
        <v>246</v>
      </c>
    </row>
    <row r="643" spans="1:3">
      <c r="A643" s="1" t="s">
        <v>378</v>
      </c>
      <c r="B643" s="1" t="s">
        <v>1915</v>
      </c>
      <c r="C643" s="7" t="s">
        <v>435</v>
      </c>
    </row>
    <row r="644" spans="1:3">
      <c r="A644" s="1" t="s">
        <v>378</v>
      </c>
      <c r="B644" s="1" t="s">
        <v>1348</v>
      </c>
      <c r="C644" s="7" t="s">
        <v>255</v>
      </c>
    </row>
    <row r="645" spans="1:3">
      <c r="A645" s="1" t="s">
        <v>378</v>
      </c>
      <c r="B645" s="1" t="s">
        <v>1350</v>
      </c>
      <c r="C645" s="7" t="s">
        <v>435</v>
      </c>
    </row>
    <row r="646" spans="1:3">
      <c r="A646" s="1" t="s">
        <v>378</v>
      </c>
      <c r="B646" s="1" t="s">
        <v>1916</v>
      </c>
      <c r="C646" s="7" t="s">
        <v>255</v>
      </c>
    </row>
    <row r="647" spans="1:3">
      <c r="A647" s="1" t="s">
        <v>378</v>
      </c>
      <c r="B647" s="1" t="s">
        <v>1917</v>
      </c>
      <c r="C647" s="7" t="s">
        <v>435</v>
      </c>
    </row>
    <row r="648" spans="1:3">
      <c r="A648" s="1" t="s">
        <v>378</v>
      </c>
      <c r="B648" s="1" t="s">
        <v>1355</v>
      </c>
      <c r="C648" s="7" t="s">
        <v>262</v>
      </c>
    </row>
    <row r="649" spans="1:3">
      <c r="A649" s="1" t="s">
        <v>378</v>
      </c>
      <c r="B649" s="1" t="s">
        <v>1357</v>
      </c>
      <c r="C649" s="7" t="s">
        <v>435</v>
      </c>
    </row>
    <row r="650" spans="1:3">
      <c r="A650" s="1" t="s">
        <v>378</v>
      </c>
      <c r="B650" s="1" t="s">
        <v>1918</v>
      </c>
      <c r="C650" s="7" t="s">
        <v>262</v>
      </c>
    </row>
    <row r="651" spans="1:3">
      <c r="A651" s="1" t="s">
        <v>378</v>
      </c>
      <c r="B651" s="1" t="s">
        <v>1919</v>
      </c>
      <c r="C651" s="7" t="s">
        <v>435</v>
      </c>
    </row>
    <row r="652" spans="1:3">
      <c r="A652" s="1" t="s">
        <v>378</v>
      </c>
      <c r="B652" s="1" t="s">
        <v>1920</v>
      </c>
      <c r="C652" s="7" t="s">
        <v>269</v>
      </c>
    </row>
    <row r="653" spans="1:3">
      <c r="A653" s="1" t="s">
        <v>378</v>
      </c>
      <c r="B653" s="1" t="s">
        <v>1921</v>
      </c>
      <c r="C653" s="7" t="s">
        <v>435</v>
      </c>
    </row>
    <row r="654" spans="1:3">
      <c r="A654" s="1" t="s">
        <v>378</v>
      </c>
      <c r="B654" s="1" t="s">
        <v>1922</v>
      </c>
      <c r="C654" s="7" t="s">
        <v>269</v>
      </c>
    </row>
    <row r="655" spans="1:3">
      <c r="A655" s="1" t="s">
        <v>378</v>
      </c>
      <c r="B655" s="1" t="s">
        <v>1923</v>
      </c>
      <c r="C655" s="7" t="s">
        <v>435</v>
      </c>
    </row>
    <row r="656" spans="1:3">
      <c r="A656" s="1" t="s">
        <v>378</v>
      </c>
      <c r="B656" s="1" t="s">
        <v>1924</v>
      </c>
      <c r="C656" s="7" t="s">
        <v>284</v>
      </c>
    </row>
    <row r="657" spans="1:3">
      <c r="A657" s="1" t="s">
        <v>378</v>
      </c>
      <c r="B657" s="1" t="s">
        <v>1925</v>
      </c>
      <c r="C657" s="7" t="s">
        <v>435</v>
      </c>
    </row>
    <row r="658" spans="1:3">
      <c r="A658" s="1" t="s">
        <v>378</v>
      </c>
      <c r="B658" s="1" t="s">
        <v>1926</v>
      </c>
      <c r="C658" s="7" t="s">
        <v>284</v>
      </c>
    </row>
    <row r="659" spans="1:3">
      <c r="A659" s="1" t="s">
        <v>378</v>
      </c>
      <c r="B659" s="1" t="s">
        <v>1927</v>
      </c>
      <c r="C659" s="7" t="s">
        <v>435</v>
      </c>
    </row>
    <row r="660" spans="1:3">
      <c r="A660" s="1" t="s">
        <v>378</v>
      </c>
      <c r="B660" s="1" t="s">
        <v>1366</v>
      </c>
      <c r="C660" s="7" t="s">
        <v>291</v>
      </c>
    </row>
    <row r="661" spans="1:3">
      <c r="A661" s="1" t="s">
        <v>378</v>
      </c>
      <c r="B661" s="1" t="s">
        <v>1367</v>
      </c>
      <c r="C661" s="7" t="s">
        <v>435</v>
      </c>
    </row>
    <row r="662" spans="1:3">
      <c r="A662" s="1" t="s">
        <v>378</v>
      </c>
      <c r="B662" s="1" t="s">
        <v>1928</v>
      </c>
      <c r="C662" s="7" t="s">
        <v>291</v>
      </c>
    </row>
    <row r="663" spans="1:3">
      <c r="A663" s="1" t="s">
        <v>378</v>
      </c>
      <c r="B663" s="1" t="s">
        <v>1929</v>
      </c>
      <c r="C663" s="7" t="s">
        <v>435</v>
      </c>
    </row>
    <row r="664" spans="1:3">
      <c r="A664" s="1" t="s">
        <v>378</v>
      </c>
      <c r="B664" s="1" t="s">
        <v>1371</v>
      </c>
      <c r="C664" s="7" t="s">
        <v>303</v>
      </c>
    </row>
    <row r="665" spans="1:3">
      <c r="A665" s="1" t="s">
        <v>378</v>
      </c>
      <c r="B665" s="1" t="s">
        <v>1373</v>
      </c>
      <c r="C665" s="7" t="s">
        <v>435</v>
      </c>
    </row>
    <row r="666" spans="1:3">
      <c r="A666" s="1" t="s">
        <v>378</v>
      </c>
      <c r="B666" s="1" t="s">
        <v>1930</v>
      </c>
      <c r="C666" s="7" t="s">
        <v>303</v>
      </c>
    </row>
    <row r="667" spans="1:3">
      <c r="A667" s="1" t="s">
        <v>378</v>
      </c>
      <c r="B667" s="1" t="s">
        <v>1931</v>
      </c>
      <c r="C667" s="7" t="s">
        <v>435</v>
      </c>
    </row>
    <row r="668" spans="1:3">
      <c r="A668" s="1" t="s">
        <v>378</v>
      </c>
      <c r="B668" s="1" t="s">
        <v>1378</v>
      </c>
      <c r="C668" s="7" t="s">
        <v>226</v>
      </c>
    </row>
    <row r="669" spans="1:3">
      <c r="A669" s="1" t="s">
        <v>378</v>
      </c>
      <c r="B669" s="1" t="s">
        <v>1380</v>
      </c>
      <c r="C669" s="7" t="s">
        <v>435</v>
      </c>
    </row>
    <row r="670" spans="1:3">
      <c r="A670" s="1" t="s">
        <v>378</v>
      </c>
      <c r="B670" s="1" t="s">
        <v>1932</v>
      </c>
      <c r="C670" s="7" t="s">
        <v>226</v>
      </c>
    </row>
    <row r="671" spans="1:3">
      <c r="A671" s="1" t="s">
        <v>378</v>
      </c>
      <c r="B671" s="1" t="s">
        <v>1933</v>
      </c>
      <c r="C671" s="7" t="s">
        <v>435</v>
      </c>
    </row>
    <row r="672" spans="1:3">
      <c r="A672" s="1" t="s">
        <v>378</v>
      </c>
      <c r="B672" s="1" t="s">
        <v>1934</v>
      </c>
      <c r="C672" s="7" t="s">
        <v>1935</v>
      </c>
    </row>
    <row r="673" spans="1:3">
      <c r="A673" s="1" t="s">
        <v>378</v>
      </c>
      <c r="B673" s="1" t="s">
        <v>1936</v>
      </c>
      <c r="C673" s="7" t="s">
        <v>298</v>
      </c>
    </row>
    <row r="674" spans="1:3">
      <c r="A674" s="1" t="s">
        <v>378</v>
      </c>
      <c r="B674" s="1" t="s">
        <v>1937</v>
      </c>
      <c r="C674" s="7" t="s">
        <v>224</v>
      </c>
    </row>
    <row r="675" spans="1:3">
      <c r="A675" s="1" t="s">
        <v>378</v>
      </c>
      <c r="B675" s="1" t="s">
        <v>1938</v>
      </c>
      <c r="C675" s="7" t="s">
        <v>277</v>
      </c>
    </row>
    <row r="676" spans="1:3">
      <c r="A676" s="1" t="s">
        <v>378</v>
      </c>
      <c r="B676" s="1" t="s">
        <v>1939</v>
      </c>
      <c r="C676" s="7" t="s">
        <v>273</v>
      </c>
    </row>
    <row r="677" spans="1:3">
      <c r="A677" s="1" t="s">
        <v>378</v>
      </c>
      <c r="B677" s="1" t="s">
        <v>1940</v>
      </c>
      <c r="C677" s="7" t="s">
        <v>305</v>
      </c>
    </row>
    <row r="678" spans="1:3">
      <c r="A678" s="1" t="s">
        <v>378</v>
      </c>
      <c r="B678" s="1" t="s">
        <v>1941</v>
      </c>
      <c r="C678" s="7" t="s">
        <v>312</v>
      </c>
    </row>
    <row r="679" spans="1:3">
      <c r="A679" s="1" t="s">
        <v>378</v>
      </c>
      <c r="B679" s="1" t="s">
        <v>1942</v>
      </c>
      <c r="C679" s="7" t="s">
        <v>289</v>
      </c>
    </row>
    <row r="680" spans="1:3">
      <c r="A680" s="1" t="s">
        <v>378</v>
      </c>
      <c r="B680" s="1" t="s">
        <v>1943</v>
      </c>
      <c r="C680" s="7" t="s">
        <v>218</v>
      </c>
    </row>
    <row r="681" spans="1:3">
      <c r="A681" s="1" t="s">
        <v>378</v>
      </c>
      <c r="B681" s="1" t="s">
        <v>1944</v>
      </c>
      <c r="C681" s="7" t="s">
        <v>235</v>
      </c>
    </row>
    <row r="682" spans="1:3" ht="19.5" customHeight="1">
      <c r="A682" s="5" t="s">
        <v>1945</v>
      </c>
      <c r="B682" s="6"/>
      <c r="C682" s="6"/>
    </row>
    <row r="683" spans="1:3">
      <c r="A683" s="1" t="s">
        <v>1946</v>
      </c>
      <c r="B683" s="1" t="s">
        <v>981</v>
      </c>
      <c r="C683" s="7" t="s">
        <v>95</v>
      </c>
    </row>
    <row r="684" spans="1:3">
      <c r="A684" s="1" t="s">
        <v>1946</v>
      </c>
      <c r="B684" s="1" t="s">
        <v>983</v>
      </c>
      <c r="C684" s="7" t="s">
        <v>1947</v>
      </c>
    </row>
    <row r="685" spans="1:3">
      <c r="A685" s="1" t="s">
        <v>1946</v>
      </c>
      <c r="B685" s="1" t="s">
        <v>1713</v>
      </c>
      <c r="C685" s="7" t="s">
        <v>1948</v>
      </c>
    </row>
    <row r="686" spans="1:3">
      <c r="A686" s="1" t="s">
        <v>1946</v>
      </c>
      <c r="B686" s="1" t="s">
        <v>1715</v>
      </c>
      <c r="C686" s="7" t="s">
        <v>1949</v>
      </c>
    </row>
    <row r="687" spans="1:3">
      <c r="A687" s="1" t="s">
        <v>1946</v>
      </c>
      <c r="B687" s="1" t="s">
        <v>1717</v>
      </c>
      <c r="C687" s="7" t="s">
        <v>1950</v>
      </c>
    </row>
    <row r="688" spans="1:3">
      <c r="A688" s="1" t="s">
        <v>1946</v>
      </c>
      <c r="B688" s="1" t="s">
        <v>985</v>
      </c>
      <c r="C688" s="7" t="s">
        <v>1951</v>
      </c>
    </row>
    <row r="689" spans="1:3">
      <c r="A689" s="1" t="s">
        <v>1946</v>
      </c>
      <c r="B689" s="1" t="s">
        <v>986</v>
      </c>
      <c r="C689" s="7" t="s">
        <v>1952</v>
      </c>
    </row>
    <row r="690" spans="1:3">
      <c r="A690" s="1" t="s">
        <v>1946</v>
      </c>
      <c r="B690" s="1" t="s">
        <v>988</v>
      </c>
      <c r="C690" s="7" t="s">
        <v>1953</v>
      </c>
    </row>
    <row r="691" spans="1:3">
      <c r="A691" s="1" t="s">
        <v>1946</v>
      </c>
      <c r="B691" s="1" t="s">
        <v>1421</v>
      </c>
      <c r="C691" s="7" t="s">
        <v>436</v>
      </c>
    </row>
    <row r="692" spans="1:3">
      <c r="A692" s="1" t="s">
        <v>1946</v>
      </c>
      <c r="B692" s="1" t="s">
        <v>990</v>
      </c>
      <c r="C692" s="7" t="s">
        <v>1951</v>
      </c>
    </row>
    <row r="693" spans="1:3">
      <c r="A693" s="1" t="s">
        <v>1946</v>
      </c>
      <c r="B693" s="1" t="s">
        <v>992</v>
      </c>
      <c r="C693" s="7" t="s">
        <v>1954</v>
      </c>
    </row>
    <row r="694" spans="1:3">
      <c r="A694" s="1" t="s">
        <v>1946</v>
      </c>
      <c r="B694" s="1" t="s">
        <v>994</v>
      </c>
      <c r="C694" s="7" t="s">
        <v>1955</v>
      </c>
    </row>
    <row r="695" spans="1:3">
      <c r="A695" s="1" t="s">
        <v>1946</v>
      </c>
      <c r="B695" s="1" t="s">
        <v>1731</v>
      </c>
      <c r="C695" s="7" t="s">
        <v>436</v>
      </c>
    </row>
    <row r="696" spans="1:3">
      <c r="A696" s="1" t="s">
        <v>1946</v>
      </c>
      <c r="B696" s="1" t="s">
        <v>996</v>
      </c>
      <c r="C696" s="7" t="s">
        <v>1951</v>
      </c>
    </row>
    <row r="697" spans="1:3">
      <c r="A697" s="1" t="s">
        <v>1946</v>
      </c>
      <c r="B697" s="1" t="s">
        <v>998</v>
      </c>
      <c r="C697" s="7" t="s">
        <v>1956</v>
      </c>
    </row>
    <row r="698" spans="1:3">
      <c r="A698" s="1" t="s">
        <v>1946</v>
      </c>
      <c r="B698" s="1" t="s">
        <v>1000</v>
      </c>
      <c r="C698" s="7" t="s">
        <v>1957</v>
      </c>
    </row>
    <row r="699" spans="1:3">
      <c r="A699" s="1" t="s">
        <v>1946</v>
      </c>
      <c r="B699" s="1" t="s">
        <v>1736</v>
      </c>
      <c r="C699" s="7" t="s">
        <v>436</v>
      </c>
    </row>
    <row r="700" spans="1:3">
      <c r="A700" s="1" t="s">
        <v>1946</v>
      </c>
      <c r="B700" s="1" t="s">
        <v>1089</v>
      </c>
      <c r="C700" s="7" t="s">
        <v>1951</v>
      </c>
    </row>
    <row r="701" spans="1:3">
      <c r="A701" s="1" t="s">
        <v>1946</v>
      </c>
      <c r="B701" s="1" t="s">
        <v>1002</v>
      </c>
      <c r="C701" s="7" t="s">
        <v>1958</v>
      </c>
    </row>
    <row r="702" spans="1:3">
      <c r="A702" s="1" t="s">
        <v>1946</v>
      </c>
      <c r="B702" s="1" t="s">
        <v>1742</v>
      </c>
      <c r="C702" s="7" t="s">
        <v>1959</v>
      </c>
    </row>
    <row r="703" spans="1:3">
      <c r="A703" s="1" t="s">
        <v>1946</v>
      </c>
      <c r="B703" s="1" t="s">
        <v>1743</v>
      </c>
      <c r="C703" s="7" t="s">
        <v>436</v>
      </c>
    </row>
    <row r="704" spans="1:3">
      <c r="A704" s="1" t="s">
        <v>1946</v>
      </c>
      <c r="B704" s="1" t="s">
        <v>1004</v>
      </c>
      <c r="C704" s="7" t="s">
        <v>1960</v>
      </c>
    </row>
    <row r="705" spans="1:3">
      <c r="A705" s="1" t="s">
        <v>1946</v>
      </c>
      <c r="B705" s="1" t="s">
        <v>1006</v>
      </c>
      <c r="C705" s="7" t="s">
        <v>363</v>
      </c>
    </row>
    <row r="706" spans="1:3">
      <c r="A706" s="1" t="s">
        <v>1946</v>
      </c>
      <c r="B706" s="1" t="s">
        <v>1748</v>
      </c>
      <c r="C706" s="7" t="s">
        <v>1961</v>
      </c>
    </row>
    <row r="707" spans="1:3">
      <c r="A707" s="1" t="s">
        <v>1946</v>
      </c>
      <c r="B707" s="1" t="s">
        <v>1749</v>
      </c>
      <c r="C707" s="7" t="s">
        <v>436</v>
      </c>
    </row>
    <row r="708" spans="1:3">
      <c r="A708" s="1" t="s">
        <v>1946</v>
      </c>
      <c r="B708" s="1" t="s">
        <v>1008</v>
      </c>
      <c r="C708" s="7" t="s">
        <v>1960</v>
      </c>
    </row>
    <row r="709" spans="1:3">
      <c r="A709" s="1" t="s">
        <v>1946</v>
      </c>
      <c r="B709" s="1" t="s">
        <v>1010</v>
      </c>
      <c r="C709" s="7" t="s">
        <v>1962</v>
      </c>
    </row>
    <row r="710" spans="1:3">
      <c r="A710" s="1" t="s">
        <v>1946</v>
      </c>
      <c r="B710" s="1" t="s">
        <v>1757</v>
      </c>
      <c r="C710" s="7" t="s">
        <v>1963</v>
      </c>
    </row>
    <row r="711" spans="1:3">
      <c r="A711" s="1" t="s">
        <v>1946</v>
      </c>
      <c r="B711" s="1" t="s">
        <v>1758</v>
      </c>
      <c r="C711" s="7" t="s">
        <v>436</v>
      </c>
    </row>
    <row r="712" spans="1:3">
      <c r="A712" s="1" t="s">
        <v>1946</v>
      </c>
      <c r="B712" s="1" t="s">
        <v>1278</v>
      </c>
      <c r="C712" s="7" t="s">
        <v>1960</v>
      </c>
    </row>
    <row r="713" spans="1:3">
      <c r="A713" s="1" t="s">
        <v>1946</v>
      </c>
      <c r="B713" s="1" t="s">
        <v>1097</v>
      </c>
      <c r="C713" s="7" t="s">
        <v>1964</v>
      </c>
    </row>
    <row r="714" spans="1:3">
      <c r="A714" s="1" t="s">
        <v>1946</v>
      </c>
      <c r="B714" s="1" t="s">
        <v>1766</v>
      </c>
      <c r="C714" s="7" t="s">
        <v>1965</v>
      </c>
    </row>
    <row r="715" spans="1:3">
      <c r="A715" s="1" t="s">
        <v>1946</v>
      </c>
      <c r="B715" s="1" t="s">
        <v>1768</v>
      </c>
      <c r="C715" s="7" t="s">
        <v>436</v>
      </c>
    </row>
    <row r="716" spans="1:3">
      <c r="A716" s="1" t="s">
        <v>1946</v>
      </c>
      <c r="B716" s="1" t="s">
        <v>1280</v>
      </c>
      <c r="C716" s="7" t="s">
        <v>1960</v>
      </c>
    </row>
    <row r="717" spans="1:3">
      <c r="A717" s="1" t="s">
        <v>1946</v>
      </c>
      <c r="B717" s="1" t="s">
        <v>1012</v>
      </c>
      <c r="C717" s="7" t="s">
        <v>1966</v>
      </c>
    </row>
    <row r="718" spans="1:3">
      <c r="A718" s="1" t="s">
        <v>1946</v>
      </c>
      <c r="B718" s="1" t="s">
        <v>1775</v>
      </c>
      <c r="C718" s="7" t="s">
        <v>1967</v>
      </c>
    </row>
    <row r="719" spans="1:3">
      <c r="A719" s="1" t="s">
        <v>1946</v>
      </c>
      <c r="B719" s="1" t="s">
        <v>1776</v>
      </c>
      <c r="C719" s="7" t="s">
        <v>436</v>
      </c>
    </row>
    <row r="720" spans="1:3">
      <c r="A720" s="1" t="s">
        <v>1946</v>
      </c>
      <c r="B720" s="1" t="s">
        <v>1282</v>
      </c>
      <c r="C720" s="7" t="s">
        <v>1960</v>
      </c>
    </row>
    <row r="721" spans="1:3">
      <c r="A721" s="1" t="s">
        <v>1946</v>
      </c>
      <c r="B721" s="1" t="s">
        <v>1014</v>
      </c>
      <c r="C721" s="7" t="s">
        <v>1968</v>
      </c>
    </row>
    <row r="722" spans="1:3">
      <c r="A722" s="1" t="s">
        <v>1946</v>
      </c>
      <c r="B722" s="1" t="s">
        <v>1783</v>
      </c>
      <c r="C722" s="7" t="s">
        <v>1969</v>
      </c>
    </row>
    <row r="723" spans="1:3">
      <c r="A723" s="1" t="s">
        <v>1946</v>
      </c>
      <c r="B723" s="1" t="s">
        <v>1784</v>
      </c>
      <c r="C723" s="7" t="s">
        <v>436</v>
      </c>
    </row>
    <row r="724" spans="1:3">
      <c r="A724" s="1" t="s">
        <v>1946</v>
      </c>
      <c r="B724" s="1" t="s">
        <v>1785</v>
      </c>
      <c r="C724" s="7" t="s">
        <v>1970</v>
      </c>
    </row>
    <row r="725" spans="1:3">
      <c r="A725" s="1" t="s">
        <v>1946</v>
      </c>
      <c r="B725" s="1" t="s">
        <v>1102</v>
      </c>
      <c r="C725" s="7" t="s">
        <v>1960</v>
      </c>
    </row>
    <row r="726" spans="1:3">
      <c r="A726" s="1" t="s">
        <v>1946</v>
      </c>
      <c r="B726" s="1" t="s">
        <v>1016</v>
      </c>
      <c r="C726" s="7" t="s">
        <v>1971</v>
      </c>
    </row>
    <row r="727" spans="1:3">
      <c r="A727" s="1" t="s">
        <v>1946</v>
      </c>
      <c r="B727" s="1" t="s">
        <v>1790</v>
      </c>
      <c r="C727" s="7" t="s">
        <v>1972</v>
      </c>
    </row>
    <row r="728" spans="1:3">
      <c r="A728" s="1" t="s">
        <v>1946</v>
      </c>
      <c r="B728" s="1" t="s">
        <v>1791</v>
      </c>
      <c r="C728" s="7" t="s">
        <v>436</v>
      </c>
    </row>
    <row r="729" spans="1:3">
      <c r="A729" s="1" t="s">
        <v>1946</v>
      </c>
      <c r="B729" s="1" t="s">
        <v>1105</v>
      </c>
      <c r="C729" s="7" t="s">
        <v>1960</v>
      </c>
    </row>
    <row r="730" spans="1:3">
      <c r="A730" s="1" t="s">
        <v>1946</v>
      </c>
      <c r="B730" s="1" t="s">
        <v>1018</v>
      </c>
      <c r="C730" s="7" t="s">
        <v>1973</v>
      </c>
    </row>
    <row r="731" spans="1:3">
      <c r="A731" s="1" t="s">
        <v>1946</v>
      </c>
      <c r="B731" s="1" t="s">
        <v>1796</v>
      </c>
      <c r="C731" s="7" t="s">
        <v>1974</v>
      </c>
    </row>
    <row r="732" spans="1:3">
      <c r="A732" s="1" t="s">
        <v>1946</v>
      </c>
      <c r="B732" s="1" t="s">
        <v>1797</v>
      </c>
      <c r="C732" s="7" t="s">
        <v>436</v>
      </c>
    </row>
    <row r="733" spans="1:3">
      <c r="A733" s="1" t="s">
        <v>1946</v>
      </c>
      <c r="B733" s="1" t="s">
        <v>1108</v>
      </c>
      <c r="C733" s="7" t="s">
        <v>1960</v>
      </c>
    </row>
    <row r="734" spans="1:3">
      <c r="A734" s="1" t="s">
        <v>1946</v>
      </c>
      <c r="B734" s="1" t="s">
        <v>1975</v>
      </c>
      <c r="C734" s="7" t="s">
        <v>1976</v>
      </c>
    </row>
    <row r="735" spans="1:3">
      <c r="A735" s="1" t="s">
        <v>1946</v>
      </c>
      <c r="B735" s="1" t="s">
        <v>1802</v>
      </c>
      <c r="C735" s="7" t="s">
        <v>1977</v>
      </c>
    </row>
    <row r="736" spans="1:3">
      <c r="A736" s="1" t="s">
        <v>1946</v>
      </c>
      <c r="B736" s="1" t="s">
        <v>1803</v>
      </c>
      <c r="C736" s="7" t="s">
        <v>436</v>
      </c>
    </row>
    <row r="737" spans="1:3">
      <c r="A737" s="1" t="s">
        <v>1946</v>
      </c>
      <c r="B737" s="1" t="s">
        <v>1110</v>
      </c>
      <c r="C737" s="4" t="s">
        <v>1978</v>
      </c>
    </row>
    <row r="738" spans="1:3">
      <c r="A738" s="1" t="s">
        <v>1946</v>
      </c>
      <c r="B738" s="1" t="s">
        <v>1114</v>
      </c>
      <c r="C738" s="7" t="s">
        <v>1960</v>
      </c>
    </row>
    <row r="739" spans="1:3">
      <c r="A739" s="1" t="s">
        <v>1946</v>
      </c>
      <c r="B739" s="1" t="s">
        <v>1020</v>
      </c>
      <c r="C739" s="7" t="s">
        <v>1979</v>
      </c>
    </row>
    <row r="740" spans="1:3">
      <c r="A740" s="1" t="s">
        <v>1946</v>
      </c>
      <c r="B740" s="1" t="s">
        <v>1482</v>
      </c>
      <c r="C740" s="7" t="s">
        <v>1980</v>
      </c>
    </row>
    <row r="741" spans="1:3">
      <c r="A741" s="1" t="s">
        <v>1946</v>
      </c>
      <c r="B741" s="1" t="s">
        <v>1808</v>
      </c>
      <c r="C741" s="7" t="s">
        <v>436</v>
      </c>
    </row>
    <row r="742" spans="1:3">
      <c r="A742" s="1" t="s">
        <v>1946</v>
      </c>
      <c r="B742" s="1" t="s">
        <v>1119</v>
      </c>
      <c r="C742" s="7" t="s">
        <v>1981</v>
      </c>
    </row>
    <row r="743" spans="1:3">
      <c r="A743" s="1" t="s">
        <v>1946</v>
      </c>
      <c r="B743" s="1" t="s">
        <v>1982</v>
      </c>
      <c r="C743" s="7" t="s">
        <v>1983</v>
      </c>
    </row>
    <row r="744" spans="1:3">
      <c r="A744" s="1" t="s">
        <v>1946</v>
      </c>
      <c r="B744" s="1" t="s">
        <v>1812</v>
      </c>
      <c r="C744" s="7" t="s">
        <v>1984</v>
      </c>
    </row>
    <row r="745" spans="1:3">
      <c r="A745" s="1" t="s">
        <v>1946</v>
      </c>
      <c r="B745" s="1" t="s">
        <v>1813</v>
      </c>
      <c r="C745" s="7" t="s">
        <v>436</v>
      </c>
    </row>
    <row r="746" spans="1:3">
      <c r="A746" s="1" t="s">
        <v>1946</v>
      </c>
      <c r="B746" s="1" t="s">
        <v>1122</v>
      </c>
      <c r="C746" s="7" t="s">
        <v>1981</v>
      </c>
    </row>
    <row r="747" spans="1:3">
      <c r="A747" s="1" t="s">
        <v>1946</v>
      </c>
      <c r="B747" s="1" t="s">
        <v>1022</v>
      </c>
      <c r="C747" s="7" t="s">
        <v>1985</v>
      </c>
    </row>
    <row r="748" spans="1:3">
      <c r="A748" s="1" t="s">
        <v>1946</v>
      </c>
      <c r="B748" s="1" t="s">
        <v>1818</v>
      </c>
      <c r="C748" s="7" t="s">
        <v>1986</v>
      </c>
    </row>
    <row r="749" spans="1:3">
      <c r="A749" s="1" t="s">
        <v>1946</v>
      </c>
      <c r="B749" s="1" t="s">
        <v>1819</v>
      </c>
      <c r="C749" s="7" t="s">
        <v>436</v>
      </c>
    </row>
    <row r="750" spans="1:3">
      <c r="A750" s="1" t="s">
        <v>1946</v>
      </c>
      <c r="B750" s="1" t="s">
        <v>1126</v>
      </c>
      <c r="C750" s="7" t="s">
        <v>1981</v>
      </c>
    </row>
    <row r="751" spans="1:3">
      <c r="A751" s="1" t="s">
        <v>1946</v>
      </c>
      <c r="B751" s="1" t="s">
        <v>1987</v>
      </c>
      <c r="C751" s="7" t="s">
        <v>1988</v>
      </c>
    </row>
    <row r="752" spans="1:3">
      <c r="A752" s="1" t="s">
        <v>1946</v>
      </c>
      <c r="B752" s="1" t="s">
        <v>1824</v>
      </c>
      <c r="C752" s="7" t="s">
        <v>1989</v>
      </c>
    </row>
    <row r="753" spans="1:3">
      <c r="A753" s="1" t="s">
        <v>1946</v>
      </c>
      <c r="B753" s="1" t="s">
        <v>1024</v>
      </c>
      <c r="C753" s="7" t="s">
        <v>436</v>
      </c>
    </row>
    <row r="754" spans="1:3">
      <c r="A754" s="1" t="s">
        <v>1946</v>
      </c>
      <c r="B754" s="1" t="s">
        <v>1127</v>
      </c>
      <c r="C754" s="7" t="s">
        <v>1981</v>
      </c>
    </row>
    <row r="755" spans="1:3">
      <c r="A755" s="1" t="s">
        <v>1946</v>
      </c>
      <c r="B755" s="1" t="s">
        <v>1990</v>
      </c>
      <c r="C755" s="7" t="s">
        <v>1991</v>
      </c>
    </row>
    <row r="756" spans="1:3">
      <c r="A756" s="1" t="s">
        <v>1946</v>
      </c>
      <c r="B756" s="1" t="s">
        <v>1829</v>
      </c>
      <c r="C756" s="7" t="s">
        <v>1992</v>
      </c>
    </row>
    <row r="757" spans="1:3">
      <c r="A757" s="1" t="s">
        <v>1946</v>
      </c>
      <c r="B757" s="1" t="s">
        <v>1830</v>
      </c>
      <c r="C757" s="7" t="s">
        <v>1993</v>
      </c>
    </row>
    <row r="758" spans="1:3">
      <c r="A758" s="1" t="s">
        <v>1946</v>
      </c>
      <c r="B758" s="1" t="s">
        <v>1994</v>
      </c>
      <c r="C758" s="7" t="s">
        <v>1995</v>
      </c>
    </row>
    <row r="759" spans="1:3">
      <c r="A759" s="1" t="s">
        <v>1946</v>
      </c>
      <c r="B759" s="1" t="s">
        <v>1298</v>
      </c>
      <c r="C759" s="7" t="s">
        <v>1996</v>
      </c>
    </row>
    <row r="760" spans="1:3">
      <c r="A760" s="1" t="s">
        <v>1946</v>
      </c>
      <c r="B760" s="1" t="s">
        <v>1026</v>
      </c>
      <c r="C760" s="7" t="s">
        <v>1997</v>
      </c>
    </row>
    <row r="761" spans="1:3">
      <c r="A761" s="1" t="s">
        <v>1946</v>
      </c>
      <c r="B761" s="1" t="s">
        <v>1835</v>
      </c>
      <c r="C761" s="7" t="s">
        <v>1998</v>
      </c>
    </row>
    <row r="762" spans="1:3">
      <c r="A762" s="1" t="s">
        <v>1946</v>
      </c>
      <c r="B762" s="1" t="s">
        <v>1836</v>
      </c>
      <c r="C762" s="7" t="s">
        <v>436</v>
      </c>
    </row>
    <row r="763" spans="1:3">
      <c r="A763" s="1" t="s">
        <v>1946</v>
      </c>
      <c r="B763" s="1" t="s">
        <v>1999</v>
      </c>
      <c r="C763" s="7" t="s">
        <v>2000</v>
      </c>
    </row>
    <row r="764" spans="1:3">
      <c r="A764" s="1" t="s">
        <v>1946</v>
      </c>
      <c r="B764" s="1" t="s">
        <v>1129</v>
      </c>
      <c r="C764" s="7" t="s">
        <v>1996</v>
      </c>
    </row>
    <row r="765" spans="1:3">
      <c r="A765" s="1" t="s">
        <v>1946</v>
      </c>
      <c r="B765" s="1" t="s">
        <v>1028</v>
      </c>
      <c r="C765" s="7" t="s">
        <v>2001</v>
      </c>
    </row>
    <row r="766" spans="1:3">
      <c r="A766" s="1" t="s">
        <v>1946</v>
      </c>
      <c r="B766" s="1" t="s">
        <v>1030</v>
      </c>
      <c r="C766" s="7" t="s">
        <v>2002</v>
      </c>
    </row>
    <row r="767" spans="1:3">
      <c r="A767" s="1" t="s">
        <v>1946</v>
      </c>
      <c r="B767" s="1" t="s">
        <v>1841</v>
      </c>
      <c r="C767" s="7" t="s">
        <v>436</v>
      </c>
    </row>
    <row r="768" spans="1:3">
      <c r="A768" s="1" t="s">
        <v>1946</v>
      </c>
      <c r="B768" s="1" t="s">
        <v>1131</v>
      </c>
      <c r="C768" s="7" t="s">
        <v>1996</v>
      </c>
    </row>
    <row r="769" spans="1:3">
      <c r="A769" s="1" t="s">
        <v>1946</v>
      </c>
      <c r="B769" s="1" t="s">
        <v>1032</v>
      </c>
      <c r="C769" s="7" t="s">
        <v>2003</v>
      </c>
    </row>
    <row r="770" spans="1:3">
      <c r="A770" s="1" t="s">
        <v>1946</v>
      </c>
      <c r="B770" s="1" t="s">
        <v>1846</v>
      </c>
      <c r="C770" s="7" t="s">
        <v>2004</v>
      </c>
    </row>
    <row r="771" spans="1:3">
      <c r="A771" s="1" t="s">
        <v>1946</v>
      </c>
      <c r="B771" s="1" t="s">
        <v>1847</v>
      </c>
      <c r="C771" s="7" t="s">
        <v>436</v>
      </c>
    </row>
    <row r="772" spans="1:3">
      <c r="A772" s="1" t="s">
        <v>1946</v>
      </c>
      <c r="B772" s="1" t="s">
        <v>2005</v>
      </c>
      <c r="C772" s="7" t="s">
        <v>2006</v>
      </c>
    </row>
    <row r="773" spans="1:3">
      <c r="A773" s="1" t="s">
        <v>1946</v>
      </c>
      <c r="B773" s="1" t="s">
        <v>1132</v>
      </c>
      <c r="C773" s="7" t="s">
        <v>1996</v>
      </c>
    </row>
    <row r="774" spans="1:3">
      <c r="A774" s="1" t="s">
        <v>1946</v>
      </c>
      <c r="B774" s="1" t="s">
        <v>1034</v>
      </c>
      <c r="C774" s="7" t="s">
        <v>2007</v>
      </c>
    </row>
    <row r="775" spans="1:3">
      <c r="A775" s="1" t="s">
        <v>1946</v>
      </c>
      <c r="B775" s="1" t="s">
        <v>1852</v>
      </c>
      <c r="C775" s="7" t="s">
        <v>2008</v>
      </c>
    </row>
    <row r="776" spans="1:3">
      <c r="A776" s="1" t="s">
        <v>1946</v>
      </c>
      <c r="B776" s="1" t="s">
        <v>1853</v>
      </c>
      <c r="C776" s="7" t="s">
        <v>436</v>
      </c>
    </row>
    <row r="777" spans="1:3">
      <c r="A777" s="1" t="s">
        <v>1946</v>
      </c>
      <c r="B777" s="1" t="s">
        <v>2009</v>
      </c>
      <c r="C777" s="7" t="s">
        <v>2010</v>
      </c>
    </row>
    <row r="778" spans="1:3">
      <c r="A778" s="1" t="s">
        <v>1946</v>
      </c>
      <c r="B778" s="1" t="s">
        <v>1134</v>
      </c>
      <c r="C778" s="7" t="s">
        <v>1996</v>
      </c>
    </row>
    <row r="779" spans="1:3">
      <c r="A779" s="1" t="s">
        <v>1946</v>
      </c>
      <c r="B779" s="1" t="s">
        <v>1535</v>
      </c>
      <c r="C779" s="7" t="s">
        <v>2011</v>
      </c>
    </row>
    <row r="780" spans="1:3">
      <c r="A780" s="1" t="s">
        <v>1946</v>
      </c>
      <c r="B780" s="1" t="s">
        <v>1858</v>
      </c>
      <c r="C780" s="7" t="s">
        <v>2012</v>
      </c>
    </row>
    <row r="781" spans="1:3">
      <c r="A781" s="1" t="s">
        <v>1946</v>
      </c>
      <c r="B781" s="1" t="s">
        <v>1859</v>
      </c>
      <c r="C781" s="7" t="s">
        <v>436</v>
      </c>
    </row>
    <row r="782" spans="1:3">
      <c r="A782" s="1" t="s">
        <v>1946</v>
      </c>
      <c r="B782" s="1" t="s">
        <v>2013</v>
      </c>
      <c r="C782" s="7" t="s">
        <v>2014</v>
      </c>
    </row>
    <row r="783" spans="1:3">
      <c r="A783" s="1" t="s">
        <v>1946</v>
      </c>
      <c r="B783" s="1" t="s">
        <v>1135</v>
      </c>
      <c r="C783" s="7" t="s">
        <v>1996</v>
      </c>
    </row>
    <row r="784" spans="1:3">
      <c r="A784" s="1" t="s">
        <v>1946</v>
      </c>
      <c r="B784" s="1" t="s">
        <v>1036</v>
      </c>
      <c r="C784" s="7" t="s">
        <v>2015</v>
      </c>
    </row>
    <row r="785" spans="1:3">
      <c r="A785" s="1" t="s">
        <v>1946</v>
      </c>
      <c r="B785" s="1" t="s">
        <v>1864</v>
      </c>
      <c r="C785" s="7" t="s">
        <v>2016</v>
      </c>
    </row>
    <row r="786" spans="1:3">
      <c r="A786" s="1" t="s">
        <v>1946</v>
      </c>
      <c r="B786" s="1" t="s">
        <v>1865</v>
      </c>
      <c r="C786" s="7" t="s">
        <v>1993</v>
      </c>
    </row>
    <row r="787" spans="1:3">
      <c r="A787" s="1" t="s">
        <v>1946</v>
      </c>
      <c r="B787" s="1" t="s">
        <v>1137</v>
      </c>
      <c r="C787" s="7" t="s">
        <v>1253</v>
      </c>
    </row>
    <row r="788" spans="1:3">
      <c r="A788" s="1" t="s">
        <v>1946</v>
      </c>
      <c r="B788" s="1" t="s">
        <v>1038</v>
      </c>
      <c r="C788" s="7" t="s">
        <v>2017</v>
      </c>
    </row>
    <row r="789" spans="1:3">
      <c r="A789" s="1" t="s">
        <v>1946</v>
      </c>
      <c r="B789" s="1" t="s">
        <v>1870</v>
      </c>
      <c r="C789" s="7" t="s">
        <v>2018</v>
      </c>
    </row>
    <row r="790" spans="1:3">
      <c r="A790" s="1" t="s">
        <v>1946</v>
      </c>
      <c r="B790" s="1" t="s">
        <v>1871</v>
      </c>
      <c r="C790" s="7" t="s">
        <v>436</v>
      </c>
    </row>
    <row r="791" spans="1:3">
      <c r="A791" s="1" t="s">
        <v>1946</v>
      </c>
      <c r="B791" s="1" t="s">
        <v>1139</v>
      </c>
      <c r="C791" s="7" t="s">
        <v>1253</v>
      </c>
    </row>
    <row r="792" spans="1:3">
      <c r="A792" s="1" t="s">
        <v>1946</v>
      </c>
      <c r="B792" s="1" t="s">
        <v>2019</v>
      </c>
      <c r="C792" s="7" t="s">
        <v>2020</v>
      </c>
    </row>
    <row r="793" spans="1:3">
      <c r="A793" s="1" t="s">
        <v>1946</v>
      </c>
      <c r="B793" s="1" t="s">
        <v>1876</v>
      </c>
      <c r="C793" s="7" t="s">
        <v>2021</v>
      </c>
    </row>
    <row r="794" spans="1:3">
      <c r="A794" s="1" t="s">
        <v>1946</v>
      </c>
      <c r="B794" s="1" t="s">
        <v>1877</v>
      </c>
      <c r="C794" s="7" t="s">
        <v>436</v>
      </c>
    </row>
    <row r="795" spans="1:3">
      <c r="A795" s="1" t="s">
        <v>1946</v>
      </c>
      <c r="B795" s="1" t="s">
        <v>1141</v>
      </c>
      <c r="C795" s="7" t="s">
        <v>2022</v>
      </c>
    </row>
    <row r="796" spans="1:3">
      <c r="A796" s="1" t="s">
        <v>1946</v>
      </c>
      <c r="B796" s="1" t="s">
        <v>2023</v>
      </c>
      <c r="C796" s="7" t="s">
        <v>2024</v>
      </c>
    </row>
    <row r="797" spans="1:3">
      <c r="A797" s="1" t="s">
        <v>1946</v>
      </c>
      <c r="B797" s="1" t="s">
        <v>1882</v>
      </c>
      <c r="C797" s="7" t="s">
        <v>2025</v>
      </c>
    </row>
    <row r="798" spans="1:3">
      <c r="A798" s="1" t="s">
        <v>1946</v>
      </c>
      <c r="B798" s="1" t="s">
        <v>1883</v>
      </c>
      <c r="C798" s="7" t="s">
        <v>436</v>
      </c>
    </row>
    <row r="799" spans="1:3">
      <c r="A799" s="1" t="s">
        <v>1946</v>
      </c>
      <c r="B799" s="1" t="s">
        <v>2026</v>
      </c>
      <c r="C799" s="7" t="s">
        <v>2027</v>
      </c>
    </row>
    <row r="800" spans="1:3">
      <c r="A800" s="1" t="s">
        <v>1946</v>
      </c>
      <c r="B800" s="1" t="s">
        <v>1143</v>
      </c>
      <c r="C800" s="7" t="s">
        <v>2022</v>
      </c>
    </row>
    <row r="801" spans="1:3">
      <c r="A801" s="1" t="s">
        <v>1946</v>
      </c>
      <c r="B801" s="1" t="s">
        <v>2028</v>
      </c>
      <c r="C801" s="7" t="s">
        <v>2029</v>
      </c>
    </row>
    <row r="802" spans="1:3">
      <c r="A802" s="1" t="s">
        <v>1946</v>
      </c>
      <c r="B802" s="1" t="s">
        <v>1888</v>
      </c>
      <c r="C802" s="7" t="s">
        <v>2030</v>
      </c>
    </row>
    <row r="803" spans="1:3">
      <c r="A803" s="1" t="s">
        <v>1946</v>
      </c>
      <c r="B803" s="1" t="s">
        <v>1889</v>
      </c>
      <c r="C803" s="7" t="s">
        <v>2031</v>
      </c>
    </row>
    <row r="804" spans="1:3">
      <c r="A804" s="1" t="s">
        <v>1946</v>
      </c>
      <c r="B804" s="1" t="s">
        <v>2032</v>
      </c>
      <c r="C804" s="7" t="s">
        <v>2033</v>
      </c>
    </row>
    <row r="805" spans="1:3">
      <c r="A805" s="1" t="s">
        <v>1946</v>
      </c>
      <c r="B805" s="1" t="s">
        <v>1305</v>
      </c>
      <c r="C805" s="7" t="s">
        <v>2022</v>
      </c>
    </row>
    <row r="806" spans="1:3">
      <c r="A806" s="1" t="s">
        <v>1946</v>
      </c>
      <c r="B806" s="1" t="s">
        <v>2034</v>
      </c>
      <c r="C806" s="7" t="s">
        <v>2035</v>
      </c>
    </row>
    <row r="807" spans="1:3">
      <c r="A807" s="1" t="s">
        <v>1946</v>
      </c>
      <c r="B807" s="1" t="s">
        <v>1894</v>
      </c>
      <c r="C807" s="7" t="s">
        <v>2036</v>
      </c>
    </row>
    <row r="808" spans="1:3">
      <c r="A808" s="1" t="s">
        <v>1946</v>
      </c>
      <c r="B808" s="1" t="s">
        <v>1895</v>
      </c>
      <c r="C808" s="7" t="s">
        <v>2031</v>
      </c>
    </row>
    <row r="809" spans="1:3">
      <c r="A809" s="1" t="s">
        <v>1946</v>
      </c>
      <c r="B809" s="1" t="s">
        <v>1184</v>
      </c>
      <c r="C809" s="7" t="s">
        <v>2037</v>
      </c>
    </row>
    <row r="810" spans="1:3">
      <c r="A810" s="1" t="s">
        <v>1946</v>
      </c>
      <c r="B810" s="1" t="s">
        <v>1186</v>
      </c>
      <c r="C810" s="4" t="s">
        <v>2038</v>
      </c>
    </row>
    <row r="811" spans="1:3">
      <c r="A811" s="1" t="s">
        <v>1946</v>
      </c>
      <c r="B811" s="1" t="s">
        <v>1192</v>
      </c>
      <c r="C811" s="4" t="s">
        <v>2039</v>
      </c>
    </row>
    <row r="812" spans="1:3">
      <c r="A812" s="1" t="s">
        <v>1946</v>
      </c>
      <c r="B812" s="1" t="s">
        <v>1198</v>
      </c>
      <c r="C812" s="7" t="s">
        <v>2040</v>
      </c>
    </row>
    <row r="813" spans="1:3" ht="19.5" customHeight="1">
      <c r="A813" s="5" t="s">
        <v>2041</v>
      </c>
      <c r="B813" s="6"/>
      <c r="C813" s="6"/>
    </row>
    <row r="814" spans="1:3">
      <c r="A814" s="1" t="s">
        <v>2042</v>
      </c>
      <c r="B814" s="1" t="s">
        <v>981</v>
      </c>
      <c r="C814" s="7" t="s">
        <v>2043</v>
      </c>
    </row>
    <row r="815" spans="1:3">
      <c r="A815" s="1" t="s">
        <v>2042</v>
      </c>
      <c r="B815" s="1" t="s">
        <v>985</v>
      </c>
      <c r="C815" s="7" t="s">
        <v>2044</v>
      </c>
    </row>
    <row r="816" spans="1:3">
      <c r="A816" s="1" t="s">
        <v>2042</v>
      </c>
      <c r="B816" s="1" t="s">
        <v>986</v>
      </c>
      <c r="C816" s="7" t="s">
        <v>2045</v>
      </c>
    </row>
    <row r="817" spans="1:3">
      <c r="A817" s="1" t="s">
        <v>2042</v>
      </c>
      <c r="B817" s="1" t="s">
        <v>988</v>
      </c>
      <c r="C817" s="7" t="s">
        <v>2046</v>
      </c>
    </row>
    <row r="818" spans="1:3">
      <c r="A818" s="1" t="s">
        <v>2042</v>
      </c>
      <c r="B818" s="1" t="s">
        <v>1421</v>
      </c>
      <c r="C818" s="7" t="s">
        <v>1253</v>
      </c>
    </row>
    <row r="819" spans="1:3">
      <c r="A819" s="1" t="s">
        <v>2042</v>
      </c>
      <c r="B819" s="1" t="s">
        <v>1725</v>
      </c>
      <c r="C819" s="7" t="s">
        <v>2047</v>
      </c>
    </row>
    <row r="820" spans="1:3">
      <c r="A820" s="1" t="s">
        <v>2042</v>
      </c>
      <c r="B820" s="1" t="s">
        <v>1076</v>
      </c>
      <c r="C820" s="7" t="s">
        <v>2048</v>
      </c>
    </row>
    <row r="821" spans="1:3">
      <c r="A821" s="1" t="s">
        <v>2042</v>
      </c>
      <c r="B821" s="1" t="s">
        <v>1078</v>
      </c>
      <c r="C821" s="7" t="s">
        <v>2049</v>
      </c>
    </row>
    <row r="822" spans="1:3">
      <c r="A822" s="1" t="s">
        <v>2042</v>
      </c>
      <c r="B822" s="1" t="s">
        <v>2050</v>
      </c>
      <c r="C822" s="7" t="s">
        <v>2051</v>
      </c>
    </row>
    <row r="823" spans="1:3">
      <c r="A823" s="1" t="s">
        <v>2042</v>
      </c>
      <c r="B823" s="1" t="s">
        <v>1728</v>
      </c>
      <c r="C823" s="7" t="s">
        <v>2052</v>
      </c>
    </row>
    <row r="824" spans="1:3">
      <c r="A824" s="1" t="s">
        <v>2042</v>
      </c>
      <c r="B824" s="1" t="s">
        <v>990</v>
      </c>
      <c r="C824" s="7" t="s">
        <v>2044</v>
      </c>
    </row>
    <row r="825" spans="1:3">
      <c r="A825" s="1" t="s">
        <v>2042</v>
      </c>
      <c r="B825" s="1" t="s">
        <v>992</v>
      </c>
      <c r="C825" s="7" t="s">
        <v>1238</v>
      </c>
    </row>
    <row r="826" spans="1:3">
      <c r="A826" s="1" t="s">
        <v>2042</v>
      </c>
      <c r="B826" s="1" t="s">
        <v>994</v>
      </c>
      <c r="C826" s="7" t="s">
        <v>2053</v>
      </c>
    </row>
    <row r="827" spans="1:3">
      <c r="A827" s="1" t="s">
        <v>2042</v>
      </c>
      <c r="B827" s="1" t="s">
        <v>996</v>
      </c>
      <c r="C827" s="7" t="s">
        <v>2044</v>
      </c>
    </row>
    <row r="828" spans="1:3">
      <c r="A828" s="1" t="s">
        <v>2042</v>
      </c>
      <c r="B828" s="1" t="s">
        <v>998</v>
      </c>
      <c r="C828" s="7" t="s">
        <v>1238</v>
      </c>
    </row>
    <row r="829" spans="1:3">
      <c r="A829" s="1" t="s">
        <v>2042</v>
      </c>
      <c r="B829" s="1" t="s">
        <v>1736</v>
      </c>
      <c r="C829" s="7" t="s">
        <v>183</v>
      </c>
    </row>
    <row r="830" spans="1:3">
      <c r="A830" s="1" t="s">
        <v>2042</v>
      </c>
      <c r="B830" s="1" t="s">
        <v>1089</v>
      </c>
      <c r="C830" s="7" t="s">
        <v>2044</v>
      </c>
    </row>
    <row r="831" spans="1:3">
      <c r="A831" s="1" t="s">
        <v>2042</v>
      </c>
      <c r="B831" s="1" t="s">
        <v>1002</v>
      </c>
      <c r="C831" s="7" t="s">
        <v>1238</v>
      </c>
    </row>
    <row r="832" spans="1:3">
      <c r="A832" s="1" t="s">
        <v>2042</v>
      </c>
      <c r="B832" s="1" t="s">
        <v>1743</v>
      </c>
      <c r="C832" s="7" t="s">
        <v>2054</v>
      </c>
    </row>
    <row r="833" spans="1:3">
      <c r="A833" s="1" t="s">
        <v>2042</v>
      </c>
      <c r="B833" s="1" t="s">
        <v>1004</v>
      </c>
      <c r="C833" s="7" t="s">
        <v>2044</v>
      </c>
    </row>
    <row r="834" spans="1:3">
      <c r="A834" s="1" t="s">
        <v>2042</v>
      </c>
      <c r="B834" s="1" t="s">
        <v>1006</v>
      </c>
      <c r="C834" s="7" t="s">
        <v>1238</v>
      </c>
    </row>
    <row r="835" spans="1:3">
      <c r="A835" s="1" t="s">
        <v>2042</v>
      </c>
      <c r="B835" s="1" t="s">
        <v>1749</v>
      </c>
      <c r="C835" s="7" t="s">
        <v>2055</v>
      </c>
    </row>
    <row r="836" spans="1:3">
      <c r="A836" s="1" t="s">
        <v>2042</v>
      </c>
      <c r="B836" s="1" t="s">
        <v>1008</v>
      </c>
      <c r="C836" s="7" t="s">
        <v>2044</v>
      </c>
    </row>
    <row r="837" spans="1:3">
      <c r="A837" s="1" t="s">
        <v>2042</v>
      </c>
      <c r="B837" s="1" t="s">
        <v>1010</v>
      </c>
      <c r="C837" s="7" t="s">
        <v>1238</v>
      </c>
    </row>
    <row r="838" spans="1:3">
      <c r="A838" s="1" t="s">
        <v>2042</v>
      </c>
      <c r="B838" s="1" t="s">
        <v>1758</v>
      </c>
      <c r="C838" s="7" t="s">
        <v>2056</v>
      </c>
    </row>
    <row r="839" spans="1:3">
      <c r="A839" s="1" t="s">
        <v>2042</v>
      </c>
      <c r="B839" s="1" t="s">
        <v>1278</v>
      </c>
      <c r="C839" s="7" t="s">
        <v>2044</v>
      </c>
    </row>
    <row r="840" spans="1:3">
      <c r="A840" s="1" t="s">
        <v>2042</v>
      </c>
      <c r="B840" s="1" t="s">
        <v>1097</v>
      </c>
      <c r="C840" s="7" t="s">
        <v>1238</v>
      </c>
    </row>
    <row r="841" spans="1:3">
      <c r="A841" s="1" t="s">
        <v>2042</v>
      </c>
      <c r="B841" s="1" t="s">
        <v>1768</v>
      </c>
      <c r="C841" s="7" t="s">
        <v>2057</v>
      </c>
    </row>
    <row r="842" spans="1:3">
      <c r="A842" s="1" t="s">
        <v>2042</v>
      </c>
      <c r="B842" s="1" t="s">
        <v>1280</v>
      </c>
      <c r="C842" s="7" t="s">
        <v>2044</v>
      </c>
    </row>
    <row r="843" spans="1:3">
      <c r="A843" s="1" t="s">
        <v>2042</v>
      </c>
      <c r="B843" s="1" t="s">
        <v>1012</v>
      </c>
      <c r="C843" s="7" t="s">
        <v>1238</v>
      </c>
    </row>
    <row r="844" spans="1:3">
      <c r="A844" s="1" t="s">
        <v>2042</v>
      </c>
      <c r="B844" s="1" t="s">
        <v>1776</v>
      </c>
      <c r="C844" s="7" t="s">
        <v>2058</v>
      </c>
    </row>
    <row r="845" spans="1:3">
      <c r="A845" s="1" t="s">
        <v>2042</v>
      </c>
      <c r="B845" s="1" t="s">
        <v>1282</v>
      </c>
      <c r="C845" s="7" t="s">
        <v>2044</v>
      </c>
    </row>
    <row r="846" spans="1:3">
      <c r="A846" s="1" t="s">
        <v>2042</v>
      </c>
      <c r="B846" s="1" t="s">
        <v>1014</v>
      </c>
      <c r="C846" s="7" t="s">
        <v>1238</v>
      </c>
    </row>
    <row r="847" spans="1:3">
      <c r="A847" s="1" t="s">
        <v>2042</v>
      </c>
      <c r="B847" s="1" t="s">
        <v>1784</v>
      </c>
      <c r="C847" s="7" t="s">
        <v>2059</v>
      </c>
    </row>
    <row r="848" spans="1:3">
      <c r="A848" s="1" t="s">
        <v>2042</v>
      </c>
      <c r="B848" s="1" t="s">
        <v>1102</v>
      </c>
      <c r="C848" s="7" t="s">
        <v>2044</v>
      </c>
    </row>
    <row r="849" spans="1:3">
      <c r="A849" s="1" t="s">
        <v>2042</v>
      </c>
      <c r="B849" s="1" t="s">
        <v>1016</v>
      </c>
      <c r="C849" s="7" t="s">
        <v>1238</v>
      </c>
    </row>
    <row r="850" spans="1:3">
      <c r="A850" s="1" t="s">
        <v>2042</v>
      </c>
      <c r="B850" s="1" t="s">
        <v>1791</v>
      </c>
      <c r="C850" s="7" t="s">
        <v>2060</v>
      </c>
    </row>
    <row r="851" spans="1:3">
      <c r="A851" s="1" t="s">
        <v>2042</v>
      </c>
      <c r="B851" s="1" t="s">
        <v>1105</v>
      </c>
      <c r="C851" s="7" t="s">
        <v>2044</v>
      </c>
    </row>
    <row r="852" spans="1:3">
      <c r="A852" s="1" t="s">
        <v>2042</v>
      </c>
      <c r="B852" s="1" t="s">
        <v>1018</v>
      </c>
      <c r="C852" s="7" t="s">
        <v>1238</v>
      </c>
    </row>
    <row r="853" spans="1:3">
      <c r="A853" s="1" t="s">
        <v>2042</v>
      </c>
      <c r="B853" s="1" t="s">
        <v>1797</v>
      </c>
      <c r="C853" s="7" t="s">
        <v>2061</v>
      </c>
    </row>
    <row r="854" spans="1:3">
      <c r="A854" s="1" t="s">
        <v>2042</v>
      </c>
      <c r="B854" s="1" t="s">
        <v>1108</v>
      </c>
      <c r="C854" s="7" t="s">
        <v>2044</v>
      </c>
    </row>
    <row r="855" spans="1:3">
      <c r="A855" s="1" t="s">
        <v>2042</v>
      </c>
      <c r="B855" s="1" t="s">
        <v>1975</v>
      </c>
      <c r="C855" s="7" t="s">
        <v>1238</v>
      </c>
    </row>
    <row r="856" spans="1:3">
      <c r="A856" s="1" t="s">
        <v>2042</v>
      </c>
      <c r="B856" s="1" t="s">
        <v>1803</v>
      </c>
      <c r="C856" s="7" t="s">
        <v>2062</v>
      </c>
    </row>
    <row r="857" spans="1:3">
      <c r="A857" s="1" t="s">
        <v>2042</v>
      </c>
      <c r="B857" s="1" t="s">
        <v>1114</v>
      </c>
      <c r="C857" s="7" t="s">
        <v>2044</v>
      </c>
    </row>
    <row r="858" spans="1:3">
      <c r="A858" s="1" t="s">
        <v>2042</v>
      </c>
      <c r="B858" s="1" t="s">
        <v>1020</v>
      </c>
      <c r="C858" s="7" t="s">
        <v>1238</v>
      </c>
    </row>
    <row r="859" spans="1:3">
      <c r="A859" s="1" t="s">
        <v>2042</v>
      </c>
      <c r="B859" s="1" t="s">
        <v>1808</v>
      </c>
      <c r="C859" s="7" t="s">
        <v>2063</v>
      </c>
    </row>
    <row r="860" spans="1:3">
      <c r="A860" s="1" t="s">
        <v>2042</v>
      </c>
      <c r="B860" s="1" t="s">
        <v>1119</v>
      </c>
      <c r="C860" s="7" t="s">
        <v>2044</v>
      </c>
    </row>
    <row r="861" spans="1:3">
      <c r="A861" s="1" t="s">
        <v>2042</v>
      </c>
      <c r="B861" s="1" t="s">
        <v>1982</v>
      </c>
      <c r="C861" s="7" t="s">
        <v>1238</v>
      </c>
    </row>
    <row r="862" spans="1:3">
      <c r="A862" s="1" t="s">
        <v>2042</v>
      </c>
      <c r="B862" s="1" t="s">
        <v>1813</v>
      </c>
      <c r="C862" s="7" t="s">
        <v>2064</v>
      </c>
    </row>
    <row r="863" spans="1:3">
      <c r="A863" s="1" t="s">
        <v>2042</v>
      </c>
      <c r="B863" s="1" t="s">
        <v>1122</v>
      </c>
      <c r="C863" s="7" t="s">
        <v>2044</v>
      </c>
    </row>
    <row r="864" spans="1:3">
      <c r="A864" s="1" t="s">
        <v>2042</v>
      </c>
      <c r="B864" s="1" t="s">
        <v>1022</v>
      </c>
      <c r="C864" s="7" t="s">
        <v>1238</v>
      </c>
    </row>
    <row r="865" spans="1:3">
      <c r="A865" s="1" t="s">
        <v>2042</v>
      </c>
      <c r="B865" s="1" t="s">
        <v>1819</v>
      </c>
      <c r="C865" s="7" t="s">
        <v>1714</v>
      </c>
    </row>
    <row r="866" spans="1:3">
      <c r="A866" s="1" t="s">
        <v>2042</v>
      </c>
      <c r="B866" s="1" t="s">
        <v>1126</v>
      </c>
      <c r="C866" s="7" t="s">
        <v>2044</v>
      </c>
    </row>
    <row r="867" spans="1:3">
      <c r="A867" s="1" t="s">
        <v>2042</v>
      </c>
      <c r="B867" s="1" t="s">
        <v>1987</v>
      </c>
      <c r="C867" s="7" t="s">
        <v>1238</v>
      </c>
    </row>
    <row r="868" spans="1:3">
      <c r="A868" s="1" t="s">
        <v>2042</v>
      </c>
      <c r="B868" s="1" t="s">
        <v>1024</v>
      </c>
      <c r="C868" s="7" t="s">
        <v>2065</v>
      </c>
    </row>
    <row r="869" spans="1:3">
      <c r="A869" s="1" t="s">
        <v>2042</v>
      </c>
      <c r="B869" s="1" t="s">
        <v>1127</v>
      </c>
      <c r="C869" s="7" t="s">
        <v>2044</v>
      </c>
    </row>
    <row r="870" spans="1:3">
      <c r="A870" s="1" t="s">
        <v>2042</v>
      </c>
      <c r="B870" s="1" t="s">
        <v>1990</v>
      </c>
      <c r="C870" s="7" t="s">
        <v>1238</v>
      </c>
    </row>
    <row r="871" spans="1:3">
      <c r="A871" s="1" t="s">
        <v>2042</v>
      </c>
      <c r="B871" s="1" t="s">
        <v>1830</v>
      </c>
      <c r="C871" s="7" t="s">
        <v>2066</v>
      </c>
    </row>
    <row r="872" spans="1:3">
      <c r="A872" s="1" t="s">
        <v>2042</v>
      </c>
      <c r="B872" s="1" t="s">
        <v>1298</v>
      </c>
      <c r="C872" s="7" t="s">
        <v>2044</v>
      </c>
    </row>
    <row r="873" spans="1:3">
      <c r="A873" s="1" t="s">
        <v>2042</v>
      </c>
      <c r="B873" s="1" t="s">
        <v>1026</v>
      </c>
      <c r="C873" s="7" t="s">
        <v>1238</v>
      </c>
    </row>
    <row r="874" spans="1:3">
      <c r="A874" s="1" t="s">
        <v>2042</v>
      </c>
      <c r="B874" s="1" t="s">
        <v>1836</v>
      </c>
      <c r="C874" s="7" t="s">
        <v>2066</v>
      </c>
    </row>
    <row r="875" spans="1:3">
      <c r="A875" s="1" t="s">
        <v>2042</v>
      </c>
      <c r="B875" s="1" t="s">
        <v>1129</v>
      </c>
      <c r="C875" s="7" t="s">
        <v>2044</v>
      </c>
    </row>
    <row r="876" spans="1:3">
      <c r="A876" s="1" t="s">
        <v>2042</v>
      </c>
      <c r="B876" s="1" t="s">
        <v>1028</v>
      </c>
      <c r="C876" s="7" t="s">
        <v>1238</v>
      </c>
    </row>
    <row r="877" spans="1:3">
      <c r="A877" s="1" t="s">
        <v>2042</v>
      </c>
      <c r="B877" s="1" t="s">
        <v>1841</v>
      </c>
      <c r="C877" s="7" t="s">
        <v>2067</v>
      </c>
    </row>
    <row r="878" spans="1:3">
      <c r="A878" s="1" t="s">
        <v>2042</v>
      </c>
      <c r="B878" s="1" t="s">
        <v>1131</v>
      </c>
      <c r="C878" s="7" t="s">
        <v>2044</v>
      </c>
    </row>
    <row r="879" spans="1:3">
      <c r="A879" s="1" t="s">
        <v>2042</v>
      </c>
      <c r="B879" s="1" t="s">
        <v>1032</v>
      </c>
      <c r="C879" s="7" t="s">
        <v>1238</v>
      </c>
    </row>
    <row r="880" spans="1:3">
      <c r="A880" s="1" t="s">
        <v>2042</v>
      </c>
      <c r="B880" s="1" t="s">
        <v>1846</v>
      </c>
      <c r="C880" s="7" t="s">
        <v>2068</v>
      </c>
    </row>
    <row r="881" spans="1:3">
      <c r="A881" s="1" t="s">
        <v>2042</v>
      </c>
      <c r="B881" s="1" t="s">
        <v>1847</v>
      </c>
      <c r="C881" s="7" t="s">
        <v>2069</v>
      </c>
    </row>
    <row r="882" spans="1:3">
      <c r="A882" s="1" t="s">
        <v>2042</v>
      </c>
      <c r="B882" s="1" t="s">
        <v>1132</v>
      </c>
      <c r="C882" s="7" t="s">
        <v>2044</v>
      </c>
    </row>
    <row r="883" spans="1:3">
      <c r="A883" s="1" t="s">
        <v>2042</v>
      </c>
      <c r="B883" s="1" t="s">
        <v>1034</v>
      </c>
      <c r="C883" s="7" t="s">
        <v>1238</v>
      </c>
    </row>
    <row r="884" spans="1:3">
      <c r="A884" s="1" t="s">
        <v>2042</v>
      </c>
      <c r="B884" s="1" t="s">
        <v>1853</v>
      </c>
      <c r="C884" s="7" t="s">
        <v>2070</v>
      </c>
    </row>
    <row r="885" spans="1:3">
      <c r="A885" s="1" t="s">
        <v>2042</v>
      </c>
      <c r="B885" s="1" t="s">
        <v>1134</v>
      </c>
      <c r="C885" s="7" t="s">
        <v>2044</v>
      </c>
    </row>
    <row r="886" spans="1:3">
      <c r="A886" s="1" t="s">
        <v>2042</v>
      </c>
      <c r="B886" s="1" t="s">
        <v>1535</v>
      </c>
      <c r="C886" s="7" t="s">
        <v>1238</v>
      </c>
    </row>
    <row r="887" spans="1:3">
      <c r="A887" s="1" t="s">
        <v>2042</v>
      </c>
      <c r="B887" s="1" t="s">
        <v>1859</v>
      </c>
      <c r="C887" s="7" t="s">
        <v>2071</v>
      </c>
    </row>
    <row r="888" spans="1:3">
      <c r="A888" s="1" t="s">
        <v>2042</v>
      </c>
      <c r="B888" s="1" t="s">
        <v>1135</v>
      </c>
      <c r="C888" s="7" t="s">
        <v>2044</v>
      </c>
    </row>
    <row r="889" spans="1:3">
      <c r="A889" s="1" t="s">
        <v>2042</v>
      </c>
      <c r="B889" s="1" t="s">
        <v>1036</v>
      </c>
      <c r="C889" s="7" t="s">
        <v>1238</v>
      </c>
    </row>
    <row r="890" spans="1:3">
      <c r="A890" s="1" t="s">
        <v>2042</v>
      </c>
      <c r="B890" s="1" t="s">
        <v>1865</v>
      </c>
      <c r="C890" s="7" t="s">
        <v>2072</v>
      </c>
    </row>
    <row r="891" spans="1:3">
      <c r="A891" s="1" t="s">
        <v>2042</v>
      </c>
      <c r="B891" s="1" t="s">
        <v>1137</v>
      </c>
      <c r="C891" s="7" t="s">
        <v>2044</v>
      </c>
    </row>
    <row r="892" spans="1:3">
      <c r="A892" s="1" t="s">
        <v>2042</v>
      </c>
      <c r="B892" s="1" t="s">
        <v>1038</v>
      </c>
      <c r="C892" s="7" t="s">
        <v>1238</v>
      </c>
    </row>
    <row r="893" spans="1:3">
      <c r="A893" s="1" t="s">
        <v>2042</v>
      </c>
      <c r="B893" s="1" t="s">
        <v>1871</v>
      </c>
      <c r="C893" s="7" t="s">
        <v>215</v>
      </c>
    </row>
    <row r="894" spans="1:3">
      <c r="A894" s="1" t="s">
        <v>2042</v>
      </c>
      <c r="B894" s="1" t="s">
        <v>1139</v>
      </c>
      <c r="C894" s="7" t="s">
        <v>2044</v>
      </c>
    </row>
    <row r="895" spans="1:3">
      <c r="A895" s="1" t="s">
        <v>2042</v>
      </c>
      <c r="B895" s="1" t="s">
        <v>2019</v>
      </c>
      <c r="C895" s="7" t="s">
        <v>1238</v>
      </c>
    </row>
    <row r="896" spans="1:3">
      <c r="A896" s="1" t="s">
        <v>2042</v>
      </c>
      <c r="B896" s="1" t="s">
        <v>1877</v>
      </c>
      <c r="C896" s="7" t="s">
        <v>2073</v>
      </c>
    </row>
    <row r="897" spans="1:3">
      <c r="A897" s="1" t="s">
        <v>2042</v>
      </c>
      <c r="B897" s="1" t="s">
        <v>1141</v>
      </c>
      <c r="C897" s="7" t="s">
        <v>2044</v>
      </c>
    </row>
    <row r="898" spans="1:3">
      <c r="A898" s="1" t="s">
        <v>2042</v>
      </c>
      <c r="B898" s="1" t="s">
        <v>2023</v>
      </c>
      <c r="C898" s="7" t="s">
        <v>1238</v>
      </c>
    </row>
    <row r="899" spans="1:3">
      <c r="A899" s="1" t="s">
        <v>2042</v>
      </c>
      <c r="B899" s="1" t="s">
        <v>1883</v>
      </c>
      <c r="C899" s="7" t="s">
        <v>2074</v>
      </c>
    </row>
    <row r="900" spans="1:3">
      <c r="A900" s="1" t="s">
        <v>2042</v>
      </c>
      <c r="B900" s="1" t="s">
        <v>1143</v>
      </c>
      <c r="C900" s="7" t="s">
        <v>2044</v>
      </c>
    </row>
    <row r="901" spans="1:3">
      <c r="A901" s="1" t="s">
        <v>2042</v>
      </c>
      <c r="B901" s="1" t="s">
        <v>2028</v>
      </c>
      <c r="C901" s="7" t="s">
        <v>1238</v>
      </c>
    </row>
    <row r="902" spans="1:3">
      <c r="A902" s="1" t="s">
        <v>2042</v>
      </c>
      <c r="B902" s="1" t="s">
        <v>1889</v>
      </c>
      <c r="C902" s="7" t="s">
        <v>2075</v>
      </c>
    </row>
    <row r="903" spans="1:3">
      <c r="A903" s="1" t="s">
        <v>2042</v>
      </c>
      <c r="B903" s="1" t="s">
        <v>1305</v>
      </c>
      <c r="C903" s="7" t="s">
        <v>2044</v>
      </c>
    </row>
    <row r="904" spans="1:3">
      <c r="A904" s="1" t="s">
        <v>2042</v>
      </c>
      <c r="B904" s="1" t="s">
        <v>2034</v>
      </c>
      <c r="C904" s="7" t="s">
        <v>1238</v>
      </c>
    </row>
    <row r="905" spans="1:3">
      <c r="A905" s="1" t="s">
        <v>2042</v>
      </c>
      <c r="B905" s="1" t="s">
        <v>1895</v>
      </c>
      <c r="C905" s="7" t="s">
        <v>2076</v>
      </c>
    </row>
    <row r="906" spans="1:3">
      <c r="A906" s="1" t="s">
        <v>2042</v>
      </c>
      <c r="B906" s="1" t="s">
        <v>1145</v>
      </c>
      <c r="C906" s="7" t="s">
        <v>2044</v>
      </c>
    </row>
    <row r="907" spans="1:3">
      <c r="A907" s="1" t="s">
        <v>2042</v>
      </c>
      <c r="B907" s="1" t="s">
        <v>1308</v>
      </c>
      <c r="C907" s="7" t="s">
        <v>1238</v>
      </c>
    </row>
    <row r="908" spans="1:3">
      <c r="A908" s="1" t="s">
        <v>2042</v>
      </c>
      <c r="B908" s="1" t="s">
        <v>1310</v>
      </c>
      <c r="C908" s="7" t="s">
        <v>2077</v>
      </c>
    </row>
    <row r="909" spans="1:3" ht="25.5" customHeight="1">
      <c r="A909" s="1" t="s">
        <v>2042</v>
      </c>
      <c r="B909" s="1" t="s">
        <v>1312</v>
      </c>
      <c r="C909" s="7" t="s">
        <v>2078</v>
      </c>
    </row>
    <row r="910" spans="1:3">
      <c r="A910" s="1" t="s">
        <v>2042</v>
      </c>
      <c r="B910" s="1" t="s">
        <v>1313</v>
      </c>
      <c r="C910" s="7" t="s">
        <v>2044</v>
      </c>
    </row>
    <row r="911" spans="1:3">
      <c r="A911" s="1" t="s">
        <v>2042</v>
      </c>
      <c r="B911" s="1" t="s">
        <v>1040</v>
      </c>
      <c r="C911" s="7" t="s">
        <v>2079</v>
      </c>
    </row>
    <row r="912" spans="1:3">
      <c r="A912" s="1" t="s">
        <v>2042</v>
      </c>
      <c r="B912" s="1" t="s">
        <v>1316</v>
      </c>
      <c r="C912" s="7" t="s">
        <v>2080</v>
      </c>
    </row>
    <row r="913" spans="1:3">
      <c r="A913" s="1" t="s">
        <v>2042</v>
      </c>
      <c r="B913" s="1" t="s">
        <v>1320</v>
      </c>
      <c r="C913" s="7" t="s">
        <v>2044</v>
      </c>
    </row>
    <row r="914" spans="1:3">
      <c r="A914" s="1" t="s">
        <v>2042</v>
      </c>
      <c r="B914" s="1" t="s">
        <v>1148</v>
      </c>
      <c r="C914" s="7" t="s">
        <v>2079</v>
      </c>
    </row>
    <row r="915" spans="1:3">
      <c r="A915" s="1" t="s">
        <v>2042</v>
      </c>
      <c r="B915" s="1" t="s">
        <v>1325</v>
      </c>
      <c r="C915" s="7" t="s">
        <v>343</v>
      </c>
    </row>
    <row r="916" spans="1:3">
      <c r="A916" s="1" t="s">
        <v>2042</v>
      </c>
      <c r="B916" s="1" t="s">
        <v>1327</v>
      </c>
      <c r="C916" s="7" t="s">
        <v>2044</v>
      </c>
    </row>
    <row r="917" spans="1:3">
      <c r="A917" s="1" t="s">
        <v>2042</v>
      </c>
      <c r="B917" s="1" t="s">
        <v>1042</v>
      </c>
      <c r="C917" s="7" t="s">
        <v>2079</v>
      </c>
    </row>
    <row r="918" spans="1:3">
      <c r="A918" s="1" t="s">
        <v>2042</v>
      </c>
      <c r="B918" s="1" t="s">
        <v>1332</v>
      </c>
      <c r="C918" s="7" t="s">
        <v>2081</v>
      </c>
    </row>
    <row r="919" spans="1:3">
      <c r="A919" s="1" t="s">
        <v>2042</v>
      </c>
      <c r="B919" s="1" t="s">
        <v>1151</v>
      </c>
      <c r="C919" s="7" t="s">
        <v>2044</v>
      </c>
    </row>
    <row r="920" spans="1:3">
      <c r="A920" s="1" t="s">
        <v>2042</v>
      </c>
      <c r="B920" s="1" t="s">
        <v>1044</v>
      </c>
      <c r="C920" s="7" t="s">
        <v>2079</v>
      </c>
    </row>
    <row r="921" spans="1:3">
      <c r="A921" s="1" t="s">
        <v>2042</v>
      </c>
      <c r="B921" s="1" t="s">
        <v>1337</v>
      </c>
      <c r="C921" s="7" t="s">
        <v>2082</v>
      </c>
    </row>
    <row r="922" spans="1:3">
      <c r="A922" s="1" t="s">
        <v>2042</v>
      </c>
      <c r="B922" s="1" t="s">
        <v>1339</v>
      </c>
      <c r="C922" s="7" t="s">
        <v>2044</v>
      </c>
    </row>
    <row r="923" spans="1:3">
      <c r="A923" s="1" t="s">
        <v>2042</v>
      </c>
      <c r="B923" s="1" t="s">
        <v>1153</v>
      </c>
      <c r="C923" s="7" t="s">
        <v>2079</v>
      </c>
    </row>
    <row r="924" spans="1:3">
      <c r="A924" s="1" t="s">
        <v>2042</v>
      </c>
      <c r="B924" s="1" t="s">
        <v>1344</v>
      </c>
      <c r="C924" s="7" t="s">
        <v>2083</v>
      </c>
    </row>
    <row r="925" spans="1:3">
      <c r="A925" s="1" t="s">
        <v>2042</v>
      </c>
      <c r="B925" s="1" t="s">
        <v>1155</v>
      </c>
      <c r="C925" s="7" t="s">
        <v>2044</v>
      </c>
    </row>
    <row r="926" spans="1:3">
      <c r="A926" s="1" t="s">
        <v>2042</v>
      </c>
      <c r="B926" s="1" t="s">
        <v>1046</v>
      </c>
      <c r="C926" s="7" t="s">
        <v>2079</v>
      </c>
    </row>
    <row r="927" spans="1:3">
      <c r="A927" s="1" t="s">
        <v>2042</v>
      </c>
      <c r="B927" s="1" t="s">
        <v>1350</v>
      </c>
      <c r="C927" s="7" t="s">
        <v>2084</v>
      </c>
    </row>
    <row r="928" spans="1:3">
      <c r="A928" s="1" t="s">
        <v>2042</v>
      </c>
      <c r="B928" s="1" t="s">
        <v>1352</v>
      </c>
      <c r="C928" s="7" t="s">
        <v>2044</v>
      </c>
    </row>
    <row r="929" spans="1:3">
      <c r="A929" s="1" t="s">
        <v>2042</v>
      </c>
      <c r="B929" s="1" t="s">
        <v>1157</v>
      </c>
      <c r="C929" s="7" t="s">
        <v>2079</v>
      </c>
    </row>
    <row r="930" spans="1:3">
      <c r="A930" s="1" t="s">
        <v>2042</v>
      </c>
      <c r="B930" s="1" t="s">
        <v>1357</v>
      </c>
      <c r="C930" s="7" t="s">
        <v>2085</v>
      </c>
    </row>
    <row r="931" spans="1:3">
      <c r="A931" s="1" t="s">
        <v>2042</v>
      </c>
      <c r="B931" s="1" t="s">
        <v>2086</v>
      </c>
      <c r="C931" s="7" t="s">
        <v>2044</v>
      </c>
    </row>
    <row r="932" spans="1:3">
      <c r="A932" s="1" t="s">
        <v>2042</v>
      </c>
      <c r="B932" s="1" t="s">
        <v>1048</v>
      </c>
      <c r="C932" s="7" t="s">
        <v>2079</v>
      </c>
    </row>
    <row r="933" spans="1:3">
      <c r="A933" s="1" t="s">
        <v>2042</v>
      </c>
      <c r="B933" s="1" t="s">
        <v>1921</v>
      </c>
      <c r="C933" s="7" t="s">
        <v>2087</v>
      </c>
    </row>
    <row r="934" spans="1:3">
      <c r="A934" s="1" t="s">
        <v>2042</v>
      </c>
      <c r="B934" s="1" t="s">
        <v>1363</v>
      </c>
      <c r="C934" s="7" t="s">
        <v>2044</v>
      </c>
    </row>
    <row r="935" spans="1:3">
      <c r="A935" s="1" t="s">
        <v>2042</v>
      </c>
      <c r="B935" s="1" t="s">
        <v>1050</v>
      </c>
      <c r="C935" s="7" t="s">
        <v>2079</v>
      </c>
    </row>
    <row r="936" spans="1:3">
      <c r="A936" s="1" t="s">
        <v>2042</v>
      </c>
      <c r="B936" s="1" t="s">
        <v>1925</v>
      </c>
      <c r="C936" s="7" t="s">
        <v>2088</v>
      </c>
    </row>
    <row r="937" spans="1:3">
      <c r="A937" s="1" t="s">
        <v>2042</v>
      </c>
      <c r="B937" s="1" t="s">
        <v>1365</v>
      </c>
      <c r="C937" s="7" t="s">
        <v>2044</v>
      </c>
    </row>
    <row r="938" spans="1:3">
      <c r="A938" s="1" t="s">
        <v>2042</v>
      </c>
      <c r="B938" s="1" t="s">
        <v>1161</v>
      </c>
      <c r="C938" s="7" t="s">
        <v>2079</v>
      </c>
    </row>
    <row r="939" spans="1:3">
      <c r="A939" s="1" t="s">
        <v>2042</v>
      </c>
      <c r="B939" s="1" t="s">
        <v>1367</v>
      </c>
      <c r="C939" s="7" t="s">
        <v>2089</v>
      </c>
    </row>
    <row r="940" spans="1:3">
      <c r="A940" s="1" t="s">
        <v>2042</v>
      </c>
      <c r="B940" s="1" t="s">
        <v>1368</v>
      </c>
      <c r="C940" s="7" t="s">
        <v>2044</v>
      </c>
    </row>
    <row r="941" spans="1:3">
      <c r="A941" s="1" t="s">
        <v>2042</v>
      </c>
      <c r="B941" s="1" t="s">
        <v>1052</v>
      </c>
      <c r="C941" s="7" t="s">
        <v>2079</v>
      </c>
    </row>
    <row r="942" spans="1:3">
      <c r="A942" s="1" t="s">
        <v>2042</v>
      </c>
      <c r="B942" s="1" t="s">
        <v>1373</v>
      </c>
      <c r="C942" s="7" t="s">
        <v>2090</v>
      </c>
    </row>
    <row r="943" spans="1:3">
      <c r="A943" s="1" t="s">
        <v>2042</v>
      </c>
      <c r="B943" s="1" t="s">
        <v>1375</v>
      </c>
      <c r="C943" s="7" t="s">
        <v>2044</v>
      </c>
    </row>
    <row r="944" spans="1:3">
      <c r="A944" s="1" t="s">
        <v>2042</v>
      </c>
      <c r="B944" s="1" t="s">
        <v>1054</v>
      </c>
      <c r="C944" s="7" t="s">
        <v>2091</v>
      </c>
    </row>
    <row r="945" spans="1:3">
      <c r="A945" s="1" t="s">
        <v>2042</v>
      </c>
      <c r="B945" s="1" t="s">
        <v>1378</v>
      </c>
      <c r="C945" s="7" t="s">
        <v>2047</v>
      </c>
    </row>
    <row r="946" spans="1:3">
      <c r="A946" s="1" t="s">
        <v>2042</v>
      </c>
      <c r="B946" s="1" t="s">
        <v>1165</v>
      </c>
      <c r="C946" s="7" t="s">
        <v>2044</v>
      </c>
    </row>
    <row r="947" spans="1:3">
      <c r="A947" s="1" t="s">
        <v>2042</v>
      </c>
      <c r="B947" s="1" t="s">
        <v>1383</v>
      </c>
      <c r="C947" s="7" t="s">
        <v>2091</v>
      </c>
    </row>
    <row r="948" spans="1:3">
      <c r="A948" s="1" t="s">
        <v>2042</v>
      </c>
      <c r="B948" s="1" t="s">
        <v>1387</v>
      </c>
      <c r="C948" s="7" t="s">
        <v>2092</v>
      </c>
    </row>
    <row r="949" spans="1:3">
      <c r="A949" s="1" t="s">
        <v>2042</v>
      </c>
      <c r="B949" s="1" t="s">
        <v>1389</v>
      </c>
      <c r="C949" s="7" t="s">
        <v>2044</v>
      </c>
    </row>
    <row r="950" spans="1:3">
      <c r="A950" s="1" t="s">
        <v>2042</v>
      </c>
      <c r="B950" s="1" t="s">
        <v>1055</v>
      </c>
      <c r="C950" s="7" t="s">
        <v>2091</v>
      </c>
    </row>
    <row r="951" spans="1:3">
      <c r="A951" s="1" t="s">
        <v>2042</v>
      </c>
      <c r="B951" s="1" t="s">
        <v>1394</v>
      </c>
      <c r="C951" s="7" t="s">
        <v>1976</v>
      </c>
    </row>
    <row r="952" spans="1:3">
      <c r="A952" s="1" t="s">
        <v>2042</v>
      </c>
      <c r="B952" s="1" t="s">
        <v>1168</v>
      </c>
      <c r="C952" s="7" t="s">
        <v>2044</v>
      </c>
    </row>
    <row r="953" spans="1:3">
      <c r="A953" s="1" t="s">
        <v>2042</v>
      </c>
      <c r="B953" s="1" t="s">
        <v>1057</v>
      </c>
      <c r="C953" s="7" t="s">
        <v>2091</v>
      </c>
    </row>
    <row r="954" spans="1:3">
      <c r="A954" s="1" t="s">
        <v>2042</v>
      </c>
      <c r="B954" s="1" t="s">
        <v>2093</v>
      </c>
      <c r="C954" s="7" t="s">
        <v>2094</v>
      </c>
    </row>
    <row r="955" spans="1:3">
      <c r="A955" s="1" t="s">
        <v>2042</v>
      </c>
      <c r="B955" s="1" t="s">
        <v>1170</v>
      </c>
      <c r="C955" s="7" t="s">
        <v>2044</v>
      </c>
    </row>
    <row r="956" spans="1:3">
      <c r="A956" s="1" t="s">
        <v>2042</v>
      </c>
      <c r="B956" s="1" t="s">
        <v>2095</v>
      </c>
      <c r="C956" s="7" t="s">
        <v>2091</v>
      </c>
    </row>
    <row r="957" spans="1:3">
      <c r="A957" s="1" t="s">
        <v>2042</v>
      </c>
      <c r="B957" s="1" t="s">
        <v>2096</v>
      </c>
      <c r="C957" s="7" t="s">
        <v>2097</v>
      </c>
    </row>
    <row r="958" spans="1:3">
      <c r="A958" s="1" t="s">
        <v>2042</v>
      </c>
      <c r="B958" s="1" t="s">
        <v>1172</v>
      </c>
      <c r="C958" s="7" t="s">
        <v>2044</v>
      </c>
    </row>
    <row r="959" spans="1:3">
      <c r="A959" s="1" t="s">
        <v>2042</v>
      </c>
      <c r="B959" s="1" t="s">
        <v>1059</v>
      </c>
      <c r="C959" s="7" t="s">
        <v>2091</v>
      </c>
    </row>
    <row r="960" spans="1:3">
      <c r="A960" s="1" t="s">
        <v>2042</v>
      </c>
      <c r="B960" s="1" t="s">
        <v>2098</v>
      </c>
      <c r="C960" s="7" t="s">
        <v>2099</v>
      </c>
    </row>
    <row r="961" spans="1:3">
      <c r="A961" s="1" t="s">
        <v>2042</v>
      </c>
      <c r="B961" s="1" t="s">
        <v>1174</v>
      </c>
      <c r="C961" s="7" t="s">
        <v>2044</v>
      </c>
    </row>
    <row r="962" spans="1:3">
      <c r="A962" s="1" t="s">
        <v>2042</v>
      </c>
      <c r="B962" s="1" t="s">
        <v>1061</v>
      </c>
      <c r="C962" s="7" t="s">
        <v>2091</v>
      </c>
    </row>
    <row r="963" spans="1:3">
      <c r="A963" s="1" t="s">
        <v>2042</v>
      </c>
      <c r="B963" s="1" t="s">
        <v>2100</v>
      </c>
      <c r="C963" s="7" t="s">
        <v>2101</v>
      </c>
    </row>
    <row r="964" spans="1:3">
      <c r="A964" s="1" t="s">
        <v>2042</v>
      </c>
      <c r="B964" s="1" t="s">
        <v>1176</v>
      </c>
      <c r="C964" s="7" t="s">
        <v>2044</v>
      </c>
    </row>
    <row r="965" spans="1:3">
      <c r="A965" s="1" t="s">
        <v>2042</v>
      </c>
      <c r="B965" s="1" t="s">
        <v>1403</v>
      </c>
      <c r="C965" s="7" t="s">
        <v>2091</v>
      </c>
    </row>
    <row r="966" spans="1:3">
      <c r="A966" s="1" t="s">
        <v>2042</v>
      </c>
      <c r="B966" s="1" t="s">
        <v>2102</v>
      </c>
      <c r="C966" s="7" t="s">
        <v>2103</v>
      </c>
    </row>
    <row r="967" spans="1:3">
      <c r="A967" s="1" t="s">
        <v>2042</v>
      </c>
      <c r="B967" s="1" t="s">
        <v>1178</v>
      </c>
      <c r="C967" s="7" t="s">
        <v>2044</v>
      </c>
    </row>
    <row r="968" spans="1:3">
      <c r="A968" s="1" t="s">
        <v>2042</v>
      </c>
      <c r="B968" s="1" t="s">
        <v>1062</v>
      </c>
      <c r="C968" s="7" t="s">
        <v>2091</v>
      </c>
    </row>
    <row r="969" spans="1:3">
      <c r="A969" s="1" t="s">
        <v>2042</v>
      </c>
      <c r="B969" s="1" t="s">
        <v>2104</v>
      </c>
      <c r="C969" s="7" t="s">
        <v>2105</v>
      </c>
    </row>
    <row r="970" spans="1:3">
      <c r="A970" s="1" t="s">
        <v>2042</v>
      </c>
      <c r="B970" s="1" t="s">
        <v>1180</v>
      </c>
      <c r="C970" s="7" t="s">
        <v>2044</v>
      </c>
    </row>
    <row r="971" spans="1:3">
      <c r="A971" s="1" t="s">
        <v>2042</v>
      </c>
      <c r="B971" s="1" t="s">
        <v>1064</v>
      </c>
      <c r="C971" s="7" t="s">
        <v>2091</v>
      </c>
    </row>
    <row r="972" spans="1:3">
      <c r="A972" s="1" t="s">
        <v>2042</v>
      </c>
      <c r="B972" s="1" t="s">
        <v>2106</v>
      </c>
      <c r="C972" s="7" t="s">
        <v>2107</v>
      </c>
    </row>
    <row r="973" spans="1:3">
      <c r="A973" s="1" t="s">
        <v>2042</v>
      </c>
      <c r="B973" s="1" t="s">
        <v>1408</v>
      </c>
      <c r="C973" s="7" t="s">
        <v>2044</v>
      </c>
    </row>
    <row r="974" spans="1:3">
      <c r="A974" s="1" t="s">
        <v>2042</v>
      </c>
      <c r="B974" s="1" t="s">
        <v>1409</v>
      </c>
      <c r="C974" s="7" t="s">
        <v>2091</v>
      </c>
    </row>
    <row r="975" spans="1:3">
      <c r="A975" s="1" t="s">
        <v>2042</v>
      </c>
      <c r="B975" s="1" t="s">
        <v>1411</v>
      </c>
      <c r="C975" s="7" t="s">
        <v>2108</v>
      </c>
    </row>
    <row r="976" spans="1:3">
      <c r="A976" s="1" t="s">
        <v>2042</v>
      </c>
      <c r="B976" s="1" t="s">
        <v>1182</v>
      </c>
      <c r="C976" s="7" t="s">
        <v>2044</v>
      </c>
    </row>
    <row r="977" spans="1:3">
      <c r="A977" s="1" t="s">
        <v>2042</v>
      </c>
      <c r="B977" s="1" t="s">
        <v>1065</v>
      </c>
      <c r="C977" s="7" t="s">
        <v>2109</v>
      </c>
    </row>
    <row r="978" spans="1:3">
      <c r="A978" s="1" t="s">
        <v>2042</v>
      </c>
      <c r="B978" s="1" t="s">
        <v>1412</v>
      </c>
      <c r="C978" s="7" t="s">
        <v>2048</v>
      </c>
    </row>
    <row r="979" spans="1:3">
      <c r="A979" s="1" t="s">
        <v>2042</v>
      </c>
      <c r="B979" s="1" t="s">
        <v>1184</v>
      </c>
      <c r="C979" s="7" t="s">
        <v>2044</v>
      </c>
    </row>
    <row r="980" spans="1:3">
      <c r="A980" s="1" t="s">
        <v>2042</v>
      </c>
      <c r="B980" s="1" t="s">
        <v>1067</v>
      </c>
      <c r="C980" s="7" t="s">
        <v>2109</v>
      </c>
    </row>
    <row r="981" spans="1:3">
      <c r="A981" s="1" t="s">
        <v>2042</v>
      </c>
      <c r="B981" s="1" t="s">
        <v>1415</v>
      </c>
      <c r="C981" s="7" t="s">
        <v>2110</v>
      </c>
    </row>
    <row r="982" spans="1:3">
      <c r="A982" s="1" t="s">
        <v>2042</v>
      </c>
      <c r="B982" s="1" t="s">
        <v>1186</v>
      </c>
      <c r="C982" s="7" t="s">
        <v>2044</v>
      </c>
    </row>
    <row r="983" spans="1:3">
      <c r="A983" s="1" t="s">
        <v>2042</v>
      </c>
      <c r="B983" s="1" t="s">
        <v>2111</v>
      </c>
      <c r="C983" s="7" t="s">
        <v>2109</v>
      </c>
    </row>
    <row r="984" spans="1:3">
      <c r="A984" s="1" t="s">
        <v>2042</v>
      </c>
      <c r="B984" s="1" t="s">
        <v>2112</v>
      </c>
      <c r="C984" s="7" t="s">
        <v>2113</v>
      </c>
    </row>
    <row r="985" spans="1:3">
      <c r="A985" s="1" t="s">
        <v>2042</v>
      </c>
      <c r="B985" s="1" t="s">
        <v>1188</v>
      </c>
      <c r="C985" s="7" t="s">
        <v>2044</v>
      </c>
    </row>
    <row r="986" spans="1:3">
      <c r="A986" s="1" t="s">
        <v>2042</v>
      </c>
      <c r="B986" s="1" t="s">
        <v>1068</v>
      </c>
      <c r="C986" s="7" t="s">
        <v>2109</v>
      </c>
    </row>
    <row r="987" spans="1:3" ht="78" customHeight="1">
      <c r="A987" s="1" t="s">
        <v>2042</v>
      </c>
      <c r="B987" s="1" t="s">
        <v>2114</v>
      </c>
      <c r="C987" s="7" t="s">
        <v>2115</v>
      </c>
    </row>
    <row r="988" spans="1:3">
      <c r="A988" s="1" t="s">
        <v>2042</v>
      </c>
      <c r="B988" s="1" t="s">
        <v>1192</v>
      </c>
      <c r="C988" s="7" t="s">
        <v>2044</v>
      </c>
    </row>
    <row r="989" spans="1:3">
      <c r="A989" s="1" t="s">
        <v>2042</v>
      </c>
      <c r="B989" s="1" t="s">
        <v>1070</v>
      </c>
      <c r="C989" s="7" t="s">
        <v>2109</v>
      </c>
    </row>
    <row r="990" spans="1:3">
      <c r="A990" s="1" t="s">
        <v>2042</v>
      </c>
      <c r="B990" s="1" t="s">
        <v>2116</v>
      </c>
      <c r="C990" s="7" t="s">
        <v>2077</v>
      </c>
    </row>
    <row r="991" spans="1:3">
      <c r="A991" s="1" t="s">
        <v>2042</v>
      </c>
      <c r="B991" s="1" t="s">
        <v>2117</v>
      </c>
      <c r="C991" s="7" t="s">
        <v>2118</v>
      </c>
    </row>
    <row r="992" spans="1:3">
      <c r="A992" s="1" t="s">
        <v>2042</v>
      </c>
      <c r="B992" s="1" t="s">
        <v>1194</v>
      </c>
      <c r="C992" s="7" t="s">
        <v>2044</v>
      </c>
    </row>
    <row r="993" spans="1:3">
      <c r="A993" s="1" t="s">
        <v>2042</v>
      </c>
      <c r="B993" s="1" t="s">
        <v>2119</v>
      </c>
      <c r="C993" s="7" t="s">
        <v>2109</v>
      </c>
    </row>
    <row r="994" spans="1:3">
      <c r="A994" s="1" t="s">
        <v>2042</v>
      </c>
      <c r="B994" s="1" t="s">
        <v>2120</v>
      </c>
      <c r="C994" s="7" t="s">
        <v>2121</v>
      </c>
    </row>
    <row r="995" spans="1:3">
      <c r="A995" s="1" t="s">
        <v>2042</v>
      </c>
      <c r="B995" s="1" t="s">
        <v>2122</v>
      </c>
      <c r="C995" s="7" t="s">
        <v>2123</v>
      </c>
    </row>
    <row r="996" spans="1:3">
      <c r="A996" s="1" t="s">
        <v>2042</v>
      </c>
      <c r="B996" s="1" t="s">
        <v>1198</v>
      </c>
      <c r="C996" s="7" t="s">
        <v>2044</v>
      </c>
    </row>
    <row r="997" spans="1:3">
      <c r="A997" s="1" t="s">
        <v>2042</v>
      </c>
      <c r="B997" s="1" t="s">
        <v>2124</v>
      </c>
      <c r="C997" s="7" t="s">
        <v>2109</v>
      </c>
    </row>
    <row r="998" spans="1:3" ht="39" customHeight="1">
      <c r="A998" s="1" t="s">
        <v>2042</v>
      </c>
      <c r="B998" s="1" t="s">
        <v>2125</v>
      </c>
      <c r="C998" s="7" t="s">
        <v>2126</v>
      </c>
    </row>
    <row r="999" spans="1:3">
      <c r="A999" s="1" t="s">
        <v>2042</v>
      </c>
      <c r="B999" s="1" t="s">
        <v>1203</v>
      </c>
      <c r="C999" s="7" t="s">
        <v>2044</v>
      </c>
    </row>
    <row r="1000" spans="1:3">
      <c r="A1000" s="1" t="s">
        <v>2042</v>
      </c>
      <c r="B1000" s="1" t="s">
        <v>2127</v>
      </c>
      <c r="C1000" s="7" t="s">
        <v>2109</v>
      </c>
    </row>
    <row r="1001" spans="1:3" ht="117" customHeight="1">
      <c r="A1001" s="1" t="s">
        <v>2042</v>
      </c>
      <c r="B1001" s="1" t="s">
        <v>2128</v>
      </c>
      <c r="C1001" s="7" t="s">
        <v>2129</v>
      </c>
    </row>
    <row r="1002" spans="1:3">
      <c r="A1002" s="1" t="s">
        <v>2042</v>
      </c>
      <c r="B1002" s="1" t="s">
        <v>1208</v>
      </c>
      <c r="C1002" s="7" t="s">
        <v>2044</v>
      </c>
    </row>
    <row r="1003" spans="1:3">
      <c r="A1003" s="1" t="s">
        <v>2042</v>
      </c>
      <c r="B1003" s="1" t="s">
        <v>2130</v>
      </c>
      <c r="C1003" s="7" t="s">
        <v>2109</v>
      </c>
    </row>
    <row r="1004" spans="1:3" ht="39" customHeight="1">
      <c r="A1004" s="1" t="s">
        <v>2042</v>
      </c>
      <c r="B1004" s="1" t="s">
        <v>2131</v>
      </c>
      <c r="C1004" s="7" t="s">
        <v>2132</v>
      </c>
    </row>
    <row r="1005" spans="1:3">
      <c r="A1005" s="1" t="s">
        <v>2042</v>
      </c>
      <c r="B1005" s="1" t="s">
        <v>1210</v>
      </c>
      <c r="C1005" s="7" t="s">
        <v>2044</v>
      </c>
    </row>
    <row r="1006" spans="1:3">
      <c r="A1006" s="1" t="s">
        <v>2042</v>
      </c>
      <c r="B1006" s="1" t="s">
        <v>2133</v>
      </c>
      <c r="C1006" s="7" t="s">
        <v>2109</v>
      </c>
    </row>
    <row r="1007" spans="1:3" ht="78" customHeight="1">
      <c r="A1007" s="1" t="s">
        <v>2042</v>
      </c>
      <c r="B1007" s="1" t="s">
        <v>2134</v>
      </c>
      <c r="C1007" s="7" t="s">
        <v>2135</v>
      </c>
    </row>
    <row r="1008" spans="1:3">
      <c r="A1008" s="1" t="s">
        <v>2042</v>
      </c>
      <c r="B1008" s="1" t="s">
        <v>1212</v>
      </c>
      <c r="C1008" s="7" t="s">
        <v>2044</v>
      </c>
    </row>
    <row r="1009" spans="1:3">
      <c r="A1009" s="1" t="s">
        <v>2042</v>
      </c>
      <c r="B1009" s="1" t="s">
        <v>2136</v>
      </c>
      <c r="C1009" s="7" t="s">
        <v>2109</v>
      </c>
    </row>
    <row r="1010" spans="1:3" ht="64.5" customHeight="1">
      <c r="A1010" s="1" t="s">
        <v>2042</v>
      </c>
      <c r="B1010" s="1" t="s">
        <v>2137</v>
      </c>
      <c r="C1010" s="7" t="s">
        <v>2138</v>
      </c>
    </row>
    <row r="1011" spans="1:3">
      <c r="A1011" s="1" t="s">
        <v>2042</v>
      </c>
      <c r="B1011" s="1" t="s">
        <v>1214</v>
      </c>
      <c r="C1011" s="7" t="s">
        <v>2044</v>
      </c>
    </row>
    <row r="1012" spans="1:3">
      <c r="A1012" s="1" t="s">
        <v>2042</v>
      </c>
      <c r="B1012" s="1" t="s">
        <v>2139</v>
      </c>
      <c r="C1012" s="7" t="s">
        <v>2109</v>
      </c>
    </row>
    <row r="1013" spans="1:3" ht="64.5" customHeight="1">
      <c r="A1013" s="1" t="s">
        <v>2042</v>
      </c>
      <c r="B1013" s="1" t="s">
        <v>2140</v>
      </c>
      <c r="C1013" s="7" t="s">
        <v>2141</v>
      </c>
    </row>
    <row r="1014" spans="1:3">
      <c r="A1014" s="1" t="s">
        <v>2042</v>
      </c>
      <c r="B1014" s="1" t="s">
        <v>2142</v>
      </c>
      <c r="C1014" s="7" t="s">
        <v>2044</v>
      </c>
    </row>
    <row r="1015" spans="1:3">
      <c r="A1015" s="1" t="s">
        <v>2042</v>
      </c>
      <c r="B1015" s="1" t="s">
        <v>2143</v>
      </c>
      <c r="C1015" s="7" t="s">
        <v>2109</v>
      </c>
    </row>
    <row r="1016" spans="1:3" ht="51.75" customHeight="1">
      <c r="A1016" s="1" t="s">
        <v>2042</v>
      </c>
      <c r="B1016" s="1" t="s">
        <v>2144</v>
      </c>
      <c r="C1016" s="7" t="s">
        <v>2145</v>
      </c>
    </row>
    <row r="1017" spans="1:3">
      <c r="A1017" s="1" t="s">
        <v>2042</v>
      </c>
      <c r="B1017" s="1" t="s">
        <v>1216</v>
      </c>
      <c r="C1017" s="7" t="s">
        <v>2044</v>
      </c>
    </row>
    <row r="1018" spans="1:3">
      <c r="A1018" s="1" t="s">
        <v>2042</v>
      </c>
      <c r="B1018" s="1" t="s">
        <v>2146</v>
      </c>
      <c r="C1018" s="7" t="s">
        <v>2109</v>
      </c>
    </row>
    <row r="1019" spans="1:3">
      <c r="A1019" s="1" t="s">
        <v>2042</v>
      </c>
      <c r="B1019" s="1" t="s">
        <v>2147</v>
      </c>
      <c r="C1019" s="7" t="s">
        <v>2148</v>
      </c>
    </row>
    <row r="1020" spans="1:3">
      <c r="A1020" s="1" t="s">
        <v>2042</v>
      </c>
      <c r="B1020" s="1" t="s">
        <v>1218</v>
      </c>
      <c r="C1020" s="7" t="s">
        <v>2044</v>
      </c>
    </row>
    <row r="1021" spans="1:3">
      <c r="A1021" s="1" t="s">
        <v>2042</v>
      </c>
      <c r="B1021" s="1" t="s">
        <v>2149</v>
      </c>
      <c r="C1021" s="7" t="s">
        <v>2109</v>
      </c>
    </row>
    <row r="1022" spans="1:3" ht="25.5" customHeight="1">
      <c r="A1022" s="1" t="s">
        <v>2042</v>
      </c>
      <c r="B1022" s="1" t="s">
        <v>2150</v>
      </c>
      <c r="C1022" s="7" t="s">
        <v>2151</v>
      </c>
    </row>
    <row r="1023" spans="1:3">
      <c r="A1023" s="1" t="s">
        <v>2042</v>
      </c>
      <c r="B1023" s="1" t="s">
        <v>1219</v>
      </c>
      <c r="C1023" s="7" t="s">
        <v>2044</v>
      </c>
    </row>
    <row r="1024" spans="1:3">
      <c r="A1024" s="1" t="s">
        <v>2042</v>
      </c>
      <c r="B1024" s="1" t="s">
        <v>2152</v>
      </c>
      <c r="C1024" s="7" t="s">
        <v>2109</v>
      </c>
    </row>
    <row r="1025" spans="1:3" ht="51.75" customHeight="1">
      <c r="A1025" s="1" t="s">
        <v>2042</v>
      </c>
      <c r="B1025" s="1" t="s">
        <v>2153</v>
      </c>
      <c r="C1025" s="7" t="s">
        <v>2154</v>
      </c>
    </row>
    <row r="1026" spans="1:3">
      <c r="A1026" s="1" t="s">
        <v>2042</v>
      </c>
      <c r="B1026" s="1" t="s">
        <v>1221</v>
      </c>
      <c r="C1026" s="7" t="s">
        <v>2044</v>
      </c>
    </row>
    <row r="1027" spans="1:3">
      <c r="A1027" s="1" t="s">
        <v>2042</v>
      </c>
      <c r="B1027" s="1" t="s">
        <v>2155</v>
      </c>
      <c r="C1027" s="7" t="s">
        <v>2109</v>
      </c>
    </row>
    <row r="1028" spans="1:3" ht="39" customHeight="1">
      <c r="A1028" s="1" t="s">
        <v>2042</v>
      </c>
      <c r="B1028" s="1" t="s">
        <v>2156</v>
      </c>
      <c r="C1028" s="7" t="s">
        <v>2157</v>
      </c>
    </row>
    <row r="1029" spans="1:3">
      <c r="A1029" s="1" t="s">
        <v>2042</v>
      </c>
      <c r="B1029" s="1" t="s">
        <v>1222</v>
      </c>
      <c r="C1029" s="7" t="s">
        <v>2044</v>
      </c>
    </row>
    <row r="1030" spans="1:3">
      <c r="A1030" s="1" t="s">
        <v>2042</v>
      </c>
      <c r="B1030" s="1" t="s">
        <v>2158</v>
      </c>
      <c r="C1030" s="7" t="s">
        <v>2109</v>
      </c>
    </row>
    <row r="1031" spans="1:3">
      <c r="A1031" s="1" t="s">
        <v>2042</v>
      </c>
      <c r="B1031" s="1" t="s">
        <v>2159</v>
      </c>
      <c r="C1031" s="7" t="s">
        <v>2160</v>
      </c>
    </row>
    <row r="1032" spans="1:3">
      <c r="A1032" s="1" t="s">
        <v>2042</v>
      </c>
      <c r="B1032" s="1" t="s">
        <v>1223</v>
      </c>
      <c r="C1032" s="7" t="s">
        <v>2044</v>
      </c>
    </row>
    <row r="1033" spans="1:3">
      <c r="A1033" s="1" t="s">
        <v>2042</v>
      </c>
      <c r="B1033" s="1" t="s">
        <v>2161</v>
      </c>
      <c r="C1033" s="7" t="s">
        <v>2109</v>
      </c>
    </row>
    <row r="1034" spans="1:3">
      <c r="A1034" s="1" t="s">
        <v>2042</v>
      </c>
      <c r="B1034" s="1" t="s">
        <v>2162</v>
      </c>
      <c r="C1034" s="7" t="s">
        <v>2163</v>
      </c>
    </row>
    <row r="1035" spans="1:3">
      <c r="A1035" s="1" t="s">
        <v>2042</v>
      </c>
      <c r="B1035" s="1" t="s">
        <v>1225</v>
      </c>
      <c r="C1035" s="7" t="s">
        <v>2044</v>
      </c>
    </row>
    <row r="1036" spans="1:3">
      <c r="A1036" s="1" t="s">
        <v>2042</v>
      </c>
      <c r="B1036" s="1" t="s">
        <v>2164</v>
      </c>
      <c r="C1036" s="7" t="s">
        <v>2109</v>
      </c>
    </row>
    <row r="1037" spans="1:3" ht="25.5" customHeight="1">
      <c r="A1037" s="1" t="s">
        <v>2042</v>
      </c>
      <c r="B1037" s="1" t="s">
        <v>2165</v>
      </c>
      <c r="C1037" s="7" t="s">
        <v>2166</v>
      </c>
    </row>
    <row r="1038" spans="1:3">
      <c r="A1038" s="1" t="s">
        <v>2042</v>
      </c>
      <c r="B1038" s="1" t="s">
        <v>1227</v>
      </c>
      <c r="C1038" s="7" t="s">
        <v>2044</v>
      </c>
    </row>
    <row r="1039" spans="1:3">
      <c r="A1039" s="1" t="s">
        <v>2042</v>
      </c>
      <c r="B1039" s="1" t="s">
        <v>2167</v>
      </c>
      <c r="C1039" s="7" t="s">
        <v>2109</v>
      </c>
    </row>
    <row r="1040" spans="1:3" ht="39" customHeight="1">
      <c r="A1040" s="1" t="s">
        <v>2042</v>
      </c>
      <c r="B1040" s="1" t="s">
        <v>2168</v>
      </c>
      <c r="C1040" s="7" t="s">
        <v>2169</v>
      </c>
    </row>
    <row r="1041" spans="1:3">
      <c r="A1041" s="1" t="s">
        <v>2042</v>
      </c>
      <c r="B1041" s="1" t="s">
        <v>1229</v>
      </c>
      <c r="C1041" s="7" t="s">
        <v>2044</v>
      </c>
    </row>
    <row r="1042" spans="1:3">
      <c r="A1042" s="1" t="s">
        <v>2042</v>
      </c>
      <c r="B1042" s="1" t="s">
        <v>2170</v>
      </c>
      <c r="C1042" s="7" t="s">
        <v>2109</v>
      </c>
    </row>
    <row r="1043" spans="1:3" ht="39" customHeight="1">
      <c r="A1043" s="1" t="s">
        <v>2042</v>
      </c>
      <c r="B1043" s="1" t="s">
        <v>2171</v>
      </c>
      <c r="C1043" s="7" t="s">
        <v>2172</v>
      </c>
    </row>
    <row r="1044" spans="1:3">
      <c r="A1044" s="1" t="s">
        <v>2042</v>
      </c>
      <c r="B1044" s="1" t="s">
        <v>2173</v>
      </c>
      <c r="C1044" s="7" t="s">
        <v>2044</v>
      </c>
    </row>
    <row r="1045" spans="1:3">
      <c r="A1045" s="1" t="s">
        <v>2042</v>
      </c>
      <c r="B1045" s="1" t="s">
        <v>2174</v>
      </c>
      <c r="C1045" s="7" t="s">
        <v>2109</v>
      </c>
    </row>
    <row r="1046" spans="1:3">
      <c r="A1046" s="1" t="s">
        <v>2042</v>
      </c>
      <c r="B1046" s="1" t="s">
        <v>2175</v>
      </c>
      <c r="C1046" s="7" t="s">
        <v>2176</v>
      </c>
    </row>
    <row r="1047" spans="1:3">
      <c r="A1047" s="1" t="s">
        <v>2042</v>
      </c>
      <c r="B1047" s="1" t="s">
        <v>2177</v>
      </c>
      <c r="C1047" s="7" t="s">
        <v>2044</v>
      </c>
    </row>
    <row r="1048" spans="1:3">
      <c r="A1048" s="1" t="s">
        <v>2042</v>
      </c>
      <c r="B1048" s="1" t="s">
        <v>2178</v>
      </c>
      <c r="C1048" s="7" t="s">
        <v>2109</v>
      </c>
    </row>
    <row r="1049" spans="1:3" ht="25.5" customHeight="1">
      <c r="A1049" s="1" t="s">
        <v>2042</v>
      </c>
      <c r="B1049" s="1" t="s">
        <v>2179</v>
      </c>
      <c r="C1049" s="7" t="s">
        <v>2180</v>
      </c>
    </row>
    <row r="1050" spans="1:3">
      <c r="A1050" s="1" t="s">
        <v>2042</v>
      </c>
      <c r="B1050" s="1" t="s">
        <v>1231</v>
      </c>
      <c r="C1050" s="7" t="s">
        <v>2044</v>
      </c>
    </row>
    <row r="1051" spans="1:3">
      <c r="A1051" s="1" t="s">
        <v>2042</v>
      </c>
      <c r="B1051" s="1" t="s">
        <v>2181</v>
      </c>
      <c r="C1051" s="7" t="s">
        <v>2109</v>
      </c>
    </row>
    <row r="1052" spans="1:3" ht="39" customHeight="1">
      <c r="A1052" s="1" t="s">
        <v>2042</v>
      </c>
      <c r="B1052" s="1" t="s">
        <v>2182</v>
      </c>
      <c r="C1052" s="7" t="s">
        <v>2183</v>
      </c>
    </row>
    <row r="1053" spans="1:3">
      <c r="A1053" s="1" t="s">
        <v>2042</v>
      </c>
      <c r="B1053" s="1" t="s">
        <v>2184</v>
      </c>
      <c r="C1053" s="7" t="s">
        <v>2044</v>
      </c>
    </row>
    <row r="1054" spans="1:3">
      <c r="A1054" s="1" t="s">
        <v>2042</v>
      </c>
      <c r="B1054" s="1" t="s">
        <v>2185</v>
      </c>
      <c r="C1054" s="7" t="s">
        <v>2109</v>
      </c>
    </row>
    <row r="1055" spans="1:3" ht="78" customHeight="1">
      <c r="A1055" s="1" t="s">
        <v>2042</v>
      </c>
      <c r="B1055" s="1" t="s">
        <v>2186</v>
      </c>
      <c r="C1055" s="7" t="s">
        <v>2187</v>
      </c>
    </row>
    <row r="1056" spans="1:3">
      <c r="A1056" s="1" t="s">
        <v>2042</v>
      </c>
      <c r="B1056" s="1" t="s">
        <v>1233</v>
      </c>
      <c r="C1056" s="7" t="s">
        <v>2044</v>
      </c>
    </row>
    <row r="1057" spans="1:3">
      <c r="A1057" s="1" t="s">
        <v>2042</v>
      </c>
      <c r="B1057" s="1" t="s">
        <v>2188</v>
      </c>
      <c r="C1057" s="7" t="s">
        <v>2109</v>
      </c>
    </row>
    <row r="1058" spans="1:3" ht="51.75" customHeight="1">
      <c r="A1058" s="1" t="s">
        <v>2042</v>
      </c>
      <c r="B1058" s="1" t="s">
        <v>2189</v>
      </c>
      <c r="C1058" s="7" t="s">
        <v>2190</v>
      </c>
    </row>
    <row r="1059" spans="1:3">
      <c r="A1059" s="1" t="s">
        <v>2042</v>
      </c>
      <c r="B1059" s="1" t="s">
        <v>2191</v>
      </c>
      <c r="C1059" s="7" t="s">
        <v>2044</v>
      </c>
    </row>
    <row r="1060" spans="1:3">
      <c r="A1060" s="1" t="s">
        <v>2042</v>
      </c>
      <c r="B1060" s="1" t="s">
        <v>2192</v>
      </c>
      <c r="C1060" s="7" t="s">
        <v>2109</v>
      </c>
    </row>
    <row r="1061" spans="1:3" ht="25.5" customHeight="1">
      <c r="A1061" s="1" t="s">
        <v>2042</v>
      </c>
      <c r="B1061" s="1" t="s">
        <v>2193</v>
      </c>
      <c r="C1061" s="7" t="s">
        <v>2194</v>
      </c>
    </row>
    <row r="1062" spans="1:3">
      <c r="A1062" s="1" t="s">
        <v>2042</v>
      </c>
      <c r="B1062" s="1" t="s">
        <v>1235</v>
      </c>
      <c r="C1062" s="7" t="s">
        <v>2044</v>
      </c>
    </row>
    <row r="1063" spans="1:3">
      <c r="A1063" s="1" t="s">
        <v>2042</v>
      </c>
      <c r="B1063" s="1" t="s">
        <v>2195</v>
      </c>
      <c r="C1063" s="7" t="s">
        <v>2109</v>
      </c>
    </row>
    <row r="1064" spans="1:3" ht="64.5" customHeight="1">
      <c r="A1064" s="1" t="s">
        <v>2042</v>
      </c>
      <c r="B1064" s="1" t="s">
        <v>2196</v>
      </c>
      <c r="C1064" s="7" t="s">
        <v>2197</v>
      </c>
    </row>
    <row r="1065" spans="1:3">
      <c r="A1065" s="1" t="s">
        <v>2042</v>
      </c>
      <c r="B1065" s="1" t="s">
        <v>2198</v>
      </c>
      <c r="C1065" s="7" t="s">
        <v>2044</v>
      </c>
    </row>
    <row r="1066" spans="1:3">
      <c r="A1066" s="1" t="s">
        <v>2042</v>
      </c>
      <c r="B1066" s="1" t="s">
        <v>2199</v>
      </c>
      <c r="C1066" s="7" t="s">
        <v>2109</v>
      </c>
    </row>
    <row r="1067" spans="1:3" ht="39" customHeight="1">
      <c r="A1067" s="1" t="s">
        <v>2042</v>
      </c>
      <c r="B1067" s="1" t="s">
        <v>2200</v>
      </c>
      <c r="C1067" s="7" t="s">
        <v>2201</v>
      </c>
    </row>
    <row r="1068" spans="1:3">
      <c r="A1068" s="1" t="s">
        <v>2042</v>
      </c>
      <c r="B1068" s="1" t="s">
        <v>1237</v>
      </c>
      <c r="C1068" s="7" t="s">
        <v>2044</v>
      </c>
    </row>
    <row r="1069" spans="1:3">
      <c r="A1069" s="1" t="s">
        <v>2042</v>
      </c>
      <c r="B1069" s="1" t="s">
        <v>2202</v>
      </c>
      <c r="C1069" s="7" t="s">
        <v>2109</v>
      </c>
    </row>
    <row r="1070" spans="1:3" ht="51.75" customHeight="1">
      <c r="A1070" s="1" t="s">
        <v>2042</v>
      </c>
      <c r="B1070" s="1" t="s">
        <v>2203</v>
      </c>
      <c r="C1070" s="7" t="s">
        <v>2204</v>
      </c>
    </row>
    <row r="1071" spans="1:3">
      <c r="A1071" s="1" t="s">
        <v>2042</v>
      </c>
      <c r="B1071" s="1" t="s">
        <v>2205</v>
      </c>
      <c r="C1071" s="7" t="s">
        <v>2044</v>
      </c>
    </row>
    <row r="1072" spans="1:3">
      <c r="A1072" s="1" t="s">
        <v>2042</v>
      </c>
      <c r="B1072" s="1" t="s">
        <v>2206</v>
      </c>
      <c r="C1072" s="7" t="s">
        <v>2109</v>
      </c>
    </row>
    <row r="1073" spans="1:3">
      <c r="A1073" s="1" t="s">
        <v>2042</v>
      </c>
      <c r="B1073" s="1" t="s">
        <v>2207</v>
      </c>
      <c r="C1073" s="7" t="s">
        <v>2208</v>
      </c>
    </row>
    <row r="1074" spans="1:3">
      <c r="A1074" s="1" t="s">
        <v>2042</v>
      </c>
      <c r="B1074" s="1" t="s">
        <v>2209</v>
      </c>
      <c r="C1074" s="7" t="s">
        <v>2044</v>
      </c>
    </row>
    <row r="1075" spans="1:3">
      <c r="A1075" s="1" t="s">
        <v>2042</v>
      </c>
      <c r="B1075" s="1" t="s">
        <v>2210</v>
      </c>
      <c r="C1075" s="7" t="s">
        <v>2109</v>
      </c>
    </row>
    <row r="1076" spans="1:3" ht="39" customHeight="1">
      <c r="A1076" s="1" t="s">
        <v>2042</v>
      </c>
      <c r="B1076" s="1" t="s">
        <v>2211</v>
      </c>
      <c r="C1076" s="7" t="s">
        <v>2212</v>
      </c>
    </row>
    <row r="1077" spans="1:3">
      <c r="A1077" s="1" t="s">
        <v>2042</v>
      </c>
      <c r="B1077" s="1" t="s">
        <v>2213</v>
      </c>
      <c r="C1077" s="7" t="s">
        <v>2044</v>
      </c>
    </row>
    <row r="1078" spans="1:3">
      <c r="A1078" s="1" t="s">
        <v>2042</v>
      </c>
      <c r="B1078" s="1" t="s">
        <v>2214</v>
      </c>
      <c r="C1078" s="7" t="s">
        <v>2109</v>
      </c>
    </row>
    <row r="1079" spans="1:3" ht="25.5" customHeight="1">
      <c r="A1079" s="1" t="s">
        <v>2042</v>
      </c>
      <c r="B1079" s="1" t="s">
        <v>2215</v>
      </c>
      <c r="C1079" s="7" t="s">
        <v>2216</v>
      </c>
    </row>
    <row r="1080" spans="1:3">
      <c r="A1080" s="1" t="s">
        <v>2042</v>
      </c>
      <c r="B1080" s="1" t="s">
        <v>2217</v>
      </c>
      <c r="C1080" s="7" t="s">
        <v>2044</v>
      </c>
    </row>
    <row r="1081" spans="1:3">
      <c r="A1081" s="1" t="s">
        <v>2042</v>
      </c>
      <c r="B1081" s="1" t="s">
        <v>2218</v>
      </c>
      <c r="C1081" s="7" t="s">
        <v>2109</v>
      </c>
    </row>
    <row r="1082" spans="1:3" ht="39" customHeight="1">
      <c r="A1082" s="1" t="s">
        <v>2042</v>
      </c>
      <c r="B1082" s="1" t="s">
        <v>2219</v>
      </c>
      <c r="C1082" s="7" t="s">
        <v>2220</v>
      </c>
    </row>
    <row r="1083" spans="1:3">
      <c r="A1083" s="1" t="s">
        <v>2042</v>
      </c>
      <c r="B1083" s="1" t="s">
        <v>2221</v>
      </c>
      <c r="C1083" s="7" t="s">
        <v>2044</v>
      </c>
    </row>
    <row r="1084" spans="1:3">
      <c r="A1084" s="1" t="s">
        <v>2042</v>
      </c>
      <c r="B1084" s="1" t="s">
        <v>2222</v>
      </c>
      <c r="C1084" s="7" t="s">
        <v>2109</v>
      </c>
    </row>
    <row r="1085" spans="1:3" ht="51.75" customHeight="1">
      <c r="A1085" s="1" t="s">
        <v>2042</v>
      </c>
      <c r="B1085" s="1" t="s">
        <v>2223</v>
      </c>
      <c r="C1085" s="7" t="s">
        <v>2224</v>
      </c>
    </row>
    <row r="1086" spans="1:3">
      <c r="A1086" s="1" t="s">
        <v>2042</v>
      </c>
      <c r="B1086" s="1" t="s">
        <v>2225</v>
      </c>
      <c r="C1086" s="7" t="s">
        <v>2044</v>
      </c>
    </row>
    <row r="1087" spans="1:3">
      <c r="A1087" s="1" t="s">
        <v>2042</v>
      </c>
      <c r="B1087" s="1" t="s">
        <v>2226</v>
      </c>
      <c r="C1087" s="7" t="s">
        <v>2109</v>
      </c>
    </row>
    <row r="1088" spans="1:3" ht="64.5" customHeight="1">
      <c r="A1088" s="1" t="s">
        <v>2042</v>
      </c>
      <c r="B1088" s="1" t="s">
        <v>2227</v>
      </c>
      <c r="C1088" s="7" t="s">
        <v>2228</v>
      </c>
    </row>
    <row r="1089" spans="1:3">
      <c r="A1089" s="1" t="s">
        <v>2042</v>
      </c>
      <c r="B1089" s="1" t="s">
        <v>2229</v>
      </c>
      <c r="C1089" s="7" t="s">
        <v>2044</v>
      </c>
    </row>
    <row r="1090" spans="1:3">
      <c r="A1090" s="1" t="s">
        <v>2042</v>
      </c>
      <c r="B1090" s="1" t="s">
        <v>2230</v>
      </c>
      <c r="C1090" s="7" t="s">
        <v>2109</v>
      </c>
    </row>
    <row r="1091" spans="1:3">
      <c r="A1091" s="1" t="s">
        <v>2042</v>
      </c>
      <c r="B1091" s="1" t="s">
        <v>2231</v>
      </c>
      <c r="C1091" s="4" t="s">
        <v>2232</v>
      </c>
    </row>
    <row r="1092" spans="1:3">
      <c r="A1092" s="1" t="s">
        <v>2042</v>
      </c>
      <c r="B1092" s="1" t="s">
        <v>2233</v>
      </c>
      <c r="C1092" s="7" t="s">
        <v>2044</v>
      </c>
    </row>
    <row r="1093" spans="1:3">
      <c r="A1093" s="1" t="s">
        <v>2042</v>
      </c>
      <c r="B1093" s="1" t="s">
        <v>2234</v>
      </c>
      <c r="C1093" s="7" t="s">
        <v>2109</v>
      </c>
    </row>
    <row r="1094" spans="1:3" ht="39" customHeight="1">
      <c r="A1094" s="1" t="s">
        <v>2042</v>
      </c>
      <c r="B1094" s="1" t="s">
        <v>2235</v>
      </c>
      <c r="C1094" s="7" t="s">
        <v>2236</v>
      </c>
    </row>
    <row r="1095" spans="1:3">
      <c r="A1095" s="1" t="s">
        <v>2042</v>
      </c>
      <c r="B1095" s="1" t="s">
        <v>2237</v>
      </c>
      <c r="C1095" s="7" t="s">
        <v>2044</v>
      </c>
    </row>
    <row r="1096" spans="1:3">
      <c r="A1096" s="1" t="s">
        <v>2042</v>
      </c>
      <c r="B1096" s="1" t="s">
        <v>2238</v>
      </c>
      <c r="C1096" s="7" t="s">
        <v>2109</v>
      </c>
    </row>
    <row r="1097" spans="1:3" ht="64.5" customHeight="1">
      <c r="A1097" s="1" t="s">
        <v>2042</v>
      </c>
      <c r="B1097" s="1" t="s">
        <v>2239</v>
      </c>
      <c r="C1097" s="7" t="s">
        <v>2240</v>
      </c>
    </row>
    <row r="1098" spans="1:3">
      <c r="A1098" s="1" t="s">
        <v>2042</v>
      </c>
      <c r="B1098" s="1" t="s">
        <v>2241</v>
      </c>
      <c r="C1098" s="7" t="s">
        <v>2044</v>
      </c>
    </row>
    <row r="1099" spans="1:3">
      <c r="A1099" s="1" t="s">
        <v>2042</v>
      </c>
      <c r="B1099" s="1" t="s">
        <v>2242</v>
      </c>
      <c r="C1099" s="7" t="s">
        <v>2109</v>
      </c>
    </row>
    <row r="1100" spans="1:3" ht="39" customHeight="1">
      <c r="A1100" s="1" t="s">
        <v>2042</v>
      </c>
      <c r="B1100" s="1" t="s">
        <v>2243</v>
      </c>
      <c r="C1100" s="7" t="s">
        <v>2244</v>
      </c>
    </row>
    <row r="1101" spans="1:3">
      <c r="A1101" s="1" t="s">
        <v>2042</v>
      </c>
      <c r="B1101" s="1" t="s">
        <v>2245</v>
      </c>
      <c r="C1101" s="7" t="s">
        <v>2044</v>
      </c>
    </row>
    <row r="1102" spans="1:3">
      <c r="A1102" s="1" t="s">
        <v>2042</v>
      </c>
      <c r="B1102" s="1" t="s">
        <v>2246</v>
      </c>
      <c r="C1102" s="7" t="s">
        <v>2109</v>
      </c>
    </row>
    <row r="1103" spans="1:3" ht="25.5" customHeight="1">
      <c r="A1103" s="1" t="s">
        <v>2042</v>
      </c>
      <c r="B1103" s="1" t="s">
        <v>2247</v>
      </c>
      <c r="C1103" s="7" t="s">
        <v>2248</v>
      </c>
    </row>
    <row r="1104" spans="1:3">
      <c r="A1104" s="1" t="s">
        <v>2042</v>
      </c>
      <c r="B1104" s="1" t="s">
        <v>2249</v>
      </c>
      <c r="C1104" s="7" t="s">
        <v>2044</v>
      </c>
    </row>
    <row r="1105" spans="1:3">
      <c r="A1105" s="1" t="s">
        <v>2042</v>
      </c>
      <c r="B1105" s="1" t="s">
        <v>2250</v>
      </c>
      <c r="C1105" s="7" t="s">
        <v>2109</v>
      </c>
    </row>
    <row r="1106" spans="1:3">
      <c r="A1106" s="1" t="s">
        <v>2042</v>
      </c>
      <c r="B1106" s="1" t="s">
        <v>2251</v>
      </c>
      <c r="C1106" s="7" t="s">
        <v>2252</v>
      </c>
    </row>
    <row r="1107" spans="1:3">
      <c r="A1107" s="1" t="s">
        <v>2042</v>
      </c>
      <c r="B1107" s="1" t="s">
        <v>2253</v>
      </c>
      <c r="C1107" s="7" t="s">
        <v>2044</v>
      </c>
    </row>
    <row r="1108" spans="1:3">
      <c r="A1108" s="1" t="s">
        <v>2042</v>
      </c>
      <c r="B1108" s="1" t="s">
        <v>2254</v>
      </c>
      <c r="C1108" s="7" t="s">
        <v>2255</v>
      </c>
    </row>
    <row r="1109" spans="1:3">
      <c r="A1109" s="1" t="s">
        <v>2042</v>
      </c>
      <c r="B1109" s="1" t="s">
        <v>2256</v>
      </c>
      <c r="C1109" s="7" t="s">
        <v>2049</v>
      </c>
    </row>
    <row r="1110" spans="1:3">
      <c r="A1110" s="1" t="s">
        <v>2042</v>
      </c>
      <c r="B1110" s="1" t="s">
        <v>2257</v>
      </c>
      <c r="C1110" s="7" t="s">
        <v>2044</v>
      </c>
    </row>
    <row r="1111" spans="1:3">
      <c r="A1111" s="1" t="s">
        <v>2042</v>
      </c>
      <c r="B1111" s="1" t="s">
        <v>2258</v>
      </c>
      <c r="C1111" s="7" t="s">
        <v>2255</v>
      </c>
    </row>
    <row r="1112" spans="1:3">
      <c r="A1112" s="1" t="s">
        <v>2042</v>
      </c>
      <c r="B1112" s="1" t="s">
        <v>2259</v>
      </c>
      <c r="C1112" s="7" t="s">
        <v>2260</v>
      </c>
    </row>
    <row r="1113" spans="1:3">
      <c r="A1113" s="1" t="s">
        <v>2042</v>
      </c>
      <c r="B1113" s="1" t="s">
        <v>2261</v>
      </c>
      <c r="C1113" s="7" t="s">
        <v>2262</v>
      </c>
    </row>
    <row r="1114" spans="1:3">
      <c r="A1114" s="1" t="s">
        <v>2042</v>
      </c>
      <c r="B1114" s="1" t="s">
        <v>2263</v>
      </c>
      <c r="C1114" s="7" t="s">
        <v>2044</v>
      </c>
    </row>
    <row r="1115" spans="1:3">
      <c r="A1115" s="1" t="s">
        <v>2042</v>
      </c>
      <c r="B1115" s="1" t="s">
        <v>2264</v>
      </c>
      <c r="C1115" s="7" t="s">
        <v>2255</v>
      </c>
    </row>
    <row r="1116" spans="1:3">
      <c r="A1116" s="1" t="s">
        <v>2042</v>
      </c>
      <c r="B1116" s="1" t="s">
        <v>2265</v>
      </c>
      <c r="C1116" s="7" t="s">
        <v>2266</v>
      </c>
    </row>
    <row r="1117" spans="1:3">
      <c r="A1117" s="1" t="s">
        <v>2042</v>
      </c>
      <c r="B1117" s="1" t="s">
        <v>2267</v>
      </c>
      <c r="C1117" s="7" t="s">
        <v>2044</v>
      </c>
    </row>
    <row r="1118" spans="1:3">
      <c r="A1118" s="1" t="s">
        <v>2042</v>
      </c>
      <c r="B1118" s="1" t="s">
        <v>2268</v>
      </c>
      <c r="C1118" s="7" t="s">
        <v>2255</v>
      </c>
    </row>
    <row r="1119" spans="1:3">
      <c r="A1119" s="1" t="s">
        <v>2042</v>
      </c>
      <c r="B1119" s="1" t="s">
        <v>2269</v>
      </c>
      <c r="C1119" s="7" t="s">
        <v>2270</v>
      </c>
    </row>
    <row r="1120" spans="1:3">
      <c r="A1120" s="1" t="s">
        <v>2042</v>
      </c>
      <c r="B1120" s="1" t="s">
        <v>2271</v>
      </c>
      <c r="C1120" s="7" t="s">
        <v>2044</v>
      </c>
    </row>
    <row r="1121" spans="1:3">
      <c r="A1121" s="1" t="s">
        <v>2042</v>
      </c>
      <c r="B1121" s="1" t="s">
        <v>2272</v>
      </c>
      <c r="C1121" s="7" t="s">
        <v>2255</v>
      </c>
    </row>
    <row r="1122" spans="1:3">
      <c r="A1122" s="1" t="s">
        <v>2042</v>
      </c>
      <c r="B1122" s="1" t="s">
        <v>2273</v>
      </c>
      <c r="C1122" s="7" t="s">
        <v>2072</v>
      </c>
    </row>
    <row r="1123" spans="1:3">
      <c r="A1123" s="1" t="s">
        <v>2042</v>
      </c>
      <c r="B1123" s="1" t="s">
        <v>2274</v>
      </c>
      <c r="C1123" s="7" t="s">
        <v>2044</v>
      </c>
    </row>
    <row r="1124" spans="1:3">
      <c r="A1124" s="1" t="s">
        <v>2042</v>
      </c>
      <c r="B1124" s="1" t="s">
        <v>2275</v>
      </c>
      <c r="C1124" s="7" t="s">
        <v>2255</v>
      </c>
    </row>
    <row r="1125" spans="1:3">
      <c r="A1125" s="1" t="s">
        <v>2042</v>
      </c>
      <c r="B1125" s="1" t="s">
        <v>2276</v>
      </c>
      <c r="C1125" s="7" t="s">
        <v>2277</v>
      </c>
    </row>
    <row r="1126" spans="1:3">
      <c r="A1126" s="1" t="s">
        <v>2042</v>
      </c>
      <c r="B1126" s="1" t="s">
        <v>2278</v>
      </c>
      <c r="C1126" s="7" t="s">
        <v>2044</v>
      </c>
    </row>
    <row r="1127" spans="1:3">
      <c r="A1127" s="1" t="s">
        <v>2042</v>
      </c>
      <c r="B1127" s="1" t="s">
        <v>2279</v>
      </c>
      <c r="C1127" s="7" t="s">
        <v>2255</v>
      </c>
    </row>
    <row r="1128" spans="1:3">
      <c r="A1128" s="1" t="s">
        <v>2042</v>
      </c>
      <c r="B1128" s="1" t="s">
        <v>2280</v>
      </c>
      <c r="C1128" s="7" t="s">
        <v>2063</v>
      </c>
    </row>
    <row r="1129" spans="1:3">
      <c r="A1129" s="1" t="s">
        <v>2042</v>
      </c>
      <c r="B1129" s="1" t="s">
        <v>2281</v>
      </c>
      <c r="C1129" s="7" t="s">
        <v>2044</v>
      </c>
    </row>
    <row r="1130" spans="1:3">
      <c r="A1130" s="1" t="s">
        <v>2042</v>
      </c>
      <c r="B1130" s="1" t="s">
        <v>2282</v>
      </c>
      <c r="C1130" s="7" t="s">
        <v>2255</v>
      </c>
    </row>
    <row r="1131" spans="1:3">
      <c r="A1131" s="1" t="s">
        <v>2042</v>
      </c>
      <c r="B1131" s="1" t="s">
        <v>2283</v>
      </c>
      <c r="C1131" s="7" t="s">
        <v>2064</v>
      </c>
    </row>
    <row r="1132" spans="1:3">
      <c r="A1132" s="1" t="s">
        <v>2042</v>
      </c>
      <c r="B1132" s="1" t="s">
        <v>2284</v>
      </c>
      <c r="C1132" s="7" t="s">
        <v>2044</v>
      </c>
    </row>
    <row r="1133" spans="1:3">
      <c r="A1133" s="1" t="s">
        <v>2042</v>
      </c>
      <c r="B1133" s="1" t="s">
        <v>2285</v>
      </c>
      <c r="C1133" s="7" t="s">
        <v>2255</v>
      </c>
    </row>
    <row r="1134" spans="1:3">
      <c r="A1134" s="1" t="s">
        <v>2042</v>
      </c>
      <c r="B1134" s="1" t="s">
        <v>2286</v>
      </c>
      <c r="C1134" s="7" t="s">
        <v>1714</v>
      </c>
    </row>
    <row r="1135" spans="1:3">
      <c r="A1135" s="1" t="s">
        <v>2042</v>
      </c>
      <c r="B1135" s="1" t="s">
        <v>2287</v>
      </c>
      <c r="C1135" s="7" t="s">
        <v>2044</v>
      </c>
    </row>
    <row r="1136" spans="1:3">
      <c r="A1136" s="1" t="s">
        <v>2042</v>
      </c>
      <c r="B1136" s="1" t="s">
        <v>2288</v>
      </c>
      <c r="C1136" s="7" t="s">
        <v>2255</v>
      </c>
    </row>
    <row r="1137" spans="1:3">
      <c r="A1137" s="1" t="s">
        <v>2042</v>
      </c>
      <c r="B1137" s="1" t="s">
        <v>2289</v>
      </c>
      <c r="C1137" s="7" t="s">
        <v>2065</v>
      </c>
    </row>
    <row r="1138" spans="1:3">
      <c r="A1138" s="1" t="s">
        <v>2042</v>
      </c>
      <c r="B1138" s="1" t="s">
        <v>2290</v>
      </c>
      <c r="C1138" s="7" t="s">
        <v>2044</v>
      </c>
    </row>
    <row r="1139" spans="1:3">
      <c r="A1139" s="1" t="s">
        <v>2042</v>
      </c>
      <c r="B1139" s="1" t="s">
        <v>2291</v>
      </c>
      <c r="C1139" s="7" t="s">
        <v>2255</v>
      </c>
    </row>
    <row r="1140" spans="1:3">
      <c r="A1140" s="1" t="s">
        <v>2042</v>
      </c>
      <c r="B1140" s="1" t="s">
        <v>2292</v>
      </c>
      <c r="C1140" s="7" t="s">
        <v>2101</v>
      </c>
    </row>
    <row r="1141" spans="1:3">
      <c r="A1141" s="1" t="s">
        <v>2042</v>
      </c>
      <c r="B1141" s="1" t="s">
        <v>2293</v>
      </c>
      <c r="C1141" s="7" t="s">
        <v>2044</v>
      </c>
    </row>
    <row r="1142" spans="1:3">
      <c r="A1142" s="1" t="s">
        <v>2042</v>
      </c>
      <c r="B1142" s="1" t="s">
        <v>2294</v>
      </c>
      <c r="C1142" s="7" t="s">
        <v>2255</v>
      </c>
    </row>
    <row r="1143" spans="1:3">
      <c r="A1143" s="1" t="s">
        <v>2042</v>
      </c>
      <c r="B1143" s="1" t="s">
        <v>2295</v>
      </c>
      <c r="C1143" s="7" t="s">
        <v>2103</v>
      </c>
    </row>
    <row r="1144" spans="1:3">
      <c r="A1144" s="1" t="s">
        <v>2042</v>
      </c>
      <c r="B1144" s="1" t="s">
        <v>2296</v>
      </c>
      <c r="C1144" s="7" t="s">
        <v>2044</v>
      </c>
    </row>
    <row r="1145" spans="1:3">
      <c r="A1145" s="1" t="s">
        <v>2042</v>
      </c>
      <c r="B1145" s="1" t="s">
        <v>2297</v>
      </c>
      <c r="C1145" s="7" t="s">
        <v>2255</v>
      </c>
    </row>
    <row r="1146" spans="1:3">
      <c r="A1146" s="1" t="s">
        <v>2042</v>
      </c>
      <c r="B1146" s="1" t="s">
        <v>2298</v>
      </c>
      <c r="C1146" s="7" t="s">
        <v>2299</v>
      </c>
    </row>
    <row r="1147" spans="1:3">
      <c r="A1147" s="1" t="s">
        <v>2042</v>
      </c>
      <c r="B1147" s="1" t="s">
        <v>2300</v>
      </c>
      <c r="C1147" s="7" t="s">
        <v>2044</v>
      </c>
    </row>
    <row r="1148" spans="1:3">
      <c r="A1148" s="1" t="s">
        <v>2042</v>
      </c>
      <c r="B1148" s="1" t="s">
        <v>2301</v>
      </c>
      <c r="C1148" s="7" t="s">
        <v>2255</v>
      </c>
    </row>
    <row r="1149" spans="1:3">
      <c r="A1149" s="1" t="s">
        <v>2042</v>
      </c>
      <c r="B1149" s="1" t="s">
        <v>2302</v>
      </c>
      <c r="C1149" s="7" t="s">
        <v>2303</v>
      </c>
    </row>
    <row r="1150" spans="1:3">
      <c r="A1150" s="1" t="s">
        <v>2042</v>
      </c>
      <c r="B1150" s="1" t="s">
        <v>2304</v>
      </c>
      <c r="C1150" s="7" t="s">
        <v>2044</v>
      </c>
    </row>
    <row r="1151" spans="1:3">
      <c r="A1151" s="1" t="s">
        <v>2042</v>
      </c>
      <c r="B1151" s="1" t="s">
        <v>2305</v>
      </c>
      <c r="C1151" s="7" t="s">
        <v>2255</v>
      </c>
    </row>
    <row r="1152" spans="1:3">
      <c r="A1152" s="1" t="s">
        <v>2042</v>
      </c>
      <c r="B1152" s="1" t="s">
        <v>2306</v>
      </c>
      <c r="C1152" s="7" t="s">
        <v>2307</v>
      </c>
    </row>
    <row r="1153" spans="1:3">
      <c r="A1153" s="1" t="s">
        <v>2042</v>
      </c>
      <c r="B1153" s="1" t="s">
        <v>2308</v>
      </c>
      <c r="C1153" s="7" t="s">
        <v>2044</v>
      </c>
    </row>
    <row r="1154" spans="1:3">
      <c r="A1154" s="1" t="s">
        <v>2042</v>
      </c>
      <c r="B1154" s="1" t="s">
        <v>2309</v>
      </c>
      <c r="C1154" s="7" t="s">
        <v>2255</v>
      </c>
    </row>
    <row r="1155" spans="1:3">
      <c r="A1155" s="1" t="s">
        <v>2042</v>
      </c>
      <c r="B1155" s="1" t="s">
        <v>2310</v>
      </c>
      <c r="C1155" s="7" t="s">
        <v>2311</v>
      </c>
    </row>
    <row r="1156" spans="1:3">
      <c r="A1156" s="1" t="s">
        <v>2042</v>
      </c>
      <c r="B1156" s="1" t="s">
        <v>2312</v>
      </c>
      <c r="C1156" s="7" t="s">
        <v>2044</v>
      </c>
    </row>
    <row r="1157" spans="1:3">
      <c r="A1157" s="1" t="s">
        <v>2042</v>
      </c>
      <c r="B1157" s="1" t="s">
        <v>2313</v>
      </c>
      <c r="C1157" s="7" t="s">
        <v>2255</v>
      </c>
    </row>
    <row r="1158" spans="1:3">
      <c r="A1158" s="1" t="s">
        <v>2042</v>
      </c>
      <c r="B1158" s="1" t="s">
        <v>2314</v>
      </c>
      <c r="C1158" s="7" t="s">
        <v>336</v>
      </c>
    </row>
    <row r="1159" spans="1:3">
      <c r="A1159" s="1" t="s">
        <v>2042</v>
      </c>
      <c r="B1159" s="1" t="s">
        <v>2315</v>
      </c>
      <c r="C1159" s="7" t="s">
        <v>2044</v>
      </c>
    </row>
    <row r="1160" spans="1:3">
      <c r="A1160" s="1" t="s">
        <v>2042</v>
      </c>
      <c r="B1160" s="1" t="s">
        <v>2316</v>
      </c>
      <c r="C1160" s="7" t="s">
        <v>2317</v>
      </c>
    </row>
    <row r="1161" spans="1:3">
      <c r="A1161" s="1" t="s">
        <v>2042</v>
      </c>
      <c r="B1161" s="1" t="s">
        <v>2318</v>
      </c>
      <c r="C1161" s="7" t="s">
        <v>2080</v>
      </c>
    </row>
    <row r="1162" spans="1:3">
      <c r="A1162" s="1" t="s">
        <v>2042</v>
      </c>
      <c r="B1162" s="1" t="s">
        <v>2319</v>
      </c>
      <c r="C1162" s="7" t="s">
        <v>2044</v>
      </c>
    </row>
    <row r="1163" spans="1:3">
      <c r="A1163" s="1" t="s">
        <v>2042</v>
      </c>
      <c r="B1163" s="1" t="s">
        <v>2320</v>
      </c>
      <c r="C1163" s="7" t="s">
        <v>2317</v>
      </c>
    </row>
    <row r="1164" spans="1:3">
      <c r="A1164" s="1" t="s">
        <v>2042</v>
      </c>
      <c r="B1164" s="1" t="s">
        <v>2321</v>
      </c>
      <c r="C1164" s="7" t="s">
        <v>2260</v>
      </c>
    </row>
    <row r="1165" spans="1:3">
      <c r="A1165" s="1" t="s">
        <v>2042</v>
      </c>
      <c r="B1165" s="1" t="s">
        <v>2322</v>
      </c>
      <c r="C1165" s="7" t="s">
        <v>2323</v>
      </c>
    </row>
    <row r="1166" spans="1:3">
      <c r="A1166" s="1" t="s">
        <v>2042</v>
      </c>
      <c r="B1166" s="1" t="s">
        <v>2324</v>
      </c>
      <c r="C1166" s="7" t="s">
        <v>2044</v>
      </c>
    </row>
    <row r="1167" spans="1:3">
      <c r="A1167" s="1" t="s">
        <v>2042</v>
      </c>
      <c r="B1167" s="1" t="s">
        <v>2325</v>
      </c>
      <c r="C1167" s="7" t="s">
        <v>2317</v>
      </c>
    </row>
    <row r="1168" spans="1:3">
      <c r="A1168" s="1" t="s">
        <v>2042</v>
      </c>
      <c r="B1168" s="1" t="s">
        <v>2326</v>
      </c>
      <c r="C1168" s="7" t="s">
        <v>343</v>
      </c>
    </row>
    <row r="1169" spans="1:3">
      <c r="A1169" s="1" t="s">
        <v>2042</v>
      </c>
      <c r="B1169" s="1" t="s">
        <v>2327</v>
      </c>
      <c r="C1169" s="7" t="s">
        <v>2044</v>
      </c>
    </row>
    <row r="1170" spans="1:3">
      <c r="A1170" s="1" t="s">
        <v>2042</v>
      </c>
      <c r="B1170" s="1" t="s">
        <v>2328</v>
      </c>
      <c r="C1170" s="7" t="s">
        <v>2317</v>
      </c>
    </row>
    <row r="1171" spans="1:3">
      <c r="A1171" s="1" t="s">
        <v>2042</v>
      </c>
      <c r="B1171" s="1" t="s">
        <v>2329</v>
      </c>
      <c r="C1171" s="7" t="s">
        <v>2081</v>
      </c>
    </row>
    <row r="1172" spans="1:3">
      <c r="A1172" s="1" t="s">
        <v>2042</v>
      </c>
      <c r="B1172" s="1" t="s">
        <v>2330</v>
      </c>
      <c r="C1172" s="7" t="s">
        <v>2044</v>
      </c>
    </row>
    <row r="1173" spans="1:3">
      <c r="A1173" s="1" t="s">
        <v>2042</v>
      </c>
      <c r="B1173" s="1" t="s">
        <v>2331</v>
      </c>
      <c r="C1173" s="7" t="s">
        <v>2317</v>
      </c>
    </row>
    <row r="1174" spans="1:3">
      <c r="A1174" s="1" t="s">
        <v>2042</v>
      </c>
      <c r="B1174" s="1" t="s">
        <v>2332</v>
      </c>
      <c r="C1174" s="7" t="s">
        <v>2087</v>
      </c>
    </row>
    <row r="1175" spans="1:3">
      <c r="A1175" s="1" t="s">
        <v>2042</v>
      </c>
      <c r="B1175" s="1" t="s">
        <v>2333</v>
      </c>
      <c r="C1175" s="7" t="s">
        <v>2044</v>
      </c>
    </row>
    <row r="1176" spans="1:3">
      <c r="A1176" s="1" t="s">
        <v>2042</v>
      </c>
      <c r="B1176" s="1" t="s">
        <v>2334</v>
      </c>
      <c r="C1176" s="7" t="s">
        <v>2317</v>
      </c>
    </row>
    <row r="1177" spans="1:3">
      <c r="A1177" s="1" t="s">
        <v>2042</v>
      </c>
      <c r="B1177" s="1" t="s">
        <v>2335</v>
      </c>
      <c r="C1177" s="7" t="s">
        <v>2336</v>
      </c>
    </row>
    <row r="1178" spans="1:3">
      <c r="A1178" s="1" t="s">
        <v>2042</v>
      </c>
      <c r="B1178" s="1" t="s">
        <v>2337</v>
      </c>
      <c r="C1178" s="7" t="s">
        <v>2044</v>
      </c>
    </row>
    <row r="1179" spans="1:3">
      <c r="A1179" s="1" t="s">
        <v>2042</v>
      </c>
      <c r="B1179" s="1" t="s">
        <v>2338</v>
      </c>
      <c r="C1179" s="7" t="s">
        <v>2317</v>
      </c>
    </row>
    <row r="1180" spans="1:3">
      <c r="A1180" s="1" t="s">
        <v>2042</v>
      </c>
      <c r="B1180" s="1" t="s">
        <v>2339</v>
      </c>
      <c r="C1180" s="7" t="s">
        <v>2082</v>
      </c>
    </row>
    <row r="1181" spans="1:3">
      <c r="A1181" s="1" t="s">
        <v>2042</v>
      </c>
      <c r="B1181" s="1" t="s">
        <v>2340</v>
      </c>
      <c r="C1181" s="7" t="s">
        <v>2044</v>
      </c>
    </row>
    <row r="1182" spans="1:3">
      <c r="A1182" s="1" t="s">
        <v>2042</v>
      </c>
      <c r="B1182" s="1" t="s">
        <v>2341</v>
      </c>
      <c r="C1182" s="7" t="s">
        <v>2317</v>
      </c>
    </row>
    <row r="1183" spans="1:3">
      <c r="A1183" s="1" t="s">
        <v>2042</v>
      </c>
      <c r="B1183" s="1" t="s">
        <v>2342</v>
      </c>
      <c r="C1183" s="7" t="s">
        <v>2065</v>
      </c>
    </row>
    <row r="1184" spans="1:3">
      <c r="A1184" s="1" t="s">
        <v>2042</v>
      </c>
      <c r="B1184" s="1" t="s">
        <v>2343</v>
      </c>
      <c r="C1184" s="7" t="s">
        <v>2044</v>
      </c>
    </row>
    <row r="1185" spans="1:3">
      <c r="A1185" s="1" t="s">
        <v>2042</v>
      </c>
      <c r="B1185" s="1" t="s">
        <v>2344</v>
      </c>
      <c r="C1185" s="7" t="s">
        <v>2317</v>
      </c>
    </row>
    <row r="1186" spans="1:3">
      <c r="A1186" s="1" t="s">
        <v>2042</v>
      </c>
      <c r="B1186" s="1" t="s">
        <v>2345</v>
      </c>
      <c r="C1186" s="7" t="s">
        <v>2064</v>
      </c>
    </row>
    <row r="1187" spans="1:3">
      <c r="A1187" s="1" t="s">
        <v>2042</v>
      </c>
      <c r="B1187" s="1" t="s">
        <v>2346</v>
      </c>
      <c r="C1187" s="7" t="s">
        <v>2044</v>
      </c>
    </row>
    <row r="1188" spans="1:3">
      <c r="A1188" s="1" t="s">
        <v>2042</v>
      </c>
      <c r="B1188" s="1" t="s">
        <v>2347</v>
      </c>
      <c r="C1188" s="7" t="s">
        <v>2348</v>
      </c>
    </row>
    <row r="1189" spans="1:3">
      <c r="A1189" s="1" t="s">
        <v>2042</v>
      </c>
      <c r="B1189" s="1" t="s">
        <v>2349</v>
      </c>
      <c r="C1189" s="7" t="s">
        <v>2052</v>
      </c>
    </row>
    <row r="1190" spans="1:3">
      <c r="A1190" s="1" t="s">
        <v>2042</v>
      </c>
      <c r="B1190" s="1" t="s">
        <v>2350</v>
      </c>
      <c r="C1190" s="7" t="s">
        <v>2044</v>
      </c>
    </row>
    <row r="1191" spans="1:3">
      <c r="A1191" s="1" t="s">
        <v>2042</v>
      </c>
      <c r="B1191" s="1" t="s">
        <v>2351</v>
      </c>
      <c r="C1191" s="7" t="s">
        <v>2348</v>
      </c>
    </row>
    <row r="1192" spans="1:3">
      <c r="A1192" s="1" t="s">
        <v>2042</v>
      </c>
      <c r="B1192" s="1" t="s">
        <v>2352</v>
      </c>
      <c r="C1192" s="7" t="s">
        <v>2353</v>
      </c>
    </row>
    <row r="1193" spans="1:3">
      <c r="A1193" s="1" t="s">
        <v>2042</v>
      </c>
      <c r="B1193" s="1" t="s">
        <v>2354</v>
      </c>
      <c r="C1193" s="7" t="s">
        <v>2355</v>
      </c>
    </row>
    <row r="1194" spans="1:3">
      <c r="A1194" s="1" t="s">
        <v>2042</v>
      </c>
      <c r="B1194" s="1" t="s">
        <v>2356</v>
      </c>
      <c r="C1194" s="7" t="s">
        <v>2044</v>
      </c>
    </row>
    <row r="1195" spans="1:3">
      <c r="A1195" s="1" t="s">
        <v>2042</v>
      </c>
      <c r="B1195" s="1" t="s">
        <v>2357</v>
      </c>
      <c r="C1195" s="7" t="s">
        <v>2348</v>
      </c>
    </row>
    <row r="1196" spans="1:3">
      <c r="A1196" s="1" t="s">
        <v>2042</v>
      </c>
      <c r="B1196" s="1" t="s">
        <v>2358</v>
      </c>
      <c r="C1196" s="7" t="s">
        <v>2353</v>
      </c>
    </row>
    <row r="1197" spans="1:3">
      <c r="A1197" s="1" t="s">
        <v>2042</v>
      </c>
      <c r="B1197" s="1" t="s">
        <v>2359</v>
      </c>
      <c r="C1197" s="7" t="s">
        <v>2360</v>
      </c>
    </row>
    <row r="1198" spans="1:3">
      <c r="A1198" s="1" t="s">
        <v>2042</v>
      </c>
      <c r="B1198" s="1" t="s">
        <v>2361</v>
      </c>
      <c r="C1198" s="7" t="s">
        <v>2044</v>
      </c>
    </row>
    <row r="1199" spans="1:3">
      <c r="A1199" s="1" t="s">
        <v>2042</v>
      </c>
      <c r="B1199" s="1" t="s">
        <v>2362</v>
      </c>
      <c r="C1199" s="7" t="s">
        <v>2348</v>
      </c>
    </row>
    <row r="1200" spans="1:3">
      <c r="A1200" s="1" t="s">
        <v>2042</v>
      </c>
      <c r="B1200" s="1" t="s">
        <v>2363</v>
      </c>
      <c r="C1200" s="7" t="s">
        <v>2353</v>
      </c>
    </row>
    <row r="1201" spans="1:3">
      <c r="A1201" s="1" t="s">
        <v>2042</v>
      </c>
      <c r="B1201" s="1" t="s">
        <v>2364</v>
      </c>
      <c r="C1201" s="7" t="s">
        <v>2365</v>
      </c>
    </row>
    <row r="1202" spans="1:3">
      <c r="A1202" s="1" t="s">
        <v>2042</v>
      </c>
      <c r="B1202" s="1" t="s">
        <v>2366</v>
      </c>
      <c r="C1202" s="7" t="s">
        <v>2044</v>
      </c>
    </row>
    <row r="1203" spans="1:3">
      <c r="A1203" s="1" t="s">
        <v>2042</v>
      </c>
      <c r="B1203" s="1" t="s">
        <v>2367</v>
      </c>
      <c r="C1203" s="7" t="s">
        <v>2348</v>
      </c>
    </row>
    <row r="1204" spans="1:3">
      <c r="A1204" s="1" t="s">
        <v>2042</v>
      </c>
      <c r="B1204" s="1" t="s">
        <v>2368</v>
      </c>
      <c r="C1204" s="7" t="s">
        <v>2353</v>
      </c>
    </row>
    <row r="1205" spans="1:3">
      <c r="A1205" s="1" t="s">
        <v>2042</v>
      </c>
      <c r="B1205" s="1" t="s">
        <v>2369</v>
      </c>
      <c r="C1205" s="7" t="s">
        <v>2370</v>
      </c>
    </row>
    <row r="1206" spans="1:3">
      <c r="A1206" s="1" t="s">
        <v>2042</v>
      </c>
      <c r="B1206" s="1" t="s">
        <v>2371</v>
      </c>
      <c r="C1206" s="7" t="s">
        <v>2044</v>
      </c>
    </row>
    <row r="1207" spans="1:3">
      <c r="A1207" s="1" t="s">
        <v>2042</v>
      </c>
      <c r="B1207" s="1" t="s">
        <v>2372</v>
      </c>
      <c r="C1207" s="7" t="s">
        <v>2348</v>
      </c>
    </row>
    <row r="1208" spans="1:3">
      <c r="A1208" s="1" t="s">
        <v>2042</v>
      </c>
      <c r="B1208" s="1" t="s">
        <v>2373</v>
      </c>
      <c r="C1208" s="7" t="s">
        <v>2353</v>
      </c>
    </row>
    <row r="1209" spans="1:3">
      <c r="A1209" s="1" t="s">
        <v>2042</v>
      </c>
      <c r="B1209" s="1" t="s">
        <v>2374</v>
      </c>
      <c r="C1209" s="7" t="s">
        <v>2375</v>
      </c>
    </row>
    <row r="1210" spans="1:3">
      <c r="A1210" s="1" t="s">
        <v>2042</v>
      </c>
      <c r="B1210" s="1" t="s">
        <v>2376</v>
      </c>
      <c r="C1210" s="7" t="s">
        <v>286</v>
      </c>
    </row>
    <row r="1211" spans="1:3">
      <c r="A1211" s="1" t="s">
        <v>2042</v>
      </c>
      <c r="B1211" s="1" t="s">
        <v>2377</v>
      </c>
      <c r="C1211" s="7" t="s">
        <v>1238</v>
      </c>
    </row>
    <row r="1212" spans="1:3">
      <c r="A1212" s="1" t="s">
        <v>2042</v>
      </c>
      <c r="B1212" s="1" t="s">
        <v>2378</v>
      </c>
      <c r="C1212" s="7" t="s">
        <v>286</v>
      </c>
    </row>
    <row r="1213" spans="1:3">
      <c r="A1213" s="1" t="s">
        <v>2042</v>
      </c>
      <c r="B1213" s="1" t="s">
        <v>2379</v>
      </c>
      <c r="C1213" s="7" t="s">
        <v>1238</v>
      </c>
    </row>
    <row r="1214" spans="1:3">
      <c r="A1214" s="1" t="s">
        <v>2042</v>
      </c>
      <c r="B1214" s="1" t="s">
        <v>2380</v>
      </c>
      <c r="C1214" s="7" t="s">
        <v>2381</v>
      </c>
    </row>
    <row r="1215" spans="1:3">
      <c r="A1215" s="1" t="s">
        <v>2042</v>
      </c>
      <c r="B1215" s="1" t="s">
        <v>2382</v>
      </c>
      <c r="C1215" s="7" t="s">
        <v>2383</v>
      </c>
    </row>
    <row r="1216" spans="1:3">
      <c r="A1216" s="1" t="s">
        <v>2042</v>
      </c>
      <c r="B1216" s="1" t="s">
        <v>2384</v>
      </c>
      <c r="C1216" s="7" t="s">
        <v>286</v>
      </c>
    </row>
    <row r="1217" spans="1:3">
      <c r="A1217" s="1" t="s">
        <v>2042</v>
      </c>
      <c r="B1217" s="1" t="s">
        <v>2385</v>
      </c>
      <c r="C1217" s="7" t="s">
        <v>1238</v>
      </c>
    </row>
    <row r="1218" spans="1:3">
      <c r="A1218" s="1" t="s">
        <v>2042</v>
      </c>
      <c r="B1218" s="1" t="s">
        <v>2386</v>
      </c>
      <c r="C1218" s="7" t="s">
        <v>2387</v>
      </c>
    </row>
    <row r="1219" spans="1:3">
      <c r="A1219" s="1" t="s">
        <v>2042</v>
      </c>
      <c r="B1219" s="1" t="s">
        <v>2388</v>
      </c>
      <c r="C1219" s="7" t="s">
        <v>286</v>
      </c>
    </row>
    <row r="1220" spans="1:3">
      <c r="A1220" s="1" t="s">
        <v>2042</v>
      </c>
      <c r="B1220" s="1" t="s">
        <v>2389</v>
      </c>
      <c r="C1220" s="7" t="s">
        <v>1238</v>
      </c>
    </row>
    <row r="1221" spans="1:3">
      <c r="A1221" s="1" t="s">
        <v>2042</v>
      </c>
      <c r="B1221" s="1" t="s">
        <v>2390</v>
      </c>
      <c r="C1221" s="7" t="s">
        <v>2391</v>
      </c>
    </row>
    <row r="1222" spans="1:3">
      <c r="A1222" s="1" t="s">
        <v>2042</v>
      </c>
      <c r="B1222" s="1" t="s">
        <v>2392</v>
      </c>
      <c r="C1222" s="7" t="s">
        <v>286</v>
      </c>
    </row>
    <row r="1223" spans="1:3">
      <c r="A1223" s="1" t="s">
        <v>2042</v>
      </c>
      <c r="B1223" s="1" t="s">
        <v>2393</v>
      </c>
      <c r="C1223" s="7" t="s">
        <v>1238</v>
      </c>
    </row>
    <row r="1224" spans="1:3">
      <c r="A1224" s="1" t="s">
        <v>2042</v>
      </c>
      <c r="B1224" s="1" t="s">
        <v>2394</v>
      </c>
      <c r="C1224" s="7" t="s">
        <v>188</v>
      </c>
    </row>
    <row r="1225" spans="1:3">
      <c r="A1225" s="1" t="s">
        <v>2042</v>
      </c>
      <c r="B1225" s="1" t="s">
        <v>2395</v>
      </c>
      <c r="C1225" s="7" t="s">
        <v>286</v>
      </c>
    </row>
    <row r="1226" spans="1:3">
      <c r="A1226" s="1" t="s">
        <v>2042</v>
      </c>
      <c r="B1226" s="1" t="s">
        <v>2396</v>
      </c>
      <c r="C1226" s="7" t="s">
        <v>1238</v>
      </c>
    </row>
    <row r="1227" spans="1:3">
      <c r="A1227" s="1" t="s">
        <v>2042</v>
      </c>
      <c r="B1227" s="1" t="s">
        <v>2397</v>
      </c>
      <c r="C1227" s="7" t="s">
        <v>2398</v>
      </c>
    </row>
    <row r="1228" spans="1:3">
      <c r="A1228" s="1" t="s">
        <v>2042</v>
      </c>
      <c r="B1228" s="1" t="s">
        <v>2399</v>
      </c>
      <c r="C1228" s="7" t="s">
        <v>286</v>
      </c>
    </row>
    <row r="1229" spans="1:3">
      <c r="A1229" s="1" t="s">
        <v>2042</v>
      </c>
      <c r="B1229" s="1" t="s">
        <v>2400</v>
      </c>
      <c r="C1229" s="7" t="s">
        <v>1238</v>
      </c>
    </row>
    <row r="1230" spans="1:3">
      <c r="A1230" s="1" t="s">
        <v>2042</v>
      </c>
      <c r="B1230" s="1" t="s">
        <v>2401</v>
      </c>
      <c r="C1230" s="7" t="s">
        <v>2402</v>
      </c>
    </row>
    <row r="1231" spans="1:3">
      <c r="A1231" s="1" t="s">
        <v>2042</v>
      </c>
      <c r="B1231" s="1" t="s">
        <v>2403</v>
      </c>
      <c r="C1231" s="7" t="s">
        <v>286</v>
      </c>
    </row>
    <row r="1232" spans="1:3">
      <c r="A1232" s="1" t="s">
        <v>2042</v>
      </c>
      <c r="B1232" s="1" t="s">
        <v>2404</v>
      </c>
      <c r="C1232" s="7" t="s">
        <v>1238</v>
      </c>
    </row>
    <row r="1233" spans="1:3">
      <c r="A1233" s="1" t="s">
        <v>2042</v>
      </c>
      <c r="B1233" s="1" t="s">
        <v>2405</v>
      </c>
      <c r="C1233" s="7" t="s">
        <v>2406</v>
      </c>
    </row>
    <row r="1234" spans="1:3">
      <c r="A1234" s="1" t="s">
        <v>2042</v>
      </c>
      <c r="B1234" s="1" t="s">
        <v>2407</v>
      </c>
      <c r="C1234" s="7" t="s">
        <v>286</v>
      </c>
    </row>
    <row r="1235" spans="1:3">
      <c r="A1235" s="1" t="s">
        <v>2042</v>
      </c>
      <c r="B1235" s="1" t="s">
        <v>2408</v>
      </c>
      <c r="C1235" s="7" t="s">
        <v>1238</v>
      </c>
    </row>
    <row r="1236" spans="1:3">
      <c r="A1236" s="1" t="s">
        <v>2042</v>
      </c>
      <c r="B1236" s="1" t="s">
        <v>2409</v>
      </c>
      <c r="C1236" s="7" t="s">
        <v>2410</v>
      </c>
    </row>
    <row r="1237" spans="1:3">
      <c r="A1237" s="1" t="s">
        <v>2042</v>
      </c>
      <c r="B1237" s="1" t="s">
        <v>2411</v>
      </c>
      <c r="C1237" s="7" t="s">
        <v>286</v>
      </c>
    </row>
    <row r="1238" spans="1:3">
      <c r="A1238" s="1" t="s">
        <v>2042</v>
      </c>
      <c r="B1238" s="1" t="s">
        <v>2412</v>
      </c>
      <c r="C1238" s="7" t="s">
        <v>1238</v>
      </c>
    </row>
    <row r="1239" spans="1:3">
      <c r="A1239" s="1" t="s">
        <v>2042</v>
      </c>
      <c r="B1239" s="1" t="s">
        <v>2413</v>
      </c>
      <c r="C1239" s="7" t="s">
        <v>2414</v>
      </c>
    </row>
    <row r="1240" spans="1:3">
      <c r="A1240" s="1" t="s">
        <v>2042</v>
      </c>
      <c r="B1240" s="1" t="s">
        <v>2415</v>
      </c>
      <c r="C1240" s="7" t="s">
        <v>286</v>
      </c>
    </row>
    <row r="1241" spans="1:3">
      <c r="A1241" s="1" t="s">
        <v>2042</v>
      </c>
      <c r="B1241" s="1" t="s">
        <v>2416</v>
      </c>
      <c r="C1241" s="7" t="s">
        <v>1238</v>
      </c>
    </row>
    <row r="1242" spans="1:3">
      <c r="A1242" s="1" t="s">
        <v>2042</v>
      </c>
      <c r="B1242" s="1" t="s">
        <v>2417</v>
      </c>
      <c r="C1242" s="7" t="s">
        <v>2418</v>
      </c>
    </row>
    <row r="1243" spans="1:3">
      <c r="A1243" s="1" t="s">
        <v>2042</v>
      </c>
      <c r="B1243" s="1" t="s">
        <v>2419</v>
      </c>
      <c r="C1243" s="7" t="s">
        <v>286</v>
      </c>
    </row>
    <row r="1244" spans="1:3">
      <c r="A1244" s="1" t="s">
        <v>2042</v>
      </c>
      <c r="B1244" s="1" t="s">
        <v>2420</v>
      </c>
      <c r="C1244" s="7" t="s">
        <v>1238</v>
      </c>
    </row>
    <row r="1245" spans="1:3">
      <c r="A1245" s="1" t="s">
        <v>2042</v>
      </c>
      <c r="B1245" s="1" t="s">
        <v>2421</v>
      </c>
      <c r="C1245" s="7" t="s">
        <v>2422</v>
      </c>
    </row>
    <row r="1246" spans="1:3">
      <c r="A1246" s="1" t="s">
        <v>2042</v>
      </c>
      <c r="B1246" s="1" t="s">
        <v>2423</v>
      </c>
      <c r="C1246" s="7" t="s">
        <v>286</v>
      </c>
    </row>
    <row r="1247" spans="1:3">
      <c r="A1247" s="1" t="s">
        <v>2042</v>
      </c>
      <c r="B1247" s="1" t="s">
        <v>2424</v>
      </c>
      <c r="C1247" s="7" t="s">
        <v>1238</v>
      </c>
    </row>
    <row r="1248" spans="1:3">
      <c r="A1248" s="1" t="s">
        <v>2042</v>
      </c>
      <c r="B1248" s="1" t="s">
        <v>2425</v>
      </c>
      <c r="C1248" s="7" t="s">
        <v>2426</v>
      </c>
    </row>
    <row r="1249" spans="1:3">
      <c r="A1249" s="1" t="s">
        <v>2042</v>
      </c>
      <c r="B1249" s="1" t="s">
        <v>2427</v>
      </c>
      <c r="C1249" s="7" t="s">
        <v>286</v>
      </c>
    </row>
    <row r="1250" spans="1:3">
      <c r="A1250" s="1" t="s">
        <v>2042</v>
      </c>
      <c r="B1250" s="1" t="s">
        <v>2428</v>
      </c>
      <c r="C1250" s="7" t="s">
        <v>1238</v>
      </c>
    </row>
    <row r="1251" spans="1:3">
      <c r="A1251" s="1" t="s">
        <v>2042</v>
      </c>
      <c r="B1251" s="1" t="s">
        <v>2429</v>
      </c>
      <c r="C1251" s="7" t="s">
        <v>2430</v>
      </c>
    </row>
    <row r="1252" spans="1:3">
      <c r="A1252" s="1" t="s">
        <v>2042</v>
      </c>
      <c r="B1252" s="1" t="s">
        <v>2431</v>
      </c>
      <c r="C1252" s="7" t="s">
        <v>286</v>
      </c>
    </row>
    <row r="1253" spans="1:3">
      <c r="A1253" s="1" t="s">
        <v>2042</v>
      </c>
      <c r="B1253" s="1" t="s">
        <v>2432</v>
      </c>
      <c r="C1253" s="7" t="s">
        <v>1238</v>
      </c>
    </row>
    <row r="1254" spans="1:3">
      <c r="A1254" s="1" t="s">
        <v>2042</v>
      </c>
      <c r="B1254" s="1" t="s">
        <v>2433</v>
      </c>
      <c r="C1254" s="7" t="s">
        <v>2434</v>
      </c>
    </row>
    <row r="1255" spans="1:3">
      <c r="A1255" s="1" t="s">
        <v>2042</v>
      </c>
      <c r="B1255" s="1" t="s">
        <v>2435</v>
      </c>
      <c r="C1255" s="7" t="s">
        <v>286</v>
      </c>
    </row>
    <row r="1256" spans="1:3">
      <c r="A1256" s="1" t="s">
        <v>2042</v>
      </c>
      <c r="B1256" s="1" t="s">
        <v>2436</v>
      </c>
      <c r="C1256" s="7" t="s">
        <v>1238</v>
      </c>
    </row>
    <row r="1257" spans="1:3">
      <c r="A1257" s="1" t="s">
        <v>2042</v>
      </c>
      <c r="B1257" s="1" t="s">
        <v>2437</v>
      </c>
      <c r="C1257" s="7" t="s">
        <v>1779</v>
      </c>
    </row>
    <row r="1258" spans="1:3">
      <c r="A1258" s="1" t="s">
        <v>2042</v>
      </c>
      <c r="B1258" s="1" t="s">
        <v>2438</v>
      </c>
      <c r="C1258" s="7" t="s">
        <v>286</v>
      </c>
    </row>
    <row r="1259" spans="1:3">
      <c r="A1259" s="1" t="s">
        <v>2042</v>
      </c>
      <c r="B1259" s="1" t="s">
        <v>2439</v>
      </c>
      <c r="C1259" s="7" t="s">
        <v>1238</v>
      </c>
    </row>
    <row r="1260" spans="1:3">
      <c r="A1260" s="1" t="s">
        <v>2042</v>
      </c>
      <c r="B1260" s="1" t="s">
        <v>2440</v>
      </c>
      <c r="C1260" s="7" t="s">
        <v>2441</v>
      </c>
    </row>
    <row r="1261" spans="1:3">
      <c r="A1261" s="1" t="s">
        <v>2042</v>
      </c>
      <c r="B1261" s="1" t="s">
        <v>2442</v>
      </c>
      <c r="C1261" s="7" t="s">
        <v>286</v>
      </c>
    </row>
    <row r="1262" spans="1:3">
      <c r="A1262" s="1" t="s">
        <v>2042</v>
      </c>
      <c r="B1262" s="1" t="s">
        <v>2443</v>
      </c>
      <c r="C1262" s="7" t="s">
        <v>1238</v>
      </c>
    </row>
    <row r="1263" spans="1:3">
      <c r="A1263" s="1" t="s">
        <v>2042</v>
      </c>
      <c r="B1263" s="1" t="s">
        <v>2444</v>
      </c>
      <c r="C1263" s="7" t="s">
        <v>1787</v>
      </c>
    </row>
    <row r="1264" spans="1:3">
      <c r="A1264" s="1" t="s">
        <v>2042</v>
      </c>
      <c r="B1264" s="1" t="s">
        <v>2445</v>
      </c>
      <c r="C1264" s="7" t="s">
        <v>286</v>
      </c>
    </row>
    <row r="1265" spans="1:3">
      <c r="A1265" s="1" t="s">
        <v>2042</v>
      </c>
      <c r="B1265" s="1" t="s">
        <v>2446</v>
      </c>
      <c r="C1265" s="7" t="s">
        <v>1238</v>
      </c>
    </row>
    <row r="1266" spans="1:3">
      <c r="A1266" s="1" t="s">
        <v>2042</v>
      </c>
      <c r="B1266" s="1" t="s">
        <v>2447</v>
      </c>
      <c r="C1266" s="7" t="s">
        <v>2064</v>
      </c>
    </row>
    <row r="1267" spans="1:3">
      <c r="A1267" s="1" t="s">
        <v>2042</v>
      </c>
      <c r="B1267" s="1" t="s">
        <v>2448</v>
      </c>
      <c r="C1267" s="7" t="s">
        <v>286</v>
      </c>
    </row>
    <row r="1268" spans="1:3">
      <c r="A1268" s="1" t="s">
        <v>2042</v>
      </c>
      <c r="B1268" s="1" t="s">
        <v>2449</v>
      </c>
      <c r="C1268" s="7" t="s">
        <v>1238</v>
      </c>
    </row>
    <row r="1269" spans="1:3">
      <c r="A1269" s="1" t="s">
        <v>2042</v>
      </c>
      <c r="B1269" s="1" t="s">
        <v>2450</v>
      </c>
      <c r="C1269" s="7" t="s">
        <v>2065</v>
      </c>
    </row>
    <row r="1270" spans="1:3">
      <c r="A1270" s="1" t="s">
        <v>2042</v>
      </c>
      <c r="B1270" s="1" t="s">
        <v>2451</v>
      </c>
      <c r="C1270" s="7" t="s">
        <v>286</v>
      </c>
    </row>
    <row r="1271" spans="1:3">
      <c r="A1271" s="1" t="s">
        <v>2042</v>
      </c>
      <c r="B1271" s="1" t="s">
        <v>2452</v>
      </c>
      <c r="C1271" s="7" t="s">
        <v>1238</v>
      </c>
    </row>
    <row r="1272" spans="1:3">
      <c r="A1272" s="1" t="s">
        <v>2042</v>
      </c>
      <c r="B1272" s="1" t="s">
        <v>2453</v>
      </c>
      <c r="C1272" s="7" t="s">
        <v>2454</v>
      </c>
    </row>
    <row r="1273" spans="1:3">
      <c r="A1273" s="1" t="s">
        <v>2042</v>
      </c>
      <c r="B1273" s="1" t="s">
        <v>2455</v>
      </c>
      <c r="C1273" s="7" t="s">
        <v>286</v>
      </c>
    </row>
    <row r="1274" spans="1:3">
      <c r="A1274" s="1" t="s">
        <v>2042</v>
      </c>
      <c r="B1274" s="1" t="s">
        <v>2456</v>
      </c>
      <c r="C1274" s="7" t="s">
        <v>1238</v>
      </c>
    </row>
    <row r="1275" spans="1:3">
      <c r="A1275" s="1" t="s">
        <v>2042</v>
      </c>
      <c r="B1275" s="1" t="s">
        <v>2457</v>
      </c>
      <c r="C1275" s="7" t="s">
        <v>2458</v>
      </c>
    </row>
    <row r="1276" spans="1:3">
      <c r="A1276" s="1" t="s">
        <v>2042</v>
      </c>
      <c r="B1276" s="1" t="s">
        <v>2459</v>
      </c>
      <c r="C1276" s="7" t="s">
        <v>286</v>
      </c>
    </row>
    <row r="1277" spans="1:3">
      <c r="A1277" s="1" t="s">
        <v>2042</v>
      </c>
      <c r="B1277" s="1" t="s">
        <v>2460</v>
      </c>
      <c r="C1277" s="7" t="s">
        <v>1238</v>
      </c>
    </row>
    <row r="1278" spans="1:3">
      <c r="A1278" s="1" t="s">
        <v>2042</v>
      </c>
      <c r="B1278" s="1" t="s">
        <v>2461</v>
      </c>
      <c r="C1278" s="7" t="s">
        <v>436</v>
      </c>
    </row>
    <row r="1279" spans="1:3">
      <c r="A1279" s="1" t="s">
        <v>2042</v>
      </c>
      <c r="B1279" s="1" t="s">
        <v>2462</v>
      </c>
      <c r="C1279" s="7" t="s">
        <v>286</v>
      </c>
    </row>
    <row r="1280" spans="1:3">
      <c r="A1280" s="1" t="s">
        <v>2042</v>
      </c>
      <c r="B1280" s="1" t="s">
        <v>2463</v>
      </c>
      <c r="C1280" s="7" t="s">
        <v>1238</v>
      </c>
    </row>
    <row r="1281" spans="1:3">
      <c r="A1281" s="1" t="s">
        <v>2042</v>
      </c>
      <c r="B1281" s="1" t="s">
        <v>2464</v>
      </c>
      <c r="C1281" s="7" t="s">
        <v>272</v>
      </c>
    </row>
    <row r="1282" spans="1:3">
      <c r="A1282" s="1" t="s">
        <v>2042</v>
      </c>
      <c r="B1282" s="1" t="s">
        <v>2465</v>
      </c>
      <c r="C1282" s="7" t="s">
        <v>286</v>
      </c>
    </row>
    <row r="1283" spans="1:3">
      <c r="A1283" s="1" t="s">
        <v>2042</v>
      </c>
      <c r="B1283" s="1" t="s">
        <v>2466</v>
      </c>
      <c r="C1283" s="7" t="s">
        <v>1238</v>
      </c>
    </row>
    <row r="1284" spans="1:3">
      <c r="A1284" s="1" t="s">
        <v>2042</v>
      </c>
      <c r="B1284" s="1" t="s">
        <v>2467</v>
      </c>
      <c r="C1284" s="7" t="s">
        <v>2468</v>
      </c>
    </row>
    <row r="1285" spans="1:3">
      <c r="A1285" s="1" t="s">
        <v>2042</v>
      </c>
      <c r="B1285" s="1" t="s">
        <v>2469</v>
      </c>
      <c r="C1285" s="7" t="s">
        <v>286</v>
      </c>
    </row>
    <row r="1286" spans="1:3">
      <c r="A1286" s="1" t="s">
        <v>2042</v>
      </c>
      <c r="B1286" s="1" t="s">
        <v>2470</v>
      </c>
      <c r="C1286" s="7" t="s">
        <v>1238</v>
      </c>
    </row>
    <row r="1287" spans="1:3">
      <c r="A1287" s="1" t="s">
        <v>2042</v>
      </c>
      <c r="B1287" s="1" t="s">
        <v>2471</v>
      </c>
      <c r="C1287" s="7" t="s">
        <v>2472</v>
      </c>
    </row>
    <row r="1288" spans="1:3">
      <c r="A1288" s="1" t="s">
        <v>2042</v>
      </c>
      <c r="B1288" s="1" t="s">
        <v>2473</v>
      </c>
      <c r="C1288" s="7" t="s">
        <v>286</v>
      </c>
    </row>
    <row r="1289" spans="1:3">
      <c r="A1289" s="1" t="s">
        <v>2042</v>
      </c>
      <c r="B1289" s="1" t="s">
        <v>2474</v>
      </c>
      <c r="C1289" s="7" t="s">
        <v>1238</v>
      </c>
    </row>
    <row r="1290" spans="1:3">
      <c r="A1290" s="1" t="s">
        <v>2042</v>
      </c>
      <c r="B1290" s="1" t="s">
        <v>2475</v>
      </c>
      <c r="C1290" s="7" t="s">
        <v>2476</v>
      </c>
    </row>
    <row r="1291" spans="1:3">
      <c r="A1291" s="1" t="s">
        <v>2042</v>
      </c>
      <c r="B1291" s="1" t="s">
        <v>2477</v>
      </c>
      <c r="C1291" s="7" t="s">
        <v>286</v>
      </c>
    </row>
    <row r="1292" spans="1:3">
      <c r="A1292" s="1" t="s">
        <v>2042</v>
      </c>
      <c r="B1292" s="1" t="s">
        <v>2478</v>
      </c>
      <c r="C1292" s="7" t="s">
        <v>1238</v>
      </c>
    </row>
    <row r="1293" spans="1:3">
      <c r="A1293" s="1" t="s">
        <v>2042</v>
      </c>
      <c r="B1293" s="1" t="s">
        <v>2479</v>
      </c>
      <c r="C1293" s="7" t="s">
        <v>436</v>
      </c>
    </row>
    <row r="1294" spans="1:3">
      <c r="A1294" s="1" t="s">
        <v>2042</v>
      </c>
      <c r="B1294" s="1" t="s">
        <v>2480</v>
      </c>
      <c r="C1294" s="7" t="s">
        <v>286</v>
      </c>
    </row>
    <row r="1295" spans="1:3">
      <c r="A1295" s="1" t="s">
        <v>2042</v>
      </c>
      <c r="B1295" s="1" t="s">
        <v>2481</v>
      </c>
      <c r="C1295" s="7" t="s">
        <v>1238</v>
      </c>
    </row>
    <row r="1296" spans="1:3">
      <c r="A1296" s="1" t="s">
        <v>2042</v>
      </c>
      <c r="B1296" s="1" t="s">
        <v>2482</v>
      </c>
      <c r="C1296" s="7" t="s">
        <v>272</v>
      </c>
    </row>
    <row r="1297" spans="1:3">
      <c r="A1297" s="1" t="s">
        <v>2042</v>
      </c>
      <c r="B1297" s="1" t="s">
        <v>1612</v>
      </c>
      <c r="C1297" s="7" t="s">
        <v>286</v>
      </c>
    </row>
    <row r="1298" spans="1:3">
      <c r="A1298" s="1" t="s">
        <v>2042</v>
      </c>
      <c r="B1298" s="1" t="s">
        <v>2483</v>
      </c>
      <c r="C1298" s="7" t="s">
        <v>1238</v>
      </c>
    </row>
    <row r="1299" spans="1:3">
      <c r="A1299" s="1" t="s">
        <v>2042</v>
      </c>
      <c r="B1299" s="1" t="s">
        <v>2484</v>
      </c>
      <c r="C1299" s="7" t="s">
        <v>2485</v>
      </c>
    </row>
    <row r="1300" spans="1:3">
      <c r="A1300" s="1" t="s">
        <v>2042</v>
      </c>
      <c r="B1300" s="1" t="s">
        <v>1614</v>
      </c>
      <c r="C1300" s="7" t="s">
        <v>286</v>
      </c>
    </row>
    <row r="1301" spans="1:3">
      <c r="A1301" s="1" t="s">
        <v>2042</v>
      </c>
      <c r="B1301" s="1" t="s">
        <v>2486</v>
      </c>
      <c r="C1301" s="7" t="s">
        <v>1238</v>
      </c>
    </row>
    <row r="1302" spans="1:3">
      <c r="A1302" s="1" t="s">
        <v>2042</v>
      </c>
      <c r="B1302" s="1" t="s">
        <v>2487</v>
      </c>
      <c r="C1302" s="7" t="s">
        <v>2488</v>
      </c>
    </row>
    <row r="1303" spans="1:3">
      <c r="A1303" s="1" t="s">
        <v>2042</v>
      </c>
      <c r="B1303" s="1" t="s">
        <v>1616</v>
      </c>
      <c r="C1303" s="7" t="s">
        <v>286</v>
      </c>
    </row>
    <row r="1304" spans="1:3">
      <c r="A1304" s="1" t="s">
        <v>2042</v>
      </c>
      <c r="B1304" s="1" t="s">
        <v>2489</v>
      </c>
      <c r="C1304" s="7" t="s">
        <v>1238</v>
      </c>
    </row>
    <row r="1305" spans="1:3">
      <c r="A1305" s="1" t="s">
        <v>2042</v>
      </c>
      <c r="B1305" s="1" t="s">
        <v>2490</v>
      </c>
      <c r="C1305" s="7" t="s">
        <v>2491</v>
      </c>
    </row>
    <row r="1306" spans="1:3">
      <c r="A1306" s="1" t="s">
        <v>2042</v>
      </c>
      <c r="B1306" s="1" t="s">
        <v>1618</v>
      </c>
      <c r="C1306" s="7" t="s">
        <v>286</v>
      </c>
    </row>
    <row r="1307" spans="1:3">
      <c r="A1307" s="1" t="s">
        <v>2042</v>
      </c>
      <c r="B1307" s="1" t="s">
        <v>2492</v>
      </c>
      <c r="C1307" s="7" t="s">
        <v>1238</v>
      </c>
    </row>
    <row r="1308" spans="1:3">
      <c r="A1308" s="1" t="s">
        <v>2042</v>
      </c>
      <c r="B1308" s="1" t="s">
        <v>2493</v>
      </c>
      <c r="C1308" s="7" t="s">
        <v>1307</v>
      </c>
    </row>
    <row r="1309" spans="1:3">
      <c r="A1309" s="1" t="s">
        <v>2042</v>
      </c>
      <c r="B1309" s="1" t="s">
        <v>1620</v>
      </c>
      <c r="C1309" s="7" t="s">
        <v>286</v>
      </c>
    </row>
    <row r="1310" spans="1:3">
      <c r="A1310" s="1" t="s">
        <v>2042</v>
      </c>
      <c r="B1310" s="1" t="s">
        <v>2494</v>
      </c>
      <c r="C1310" s="7" t="s">
        <v>2079</v>
      </c>
    </row>
    <row r="1311" spans="1:3">
      <c r="A1311" s="1" t="s">
        <v>2042</v>
      </c>
      <c r="B1311" s="1" t="s">
        <v>2495</v>
      </c>
      <c r="C1311" s="7" t="s">
        <v>2496</v>
      </c>
    </row>
    <row r="1312" spans="1:3">
      <c r="A1312" s="1" t="s">
        <v>2042</v>
      </c>
      <c r="B1312" s="1" t="s">
        <v>1622</v>
      </c>
      <c r="C1312" s="7" t="s">
        <v>286</v>
      </c>
    </row>
    <row r="1313" spans="1:3">
      <c r="A1313" s="1" t="s">
        <v>2042</v>
      </c>
      <c r="B1313" s="1" t="s">
        <v>2497</v>
      </c>
      <c r="C1313" s="7" t="s">
        <v>2079</v>
      </c>
    </row>
    <row r="1314" spans="1:3">
      <c r="A1314" s="1" t="s">
        <v>2042</v>
      </c>
      <c r="B1314" s="1" t="s">
        <v>2498</v>
      </c>
      <c r="C1314" s="7" t="s">
        <v>2381</v>
      </c>
    </row>
    <row r="1315" spans="1:3">
      <c r="A1315" s="1" t="s">
        <v>2042</v>
      </c>
      <c r="B1315" s="1" t="s">
        <v>2499</v>
      </c>
      <c r="C1315" s="7" t="s">
        <v>2500</v>
      </c>
    </row>
    <row r="1316" spans="1:3" ht="39" customHeight="1">
      <c r="A1316" s="1" t="s">
        <v>2042</v>
      </c>
      <c r="B1316" s="1" t="s">
        <v>2501</v>
      </c>
      <c r="C1316" s="7" t="s">
        <v>2502</v>
      </c>
    </row>
    <row r="1317" spans="1:3">
      <c r="A1317" s="1" t="s">
        <v>2042</v>
      </c>
      <c r="B1317" s="1" t="s">
        <v>1624</v>
      </c>
      <c r="C1317" s="7" t="s">
        <v>286</v>
      </c>
    </row>
    <row r="1318" spans="1:3">
      <c r="A1318" s="1" t="s">
        <v>2042</v>
      </c>
      <c r="B1318" s="1" t="s">
        <v>2503</v>
      </c>
      <c r="C1318" s="7" t="s">
        <v>2079</v>
      </c>
    </row>
    <row r="1319" spans="1:3">
      <c r="A1319" s="1" t="s">
        <v>2042</v>
      </c>
      <c r="B1319" s="1" t="s">
        <v>2504</v>
      </c>
      <c r="C1319" s="7" t="s">
        <v>2505</v>
      </c>
    </row>
    <row r="1320" spans="1:3">
      <c r="A1320" s="1" t="s">
        <v>2042</v>
      </c>
      <c r="B1320" s="1" t="s">
        <v>1626</v>
      </c>
      <c r="C1320" s="7" t="s">
        <v>286</v>
      </c>
    </row>
    <row r="1321" spans="1:3">
      <c r="A1321" s="1" t="s">
        <v>2042</v>
      </c>
      <c r="B1321" s="1" t="s">
        <v>2506</v>
      </c>
      <c r="C1321" s="7" t="s">
        <v>2079</v>
      </c>
    </row>
    <row r="1322" spans="1:3">
      <c r="A1322" s="1" t="s">
        <v>2042</v>
      </c>
      <c r="B1322" s="1" t="s">
        <v>2507</v>
      </c>
      <c r="C1322" s="7" t="s">
        <v>2488</v>
      </c>
    </row>
    <row r="1323" spans="1:3">
      <c r="A1323" s="1" t="s">
        <v>2042</v>
      </c>
      <c r="B1323" s="1" t="s">
        <v>1628</v>
      </c>
      <c r="C1323" s="7" t="s">
        <v>286</v>
      </c>
    </row>
    <row r="1324" spans="1:3">
      <c r="A1324" s="1" t="s">
        <v>2042</v>
      </c>
      <c r="B1324" s="1" t="s">
        <v>2508</v>
      </c>
      <c r="C1324" s="7" t="s">
        <v>2079</v>
      </c>
    </row>
    <row r="1325" spans="1:3">
      <c r="A1325" s="1" t="s">
        <v>2042</v>
      </c>
      <c r="B1325" s="1" t="s">
        <v>2509</v>
      </c>
      <c r="C1325" s="7" t="s">
        <v>2491</v>
      </c>
    </row>
    <row r="1326" spans="1:3">
      <c r="A1326" s="1" t="s">
        <v>2042</v>
      </c>
      <c r="B1326" s="1" t="s">
        <v>1630</v>
      </c>
      <c r="C1326" s="7" t="s">
        <v>286</v>
      </c>
    </row>
    <row r="1327" spans="1:3">
      <c r="A1327" s="1" t="s">
        <v>2042</v>
      </c>
      <c r="B1327" s="1" t="s">
        <v>2510</v>
      </c>
      <c r="C1327" s="7" t="s">
        <v>2079</v>
      </c>
    </row>
    <row r="1328" spans="1:3">
      <c r="A1328" s="1" t="s">
        <v>2042</v>
      </c>
      <c r="B1328" s="1" t="s">
        <v>2511</v>
      </c>
      <c r="C1328" s="7" t="s">
        <v>2512</v>
      </c>
    </row>
    <row r="1329" spans="1:3">
      <c r="A1329" s="1" t="s">
        <v>2042</v>
      </c>
      <c r="B1329" s="1" t="s">
        <v>1632</v>
      </c>
      <c r="C1329" s="7" t="s">
        <v>286</v>
      </c>
    </row>
    <row r="1330" spans="1:3">
      <c r="A1330" s="1" t="s">
        <v>2042</v>
      </c>
      <c r="B1330" s="1" t="s">
        <v>2513</v>
      </c>
      <c r="C1330" s="7" t="s">
        <v>2079</v>
      </c>
    </row>
    <row r="1331" spans="1:3">
      <c r="A1331" s="1" t="s">
        <v>2042</v>
      </c>
      <c r="B1331" s="1" t="s">
        <v>2514</v>
      </c>
      <c r="C1331" s="7" t="s">
        <v>2515</v>
      </c>
    </row>
    <row r="1332" spans="1:3">
      <c r="A1332" s="1" t="s">
        <v>2042</v>
      </c>
      <c r="B1332" s="1" t="s">
        <v>1634</v>
      </c>
      <c r="C1332" s="7" t="s">
        <v>286</v>
      </c>
    </row>
    <row r="1333" spans="1:3">
      <c r="A1333" s="1" t="s">
        <v>2042</v>
      </c>
      <c r="B1333" s="1" t="s">
        <v>2516</v>
      </c>
      <c r="C1333" s="7" t="s">
        <v>2079</v>
      </c>
    </row>
    <row r="1334" spans="1:3">
      <c r="A1334" s="1" t="s">
        <v>2042</v>
      </c>
      <c r="B1334" s="1" t="s">
        <v>2517</v>
      </c>
      <c r="C1334" s="7" t="s">
        <v>2426</v>
      </c>
    </row>
    <row r="1335" spans="1:3">
      <c r="A1335" s="1" t="s">
        <v>2042</v>
      </c>
      <c r="B1335" s="1" t="s">
        <v>1636</v>
      </c>
      <c r="C1335" s="7" t="s">
        <v>286</v>
      </c>
    </row>
    <row r="1336" spans="1:3">
      <c r="A1336" s="1" t="s">
        <v>2042</v>
      </c>
      <c r="B1336" s="1" t="s">
        <v>2518</v>
      </c>
      <c r="C1336" s="7" t="s">
        <v>2079</v>
      </c>
    </row>
    <row r="1337" spans="1:3">
      <c r="A1337" s="1" t="s">
        <v>2042</v>
      </c>
      <c r="B1337" s="1" t="s">
        <v>2519</v>
      </c>
      <c r="C1337" s="7" t="s">
        <v>2430</v>
      </c>
    </row>
    <row r="1338" spans="1:3">
      <c r="A1338" s="1" t="s">
        <v>2042</v>
      </c>
      <c r="B1338" s="1" t="s">
        <v>1638</v>
      </c>
      <c r="C1338" s="7" t="s">
        <v>286</v>
      </c>
    </row>
    <row r="1339" spans="1:3">
      <c r="A1339" s="1" t="s">
        <v>2042</v>
      </c>
      <c r="B1339" s="1" t="s">
        <v>2520</v>
      </c>
      <c r="C1339" s="7" t="s">
        <v>2079</v>
      </c>
    </row>
    <row r="1340" spans="1:3">
      <c r="A1340" s="1" t="s">
        <v>2042</v>
      </c>
      <c r="B1340" s="1" t="s">
        <v>2521</v>
      </c>
      <c r="C1340" s="7" t="s">
        <v>2522</v>
      </c>
    </row>
    <row r="1341" spans="1:3">
      <c r="A1341" s="1" t="s">
        <v>2042</v>
      </c>
      <c r="B1341" s="1" t="s">
        <v>1640</v>
      </c>
      <c r="C1341" s="7" t="s">
        <v>286</v>
      </c>
    </row>
    <row r="1342" spans="1:3">
      <c r="A1342" s="1" t="s">
        <v>2042</v>
      </c>
      <c r="B1342" s="1" t="s">
        <v>2523</v>
      </c>
      <c r="C1342" s="7" t="s">
        <v>2079</v>
      </c>
    </row>
    <row r="1343" spans="1:3">
      <c r="A1343" s="1" t="s">
        <v>2042</v>
      </c>
      <c r="B1343" s="1" t="s">
        <v>2524</v>
      </c>
      <c r="C1343" s="7" t="s">
        <v>2525</v>
      </c>
    </row>
    <row r="1344" spans="1:3">
      <c r="A1344" s="1" t="s">
        <v>2042</v>
      </c>
      <c r="B1344" s="1" t="s">
        <v>1642</v>
      </c>
      <c r="C1344" s="7" t="s">
        <v>286</v>
      </c>
    </row>
    <row r="1345" spans="1:3">
      <c r="A1345" s="1" t="s">
        <v>2042</v>
      </c>
      <c r="B1345" s="1" t="s">
        <v>2526</v>
      </c>
      <c r="C1345" s="7" t="s">
        <v>2079</v>
      </c>
    </row>
    <row r="1346" spans="1:3">
      <c r="A1346" s="1" t="s">
        <v>2042</v>
      </c>
      <c r="B1346" s="1" t="s">
        <v>2527</v>
      </c>
      <c r="C1346" s="7" t="s">
        <v>1779</v>
      </c>
    </row>
    <row r="1347" spans="1:3">
      <c r="A1347" s="1" t="s">
        <v>2042</v>
      </c>
      <c r="B1347" s="1" t="s">
        <v>1644</v>
      </c>
      <c r="C1347" s="7" t="s">
        <v>286</v>
      </c>
    </row>
    <row r="1348" spans="1:3">
      <c r="A1348" s="1" t="s">
        <v>2042</v>
      </c>
      <c r="B1348" s="1" t="s">
        <v>2528</v>
      </c>
      <c r="C1348" s="7" t="s">
        <v>2079</v>
      </c>
    </row>
    <row r="1349" spans="1:3">
      <c r="A1349" s="1" t="s">
        <v>2042</v>
      </c>
      <c r="B1349" s="1" t="s">
        <v>2529</v>
      </c>
      <c r="C1349" s="7" t="s">
        <v>2441</v>
      </c>
    </row>
    <row r="1350" spans="1:3">
      <c r="A1350" s="1" t="s">
        <v>2042</v>
      </c>
      <c r="B1350" s="1" t="s">
        <v>1646</v>
      </c>
      <c r="C1350" s="7" t="s">
        <v>286</v>
      </c>
    </row>
    <row r="1351" spans="1:3">
      <c r="A1351" s="1" t="s">
        <v>2042</v>
      </c>
      <c r="B1351" s="1" t="s">
        <v>2530</v>
      </c>
      <c r="C1351" s="7" t="s">
        <v>2079</v>
      </c>
    </row>
    <row r="1352" spans="1:3">
      <c r="A1352" s="1" t="s">
        <v>2042</v>
      </c>
      <c r="B1352" s="1" t="s">
        <v>2531</v>
      </c>
      <c r="C1352" s="7" t="s">
        <v>1787</v>
      </c>
    </row>
    <row r="1353" spans="1:3">
      <c r="A1353" s="1" t="s">
        <v>2042</v>
      </c>
      <c r="B1353" s="1" t="s">
        <v>1648</v>
      </c>
      <c r="C1353" s="7" t="s">
        <v>286</v>
      </c>
    </row>
    <row r="1354" spans="1:3">
      <c r="A1354" s="1" t="s">
        <v>2042</v>
      </c>
      <c r="B1354" s="1" t="s">
        <v>2532</v>
      </c>
      <c r="C1354" s="7" t="s">
        <v>2079</v>
      </c>
    </row>
    <row r="1355" spans="1:3">
      <c r="A1355" s="1" t="s">
        <v>2042</v>
      </c>
      <c r="B1355" s="1" t="s">
        <v>2533</v>
      </c>
      <c r="C1355" s="7" t="s">
        <v>2534</v>
      </c>
    </row>
    <row r="1356" spans="1:3">
      <c r="A1356" s="1" t="s">
        <v>2042</v>
      </c>
      <c r="B1356" s="1" t="s">
        <v>1650</v>
      </c>
      <c r="C1356" s="7" t="s">
        <v>286</v>
      </c>
    </row>
    <row r="1357" spans="1:3">
      <c r="A1357" s="1" t="s">
        <v>2042</v>
      </c>
      <c r="B1357" s="1" t="s">
        <v>2535</v>
      </c>
      <c r="C1357" s="7" t="s">
        <v>2079</v>
      </c>
    </row>
    <row r="1358" spans="1:3">
      <c r="A1358" s="1" t="s">
        <v>2042</v>
      </c>
      <c r="B1358" s="1" t="s">
        <v>2536</v>
      </c>
      <c r="C1358" s="7" t="s">
        <v>2065</v>
      </c>
    </row>
    <row r="1359" spans="1:3">
      <c r="A1359" s="1" t="s">
        <v>2042</v>
      </c>
      <c r="B1359" s="1" t="s">
        <v>1652</v>
      </c>
      <c r="C1359" s="7" t="s">
        <v>286</v>
      </c>
    </row>
    <row r="1360" spans="1:3">
      <c r="A1360" s="1" t="s">
        <v>2042</v>
      </c>
      <c r="B1360" s="1" t="s">
        <v>2537</v>
      </c>
      <c r="C1360" s="7" t="s">
        <v>2079</v>
      </c>
    </row>
    <row r="1361" spans="1:3">
      <c r="A1361" s="1" t="s">
        <v>2042</v>
      </c>
      <c r="B1361" s="1" t="s">
        <v>2538</v>
      </c>
      <c r="C1361" s="7" t="s">
        <v>2539</v>
      </c>
    </row>
    <row r="1362" spans="1:3" ht="39" customHeight="1">
      <c r="A1362" s="1" t="s">
        <v>2042</v>
      </c>
      <c r="B1362" s="1" t="s">
        <v>2540</v>
      </c>
      <c r="C1362" s="7" t="s">
        <v>2541</v>
      </c>
    </row>
    <row r="1363" spans="1:3">
      <c r="A1363" s="1" t="s">
        <v>2042</v>
      </c>
      <c r="B1363" s="1" t="s">
        <v>1654</v>
      </c>
      <c r="C1363" s="7" t="s">
        <v>286</v>
      </c>
    </row>
    <row r="1364" spans="1:3">
      <c r="A1364" s="1" t="s">
        <v>2042</v>
      </c>
      <c r="B1364" s="1" t="s">
        <v>2542</v>
      </c>
      <c r="C1364" s="7" t="s">
        <v>2079</v>
      </c>
    </row>
    <row r="1365" spans="1:3">
      <c r="A1365" s="1" t="s">
        <v>2042</v>
      </c>
      <c r="B1365" s="1" t="s">
        <v>2543</v>
      </c>
      <c r="C1365" s="7" t="s">
        <v>2544</v>
      </c>
    </row>
    <row r="1366" spans="1:3">
      <c r="A1366" s="1" t="s">
        <v>2042</v>
      </c>
      <c r="B1366" s="1" t="s">
        <v>1656</v>
      </c>
      <c r="C1366" s="7" t="s">
        <v>286</v>
      </c>
    </row>
    <row r="1367" spans="1:3">
      <c r="A1367" s="1" t="s">
        <v>2042</v>
      </c>
      <c r="B1367" s="1" t="s">
        <v>2545</v>
      </c>
      <c r="C1367" s="7" t="s">
        <v>2079</v>
      </c>
    </row>
    <row r="1368" spans="1:3">
      <c r="A1368" s="1" t="s">
        <v>2042</v>
      </c>
      <c r="B1368" s="1" t="s">
        <v>2546</v>
      </c>
      <c r="C1368" s="7" t="s">
        <v>2547</v>
      </c>
    </row>
    <row r="1369" spans="1:3">
      <c r="A1369" s="1" t="s">
        <v>2042</v>
      </c>
      <c r="B1369" s="1" t="s">
        <v>1658</v>
      </c>
      <c r="C1369" s="7" t="s">
        <v>286</v>
      </c>
    </row>
    <row r="1370" spans="1:3">
      <c r="A1370" s="1" t="s">
        <v>2042</v>
      </c>
      <c r="B1370" s="1" t="s">
        <v>2548</v>
      </c>
      <c r="C1370" s="7" t="s">
        <v>2079</v>
      </c>
    </row>
    <row r="1371" spans="1:3">
      <c r="A1371" s="1" t="s">
        <v>2042</v>
      </c>
      <c r="B1371" s="1" t="s">
        <v>2549</v>
      </c>
      <c r="C1371" s="7" t="s">
        <v>2550</v>
      </c>
    </row>
    <row r="1372" spans="1:3">
      <c r="A1372" s="1" t="s">
        <v>2042</v>
      </c>
      <c r="B1372" s="1" t="s">
        <v>1660</v>
      </c>
      <c r="C1372" s="7" t="s">
        <v>286</v>
      </c>
    </row>
    <row r="1373" spans="1:3">
      <c r="A1373" s="1" t="s">
        <v>2042</v>
      </c>
      <c r="B1373" s="1" t="s">
        <v>2551</v>
      </c>
      <c r="C1373" s="7" t="s">
        <v>2079</v>
      </c>
    </row>
    <row r="1374" spans="1:3">
      <c r="A1374" s="1" t="s">
        <v>2042</v>
      </c>
      <c r="B1374" s="1" t="s">
        <v>2552</v>
      </c>
      <c r="C1374" s="7" t="s">
        <v>2553</v>
      </c>
    </row>
    <row r="1375" spans="1:3">
      <c r="A1375" s="1" t="s">
        <v>2042</v>
      </c>
      <c r="B1375" s="1" t="s">
        <v>1661</v>
      </c>
      <c r="C1375" s="7" t="s">
        <v>286</v>
      </c>
    </row>
    <row r="1376" spans="1:3">
      <c r="A1376" s="1" t="s">
        <v>2042</v>
      </c>
      <c r="B1376" s="1" t="s">
        <v>2554</v>
      </c>
      <c r="C1376" s="7" t="s">
        <v>2079</v>
      </c>
    </row>
    <row r="1377" spans="1:3">
      <c r="A1377" s="1" t="s">
        <v>2042</v>
      </c>
      <c r="B1377" s="1" t="s">
        <v>2555</v>
      </c>
      <c r="C1377" s="7" t="s">
        <v>2556</v>
      </c>
    </row>
    <row r="1378" spans="1:3">
      <c r="A1378" s="1" t="s">
        <v>2042</v>
      </c>
      <c r="B1378" s="1" t="s">
        <v>1663</v>
      </c>
      <c r="C1378" s="7" t="s">
        <v>286</v>
      </c>
    </row>
    <row r="1379" spans="1:3">
      <c r="A1379" s="1" t="s">
        <v>2042</v>
      </c>
      <c r="B1379" s="1" t="s">
        <v>2557</v>
      </c>
      <c r="C1379" s="7" t="s">
        <v>2079</v>
      </c>
    </row>
    <row r="1380" spans="1:3">
      <c r="A1380" s="1" t="s">
        <v>2042</v>
      </c>
      <c r="B1380" s="1" t="s">
        <v>2558</v>
      </c>
      <c r="C1380" s="7" t="s">
        <v>2488</v>
      </c>
    </row>
    <row r="1381" spans="1:3">
      <c r="A1381" s="1" t="s">
        <v>2042</v>
      </c>
      <c r="B1381" s="1" t="s">
        <v>1665</v>
      </c>
      <c r="C1381" s="7" t="s">
        <v>286</v>
      </c>
    </row>
    <row r="1382" spans="1:3">
      <c r="A1382" s="1" t="s">
        <v>2042</v>
      </c>
      <c r="B1382" s="1" t="s">
        <v>2559</v>
      </c>
      <c r="C1382" s="7" t="s">
        <v>2079</v>
      </c>
    </row>
    <row r="1383" spans="1:3">
      <c r="A1383" s="1" t="s">
        <v>2042</v>
      </c>
      <c r="B1383" s="1" t="s">
        <v>2560</v>
      </c>
      <c r="C1383" s="7" t="s">
        <v>2491</v>
      </c>
    </row>
    <row r="1384" spans="1:3">
      <c r="A1384" s="1" t="s">
        <v>2042</v>
      </c>
      <c r="B1384" s="1" t="s">
        <v>1667</v>
      </c>
      <c r="C1384" s="7" t="s">
        <v>286</v>
      </c>
    </row>
    <row r="1385" spans="1:3">
      <c r="A1385" s="1" t="s">
        <v>2042</v>
      </c>
      <c r="B1385" s="1" t="s">
        <v>2561</v>
      </c>
      <c r="C1385" s="7" t="s">
        <v>2079</v>
      </c>
    </row>
    <row r="1386" spans="1:3">
      <c r="A1386" s="1" t="s">
        <v>2042</v>
      </c>
      <c r="B1386" s="1" t="s">
        <v>2562</v>
      </c>
      <c r="C1386" s="7" t="s">
        <v>2512</v>
      </c>
    </row>
    <row r="1387" spans="1:3">
      <c r="A1387" s="1" t="s">
        <v>2042</v>
      </c>
      <c r="B1387" s="1" t="s">
        <v>1669</v>
      </c>
      <c r="C1387" s="7" t="s">
        <v>286</v>
      </c>
    </row>
    <row r="1388" spans="1:3">
      <c r="A1388" s="1" t="s">
        <v>2042</v>
      </c>
      <c r="B1388" s="1" t="s">
        <v>2563</v>
      </c>
      <c r="C1388" s="7" t="s">
        <v>2079</v>
      </c>
    </row>
    <row r="1389" spans="1:3">
      <c r="A1389" s="1" t="s">
        <v>2042</v>
      </c>
      <c r="B1389" s="1" t="s">
        <v>2564</v>
      </c>
      <c r="C1389" s="7" t="s">
        <v>2515</v>
      </c>
    </row>
    <row r="1390" spans="1:3">
      <c r="A1390" s="1" t="s">
        <v>2042</v>
      </c>
      <c r="B1390" s="1" t="s">
        <v>1671</v>
      </c>
      <c r="C1390" s="7" t="s">
        <v>286</v>
      </c>
    </row>
    <row r="1391" spans="1:3">
      <c r="A1391" s="1" t="s">
        <v>2042</v>
      </c>
      <c r="B1391" s="1" t="s">
        <v>2565</v>
      </c>
      <c r="C1391" s="7" t="s">
        <v>2079</v>
      </c>
    </row>
    <row r="1392" spans="1:3">
      <c r="A1392" s="1" t="s">
        <v>2042</v>
      </c>
      <c r="B1392" s="1" t="s">
        <v>2566</v>
      </c>
      <c r="C1392" s="7" t="s">
        <v>2426</v>
      </c>
    </row>
    <row r="1393" spans="1:3">
      <c r="A1393" s="1" t="s">
        <v>2042</v>
      </c>
      <c r="B1393" s="1" t="s">
        <v>1673</v>
      </c>
      <c r="C1393" s="7" t="s">
        <v>286</v>
      </c>
    </row>
    <row r="1394" spans="1:3">
      <c r="A1394" s="1" t="s">
        <v>2042</v>
      </c>
      <c r="B1394" s="1" t="s">
        <v>2567</v>
      </c>
      <c r="C1394" s="7" t="s">
        <v>2079</v>
      </c>
    </row>
    <row r="1395" spans="1:3">
      <c r="A1395" s="1" t="s">
        <v>2042</v>
      </c>
      <c r="B1395" s="1" t="s">
        <v>2568</v>
      </c>
      <c r="C1395" s="7" t="s">
        <v>2430</v>
      </c>
    </row>
    <row r="1396" spans="1:3">
      <c r="A1396" s="1" t="s">
        <v>2042</v>
      </c>
      <c r="B1396" s="1" t="s">
        <v>1675</v>
      </c>
      <c r="C1396" s="7" t="s">
        <v>286</v>
      </c>
    </row>
    <row r="1397" spans="1:3">
      <c r="A1397" s="1" t="s">
        <v>2042</v>
      </c>
      <c r="B1397" s="1" t="s">
        <v>2569</v>
      </c>
      <c r="C1397" s="7" t="s">
        <v>2079</v>
      </c>
    </row>
    <row r="1398" spans="1:3">
      <c r="A1398" s="1" t="s">
        <v>2042</v>
      </c>
      <c r="B1398" s="1" t="s">
        <v>2570</v>
      </c>
      <c r="C1398" s="7" t="s">
        <v>2522</v>
      </c>
    </row>
    <row r="1399" spans="1:3">
      <c r="A1399" s="1" t="s">
        <v>2042</v>
      </c>
      <c r="B1399" s="1" t="s">
        <v>1677</v>
      </c>
      <c r="C1399" s="7" t="s">
        <v>286</v>
      </c>
    </row>
    <row r="1400" spans="1:3">
      <c r="A1400" s="1" t="s">
        <v>2042</v>
      </c>
      <c r="B1400" s="1" t="s">
        <v>2571</v>
      </c>
      <c r="C1400" s="7" t="s">
        <v>2079</v>
      </c>
    </row>
    <row r="1401" spans="1:3">
      <c r="A1401" s="1" t="s">
        <v>2042</v>
      </c>
      <c r="B1401" s="1" t="s">
        <v>2572</v>
      </c>
      <c r="C1401" s="7" t="s">
        <v>2525</v>
      </c>
    </row>
    <row r="1402" spans="1:3">
      <c r="A1402" s="1" t="s">
        <v>2042</v>
      </c>
      <c r="B1402" s="1" t="s">
        <v>1679</v>
      </c>
      <c r="C1402" s="7" t="s">
        <v>286</v>
      </c>
    </row>
    <row r="1403" spans="1:3">
      <c r="A1403" s="1" t="s">
        <v>2042</v>
      </c>
      <c r="B1403" s="1" t="s">
        <v>2573</v>
      </c>
      <c r="C1403" s="7" t="s">
        <v>2079</v>
      </c>
    </row>
    <row r="1404" spans="1:3">
      <c r="A1404" s="1" t="s">
        <v>2042</v>
      </c>
      <c r="B1404" s="1" t="s">
        <v>2574</v>
      </c>
      <c r="C1404" s="7" t="s">
        <v>1779</v>
      </c>
    </row>
    <row r="1405" spans="1:3">
      <c r="A1405" s="1" t="s">
        <v>2042</v>
      </c>
      <c r="B1405" s="1" t="s">
        <v>1681</v>
      </c>
      <c r="C1405" s="7" t="s">
        <v>286</v>
      </c>
    </row>
    <row r="1406" spans="1:3">
      <c r="A1406" s="1" t="s">
        <v>2042</v>
      </c>
      <c r="B1406" s="1" t="s">
        <v>2575</v>
      </c>
      <c r="C1406" s="7" t="s">
        <v>2079</v>
      </c>
    </row>
    <row r="1407" spans="1:3">
      <c r="A1407" s="1" t="s">
        <v>2042</v>
      </c>
      <c r="B1407" s="1" t="s">
        <v>2576</v>
      </c>
      <c r="C1407" s="7" t="s">
        <v>2441</v>
      </c>
    </row>
    <row r="1408" spans="1:3">
      <c r="A1408" s="1" t="s">
        <v>2042</v>
      </c>
      <c r="B1408" s="1" t="s">
        <v>1683</v>
      </c>
      <c r="C1408" s="7" t="s">
        <v>286</v>
      </c>
    </row>
    <row r="1409" spans="1:3">
      <c r="A1409" s="1" t="s">
        <v>2042</v>
      </c>
      <c r="B1409" s="1" t="s">
        <v>2577</v>
      </c>
      <c r="C1409" s="7" t="s">
        <v>2079</v>
      </c>
    </row>
    <row r="1410" spans="1:3">
      <c r="A1410" s="1" t="s">
        <v>2042</v>
      </c>
      <c r="B1410" s="1" t="s">
        <v>2578</v>
      </c>
      <c r="C1410" s="7" t="s">
        <v>1787</v>
      </c>
    </row>
    <row r="1411" spans="1:3">
      <c r="A1411" s="1" t="s">
        <v>2042</v>
      </c>
      <c r="B1411" s="1" t="s">
        <v>1685</v>
      </c>
      <c r="C1411" s="7" t="s">
        <v>286</v>
      </c>
    </row>
    <row r="1412" spans="1:3">
      <c r="A1412" s="1" t="s">
        <v>2042</v>
      </c>
      <c r="B1412" s="1" t="s">
        <v>2579</v>
      </c>
      <c r="C1412" s="7" t="s">
        <v>2079</v>
      </c>
    </row>
    <row r="1413" spans="1:3">
      <c r="A1413" s="1" t="s">
        <v>2042</v>
      </c>
      <c r="B1413" s="1" t="s">
        <v>2580</v>
      </c>
      <c r="C1413" s="7" t="s">
        <v>2534</v>
      </c>
    </row>
    <row r="1414" spans="1:3">
      <c r="A1414" s="1" t="s">
        <v>2042</v>
      </c>
      <c r="B1414" s="1" t="s">
        <v>1687</v>
      </c>
      <c r="C1414" s="7" t="s">
        <v>286</v>
      </c>
    </row>
    <row r="1415" spans="1:3">
      <c r="A1415" s="1" t="s">
        <v>2042</v>
      </c>
      <c r="B1415" s="1" t="s">
        <v>2581</v>
      </c>
      <c r="C1415" s="7" t="s">
        <v>2079</v>
      </c>
    </row>
    <row r="1416" spans="1:3">
      <c r="A1416" s="1" t="s">
        <v>2042</v>
      </c>
      <c r="B1416" s="1" t="s">
        <v>2582</v>
      </c>
      <c r="C1416" s="7" t="s">
        <v>2065</v>
      </c>
    </row>
    <row r="1417" spans="1:3">
      <c r="A1417" s="1" t="s">
        <v>2042</v>
      </c>
      <c r="B1417" s="1" t="s">
        <v>1689</v>
      </c>
      <c r="C1417" s="7" t="s">
        <v>286</v>
      </c>
    </row>
    <row r="1418" spans="1:3">
      <c r="A1418" s="1" t="s">
        <v>2042</v>
      </c>
      <c r="B1418" s="1" t="s">
        <v>2583</v>
      </c>
      <c r="C1418" s="7" t="s">
        <v>2079</v>
      </c>
    </row>
    <row r="1419" spans="1:3">
      <c r="A1419" s="1" t="s">
        <v>2042</v>
      </c>
      <c r="B1419" s="1" t="s">
        <v>2584</v>
      </c>
      <c r="C1419" s="7" t="s">
        <v>2539</v>
      </c>
    </row>
    <row r="1420" spans="1:3">
      <c r="A1420" s="1" t="s">
        <v>2042</v>
      </c>
      <c r="B1420" s="1" t="s">
        <v>1691</v>
      </c>
      <c r="C1420" s="7" t="s">
        <v>286</v>
      </c>
    </row>
    <row r="1421" spans="1:3">
      <c r="A1421" s="1" t="s">
        <v>2042</v>
      </c>
      <c r="B1421" s="1" t="s">
        <v>2585</v>
      </c>
      <c r="C1421" s="7" t="s">
        <v>2079</v>
      </c>
    </row>
    <row r="1422" spans="1:3">
      <c r="A1422" s="1" t="s">
        <v>2042</v>
      </c>
      <c r="B1422" s="1" t="s">
        <v>2586</v>
      </c>
      <c r="C1422" s="7" t="s">
        <v>2544</v>
      </c>
    </row>
    <row r="1423" spans="1:3">
      <c r="A1423" s="1" t="s">
        <v>2042</v>
      </c>
      <c r="B1423" s="1" t="s">
        <v>1693</v>
      </c>
      <c r="C1423" s="7" t="s">
        <v>286</v>
      </c>
    </row>
    <row r="1424" spans="1:3">
      <c r="A1424" s="1" t="s">
        <v>2042</v>
      </c>
      <c r="B1424" s="1" t="s">
        <v>2587</v>
      </c>
      <c r="C1424" s="7" t="s">
        <v>2079</v>
      </c>
    </row>
    <row r="1425" spans="1:3">
      <c r="A1425" s="1" t="s">
        <v>2042</v>
      </c>
      <c r="B1425" s="1" t="s">
        <v>2588</v>
      </c>
      <c r="C1425" s="7" t="s">
        <v>2547</v>
      </c>
    </row>
    <row r="1426" spans="1:3">
      <c r="A1426" s="1" t="s">
        <v>2042</v>
      </c>
      <c r="B1426" s="1" t="s">
        <v>1695</v>
      </c>
      <c r="C1426" s="7" t="s">
        <v>286</v>
      </c>
    </row>
    <row r="1427" spans="1:3">
      <c r="A1427" s="1" t="s">
        <v>2042</v>
      </c>
      <c r="B1427" s="1" t="s">
        <v>2589</v>
      </c>
      <c r="C1427" s="7" t="s">
        <v>2079</v>
      </c>
    </row>
    <row r="1428" spans="1:3">
      <c r="A1428" s="1" t="s">
        <v>2042</v>
      </c>
      <c r="B1428" s="1" t="s">
        <v>2590</v>
      </c>
      <c r="C1428" s="7" t="s">
        <v>2550</v>
      </c>
    </row>
    <row r="1429" spans="1:3">
      <c r="A1429" s="1" t="s">
        <v>2042</v>
      </c>
      <c r="B1429" s="1" t="s">
        <v>1697</v>
      </c>
      <c r="C1429" s="7" t="s">
        <v>286</v>
      </c>
    </row>
    <row r="1430" spans="1:3">
      <c r="A1430" s="1" t="s">
        <v>2042</v>
      </c>
      <c r="B1430" s="1" t="s">
        <v>2591</v>
      </c>
      <c r="C1430" s="7" t="s">
        <v>2079</v>
      </c>
    </row>
    <row r="1431" spans="1:3">
      <c r="A1431" s="1" t="s">
        <v>2042</v>
      </c>
      <c r="B1431" s="1" t="s">
        <v>2592</v>
      </c>
      <c r="C1431" s="7" t="s">
        <v>2553</v>
      </c>
    </row>
    <row r="1432" spans="1:3">
      <c r="A1432" s="1" t="s">
        <v>2042</v>
      </c>
      <c r="B1432" s="1" t="s">
        <v>1699</v>
      </c>
      <c r="C1432" s="7" t="s">
        <v>286</v>
      </c>
    </row>
    <row r="1433" spans="1:3">
      <c r="A1433" s="1" t="s">
        <v>2042</v>
      </c>
      <c r="B1433" s="1" t="s">
        <v>2593</v>
      </c>
      <c r="C1433" s="7" t="s">
        <v>2079</v>
      </c>
    </row>
    <row r="1434" spans="1:3">
      <c r="A1434" s="1" t="s">
        <v>2042</v>
      </c>
      <c r="B1434" s="1" t="s">
        <v>2594</v>
      </c>
      <c r="C1434" s="7" t="s">
        <v>2595</v>
      </c>
    </row>
    <row r="1435" spans="1:3">
      <c r="A1435" s="1" t="s">
        <v>2042</v>
      </c>
      <c r="B1435" s="1" t="s">
        <v>1701</v>
      </c>
      <c r="C1435" s="7" t="s">
        <v>286</v>
      </c>
    </row>
    <row r="1436" spans="1:3">
      <c r="A1436" s="1" t="s">
        <v>2042</v>
      </c>
      <c r="B1436" s="1" t="s">
        <v>2596</v>
      </c>
      <c r="C1436" s="7" t="s">
        <v>2079</v>
      </c>
    </row>
    <row r="1437" spans="1:3">
      <c r="A1437" s="1" t="s">
        <v>2042</v>
      </c>
      <c r="B1437" s="1" t="s">
        <v>2597</v>
      </c>
      <c r="C1437" s="7" t="s">
        <v>2488</v>
      </c>
    </row>
    <row r="1438" spans="1:3">
      <c r="A1438" s="1" t="s">
        <v>2042</v>
      </c>
      <c r="B1438" s="1" t="s">
        <v>1703</v>
      </c>
      <c r="C1438" s="7" t="s">
        <v>286</v>
      </c>
    </row>
    <row r="1439" spans="1:3">
      <c r="A1439" s="1" t="s">
        <v>2042</v>
      </c>
      <c r="B1439" s="1" t="s">
        <v>2598</v>
      </c>
      <c r="C1439" s="7" t="s">
        <v>2079</v>
      </c>
    </row>
    <row r="1440" spans="1:3">
      <c r="A1440" s="1" t="s">
        <v>2042</v>
      </c>
      <c r="B1440" s="1" t="s">
        <v>2599</v>
      </c>
      <c r="C1440" s="7" t="s">
        <v>2491</v>
      </c>
    </row>
    <row r="1441" spans="1:3">
      <c r="A1441" s="1" t="s">
        <v>2042</v>
      </c>
      <c r="B1441" s="1" t="s">
        <v>1705</v>
      </c>
      <c r="C1441" s="7" t="s">
        <v>286</v>
      </c>
    </row>
    <row r="1442" spans="1:3">
      <c r="A1442" s="1" t="s">
        <v>2042</v>
      </c>
      <c r="B1442" s="1" t="s">
        <v>2600</v>
      </c>
      <c r="C1442" s="7" t="s">
        <v>2079</v>
      </c>
    </row>
    <row r="1443" spans="1:3">
      <c r="A1443" s="1" t="s">
        <v>2042</v>
      </c>
      <c r="B1443" s="1" t="s">
        <v>2601</v>
      </c>
      <c r="C1443" s="7" t="s">
        <v>2512</v>
      </c>
    </row>
    <row r="1444" spans="1:3">
      <c r="A1444" s="1" t="s">
        <v>2042</v>
      </c>
      <c r="B1444" s="1" t="s">
        <v>1707</v>
      </c>
      <c r="C1444" s="7" t="s">
        <v>286</v>
      </c>
    </row>
    <row r="1445" spans="1:3">
      <c r="A1445" s="1" t="s">
        <v>2042</v>
      </c>
      <c r="B1445" s="1" t="s">
        <v>2602</v>
      </c>
      <c r="C1445" s="7" t="s">
        <v>2079</v>
      </c>
    </row>
    <row r="1446" spans="1:3">
      <c r="A1446" s="1" t="s">
        <v>2042</v>
      </c>
      <c r="B1446" s="1" t="s">
        <v>2603</v>
      </c>
      <c r="C1446" s="7" t="s">
        <v>2515</v>
      </c>
    </row>
    <row r="1447" spans="1:3">
      <c r="A1447" s="1" t="s">
        <v>2042</v>
      </c>
      <c r="B1447" s="1" t="s">
        <v>1709</v>
      </c>
      <c r="C1447" s="7" t="s">
        <v>286</v>
      </c>
    </row>
    <row r="1448" spans="1:3">
      <c r="A1448" s="1" t="s">
        <v>2042</v>
      </c>
      <c r="B1448" s="1" t="s">
        <v>2604</v>
      </c>
      <c r="C1448" s="7" t="s">
        <v>2079</v>
      </c>
    </row>
    <row r="1449" spans="1:3">
      <c r="A1449" s="1" t="s">
        <v>2042</v>
      </c>
      <c r="B1449" s="1" t="s">
        <v>2605</v>
      </c>
      <c r="C1449" s="7" t="s">
        <v>2426</v>
      </c>
    </row>
    <row r="1450" spans="1:3">
      <c r="A1450" s="1" t="s">
        <v>2042</v>
      </c>
      <c r="B1450" s="1" t="s">
        <v>2606</v>
      </c>
      <c r="C1450" s="7" t="s">
        <v>286</v>
      </c>
    </row>
    <row r="1451" spans="1:3">
      <c r="A1451" s="1" t="s">
        <v>2042</v>
      </c>
      <c r="B1451" s="1" t="s">
        <v>2607</v>
      </c>
      <c r="C1451" s="7" t="s">
        <v>2079</v>
      </c>
    </row>
    <row r="1452" spans="1:3">
      <c r="A1452" s="1" t="s">
        <v>2042</v>
      </c>
      <c r="B1452" s="1" t="s">
        <v>2608</v>
      </c>
      <c r="C1452" s="7" t="s">
        <v>2430</v>
      </c>
    </row>
    <row r="1453" spans="1:3">
      <c r="A1453" s="1" t="s">
        <v>2042</v>
      </c>
      <c r="B1453" s="1" t="s">
        <v>2609</v>
      </c>
      <c r="C1453" s="7" t="s">
        <v>286</v>
      </c>
    </row>
    <row r="1454" spans="1:3">
      <c r="A1454" s="1" t="s">
        <v>2042</v>
      </c>
      <c r="B1454" s="1" t="s">
        <v>2610</v>
      </c>
      <c r="C1454" s="7" t="s">
        <v>2079</v>
      </c>
    </row>
    <row r="1455" spans="1:3">
      <c r="A1455" s="1" t="s">
        <v>2042</v>
      </c>
      <c r="B1455" s="1" t="s">
        <v>2611</v>
      </c>
      <c r="C1455" s="7" t="s">
        <v>2522</v>
      </c>
    </row>
    <row r="1456" spans="1:3">
      <c r="A1456" s="1" t="s">
        <v>2042</v>
      </c>
      <c r="B1456" s="1" t="s">
        <v>2612</v>
      </c>
      <c r="C1456" s="7" t="s">
        <v>286</v>
      </c>
    </row>
    <row r="1457" spans="1:3">
      <c r="A1457" s="1" t="s">
        <v>2042</v>
      </c>
      <c r="B1457" s="1" t="s">
        <v>2613</v>
      </c>
      <c r="C1457" s="7" t="s">
        <v>2079</v>
      </c>
    </row>
    <row r="1458" spans="1:3">
      <c r="A1458" s="1" t="s">
        <v>2042</v>
      </c>
      <c r="B1458" s="1" t="s">
        <v>2614</v>
      </c>
      <c r="C1458" s="7" t="s">
        <v>2525</v>
      </c>
    </row>
    <row r="1459" spans="1:3">
      <c r="A1459" s="1" t="s">
        <v>2042</v>
      </c>
      <c r="B1459" s="1" t="s">
        <v>2615</v>
      </c>
      <c r="C1459" s="7" t="s">
        <v>286</v>
      </c>
    </row>
    <row r="1460" spans="1:3">
      <c r="A1460" s="1" t="s">
        <v>2042</v>
      </c>
      <c r="B1460" s="1" t="s">
        <v>2616</v>
      </c>
      <c r="C1460" s="7" t="s">
        <v>2079</v>
      </c>
    </row>
    <row r="1461" spans="1:3">
      <c r="A1461" s="1" t="s">
        <v>2042</v>
      </c>
      <c r="B1461" s="1" t="s">
        <v>2617</v>
      </c>
      <c r="C1461" s="7" t="s">
        <v>1779</v>
      </c>
    </row>
    <row r="1462" spans="1:3">
      <c r="A1462" s="1" t="s">
        <v>2042</v>
      </c>
      <c r="B1462" s="1" t="s">
        <v>2618</v>
      </c>
      <c r="C1462" s="7" t="s">
        <v>286</v>
      </c>
    </row>
    <row r="1463" spans="1:3">
      <c r="A1463" s="1" t="s">
        <v>2042</v>
      </c>
      <c r="B1463" s="1" t="s">
        <v>2619</v>
      </c>
      <c r="C1463" s="7" t="s">
        <v>2079</v>
      </c>
    </row>
    <row r="1464" spans="1:3">
      <c r="A1464" s="1" t="s">
        <v>2042</v>
      </c>
      <c r="B1464" s="1" t="s">
        <v>2620</v>
      </c>
      <c r="C1464" s="7" t="s">
        <v>2441</v>
      </c>
    </row>
    <row r="1465" spans="1:3">
      <c r="A1465" s="1" t="s">
        <v>2042</v>
      </c>
      <c r="B1465" s="1" t="s">
        <v>2621</v>
      </c>
      <c r="C1465" s="7" t="s">
        <v>286</v>
      </c>
    </row>
    <row r="1466" spans="1:3">
      <c r="A1466" s="1" t="s">
        <v>2042</v>
      </c>
      <c r="B1466" s="1" t="s">
        <v>2622</v>
      </c>
      <c r="C1466" s="7" t="s">
        <v>2079</v>
      </c>
    </row>
    <row r="1467" spans="1:3">
      <c r="A1467" s="1" t="s">
        <v>2042</v>
      </c>
      <c r="B1467" s="1" t="s">
        <v>2623</v>
      </c>
      <c r="C1467" s="7" t="s">
        <v>1787</v>
      </c>
    </row>
    <row r="1468" spans="1:3">
      <c r="A1468" s="1" t="s">
        <v>2042</v>
      </c>
      <c r="B1468" s="1" t="s">
        <v>2624</v>
      </c>
      <c r="C1468" s="7" t="s">
        <v>286</v>
      </c>
    </row>
    <row r="1469" spans="1:3">
      <c r="A1469" s="1" t="s">
        <v>2042</v>
      </c>
      <c r="B1469" s="1" t="s">
        <v>2625</v>
      </c>
      <c r="C1469" s="7" t="s">
        <v>2079</v>
      </c>
    </row>
    <row r="1470" spans="1:3">
      <c r="A1470" s="1" t="s">
        <v>2042</v>
      </c>
      <c r="B1470" s="1" t="s">
        <v>2626</v>
      </c>
      <c r="C1470" s="7" t="s">
        <v>2534</v>
      </c>
    </row>
    <row r="1471" spans="1:3">
      <c r="A1471" s="1" t="s">
        <v>2042</v>
      </c>
      <c r="B1471" s="1" t="s">
        <v>2627</v>
      </c>
      <c r="C1471" s="7" t="s">
        <v>286</v>
      </c>
    </row>
    <row r="1472" spans="1:3">
      <c r="A1472" s="1" t="s">
        <v>2042</v>
      </c>
      <c r="B1472" s="1" t="s">
        <v>2628</v>
      </c>
      <c r="C1472" s="7" t="s">
        <v>2079</v>
      </c>
    </row>
    <row r="1473" spans="1:3">
      <c r="A1473" s="1" t="s">
        <v>2042</v>
      </c>
      <c r="B1473" s="1" t="s">
        <v>2629</v>
      </c>
      <c r="C1473" s="7" t="s">
        <v>2065</v>
      </c>
    </row>
    <row r="1474" spans="1:3">
      <c r="A1474" s="1" t="s">
        <v>2042</v>
      </c>
      <c r="B1474" s="1" t="s">
        <v>2630</v>
      </c>
      <c r="C1474" s="7" t="s">
        <v>286</v>
      </c>
    </row>
    <row r="1475" spans="1:3">
      <c r="A1475" s="1" t="s">
        <v>2042</v>
      </c>
      <c r="B1475" s="1" t="s">
        <v>2631</v>
      </c>
      <c r="C1475" s="7" t="s">
        <v>2079</v>
      </c>
    </row>
    <row r="1476" spans="1:3">
      <c r="A1476" s="1" t="s">
        <v>2042</v>
      </c>
      <c r="B1476" s="1" t="s">
        <v>2632</v>
      </c>
      <c r="C1476" s="7" t="s">
        <v>2539</v>
      </c>
    </row>
    <row r="1477" spans="1:3">
      <c r="A1477" s="1" t="s">
        <v>2042</v>
      </c>
      <c r="B1477" s="1" t="s">
        <v>2633</v>
      </c>
      <c r="C1477" s="7" t="s">
        <v>286</v>
      </c>
    </row>
    <row r="1478" spans="1:3">
      <c r="A1478" s="1" t="s">
        <v>2042</v>
      </c>
      <c r="B1478" s="1" t="s">
        <v>2634</v>
      </c>
      <c r="C1478" s="7" t="s">
        <v>2079</v>
      </c>
    </row>
    <row r="1479" spans="1:3">
      <c r="A1479" s="1" t="s">
        <v>2042</v>
      </c>
      <c r="B1479" s="1" t="s">
        <v>2635</v>
      </c>
      <c r="C1479" s="7" t="s">
        <v>2544</v>
      </c>
    </row>
    <row r="1480" spans="1:3">
      <c r="A1480" s="1" t="s">
        <v>2042</v>
      </c>
      <c r="B1480" s="1" t="s">
        <v>2636</v>
      </c>
      <c r="C1480" s="7" t="s">
        <v>286</v>
      </c>
    </row>
    <row r="1481" spans="1:3">
      <c r="A1481" s="1" t="s">
        <v>2042</v>
      </c>
      <c r="B1481" s="1" t="s">
        <v>2637</v>
      </c>
      <c r="C1481" s="7" t="s">
        <v>2079</v>
      </c>
    </row>
    <row r="1482" spans="1:3">
      <c r="A1482" s="1" t="s">
        <v>2042</v>
      </c>
      <c r="B1482" s="1" t="s">
        <v>2638</v>
      </c>
      <c r="C1482" s="7" t="s">
        <v>2547</v>
      </c>
    </row>
    <row r="1483" spans="1:3">
      <c r="A1483" s="1" t="s">
        <v>2042</v>
      </c>
      <c r="B1483" s="1" t="s">
        <v>2639</v>
      </c>
      <c r="C1483" s="7" t="s">
        <v>286</v>
      </c>
    </row>
    <row r="1484" spans="1:3">
      <c r="A1484" s="1" t="s">
        <v>2042</v>
      </c>
      <c r="B1484" s="1" t="s">
        <v>2640</v>
      </c>
      <c r="C1484" s="7" t="s">
        <v>2079</v>
      </c>
    </row>
    <row r="1485" spans="1:3">
      <c r="A1485" s="1" t="s">
        <v>2042</v>
      </c>
      <c r="B1485" s="1" t="s">
        <v>2641</v>
      </c>
      <c r="C1485" s="7" t="s">
        <v>2550</v>
      </c>
    </row>
    <row r="1486" spans="1:3">
      <c r="A1486" s="1" t="s">
        <v>2042</v>
      </c>
      <c r="B1486" s="1" t="s">
        <v>2642</v>
      </c>
      <c r="C1486" s="7" t="s">
        <v>286</v>
      </c>
    </row>
    <row r="1487" spans="1:3">
      <c r="A1487" s="1" t="s">
        <v>2042</v>
      </c>
      <c r="B1487" s="1" t="s">
        <v>2643</v>
      </c>
      <c r="C1487" s="7" t="s">
        <v>2079</v>
      </c>
    </row>
    <row r="1488" spans="1:3">
      <c r="A1488" s="1" t="s">
        <v>2042</v>
      </c>
      <c r="B1488" s="1" t="s">
        <v>2644</v>
      </c>
      <c r="C1488" s="7" t="s">
        <v>2553</v>
      </c>
    </row>
    <row r="1489" spans="1:3">
      <c r="A1489" s="1" t="s">
        <v>2042</v>
      </c>
      <c r="B1489" s="1" t="s">
        <v>2645</v>
      </c>
      <c r="C1489" s="7" t="s">
        <v>286</v>
      </c>
    </row>
    <row r="1490" spans="1:3">
      <c r="A1490" s="1" t="s">
        <v>2042</v>
      </c>
      <c r="B1490" s="1" t="s">
        <v>2646</v>
      </c>
      <c r="C1490" s="7" t="s">
        <v>2079</v>
      </c>
    </row>
    <row r="1491" spans="1:3">
      <c r="A1491" s="1" t="s">
        <v>2042</v>
      </c>
      <c r="B1491" s="1" t="s">
        <v>2647</v>
      </c>
      <c r="C1491" s="7" t="s">
        <v>2648</v>
      </c>
    </row>
    <row r="1492" spans="1:3">
      <c r="A1492" s="1" t="s">
        <v>2042</v>
      </c>
      <c r="B1492" s="1" t="s">
        <v>2649</v>
      </c>
      <c r="C1492" s="7" t="s">
        <v>286</v>
      </c>
    </row>
    <row r="1493" spans="1:3">
      <c r="A1493" s="1" t="s">
        <v>2042</v>
      </c>
      <c r="B1493" s="1" t="s">
        <v>2650</v>
      </c>
      <c r="C1493" s="7" t="s">
        <v>2079</v>
      </c>
    </row>
    <row r="1494" spans="1:3">
      <c r="A1494" s="1" t="s">
        <v>2042</v>
      </c>
      <c r="B1494" s="1" t="s">
        <v>2651</v>
      </c>
      <c r="C1494" s="7" t="s">
        <v>2488</v>
      </c>
    </row>
    <row r="1495" spans="1:3">
      <c r="A1495" s="1" t="s">
        <v>2042</v>
      </c>
      <c r="B1495" s="1" t="s">
        <v>2652</v>
      </c>
      <c r="C1495" s="7" t="s">
        <v>286</v>
      </c>
    </row>
    <row r="1496" spans="1:3">
      <c r="A1496" s="1" t="s">
        <v>2042</v>
      </c>
      <c r="B1496" s="1" t="s">
        <v>2653</v>
      </c>
      <c r="C1496" s="7" t="s">
        <v>2079</v>
      </c>
    </row>
    <row r="1497" spans="1:3">
      <c r="A1497" s="1" t="s">
        <v>2042</v>
      </c>
      <c r="B1497" s="1" t="s">
        <v>2654</v>
      </c>
      <c r="C1497" s="7" t="s">
        <v>2491</v>
      </c>
    </row>
    <row r="1498" spans="1:3">
      <c r="A1498" s="1" t="s">
        <v>2042</v>
      </c>
      <c r="B1498" s="1" t="s">
        <v>2655</v>
      </c>
      <c r="C1498" s="7" t="s">
        <v>286</v>
      </c>
    </row>
    <row r="1499" spans="1:3">
      <c r="A1499" s="1" t="s">
        <v>2042</v>
      </c>
      <c r="B1499" s="1" t="s">
        <v>2656</v>
      </c>
      <c r="C1499" s="7" t="s">
        <v>2079</v>
      </c>
    </row>
    <row r="1500" spans="1:3">
      <c r="A1500" s="1" t="s">
        <v>2042</v>
      </c>
      <c r="B1500" s="1" t="s">
        <v>2657</v>
      </c>
      <c r="C1500" s="7" t="s">
        <v>2512</v>
      </c>
    </row>
    <row r="1501" spans="1:3">
      <c r="A1501" s="1" t="s">
        <v>2042</v>
      </c>
      <c r="B1501" s="1" t="s">
        <v>2658</v>
      </c>
      <c r="C1501" s="7" t="s">
        <v>286</v>
      </c>
    </row>
    <row r="1502" spans="1:3">
      <c r="A1502" s="1" t="s">
        <v>2042</v>
      </c>
      <c r="B1502" s="1" t="s">
        <v>2659</v>
      </c>
      <c r="C1502" s="7" t="s">
        <v>2079</v>
      </c>
    </row>
    <row r="1503" spans="1:3">
      <c r="A1503" s="1" t="s">
        <v>2042</v>
      </c>
      <c r="B1503" s="1" t="s">
        <v>2660</v>
      </c>
      <c r="C1503" s="7" t="s">
        <v>2515</v>
      </c>
    </row>
    <row r="1504" spans="1:3">
      <c r="A1504" s="1" t="s">
        <v>2042</v>
      </c>
      <c r="B1504" s="1" t="s">
        <v>2661</v>
      </c>
      <c r="C1504" s="7" t="s">
        <v>286</v>
      </c>
    </row>
    <row r="1505" spans="1:3">
      <c r="A1505" s="1" t="s">
        <v>2042</v>
      </c>
      <c r="B1505" s="1" t="s">
        <v>2662</v>
      </c>
      <c r="C1505" s="7" t="s">
        <v>2079</v>
      </c>
    </row>
    <row r="1506" spans="1:3">
      <c r="A1506" s="1" t="s">
        <v>2042</v>
      </c>
      <c r="B1506" s="1" t="s">
        <v>2663</v>
      </c>
      <c r="C1506" s="7" t="s">
        <v>2426</v>
      </c>
    </row>
    <row r="1507" spans="1:3">
      <c r="A1507" s="1" t="s">
        <v>2042</v>
      </c>
      <c r="B1507" s="1" t="s">
        <v>2664</v>
      </c>
      <c r="C1507" s="7" t="s">
        <v>286</v>
      </c>
    </row>
    <row r="1508" spans="1:3">
      <c r="A1508" s="1" t="s">
        <v>2042</v>
      </c>
      <c r="B1508" s="1" t="s">
        <v>2665</v>
      </c>
      <c r="C1508" s="7" t="s">
        <v>2079</v>
      </c>
    </row>
    <row r="1509" spans="1:3">
      <c r="A1509" s="1" t="s">
        <v>2042</v>
      </c>
      <c r="B1509" s="1" t="s">
        <v>2666</v>
      </c>
      <c r="C1509" s="7" t="s">
        <v>2430</v>
      </c>
    </row>
    <row r="1510" spans="1:3">
      <c r="A1510" s="1" t="s">
        <v>2042</v>
      </c>
      <c r="B1510" s="1" t="s">
        <v>2667</v>
      </c>
      <c r="C1510" s="7" t="s">
        <v>286</v>
      </c>
    </row>
    <row r="1511" spans="1:3">
      <c r="A1511" s="1" t="s">
        <v>2042</v>
      </c>
      <c r="B1511" s="1" t="s">
        <v>2668</v>
      </c>
      <c r="C1511" s="7" t="s">
        <v>2079</v>
      </c>
    </row>
    <row r="1512" spans="1:3">
      <c r="A1512" s="1" t="s">
        <v>2042</v>
      </c>
      <c r="B1512" s="1" t="s">
        <v>2669</v>
      </c>
      <c r="C1512" s="7" t="s">
        <v>2522</v>
      </c>
    </row>
    <row r="1513" spans="1:3">
      <c r="A1513" s="1" t="s">
        <v>2042</v>
      </c>
      <c r="B1513" s="1" t="s">
        <v>2670</v>
      </c>
      <c r="C1513" s="7" t="s">
        <v>286</v>
      </c>
    </row>
    <row r="1514" spans="1:3">
      <c r="A1514" s="1" t="s">
        <v>2042</v>
      </c>
      <c r="B1514" s="1" t="s">
        <v>2671</v>
      </c>
      <c r="C1514" s="7" t="s">
        <v>2079</v>
      </c>
    </row>
    <row r="1515" spans="1:3">
      <c r="A1515" s="1" t="s">
        <v>2042</v>
      </c>
      <c r="B1515" s="1" t="s">
        <v>2672</v>
      </c>
      <c r="C1515" s="7" t="s">
        <v>2525</v>
      </c>
    </row>
    <row r="1516" spans="1:3">
      <c r="A1516" s="1" t="s">
        <v>2042</v>
      </c>
      <c r="B1516" s="1" t="s">
        <v>2673</v>
      </c>
      <c r="C1516" s="7" t="s">
        <v>286</v>
      </c>
    </row>
    <row r="1517" spans="1:3">
      <c r="A1517" s="1" t="s">
        <v>2042</v>
      </c>
      <c r="B1517" s="1" t="s">
        <v>2674</v>
      </c>
      <c r="C1517" s="7" t="s">
        <v>2079</v>
      </c>
    </row>
    <row r="1518" spans="1:3">
      <c r="A1518" s="1" t="s">
        <v>2042</v>
      </c>
      <c r="B1518" s="1" t="s">
        <v>2675</v>
      </c>
      <c r="C1518" s="7" t="s">
        <v>1779</v>
      </c>
    </row>
    <row r="1519" spans="1:3">
      <c r="A1519" s="1" t="s">
        <v>2042</v>
      </c>
      <c r="B1519" s="1" t="s">
        <v>2676</v>
      </c>
      <c r="C1519" s="7" t="s">
        <v>286</v>
      </c>
    </row>
    <row r="1520" spans="1:3">
      <c r="A1520" s="1" t="s">
        <v>2042</v>
      </c>
      <c r="B1520" s="1" t="s">
        <v>2677</v>
      </c>
      <c r="C1520" s="7" t="s">
        <v>2079</v>
      </c>
    </row>
    <row r="1521" spans="1:3">
      <c r="A1521" s="1" t="s">
        <v>2042</v>
      </c>
      <c r="B1521" s="1" t="s">
        <v>2678</v>
      </c>
      <c r="C1521" s="7" t="s">
        <v>2441</v>
      </c>
    </row>
    <row r="1522" spans="1:3">
      <c r="A1522" s="1" t="s">
        <v>2042</v>
      </c>
      <c r="B1522" s="1" t="s">
        <v>2679</v>
      </c>
      <c r="C1522" s="7" t="s">
        <v>286</v>
      </c>
    </row>
    <row r="1523" spans="1:3">
      <c r="A1523" s="1" t="s">
        <v>2042</v>
      </c>
      <c r="B1523" s="1" t="s">
        <v>2680</v>
      </c>
      <c r="C1523" s="7" t="s">
        <v>2079</v>
      </c>
    </row>
    <row r="1524" spans="1:3">
      <c r="A1524" s="1" t="s">
        <v>2042</v>
      </c>
      <c r="B1524" s="1" t="s">
        <v>2681</v>
      </c>
      <c r="C1524" s="7" t="s">
        <v>1787</v>
      </c>
    </row>
    <row r="1525" spans="1:3">
      <c r="A1525" s="1" t="s">
        <v>2042</v>
      </c>
      <c r="B1525" s="1" t="s">
        <v>2682</v>
      </c>
      <c r="C1525" s="7" t="s">
        <v>286</v>
      </c>
    </row>
    <row r="1526" spans="1:3">
      <c r="A1526" s="1" t="s">
        <v>2042</v>
      </c>
      <c r="B1526" s="1" t="s">
        <v>2683</v>
      </c>
      <c r="C1526" s="7" t="s">
        <v>2079</v>
      </c>
    </row>
    <row r="1527" spans="1:3">
      <c r="A1527" s="1" t="s">
        <v>2042</v>
      </c>
      <c r="B1527" s="1" t="s">
        <v>2684</v>
      </c>
      <c r="C1527" s="7" t="s">
        <v>2534</v>
      </c>
    </row>
    <row r="1528" spans="1:3">
      <c r="A1528" s="1" t="s">
        <v>2042</v>
      </c>
      <c r="B1528" s="1" t="s">
        <v>2685</v>
      </c>
      <c r="C1528" s="7" t="s">
        <v>286</v>
      </c>
    </row>
    <row r="1529" spans="1:3">
      <c r="A1529" s="1" t="s">
        <v>2042</v>
      </c>
      <c r="B1529" s="1" t="s">
        <v>2686</v>
      </c>
      <c r="C1529" s="7" t="s">
        <v>2079</v>
      </c>
    </row>
    <row r="1530" spans="1:3">
      <c r="A1530" s="1" t="s">
        <v>2042</v>
      </c>
      <c r="B1530" s="1" t="s">
        <v>2687</v>
      </c>
      <c r="C1530" s="7" t="s">
        <v>2065</v>
      </c>
    </row>
    <row r="1531" spans="1:3">
      <c r="A1531" s="1" t="s">
        <v>2042</v>
      </c>
      <c r="B1531" s="1" t="s">
        <v>2688</v>
      </c>
      <c r="C1531" s="7" t="s">
        <v>286</v>
      </c>
    </row>
    <row r="1532" spans="1:3">
      <c r="A1532" s="1" t="s">
        <v>2042</v>
      </c>
      <c r="B1532" s="1" t="s">
        <v>2689</v>
      </c>
      <c r="C1532" s="7" t="s">
        <v>2079</v>
      </c>
    </row>
    <row r="1533" spans="1:3">
      <c r="A1533" s="1" t="s">
        <v>2042</v>
      </c>
      <c r="B1533" s="1" t="s">
        <v>2690</v>
      </c>
      <c r="C1533" s="7" t="s">
        <v>2539</v>
      </c>
    </row>
    <row r="1534" spans="1:3">
      <c r="A1534" s="1" t="s">
        <v>2042</v>
      </c>
      <c r="B1534" s="1" t="s">
        <v>2691</v>
      </c>
      <c r="C1534" s="7" t="s">
        <v>286</v>
      </c>
    </row>
    <row r="1535" spans="1:3">
      <c r="A1535" s="1" t="s">
        <v>2042</v>
      </c>
      <c r="B1535" s="1" t="s">
        <v>2692</v>
      </c>
      <c r="C1535" s="7" t="s">
        <v>2079</v>
      </c>
    </row>
    <row r="1536" spans="1:3">
      <c r="A1536" s="1" t="s">
        <v>2042</v>
      </c>
      <c r="B1536" s="1" t="s">
        <v>2693</v>
      </c>
      <c r="C1536" s="7" t="s">
        <v>2544</v>
      </c>
    </row>
    <row r="1537" spans="1:3">
      <c r="A1537" s="1" t="s">
        <v>2042</v>
      </c>
      <c r="B1537" s="1" t="s">
        <v>2694</v>
      </c>
      <c r="C1537" s="7" t="s">
        <v>286</v>
      </c>
    </row>
    <row r="1538" spans="1:3">
      <c r="A1538" s="1" t="s">
        <v>2042</v>
      </c>
      <c r="B1538" s="1" t="s">
        <v>2695</v>
      </c>
      <c r="C1538" s="7" t="s">
        <v>2079</v>
      </c>
    </row>
    <row r="1539" spans="1:3">
      <c r="A1539" s="1" t="s">
        <v>2042</v>
      </c>
      <c r="B1539" s="1" t="s">
        <v>2696</v>
      </c>
      <c r="C1539" s="7" t="s">
        <v>2547</v>
      </c>
    </row>
    <row r="1540" spans="1:3">
      <c r="A1540" s="1" t="s">
        <v>2042</v>
      </c>
      <c r="B1540" s="1" t="s">
        <v>2697</v>
      </c>
      <c r="C1540" s="7" t="s">
        <v>286</v>
      </c>
    </row>
    <row r="1541" spans="1:3">
      <c r="A1541" s="1" t="s">
        <v>2042</v>
      </c>
      <c r="B1541" s="1" t="s">
        <v>2698</v>
      </c>
      <c r="C1541" s="7" t="s">
        <v>2079</v>
      </c>
    </row>
    <row r="1542" spans="1:3">
      <c r="A1542" s="1" t="s">
        <v>2042</v>
      </c>
      <c r="B1542" s="1" t="s">
        <v>2699</v>
      </c>
      <c r="C1542" s="7" t="s">
        <v>2550</v>
      </c>
    </row>
    <row r="1543" spans="1:3">
      <c r="A1543" s="1" t="s">
        <v>2042</v>
      </c>
      <c r="B1543" s="1" t="s">
        <v>2700</v>
      </c>
      <c r="C1543" s="7" t="s">
        <v>286</v>
      </c>
    </row>
    <row r="1544" spans="1:3">
      <c r="A1544" s="1" t="s">
        <v>2042</v>
      </c>
      <c r="B1544" s="1" t="s">
        <v>2701</v>
      </c>
      <c r="C1544" s="7" t="s">
        <v>2079</v>
      </c>
    </row>
    <row r="1545" spans="1:3">
      <c r="A1545" s="1" t="s">
        <v>2042</v>
      </c>
      <c r="B1545" s="1" t="s">
        <v>2702</v>
      </c>
      <c r="C1545" s="7" t="s">
        <v>2553</v>
      </c>
    </row>
    <row r="1546" spans="1:3">
      <c r="A1546" s="1" t="s">
        <v>2042</v>
      </c>
      <c r="B1546" s="1" t="s">
        <v>2703</v>
      </c>
      <c r="C1546" s="7" t="s">
        <v>286</v>
      </c>
    </row>
    <row r="1547" spans="1:3">
      <c r="A1547" s="1" t="s">
        <v>2042</v>
      </c>
      <c r="B1547" s="1" t="s">
        <v>2704</v>
      </c>
      <c r="C1547" s="7" t="s">
        <v>2091</v>
      </c>
    </row>
    <row r="1548" spans="1:3">
      <c r="A1548" s="1" t="s">
        <v>2042</v>
      </c>
      <c r="B1548" s="1" t="s">
        <v>2705</v>
      </c>
      <c r="C1548" s="7" t="s">
        <v>2706</v>
      </c>
    </row>
    <row r="1549" spans="1:3">
      <c r="A1549" s="1" t="s">
        <v>2042</v>
      </c>
      <c r="B1549" s="1" t="s">
        <v>2707</v>
      </c>
      <c r="C1549" s="7" t="s">
        <v>286</v>
      </c>
    </row>
    <row r="1550" spans="1:3">
      <c r="A1550" s="1" t="s">
        <v>2042</v>
      </c>
      <c r="B1550" s="1" t="s">
        <v>2708</v>
      </c>
      <c r="C1550" s="7" t="s">
        <v>2709</v>
      </c>
    </row>
    <row r="1551" spans="1:3" ht="39" customHeight="1">
      <c r="A1551" s="1" t="s">
        <v>2042</v>
      </c>
      <c r="B1551" s="1" t="s">
        <v>2710</v>
      </c>
      <c r="C1551" s="7" t="s">
        <v>2711</v>
      </c>
    </row>
    <row r="1552" spans="1:3">
      <c r="A1552" s="1" t="s">
        <v>2042</v>
      </c>
      <c r="B1552" s="1" t="s">
        <v>2712</v>
      </c>
      <c r="C1552" s="7" t="s">
        <v>286</v>
      </c>
    </row>
    <row r="1553" spans="1:3">
      <c r="A1553" s="1" t="s">
        <v>2042</v>
      </c>
      <c r="B1553" s="1" t="s">
        <v>2713</v>
      </c>
      <c r="C1553" s="7" t="s">
        <v>2714</v>
      </c>
    </row>
    <row r="1554" spans="1:3">
      <c r="A1554" s="1" t="s">
        <v>2042</v>
      </c>
      <c r="B1554" s="1" t="s">
        <v>2715</v>
      </c>
      <c r="C1554" s="7" t="s">
        <v>286</v>
      </c>
    </row>
    <row r="1555" spans="1:3">
      <c r="A1555" s="1" t="s">
        <v>2042</v>
      </c>
      <c r="B1555" s="1" t="s">
        <v>2716</v>
      </c>
      <c r="C1555" s="7" t="s">
        <v>2717</v>
      </c>
    </row>
    <row r="1556" spans="1:3">
      <c r="A1556" s="1" t="s">
        <v>2042</v>
      </c>
      <c r="B1556" s="1" t="s">
        <v>2718</v>
      </c>
      <c r="C1556" s="7" t="s">
        <v>286</v>
      </c>
    </row>
    <row r="1557" spans="1:3">
      <c r="A1557" s="1" t="s">
        <v>2042</v>
      </c>
      <c r="B1557" s="1" t="s">
        <v>2719</v>
      </c>
      <c r="C1557" s="7" t="s">
        <v>2720</v>
      </c>
    </row>
    <row r="1558" spans="1:3">
      <c r="A1558" s="1" t="s">
        <v>2042</v>
      </c>
      <c r="B1558" s="1" t="s">
        <v>2721</v>
      </c>
      <c r="C1558" s="7" t="s">
        <v>286</v>
      </c>
    </row>
    <row r="1559" spans="1:3">
      <c r="A1559" s="1" t="s">
        <v>2042</v>
      </c>
      <c r="B1559" s="1" t="s">
        <v>2722</v>
      </c>
      <c r="C1559" s="7" t="s">
        <v>2723</v>
      </c>
    </row>
    <row r="1560" spans="1:3">
      <c r="A1560" s="1" t="s">
        <v>2042</v>
      </c>
      <c r="B1560" s="1" t="s">
        <v>2724</v>
      </c>
      <c r="C1560" s="7" t="s">
        <v>286</v>
      </c>
    </row>
    <row r="1561" spans="1:3">
      <c r="A1561" s="1" t="s">
        <v>2042</v>
      </c>
      <c r="B1561" s="1" t="s">
        <v>2725</v>
      </c>
      <c r="C1561" s="7" t="s">
        <v>436</v>
      </c>
    </row>
    <row r="1562" spans="1:3">
      <c r="A1562" s="1" t="s">
        <v>2042</v>
      </c>
      <c r="B1562" s="1" t="s">
        <v>2726</v>
      </c>
      <c r="C1562" s="7" t="s">
        <v>286</v>
      </c>
    </row>
    <row r="1563" spans="1:3">
      <c r="A1563" s="1" t="s">
        <v>2042</v>
      </c>
      <c r="B1563" s="1" t="s">
        <v>2727</v>
      </c>
      <c r="C1563" s="7" t="s">
        <v>272</v>
      </c>
    </row>
    <row r="1564" spans="1:3">
      <c r="A1564" s="1" t="s">
        <v>2042</v>
      </c>
      <c r="B1564" s="1" t="s">
        <v>2728</v>
      </c>
      <c r="C1564" s="7" t="s">
        <v>286</v>
      </c>
    </row>
    <row r="1565" spans="1:3">
      <c r="A1565" s="1" t="s">
        <v>2042</v>
      </c>
      <c r="B1565" s="1" t="s">
        <v>2729</v>
      </c>
      <c r="C1565" s="7" t="s">
        <v>2730</v>
      </c>
    </row>
    <row r="1566" spans="1:3">
      <c r="A1566" s="1" t="s">
        <v>2042</v>
      </c>
      <c r="B1566" s="1" t="s">
        <v>2731</v>
      </c>
      <c r="C1566" s="7" t="s">
        <v>286</v>
      </c>
    </row>
    <row r="1567" spans="1:3">
      <c r="A1567" s="1" t="s">
        <v>2042</v>
      </c>
      <c r="B1567" s="1" t="s">
        <v>2732</v>
      </c>
      <c r="C1567" s="7" t="s">
        <v>2733</v>
      </c>
    </row>
    <row r="1568" spans="1:3">
      <c r="A1568" s="1" t="s">
        <v>2042</v>
      </c>
      <c r="B1568" s="1" t="s">
        <v>2734</v>
      </c>
      <c r="C1568" s="7" t="s">
        <v>286</v>
      </c>
    </row>
    <row r="1569" spans="1:3">
      <c r="A1569" s="1" t="s">
        <v>2042</v>
      </c>
      <c r="B1569" s="1" t="s">
        <v>2735</v>
      </c>
      <c r="C1569" s="7" t="s">
        <v>2736</v>
      </c>
    </row>
    <row r="1570" spans="1:3">
      <c r="A1570" s="1" t="s">
        <v>2042</v>
      </c>
      <c r="B1570" s="1" t="s">
        <v>2737</v>
      </c>
      <c r="C1570" s="7" t="s">
        <v>286</v>
      </c>
    </row>
    <row r="1571" spans="1:3">
      <c r="A1571" s="1" t="s">
        <v>2042</v>
      </c>
      <c r="B1571" s="1" t="s">
        <v>2738</v>
      </c>
      <c r="C1571" s="7" t="s">
        <v>2720</v>
      </c>
    </row>
    <row r="1572" spans="1:3">
      <c r="A1572" s="1" t="s">
        <v>2042</v>
      </c>
      <c r="B1572" s="1" t="s">
        <v>2739</v>
      </c>
      <c r="C1572" s="7" t="s">
        <v>286</v>
      </c>
    </row>
    <row r="1573" spans="1:3">
      <c r="A1573" s="1" t="s">
        <v>2042</v>
      </c>
      <c r="B1573" s="1" t="s">
        <v>2740</v>
      </c>
      <c r="C1573" s="7" t="s">
        <v>2733</v>
      </c>
    </row>
    <row r="1574" spans="1:3">
      <c r="A1574" s="1" t="s">
        <v>2042</v>
      </c>
      <c r="B1574" s="1" t="s">
        <v>2741</v>
      </c>
      <c r="C1574" s="7" t="s">
        <v>286</v>
      </c>
    </row>
    <row r="1575" spans="1:3">
      <c r="A1575" s="1" t="s">
        <v>2042</v>
      </c>
      <c r="B1575" s="1" t="s">
        <v>2742</v>
      </c>
      <c r="C1575" s="7" t="s">
        <v>2736</v>
      </c>
    </row>
    <row r="1576" spans="1:3">
      <c r="A1576" s="1" t="s">
        <v>2042</v>
      </c>
      <c r="B1576" s="1" t="s">
        <v>2743</v>
      </c>
      <c r="C1576" s="7" t="s">
        <v>286</v>
      </c>
    </row>
    <row r="1577" spans="1:3">
      <c r="A1577" s="1" t="s">
        <v>2042</v>
      </c>
      <c r="B1577" s="1" t="s">
        <v>2744</v>
      </c>
      <c r="C1577" s="7" t="s">
        <v>2720</v>
      </c>
    </row>
    <row r="1578" spans="1:3">
      <c r="A1578" s="1" t="s">
        <v>2042</v>
      </c>
      <c r="B1578" s="1" t="s">
        <v>2745</v>
      </c>
      <c r="C1578" s="7" t="s">
        <v>286</v>
      </c>
    </row>
    <row r="1579" spans="1:3">
      <c r="A1579" s="1" t="s">
        <v>2042</v>
      </c>
      <c r="B1579" s="1" t="s">
        <v>2746</v>
      </c>
      <c r="C1579" s="7" t="s">
        <v>2747</v>
      </c>
    </row>
    <row r="1580" spans="1:3">
      <c r="A1580" s="1" t="s">
        <v>2042</v>
      </c>
      <c r="B1580" s="1" t="s">
        <v>2748</v>
      </c>
      <c r="C1580" s="7" t="s">
        <v>286</v>
      </c>
    </row>
    <row r="1581" spans="1:3">
      <c r="A1581" s="1" t="s">
        <v>2042</v>
      </c>
      <c r="B1581" s="1" t="s">
        <v>2749</v>
      </c>
      <c r="C1581" s="7" t="s">
        <v>2750</v>
      </c>
    </row>
    <row r="1582" spans="1:3">
      <c r="A1582" s="1" t="s">
        <v>2042</v>
      </c>
      <c r="B1582" s="1" t="s">
        <v>2751</v>
      </c>
      <c r="C1582" s="7" t="s">
        <v>286</v>
      </c>
    </row>
    <row r="1583" spans="1:3">
      <c r="A1583" s="1" t="s">
        <v>2042</v>
      </c>
      <c r="B1583" s="1" t="s">
        <v>2752</v>
      </c>
      <c r="C1583" s="7" t="s">
        <v>2753</v>
      </c>
    </row>
    <row r="1584" spans="1:3">
      <c r="A1584" s="1" t="s">
        <v>2042</v>
      </c>
      <c r="B1584" s="1" t="s">
        <v>2754</v>
      </c>
      <c r="C1584" s="7" t="s">
        <v>286</v>
      </c>
    </row>
    <row r="1585" spans="1:3">
      <c r="A1585" s="1" t="s">
        <v>2042</v>
      </c>
      <c r="B1585" s="1" t="s">
        <v>2755</v>
      </c>
      <c r="C1585" s="7" t="s">
        <v>2756</v>
      </c>
    </row>
    <row r="1586" spans="1:3">
      <c r="A1586" s="1" t="s">
        <v>2042</v>
      </c>
      <c r="B1586" s="1" t="s">
        <v>2757</v>
      </c>
      <c r="C1586" s="7" t="s">
        <v>286</v>
      </c>
    </row>
    <row r="1587" spans="1:3">
      <c r="A1587" s="1" t="s">
        <v>2042</v>
      </c>
      <c r="B1587" s="1" t="s">
        <v>2758</v>
      </c>
      <c r="C1587" s="7" t="s">
        <v>2759</v>
      </c>
    </row>
    <row r="1588" spans="1:3">
      <c r="A1588" s="1" t="s">
        <v>2042</v>
      </c>
      <c r="B1588" s="1" t="s">
        <v>2760</v>
      </c>
      <c r="C1588" s="7" t="s">
        <v>286</v>
      </c>
    </row>
    <row r="1589" spans="1:3">
      <c r="A1589" s="1" t="s">
        <v>2042</v>
      </c>
      <c r="B1589" s="1" t="s">
        <v>2761</v>
      </c>
      <c r="C1589" s="7" t="s">
        <v>2762</v>
      </c>
    </row>
    <row r="1590" spans="1:3">
      <c r="A1590" s="1" t="s">
        <v>2042</v>
      </c>
      <c r="B1590" s="1" t="s">
        <v>2763</v>
      </c>
      <c r="C1590" s="7" t="s">
        <v>286</v>
      </c>
    </row>
    <row r="1591" spans="1:3">
      <c r="A1591" s="1" t="s">
        <v>2042</v>
      </c>
      <c r="B1591" s="1" t="s">
        <v>2764</v>
      </c>
      <c r="C1591" s="7" t="s">
        <v>286</v>
      </c>
    </row>
    <row r="1592" spans="1:3">
      <c r="A1592" s="1" t="s">
        <v>2042</v>
      </c>
      <c r="B1592" s="1" t="s">
        <v>2765</v>
      </c>
      <c r="C1592" s="7" t="s">
        <v>2766</v>
      </c>
    </row>
    <row r="1593" spans="1:3">
      <c r="A1593" s="1" t="s">
        <v>2042</v>
      </c>
      <c r="B1593" s="1" t="s">
        <v>2767</v>
      </c>
      <c r="C1593" s="7" t="s">
        <v>286</v>
      </c>
    </row>
    <row r="1594" spans="1:3" ht="103.5" customHeight="1">
      <c r="A1594" s="1" t="s">
        <v>2042</v>
      </c>
      <c r="B1594" s="1" t="s">
        <v>2768</v>
      </c>
      <c r="C1594" s="7" t="s">
        <v>2769</v>
      </c>
    </row>
    <row r="1595" spans="1:3">
      <c r="A1595" s="1" t="s">
        <v>2042</v>
      </c>
      <c r="B1595" s="1" t="s">
        <v>2770</v>
      </c>
      <c r="C1595" s="7" t="s">
        <v>286</v>
      </c>
    </row>
    <row r="1596" spans="1:3">
      <c r="A1596" s="1" t="s">
        <v>2042</v>
      </c>
      <c r="B1596" s="1" t="s">
        <v>2771</v>
      </c>
      <c r="C1596" s="7" t="s">
        <v>2077</v>
      </c>
    </row>
    <row r="1597" spans="1:3">
      <c r="A1597" s="1" t="s">
        <v>2042</v>
      </c>
      <c r="B1597" s="1" t="s">
        <v>2772</v>
      </c>
      <c r="C1597" s="7" t="s">
        <v>2773</v>
      </c>
    </row>
    <row r="1598" spans="1:3">
      <c r="A1598" s="1" t="s">
        <v>2042</v>
      </c>
      <c r="B1598" s="1" t="s">
        <v>2774</v>
      </c>
      <c r="C1598" s="7" t="s">
        <v>286</v>
      </c>
    </row>
    <row r="1599" spans="1:3">
      <c r="A1599" s="1" t="s">
        <v>2042</v>
      </c>
      <c r="B1599" s="1" t="s">
        <v>2775</v>
      </c>
      <c r="C1599" s="7" t="s">
        <v>2776</v>
      </c>
    </row>
    <row r="1600" spans="1:3">
      <c r="A1600" s="1" t="s">
        <v>2042</v>
      </c>
      <c r="B1600" s="1" t="s">
        <v>2777</v>
      </c>
      <c r="C1600" s="7" t="s">
        <v>286</v>
      </c>
    </row>
    <row r="1601" spans="1:3">
      <c r="A1601" s="1" t="s">
        <v>2042</v>
      </c>
      <c r="B1601" s="1" t="s">
        <v>2778</v>
      </c>
      <c r="C1601" s="7" t="s">
        <v>2488</v>
      </c>
    </row>
    <row r="1602" spans="1:3">
      <c r="A1602" s="1" t="s">
        <v>2042</v>
      </c>
      <c r="B1602" s="1" t="s">
        <v>2779</v>
      </c>
      <c r="C1602" s="7" t="s">
        <v>286</v>
      </c>
    </row>
    <row r="1603" spans="1:3">
      <c r="A1603" s="1" t="s">
        <v>2042</v>
      </c>
      <c r="B1603" s="1" t="s">
        <v>2780</v>
      </c>
      <c r="C1603" s="7" t="s">
        <v>2491</v>
      </c>
    </row>
    <row r="1604" spans="1:3">
      <c r="A1604" s="1" t="s">
        <v>2042</v>
      </c>
      <c r="B1604" s="1" t="s">
        <v>2781</v>
      </c>
      <c r="C1604" s="7" t="s">
        <v>286</v>
      </c>
    </row>
    <row r="1605" spans="1:3">
      <c r="A1605" s="1" t="s">
        <v>2042</v>
      </c>
      <c r="B1605" s="1" t="s">
        <v>2782</v>
      </c>
      <c r="C1605" s="7" t="s">
        <v>2783</v>
      </c>
    </row>
    <row r="1606" spans="1:3" ht="25.5" customHeight="1">
      <c r="A1606" s="1" t="s">
        <v>2042</v>
      </c>
      <c r="B1606" s="1" t="s">
        <v>2784</v>
      </c>
      <c r="C1606" s="7" t="s">
        <v>2785</v>
      </c>
    </row>
    <row r="1607" spans="1:3">
      <c r="A1607" s="1" t="s">
        <v>2042</v>
      </c>
      <c r="B1607" s="1" t="s">
        <v>2786</v>
      </c>
      <c r="C1607" s="7" t="s">
        <v>286</v>
      </c>
    </row>
    <row r="1608" spans="1:3">
      <c r="A1608" s="1" t="s">
        <v>2042</v>
      </c>
      <c r="B1608" s="1" t="s">
        <v>2787</v>
      </c>
      <c r="C1608" s="7" t="s">
        <v>2788</v>
      </c>
    </row>
    <row r="1609" spans="1:3">
      <c r="A1609" s="1" t="s">
        <v>2042</v>
      </c>
      <c r="B1609" s="1" t="s">
        <v>2789</v>
      </c>
      <c r="C1609" s="7" t="s">
        <v>286</v>
      </c>
    </row>
    <row r="1610" spans="1:3">
      <c r="A1610" s="1" t="s">
        <v>2042</v>
      </c>
      <c r="B1610" s="1" t="s">
        <v>2790</v>
      </c>
      <c r="C1610" s="7" t="s">
        <v>2791</v>
      </c>
    </row>
    <row r="1611" spans="1:3">
      <c r="A1611" s="1" t="s">
        <v>2042</v>
      </c>
      <c r="B1611" s="1" t="s">
        <v>2792</v>
      </c>
      <c r="C1611" s="7" t="s">
        <v>286</v>
      </c>
    </row>
    <row r="1612" spans="1:3">
      <c r="A1612" s="1" t="s">
        <v>2042</v>
      </c>
      <c r="B1612" s="1" t="s">
        <v>2793</v>
      </c>
      <c r="C1612" s="7" t="s">
        <v>2794</v>
      </c>
    </row>
    <row r="1613" spans="1:3">
      <c r="A1613" s="1" t="s">
        <v>2042</v>
      </c>
      <c r="B1613" s="1" t="s">
        <v>2795</v>
      </c>
      <c r="C1613" s="7" t="s">
        <v>286</v>
      </c>
    </row>
    <row r="1614" spans="1:3">
      <c r="A1614" s="1" t="s">
        <v>2042</v>
      </c>
      <c r="B1614" s="1" t="s">
        <v>2796</v>
      </c>
      <c r="C1614" s="7" t="s">
        <v>2797</v>
      </c>
    </row>
    <row r="1615" spans="1:3">
      <c r="A1615" s="1" t="s">
        <v>2042</v>
      </c>
      <c r="B1615" s="1" t="s">
        <v>2798</v>
      </c>
      <c r="C1615" s="7" t="s">
        <v>286</v>
      </c>
    </row>
    <row r="1616" spans="1:3">
      <c r="A1616" s="1" t="s">
        <v>2042</v>
      </c>
      <c r="B1616" s="1" t="s">
        <v>2799</v>
      </c>
      <c r="C1616" s="7" t="s">
        <v>2800</v>
      </c>
    </row>
    <row r="1617" spans="1:3">
      <c r="A1617" s="1" t="s">
        <v>2042</v>
      </c>
      <c r="B1617" s="1" t="s">
        <v>2801</v>
      </c>
      <c r="C1617" s="7" t="s">
        <v>286</v>
      </c>
    </row>
    <row r="1618" spans="1:3">
      <c r="A1618" s="1" t="s">
        <v>2042</v>
      </c>
      <c r="B1618" s="1" t="s">
        <v>2802</v>
      </c>
      <c r="C1618" s="7" t="s">
        <v>286</v>
      </c>
    </row>
    <row r="1619" spans="1:3" ht="25.5" customHeight="1">
      <c r="A1619" s="1" t="s">
        <v>2042</v>
      </c>
      <c r="B1619" s="1" t="s">
        <v>2803</v>
      </c>
      <c r="C1619" s="7" t="s">
        <v>2804</v>
      </c>
    </row>
    <row r="1620" spans="1:3">
      <c r="A1620" s="1" t="s">
        <v>2042</v>
      </c>
      <c r="B1620" s="1" t="s">
        <v>2805</v>
      </c>
      <c r="C1620" s="7" t="s">
        <v>286</v>
      </c>
    </row>
    <row r="1621" spans="1:3">
      <c r="A1621" s="1" t="s">
        <v>2042</v>
      </c>
      <c r="B1621" s="1" t="s">
        <v>2806</v>
      </c>
      <c r="C1621" s="7" t="s">
        <v>2807</v>
      </c>
    </row>
    <row r="1622" spans="1:3">
      <c r="A1622" s="1" t="s">
        <v>2042</v>
      </c>
      <c r="B1622" s="1" t="s">
        <v>2808</v>
      </c>
      <c r="C1622" s="7" t="s">
        <v>286</v>
      </c>
    </row>
    <row r="1623" spans="1:3">
      <c r="A1623" s="1" t="s">
        <v>2042</v>
      </c>
      <c r="B1623" s="1" t="s">
        <v>2809</v>
      </c>
      <c r="C1623" s="7" t="s">
        <v>436</v>
      </c>
    </row>
    <row r="1624" spans="1:3">
      <c r="A1624" s="1" t="s">
        <v>2042</v>
      </c>
      <c r="B1624" s="1" t="s">
        <v>2810</v>
      </c>
      <c r="C1624" s="7" t="s">
        <v>286</v>
      </c>
    </row>
    <row r="1625" spans="1:3">
      <c r="A1625" s="1" t="s">
        <v>2042</v>
      </c>
      <c r="B1625" s="1" t="s">
        <v>2811</v>
      </c>
      <c r="C1625" s="7" t="s">
        <v>272</v>
      </c>
    </row>
    <row r="1626" spans="1:3">
      <c r="A1626" s="1" t="s">
        <v>2042</v>
      </c>
      <c r="B1626" s="1" t="s">
        <v>2812</v>
      </c>
      <c r="C1626" s="7" t="s">
        <v>286</v>
      </c>
    </row>
    <row r="1627" spans="1:3">
      <c r="A1627" s="1" t="s">
        <v>2042</v>
      </c>
      <c r="B1627" s="1" t="s">
        <v>2813</v>
      </c>
      <c r="C1627" s="7" t="s">
        <v>2814</v>
      </c>
    </row>
    <row r="1628" spans="1:3">
      <c r="A1628" s="1" t="s">
        <v>2042</v>
      </c>
      <c r="B1628" s="1" t="s">
        <v>2815</v>
      </c>
      <c r="C1628" s="7" t="s">
        <v>286</v>
      </c>
    </row>
    <row r="1629" spans="1:3">
      <c r="A1629" s="1" t="s">
        <v>2042</v>
      </c>
      <c r="B1629" s="1" t="s">
        <v>2816</v>
      </c>
      <c r="C1629" s="7" t="s">
        <v>2817</v>
      </c>
    </row>
    <row r="1630" spans="1:3">
      <c r="A1630" s="1" t="s">
        <v>2042</v>
      </c>
      <c r="B1630" s="1" t="s">
        <v>2818</v>
      </c>
      <c r="C1630" s="7" t="s">
        <v>286</v>
      </c>
    </row>
    <row r="1631" spans="1:3">
      <c r="A1631" s="1" t="s">
        <v>2042</v>
      </c>
      <c r="B1631" s="1" t="s">
        <v>2819</v>
      </c>
      <c r="C1631" s="7" t="s">
        <v>2820</v>
      </c>
    </row>
    <row r="1632" spans="1:3">
      <c r="A1632" s="1" t="s">
        <v>2042</v>
      </c>
      <c r="B1632" s="1" t="s">
        <v>2821</v>
      </c>
      <c r="C1632" s="7" t="s">
        <v>286</v>
      </c>
    </row>
    <row r="1633" spans="1:3">
      <c r="A1633" s="1" t="s">
        <v>2042</v>
      </c>
      <c r="B1633" s="1" t="s">
        <v>2822</v>
      </c>
      <c r="C1633" s="7" t="s">
        <v>2823</v>
      </c>
    </row>
    <row r="1634" spans="1:3">
      <c r="A1634" s="1" t="s">
        <v>2042</v>
      </c>
      <c r="B1634" s="1" t="s">
        <v>2824</v>
      </c>
      <c r="C1634" s="7" t="s">
        <v>286</v>
      </c>
    </row>
    <row r="1635" spans="1:3">
      <c r="A1635" s="1" t="s">
        <v>2042</v>
      </c>
      <c r="B1635" s="1" t="s">
        <v>2825</v>
      </c>
      <c r="C1635" s="7" t="s">
        <v>2826</v>
      </c>
    </row>
    <row r="1636" spans="1:3">
      <c r="A1636" s="1" t="s">
        <v>2042</v>
      </c>
      <c r="B1636" s="1" t="s">
        <v>2827</v>
      </c>
      <c r="C1636" s="7" t="s">
        <v>286</v>
      </c>
    </row>
    <row r="1637" spans="1:3">
      <c r="A1637" s="1" t="s">
        <v>2042</v>
      </c>
      <c r="B1637" s="1" t="s">
        <v>2828</v>
      </c>
      <c r="C1637" s="7" t="s">
        <v>2829</v>
      </c>
    </row>
    <row r="1638" spans="1:3">
      <c r="A1638" s="1" t="s">
        <v>2042</v>
      </c>
      <c r="B1638" s="1" t="s">
        <v>2830</v>
      </c>
      <c r="C1638" s="7" t="s">
        <v>286</v>
      </c>
    </row>
    <row r="1639" spans="1:3">
      <c r="A1639" s="1" t="s">
        <v>2042</v>
      </c>
      <c r="B1639" s="1" t="s">
        <v>2831</v>
      </c>
      <c r="C1639" s="7" t="s">
        <v>2832</v>
      </c>
    </row>
    <row r="1640" spans="1:3">
      <c r="A1640" s="1" t="s">
        <v>2042</v>
      </c>
      <c r="B1640" s="1" t="s">
        <v>2833</v>
      </c>
      <c r="C1640" s="7" t="s">
        <v>286</v>
      </c>
    </row>
    <row r="1641" spans="1:3">
      <c r="A1641" s="1" t="s">
        <v>2042</v>
      </c>
      <c r="B1641" s="1" t="s">
        <v>2834</v>
      </c>
      <c r="C1641" s="7" t="s">
        <v>2835</v>
      </c>
    </row>
    <row r="1642" spans="1:3">
      <c r="A1642" s="1" t="s">
        <v>2042</v>
      </c>
      <c r="B1642" s="1" t="s">
        <v>2836</v>
      </c>
      <c r="C1642" s="7" t="s">
        <v>286</v>
      </c>
    </row>
    <row r="1643" spans="1:3">
      <c r="A1643" s="1" t="s">
        <v>2042</v>
      </c>
      <c r="B1643" s="1" t="s">
        <v>2837</v>
      </c>
      <c r="C1643" s="7" t="s">
        <v>2838</v>
      </c>
    </row>
    <row r="1644" spans="1:3">
      <c r="A1644" s="1" t="s">
        <v>2042</v>
      </c>
      <c r="B1644" s="1" t="s">
        <v>2839</v>
      </c>
      <c r="C1644" s="7" t="s">
        <v>286</v>
      </c>
    </row>
    <row r="1645" spans="1:3">
      <c r="A1645" s="1" t="s">
        <v>2042</v>
      </c>
      <c r="B1645" s="1" t="s">
        <v>2840</v>
      </c>
      <c r="C1645" s="7" t="s">
        <v>2841</v>
      </c>
    </row>
    <row r="1646" spans="1:3">
      <c r="A1646" s="1" t="s">
        <v>2042</v>
      </c>
      <c r="B1646" s="1" t="s">
        <v>2842</v>
      </c>
      <c r="C1646" s="7" t="s">
        <v>286</v>
      </c>
    </row>
    <row r="1647" spans="1:3">
      <c r="A1647" s="1" t="s">
        <v>2042</v>
      </c>
      <c r="B1647" s="1" t="s">
        <v>2843</v>
      </c>
      <c r="C1647" s="7" t="s">
        <v>2844</v>
      </c>
    </row>
    <row r="1648" spans="1:3">
      <c r="A1648" s="1" t="s">
        <v>2042</v>
      </c>
      <c r="B1648" s="1" t="s">
        <v>2845</v>
      </c>
      <c r="C1648" s="7" t="s">
        <v>279</v>
      </c>
    </row>
    <row r="1649" spans="1:3">
      <c r="A1649" s="1" t="s">
        <v>2042</v>
      </c>
      <c r="B1649" s="1" t="s">
        <v>2846</v>
      </c>
      <c r="C1649" s="7" t="s">
        <v>279</v>
      </c>
    </row>
    <row r="1650" spans="1:3">
      <c r="A1650" s="1" t="s">
        <v>2042</v>
      </c>
      <c r="B1650" s="1" t="s">
        <v>2847</v>
      </c>
      <c r="C1650" s="7" t="s">
        <v>2848</v>
      </c>
    </row>
    <row r="1651" spans="1:3">
      <c r="A1651" s="1" t="s">
        <v>2042</v>
      </c>
      <c r="B1651" s="1" t="s">
        <v>2849</v>
      </c>
      <c r="C1651" s="4" t="s">
        <v>2850</v>
      </c>
    </row>
    <row r="1652" spans="1:3">
      <c r="A1652" s="1" t="s">
        <v>2042</v>
      </c>
      <c r="B1652" s="1" t="s">
        <v>2851</v>
      </c>
      <c r="C1652" s="7" t="s">
        <v>279</v>
      </c>
    </row>
    <row r="1653" spans="1:3">
      <c r="A1653" s="1" t="s">
        <v>2042</v>
      </c>
      <c r="B1653" s="1" t="s">
        <v>2852</v>
      </c>
      <c r="C1653" s="7" t="s">
        <v>2853</v>
      </c>
    </row>
    <row r="1654" spans="1:3">
      <c r="A1654" s="1" t="s">
        <v>2042</v>
      </c>
      <c r="B1654" s="1" t="s">
        <v>2854</v>
      </c>
      <c r="C1654" s="7" t="s">
        <v>279</v>
      </c>
    </row>
    <row r="1655" spans="1:3">
      <c r="A1655" s="1" t="s">
        <v>2042</v>
      </c>
      <c r="B1655" s="1" t="s">
        <v>2855</v>
      </c>
      <c r="C1655" s="7" t="s">
        <v>1146</v>
      </c>
    </row>
    <row r="1656" spans="1:3">
      <c r="A1656" s="1" t="s">
        <v>2042</v>
      </c>
      <c r="B1656" s="1" t="s">
        <v>2856</v>
      </c>
      <c r="C1656" s="7" t="s">
        <v>279</v>
      </c>
    </row>
    <row r="1657" spans="1:3">
      <c r="A1657" s="1" t="s">
        <v>2042</v>
      </c>
      <c r="B1657" s="1" t="s">
        <v>2857</v>
      </c>
      <c r="C1657" s="7" t="s">
        <v>1147</v>
      </c>
    </row>
    <row r="1658" spans="1:3">
      <c r="A1658" s="1" t="s">
        <v>2042</v>
      </c>
      <c r="B1658" s="1" t="s">
        <v>2858</v>
      </c>
      <c r="C1658" s="7" t="s">
        <v>279</v>
      </c>
    </row>
    <row r="1659" spans="1:3">
      <c r="A1659" s="1" t="s">
        <v>2042</v>
      </c>
      <c r="B1659" s="1" t="s">
        <v>2859</v>
      </c>
      <c r="C1659" s="7" t="s">
        <v>1149</v>
      </c>
    </row>
    <row r="1660" spans="1:3">
      <c r="A1660" s="1" t="s">
        <v>2042</v>
      </c>
      <c r="B1660" s="1" t="s">
        <v>2860</v>
      </c>
      <c r="C1660" s="7" t="s">
        <v>279</v>
      </c>
    </row>
    <row r="1661" spans="1:3">
      <c r="A1661" s="1" t="s">
        <v>2042</v>
      </c>
      <c r="B1661" s="1" t="s">
        <v>2861</v>
      </c>
      <c r="C1661" s="7" t="s">
        <v>1150</v>
      </c>
    </row>
    <row r="1662" spans="1:3">
      <c r="A1662" s="1" t="s">
        <v>2042</v>
      </c>
      <c r="B1662" s="1" t="s">
        <v>2862</v>
      </c>
      <c r="C1662" s="7" t="s">
        <v>279</v>
      </c>
    </row>
    <row r="1663" spans="1:3">
      <c r="A1663" s="1" t="s">
        <v>2042</v>
      </c>
      <c r="B1663" s="1" t="s">
        <v>2863</v>
      </c>
      <c r="C1663" s="7" t="s">
        <v>1152</v>
      </c>
    </row>
    <row r="1664" spans="1:3">
      <c r="A1664" s="1" t="s">
        <v>2042</v>
      </c>
      <c r="B1664" s="1" t="s">
        <v>2864</v>
      </c>
      <c r="C1664" s="7" t="s">
        <v>279</v>
      </c>
    </row>
    <row r="1665" spans="1:3">
      <c r="A1665" s="1" t="s">
        <v>2042</v>
      </c>
      <c r="B1665" s="1" t="s">
        <v>2865</v>
      </c>
      <c r="C1665" s="7" t="s">
        <v>1154</v>
      </c>
    </row>
    <row r="1666" spans="1:3">
      <c r="A1666" s="1" t="s">
        <v>2042</v>
      </c>
      <c r="B1666" s="1" t="s">
        <v>2866</v>
      </c>
      <c r="C1666" s="7" t="s">
        <v>279</v>
      </c>
    </row>
    <row r="1667" spans="1:3">
      <c r="A1667" s="1" t="s">
        <v>2042</v>
      </c>
      <c r="B1667" s="1" t="s">
        <v>2867</v>
      </c>
      <c r="C1667" s="7" t="s">
        <v>1156</v>
      </c>
    </row>
    <row r="1668" spans="1:3">
      <c r="A1668" s="1" t="s">
        <v>2042</v>
      </c>
      <c r="B1668" s="1" t="s">
        <v>2868</v>
      </c>
      <c r="C1668" s="7" t="s">
        <v>279</v>
      </c>
    </row>
    <row r="1669" spans="1:3">
      <c r="A1669" s="1" t="s">
        <v>2042</v>
      </c>
      <c r="B1669" s="1" t="s">
        <v>2869</v>
      </c>
      <c r="C1669" s="7" t="s">
        <v>1158</v>
      </c>
    </row>
    <row r="1670" spans="1:3">
      <c r="A1670" s="1" t="s">
        <v>2042</v>
      </c>
      <c r="B1670" s="1" t="s">
        <v>2870</v>
      </c>
      <c r="C1670" s="7" t="s">
        <v>279</v>
      </c>
    </row>
    <row r="1671" spans="1:3">
      <c r="A1671" s="1" t="s">
        <v>2042</v>
      </c>
      <c r="B1671" s="1" t="s">
        <v>2871</v>
      </c>
      <c r="C1671" s="7" t="s">
        <v>1159</v>
      </c>
    </row>
    <row r="1672" spans="1:3">
      <c r="A1672" s="1" t="s">
        <v>2042</v>
      </c>
      <c r="B1672" s="1" t="s">
        <v>2872</v>
      </c>
      <c r="C1672" s="7" t="s">
        <v>279</v>
      </c>
    </row>
    <row r="1673" spans="1:3" ht="25.5" customHeight="1">
      <c r="A1673" s="1" t="s">
        <v>2042</v>
      </c>
      <c r="B1673" s="1" t="s">
        <v>2873</v>
      </c>
      <c r="C1673" s="7" t="s">
        <v>1160</v>
      </c>
    </row>
    <row r="1674" spans="1:3">
      <c r="A1674" s="1" t="s">
        <v>2042</v>
      </c>
      <c r="B1674" s="1" t="s">
        <v>2874</v>
      </c>
      <c r="C1674" s="7" t="s">
        <v>279</v>
      </c>
    </row>
    <row r="1675" spans="1:3">
      <c r="A1675" s="1" t="s">
        <v>2042</v>
      </c>
      <c r="B1675" s="1" t="s">
        <v>2875</v>
      </c>
      <c r="C1675" s="7" t="s">
        <v>1162</v>
      </c>
    </row>
    <row r="1676" spans="1:3">
      <c r="A1676" s="1" t="s">
        <v>2042</v>
      </c>
      <c r="B1676" s="1" t="s">
        <v>2876</v>
      </c>
      <c r="C1676" s="7" t="s">
        <v>279</v>
      </c>
    </row>
    <row r="1677" spans="1:3">
      <c r="A1677" s="1" t="s">
        <v>2042</v>
      </c>
      <c r="B1677" s="1" t="s">
        <v>2877</v>
      </c>
      <c r="C1677" s="7" t="s">
        <v>1163</v>
      </c>
    </row>
    <row r="1678" spans="1:3">
      <c r="A1678" s="1" t="s">
        <v>2042</v>
      </c>
      <c r="B1678" s="1" t="s">
        <v>2878</v>
      </c>
      <c r="C1678" s="7" t="s">
        <v>279</v>
      </c>
    </row>
    <row r="1679" spans="1:3">
      <c r="A1679" s="1" t="s">
        <v>2042</v>
      </c>
      <c r="B1679" s="1" t="s">
        <v>2879</v>
      </c>
      <c r="C1679" s="7" t="s">
        <v>1164</v>
      </c>
    </row>
    <row r="1680" spans="1:3">
      <c r="A1680" s="1" t="s">
        <v>2042</v>
      </c>
      <c r="B1680" s="1" t="s">
        <v>2880</v>
      </c>
      <c r="C1680" s="7" t="s">
        <v>279</v>
      </c>
    </row>
    <row r="1681" spans="1:3">
      <c r="A1681" s="1" t="s">
        <v>2042</v>
      </c>
      <c r="B1681" s="1" t="s">
        <v>2881</v>
      </c>
      <c r="C1681" s="7" t="s">
        <v>1166</v>
      </c>
    </row>
    <row r="1682" spans="1:3">
      <c r="A1682" s="1" t="s">
        <v>2042</v>
      </c>
      <c r="B1682" s="1" t="s">
        <v>2882</v>
      </c>
      <c r="C1682" s="7" t="s">
        <v>279</v>
      </c>
    </row>
    <row r="1683" spans="1:3">
      <c r="A1683" s="1" t="s">
        <v>2042</v>
      </c>
      <c r="B1683" s="1" t="s">
        <v>2883</v>
      </c>
      <c r="C1683" s="7" t="s">
        <v>1167</v>
      </c>
    </row>
    <row r="1684" spans="1:3">
      <c r="A1684" s="1" t="s">
        <v>2042</v>
      </c>
      <c r="B1684" s="1" t="s">
        <v>2884</v>
      </c>
      <c r="C1684" s="7" t="s">
        <v>279</v>
      </c>
    </row>
    <row r="1685" spans="1:3">
      <c r="A1685" s="1" t="s">
        <v>2042</v>
      </c>
      <c r="B1685" s="1" t="s">
        <v>2885</v>
      </c>
      <c r="C1685" s="7" t="s">
        <v>2886</v>
      </c>
    </row>
    <row r="1686" spans="1:3">
      <c r="A1686" s="1" t="s">
        <v>2042</v>
      </c>
      <c r="B1686" s="1" t="s">
        <v>2887</v>
      </c>
      <c r="C1686" s="7" t="s">
        <v>279</v>
      </c>
    </row>
    <row r="1687" spans="1:3">
      <c r="A1687" s="1" t="s">
        <v>2042</v>
      </c>
      <c r="B1687" s="1" t="s">
        <v>2888</v>
      </c>
      <c r="C1687" s="7" t="s">
        <v>1171</v>
      </c>
    </row>
    <row r="1688" spans="1:3">
      <c r="A1688" s="1" t="s">
        <v>2042</v>
      </c>
      <c r="B1688" s="1" t="s">
        <v>2889</v>
      </c>
      <c r="C1688" s="7" t="s">
        <v>279</v>
      </c>
    </row>
    <row r="1689" spans="1:3">
      <c r="A1689" s="1" t="s">
        <v>2042</v>
      </c>
      <c r="B1689" s="1" t="s">
        <v>2890</v>
      </c>
      <c r="C1689" s="7" t="s">
        <v>1173</v>
      </c>
    </row>
    <row r="1690" spans="1:3">
      <c r="A1690" s="1" t="s">
        <v>2042</v>
      </c>
      <c r="B1690" s="1" t="s">
        <v>2891</v>
      </c>
      <c r="C1690" s="7" t="s">
        <v>279</v>
      </c>
    </row>
    <row r="1691" spans="1:3">
      <c r="A1691" s="1" t="s">
        <v>2042</v>
      </c>
      <c r="B1691" s="1" t="s">
        <v>2892</v>
      </c>
      <c r="C1691" s="7" t="s">
        <v>1175</v>
      </c>
    </row>
    <row r="1692" spans="1:3">
      <c r="A1692" s="1" t="s">
        <v>2042</v>
      </c>
      <c r="B1692" s="1" t="s">
        <v>2893</v>
      </c>
      <c r="C1692" s="7" t="s">
        <v>279</v>
      </c>
    </row>
    <row r="1693" spans="1:3">
      <c r="A1693" s="1" t="s">
        <v>2042</v>
      </c>
      <c r="B1693" s="1" t="s">
        <v>2894</v>
      </c>
      <c r="C1693" s="7" t="s">
        <v>1177</v>
      </c>
    </row>
    <row r="1694" spans="1:3">
      <c r="A1694" s="1" t="s">
        <v>2042</v>
      </c>
      <c r="B1694" s="1" t="s">
        <v>2895</v>
      </c>
      <c r="C1694" s="7" t="s">
        <v>279</v>
      </c>
    </row>
    <row r="1695" spans="1:3">
      <c r="A1695" s="1" t="s">
        <v>2042</v>
      </c>
      <c r="B1695" s="1" t="s">
        <v>2896</v>
      </c>
      <c r="C1695" s="7" t="s">
        <v>1179</v>
      </c>
    </row>
    <row r="1696" spans="1:3">
      <c r="A1696" s="1" t="s">
        <v>2042</v>
      </c>
      <c r="B1696" s="1" t="s">
        <v>2897</v>
      </c>
      <c r="C1696" s="7" t="s">
        <v>279</v>
      </c>
    </row>
    <row r="1697" spans="1:3">
      <c r="A1697" s="1" t="s">
        <v>2042</v>
      </c>
      <c r="B1697" s="1" t="s">
        <v>2898</v>
      </c>
      <c r="C1697" s="7" t="s">
        <v>1181</v>
      </c>
    </row>
    <row r="1698" spans="1:3">
      <c r="A1698" s="1" t="s">
        <v>2042</v>
      </c>
      <c r="B1698" s="1" t="s">
        <v>2899</v>
      </c>
      <c r="C1698" s="7" t="s">
        <v>279</v>
      </c>
    </row>
    <row r="1699" spans="1:3">
      <c r="A1699" s="1" t="s">
        <v>2042</v>
      </c>
      <c r="B1699" s="1" t="s">
        <v>2900</v>
      </c>
      <c r="C1699" s="7" t="s">
        <v>2901</v>
      </c>
    </row>
    <row r="1700" spans="1:3">
      <c r="A1700" s="1" t="s">
        <v>2042</v>
      </c>
      <c r="B1700" s="1" t="s">
        <v>2902</v>
      </c>
      <c r="C1700" s="7" t="s">
        <v>279</v>
      </c>
    </row>
    <row r="1701" spans="1:3">
      <c r="A1701" s="1" t="s">
        <v>2042</v>
      </c>
      <c r="B1701" s="1" t="s">
        <v>2903</v>
      </c>
      <c r="C1701" s="7" t="s">
        <v>1183</v>
      </c>
    </row>
    <row r="1702" spans="1:3">
      <c r="A1702" s="1" t="s">
        <v>2042</v>
      </c>
      <c r="B1702" s="1" t="s">
        <v>2904</v>
      </c>
      <c r="C1702" s="7" t="s">
        <v>279</v>
      </c>
    </row>
    <row r="1703" spans="1:3">
      <c r="A1703" s="1" t="s">
        <v>2042</v>
      </c>
      <c r="B1703" s="1" t="s">
        <v>2905</v>
      </c>
      <c r="C1703" s="7" t="s">
        <v>1185</v>
      </c>
    </row>
    <row r="1704" spans="1:3">
      <c r="A1704" s="1" t="s">
        <v>2042</v>
      </c>
      <c r="B1704" s="1" t="s">
        <v>2906</v>
      </c>
      <c r="C1704" s="7" t="s">
        <v>279</v>
      </c>
    </row>
    <row r="1705" spans="1:3">
      <c r="A1705" s="1" t="s">
        <v>2042</v>
      </c>
      <c r="B1705" s="1" t="s">
        <v>2907</v>
      </c>
      <c r="C1705" s="7" t="s">
        <v>2908</v>
      </c>
    </row>
    <row r="1706" spans="1:3">
      <c r="A1706" s="1" t="s">
        <v>2042</v>
      </c>
      <c r="B1706" s="1" t="s">
        <v>2909</v>
      </c>
      <c r="C1706" s="7" t="s">
        <v>279</v>
      </c>
    </row>
    <row r="1707" spans="1:3">
      <c r="A1707" s="1" t="s">
        <v>2042</v>
      </c>
      <c r="B1707" s="1" t="s">
        <v>2910</v>
      </c>
      <c r="C1707" s="7" t="s">
        <v>2911</v>
      </c>
    </row>
    <row r="1708" spans="1:3">
      <c r="A1708" s="1" t="s">
        <v>2042</v>
      </c>
      <c r="B1708" s="1" t="s">
        <v>2912</v>
      </c>
      <c r="C1708" s="7" t="s">
        <v>279</v>
      </c>
    </row>
    <row r="1709" spans="1:3">
      <c r="A1709" s="1" t="s">
        <v>2042</v>
      </c>
      <c r="B1709" s="1" t="s">
        <v>2913</v>
      </c>
      <c r="C1709" s="7" t="s">
        <v>2914</v>
      </c>
    </row>
    <row r="1710" spans="1:3">
      <c r="A1710" s="1" t="s">
        <v>2042</v>
      </c>
      <c r="B1710" s="1" t="s">
        <v>2915</v>
      </c>
      <c r="C1710" s="7" t="s">
        <v>279</v>
      </c>
    </row>
    <row r="1711" spans="1:3">
      <c r="A1711" s="1" t="s">
        <v>2042</v>
      </c>
      <c r="B1711" s="1" t="s">
        <v>2916</v>
      </c>
      <c r="C1711" s="7" t="s">
        <v>2917</v>
      </c>
    </row>
    <row r="1712" spans="1:3">
      <c r="A1712" s="1" t="s">
        <v>2042</v>
      </c>
      <c r="B1712" s="1" t="s">
        <v>2918</v>
      </c>
      <c r="C1712" s="7" t="s">
        <v>279</v>
      </c>
    </row>
    <row r="1713" spans="1:3">
      <c r="A1713" s="1" t="s">
        <v>2042</v>
      </c>
      <c r="B1713" s="1" t="s">
        <v>2919</v>
      </c>
      <c r="C1713" s="7" t="s">
        <v>2920</v>
      </c>
    </row>
    <row r="1714" spans="1:3">
      <c r="A1714" s="1" t="s">
        <v>2042</v>
      </c>
      <c r="B1714" s="1" t="s">
        <v>2921</v>
      </c>
      <c r="C1714" s="7" t="s">
        <v>279</v>
      </c>
    </row>
    <row r="1715" spans="1:3">
      <c r="A1715" s="1" t="s">
        <v>2042</v>
      </c>
      <c r="B1715" s="1" t="s">
        <v>2922</v>
      </c>
      <c r="C1715" s="7" t="s">
        <v>2923</v>
      </c>
    </row>
    <row r="1716" spans="1:3">
      <c r="A1716" s="1" t="s">
        <v>2042</v>
      </c>
      <c r="B1716" s="1" t="s">
        <v>2924</v>
      </c>
      <c r="C1716" s="7" t="s">
        <v>279</v>
      </c>
    </row>
    <row r="1717" spans="1:3">
      <c r="A1717" s="1" t="s">
        <v>2042</v>
      </c>
      <c r="B1717" s="1" t="s">
        <v>2925</v>
      </c>
      <c r="C1717" s="7" t="s">
        <v>2926</v>
      </c>
    </row>
    <row r="1718" spans="1:3">
      <c r="A1718" s="1" t="s">
        <v>2042</v>
      </c>
      <c r="B1718" s="1" t="s">
        <v>2927</v>
      </c>
      <c r="C1718" s="7" t="s">
        <v>271</v>
      </c>
    </row>
    <row r="1719" spans="1:3">
      <c r="A1719" s="1" t="s">
        <v>2042</v>
      </c>
      <c r="B1719" s="1" t="s">
        <v>2928</v>
      </c>
      <c r="C1719" s="7" t="s">
        <v>1240</v>
      </c>
    </row>
    <row r="1720" spans="1:3">
      <c r="A1720" s="1" t="s">
        <v>2042</v>
      </c>
      <c r="B1720" s="1" t="s">
        <v>2929</v>
      </c>
      <c r="C1720" s="7" t="s">
        <v>1241</v>
      </c>
    </row>
    <row r="1721" spans="1:3">
      <c r="A1721" s="1" t="s">
        <v>2042</v>
      </c>
      <c r="B1721" s="1" t="s">
        <v>2930</v>
      </c>
      <c r="C1721" s="4" t="s">
        <v>1243</v>
      </c>
    </row>
    <row r="1722" spans="1:3">
      <c r="A1722" s="1" t="s">
        <v>2042</v>
      </c>
      <c r="B1722" s="1" t="s">
        <v>2931</v>
      </c>
      <c r="C1722" s="7" t="s">
        <v>271</v>
      </c>
    </row>
    <row r="1723" spans="1:3">
      <c r="A1723" s="1" t="s">
        <v>2042</v>
      </c>
      <c r="B1723" s="1" t="s">
        <v>2932</v>
      </c>
      <c r="C1723" s="7" t="s">
        <v>1244</v>
      </c>
    </row>
    <row r="1724" spans="1:3">
      <c r="A1724" s="1" t="s">
        <v>2042</v>
      </c>
      <c r="B1724" s="1" t="s">
        <v>2933</v>
      </c>
      <c r="C1724" s="7" t="s">
        <v>271</v>
      </c>
    </row>
    <row r="1725" spans="1:3">
      <c r="A1725" s="1" t="s">
        <v>2042</v>
      </c>
      <c r="B1725" s="1" t="s">
        <v>2934</v>
      </c>
      <c r="C1725" s="7" t="s">
        <v>1260</v>
      </c>
    </row>
    <row r="1726" spans="1:3">
      <c r="A1726" s="1" t="s">
        <v>2042</v>
      </c>
      <c r="B1726" s="1" t="s">
        <v>2935</v>
      </c>
      <c r="C1726" s="7" t="s">
        <v>271</v>
      </c>
    </row>
    <row r="1727" spans="1:3">
      <c r="A1727" s="1" t="s">
        <v>2042</v>
      </c>
      <c r="B1727" s="1" t="s">
        <v>2936</v>
      </c>
      <c r="C1727" s="7" t="s">
        <v>1262</v>
      </c>
    </row>
    <row r="1728" spans="1:3">
      <c r="A1728" s="1" t="s">
        <v>2042</v>
      </c>
      <c r="B1728" s="1" t="s">
        <v>2937</v>
      </c>
      <c r="C1728" s="7" t="s">
        <v>271</v>
      </c>
    </row>
    <row r="1729" spans="1:3">
      <c r="A1729" s="1" t="s">
        <v>2042</v>
      </c>
      <c r="B1729" s="1" t="s">
        <v>2938</v>
      </c>
      <c r="C1729" s="7" t="s">
        <v>1267</v>
      </c>
    </row>
    <row r="1730" spans="1:3">
      <c r="A1730" s="1" t="s">
        <v>2042</v>
      </c>
      <c r="B1730" s="1" t="s">
        <v>2939</v>
      </c>
      <c r="C1730" s="7" t="s">
        <v>271</v>
      </c>
    </row>
    <row r="1731" spans="1:3">
      <c r="A1731" s="1" t="s">
        <v>2042</v>
      </c>
      <c r="B1731" s="1" t="s">
        <v>2940</v>
      </c>
      <c r="C1731" s="7" t="s">
        <v>1270</v>
      </c>
    </row>
    <row r="1732" spans="1:3">
      <c r="A1732" s="1" t="s">
        <v>2042</v>
      </c>
      <c r="B1732" s="1" t="s">
        <v>2941</v>
      </c>
      <c r="C1732" s="7" t="s">
        <v>271</v>
      </c>
    </row>
    <row r="1733" spans="1:3">
      <c r="A1733" s="1" t="s">
        <v>2042</v>
      </c>
      <c r="B1733" s="1" t="s">
        <v>2942</v>
      </c>
      <c r="C1733" s="7" t="s">
        <v>1275</v>
      </c>
    </row>
    <row r="1734" spans="1:3">
      <c r="A1734" s="1" t="s">
        <v>2042</v>
      </c>
      <c r="B1734" s="1" t="s">
        <v>2943</v>
      </c>
      <c r="C1734" s="7" t="s">
        <v>271</v>
      </c>
    </row>
    <row r="1735" spans="1:3">
      <c r="A1735" s="1" t="s">
        <v>2042</v>
      </c>
      <c r="B1735" s="1" t="s">
        <v>2944</v>
      </c>
      <c r="C1735" s="7" t="s">
        <v>1279</v>
      </c>
    </row>
    <row r="1736" spans="1:3">
      <c r="A1736" s="1" t="s">
        <v>2042</v>
      </c>
      <c r="B1736" s="1" t="s">
        <v>2945</v>
      </c>
      <c r="C1736" s="7" t="s">
        <v>271</v>
      </c>
    </row>
    <row r="1737" spans="1:3">
      <c r="A1737" s="1" t="s">
        <v>2042</v>
      </c>
      <c r="B1737" s="1" t="s">
        <v>2946</v>
      </c>
      <c r="C1737" s="7" t="s">
        <v>1281</v>
      </c>
    </row>
    <row r="1738" spans="1:3">
      <c r="A1738" s="1" t="s">
        <v>2042</v>
      </c>
      <c r="B1738" s="1" t="s">
        <v>2947</v>
      </c>
      <c r="C1738" s="7" t="s">
        <v>271</v>
      </c>
    </row>
    <row r="1739" spans="1:3">
      <c r="A1739" s="1" t="s">
        <v>2042</v>
      </c>
      <c r="B1739" s="1" t="s">
        <v>2948</v>
      </c>
      <c r="C1739" s="7" t="s">
        <v>1283</v>
      </c>
    </row>
    <row r="1740" spans="1:3">
      <c r="A1740" s="1" t="s">
        <v>2042</v>
      </c>
      <c r="B1740" s="1" t="s">
        <v>2949</v>
      </c>
      <c r="C1740" s="7" t="s">
        <v>271</v>
      </c>
    </row>
    <row r="1741" spans="1:3">
      <c r="A1741" s="1" t="s">
        <v>2042</v>
      </c>
      <c r="B1741" s="1" t="s">
        <v>2950</v>
      </c>
      <c r="C1741" s="7" t="s">
        <v>1286</v>
      </c>
    </row>
    <row r="1742" spans="1:3">
      <c r="A1742" s="1" t="s">
        <v>2042</v>
      </c>
      <c r="B1742" s="1" t="s">
        <v>2951</v>
      </c>
      <c r="C1742" s="7" t="s">
        <v>271</v>
      </c>
    </row>
    <row r="1743" spans="1:3">
      <c r="A1743" s="1" t="s">
        <v>2042</v>
      </c>
      <c r="B1743" s="1" t="s">
        <v>2952</v>
      </c>
      <c r="C1743" s="7" t="s">
        <v>1289</v>
      </c>
    </row>
    <row r="1744" spans="1:3">
      <c r="A1744" s="1" t="s">
        <v>2042</v>
      </c>
      <c r="B1744" s="1" t="s">
        <v>2953</v>
      </c>
      <c r="C1744" s="7" t="s">
        <v>271</v>
      </c>
    </row>
    <row r="1745" spans="1:3">
      <c r="A1745" s="1" t="s">
        <v>2042</v>
      </c>
      <c r="B1745" s="1" t="s">
        <v>2954</v>
      </c>
      <c r="C1745" s="7" t="s">
        <v>1292</v>
      </c>
    </row>
    <row r="1746" spans="1:3">
      <c r="A1746" s="1" t="s">
        <v>2042</v>
      </c>
      <c r="B1746" s="1" t="s">
        <v>2955</v>
      </c>
      <c r="C1746" s="7" t="s">
        <v>271</v>
      </c>
    </row>
    <row r="1747" spans="1:3">
      <c r="A1747" s="1" t="s">
        <v>2042</v>
      </c>
      <c r="B1747" s="1" t="s">
        <v>2956</v>
      </c>
      <c r="C1747" s="7" t="s">
        <v>1293</v>
      </c>
    </row>
    <row r="1748" spans="1:3">
      <c r="A1748" s="1" t="s">
        <v>2042</v>
      </c>
      <c r="B1748" s="1" t="s">
        <v>2957</v>
      </c>
      <c r="C1748" s="7" t="s">
        <v>271</v>
      </c>
    </row>
    <row r="1749" spans="1:3">
      <c r="A1749" s="1" t="s">
        <v>2042</v>
      </c>
      <c r="B1749" s="1" t="s">
        <v>2958</v>
      </c>
      <c r="C1749" s="7" t="s">
        <v>1294</v>
      </c>
    </row>
    <row r="1750" spans="1:3">
      <c r="A1750" s="1" t="s">
        <v>2042</v>
      </c>
      <c r="B1750" s="1" t="s">
        <v>2959</v>
      </c>
      <c r="C1750" s="7" t="s">
        <v>271</v>
      </c>
    </row>
    <row r="1751" spans="1:3">
      <c r="A1751" s="1" t="s">
        <v>2042</v>
      </c>
      <c r="B1751" s="1" t="s">
        <v>2960</v>
      </c>
      <c r="C1751" s="7" t="s">
        <v>1295</v>
      </c>
    </row>
    <row r="1752" spans="1:3">
      <c r="A1752" s="1" t="s">
        <v>2042</v>
      </c>
      <c r="B1752" s="1" t="s">
        <v>2961</v>
      </c>
      <c r="C1752" s="7" t="s">
        <v>271</v>
      </c>
    </row>
    <row r="1753" spans="1:3">
      <c r="A1753" s="1" t="s">
        <v>2042</v>
      </c>
      <c r="B1753" s="1" t="s">
        <v>2962</v>
      </c>
      <c r="C1753" s="7" t="s">
        <v>1296</v>
      </c>
    </row>
    <row r="1754" spans="1:3">
      <c r="A1754" s="1" t="s">
        <v>2042</v>
      </c>
      <c r="B1754" s="1" t="s">
        <v>2963</v>
      </c>
      <c r="C1754" s="7" t="s">
        <v>271</v>
      </c>
    </row>
    <row r="1755" spans="1:3">
      <c r="A1755" s="1" t="s">
        <v>2042</v>
      </c>
      <c r="B1755" s="1" t="s">
        <v>2964</v>
      </c>
      <c r="C1755" s="7" t="s">
        <v>1297</v>
      </c>
    </row>
    <row r="1756" spans="1:3">
      <c r="A1756" s="1" t="s">
        <v>2042</v>
      </c>
      <c r="B1756" s="1" t="s">
        <v>2965</v>
      </c>
      <c r="C1756" s="7" t="s">
        <v>271</v>
      </c>
    </row>
    <row r="1757" spans="1:3">
      <c r="A1757" s="1" t="s">
        <v>2042</v>
      </c>
      <c r="B1757" s="1" t="s">
        <v>2966</v>
      </c>
      <c r="C1757" s="7" t="s">
        <v>1299</v>
      </c>
    </row>
    <row r="1758" spans="1:3">
      <c r="A1758" s="1" t="s">
        <v>2042</v>
      </c>
      <c r="B1758" s="1" t="s">
        <v>2967</v>
      </c>
      <c r="C1758" s="7" t="s">
        <v>271</v>
      </c>
    </row>
    <row r="1759" spans="1:3">
      <c r="A1759" s="1" t="s">
        <v>2042</v>
      </c>
      <c r="B1759" s="1" t="s">
        <v>2968</v>
      </c>
      <c r="C1759" s="7" t="s">
        <v>1300</v>
      </c>
    </row>
    <row r="1760" spans="1:3">
      <c r="A1760" s="1" t="s">
        <v>2042</v>
      </c>
      <c r="B1760" s="1" t="s">
        <v>2969</v>
      </c>
      <c r="C1760" s="7" t="s">
        <v>271</v>
      </c>
    </row>
    <row r="1761" spans="1:3">
      <c r="A1761" s="1" t="s">
        <v>2042</v>
      </c>
      <c r="B1761" s="1" t="s">
        <v>2970</v>
      </c>
      <c r="C1761" s="7" t="s">
        <v>2971</v>
      </c>
    </row>
    <row r="1762" spans="1:3">
      <c r="A1762" s="1" t="s">
        <v>2042</v>
      </c>
      <c r="B1762" s="1" t="s">
        <v>2972</v>
      </c>
      <c r="C1762" s="7" t="s">
        <v>271</v>
      </c>
    </row>
    <row r="1763" spans="1:3">
      <c r="A1763" s="1" t="s">
        <v>2042</v>
      </c>
      <c r="B1763" s="1" t="s">
        <v>2973</v>
      </c>
      <c r="C1763" s="7" t="s">
        <v>1302</v>
      </c>
    </row>
    <row r="1764" spans="1:3">
      <c r="A1764" s="1" t="s">
        <v>2042</v>
      </c>
      <c r="B1764" s="1" t="s">
        <v>2974</v>
      </c>
      <c r="C1764" s="7" t="s">
        <v>271</v>
      </c>
    </row>
    <row r="1765" spans="1:3">
      <c r="A1765" s="1" t="s">
        <v>2042</v>
      </c>
      <c r="B1765" s="1" t="s">
        <v>2975</v>
      </c>
      <c r="C1765" s="7" t="s">
        <v>2976</v>
      </c>
    </row>
    <row r="1766" spans="1:3">
      <c r="A1766" s="1" t="s">
        <v>2042</v>
      </c>
      <c r="B1766" s="1" t="s">
        <v>2977</v>
      </c>
      <c r="C1766" s="7" t="s">
        <v>271</v>
      </c>
    </row>
    <row r="1767" spans="1:3">
      <c r="A1767" s="1" t="s">
        <v>2042</v>
      </c>
      <c r="B1767" s="1" t="s">
        <v>2978</v>
      </c>
      <c r="C1767" s="7" t="s">
        <v>300</v>
      </c>
    </row>
    <row r="1768" spans="1:3">
      <c r="A1768" s="1" t="s">
        <v>2042</v>
      </c>
      <c r="B1768" s="1" t="s">
        <v>2979</v>
      </c>
      <c r="C1768" s="7" t="s">
        <v>271</v>
      </c>
    </row>
    <row r="1769" spans="1:3">
      <c r="A1769" s="1" t="s">
        <v>2042</v>
      </c>
      <c r="B1769" s="1" t="s">
        <v>2980</v>
      </c>
      <c r="C1769" s="7" t="s">
        <v>2981</v>
      </c>
    </row>
    <row r="1770" spans="1:3">
      <c r="A1770" s="1" t="s">
        <v>2042</v>
      </c>
      <c r="B1770" s="1" t="s">
        <v>2982</v>
      </c>
      <c r="C1770" s="7" t="s">
        <v>2983</v>
      </c>
    </row>
    <row r="1771" spans="1:3">
      <c r="A1771" s="1" t="s">
        <v>2042</v>
      </c>
      <c r="B1771" s="1" t="s">
        <v>2984</v>
      </c>
      <c r="C1771" s="7" t="s">
        <v>2985</v>
      </c>
    </row>
    <row r="1772" spans="1:3">
      <c r="A1772" s="1" t="s">
        <v>2042</v>
      </c>
      <c r="B1772" s="1" t="s">
        <v>2986</v>
      </c>
      <c r="C1772" s="7" t="s">
        <v>2987</v>
      </c>
    </row>
    <row r="1773" spans="1:3">
      <c r="A1773" s="1" t="s">
        <v>2042</v>
      </c>
      <c r="B1773" s="1" t="s">
        <v>2988</v>
      </c>
      <c r="C1773" s="7" t="s">
        <v>2989</v>
      </c>
    </row>
    <row r="1774" spans="1:3">
      <c r="A1774" s="1" t="s">
        <v>2042</v>
      </c>
      <c r="B1774" s="1" t="s">
        <v>2990</v>
      </c>
      <c r="C1774" s="7" t="s">
        <v>2991</v>
      </c>
    </row>
    <row r="1775" spans="1:3">
      <c r="A1775" s="1" t="s">
        <v>2042</v>
      </c>
      <c r="B1775" s="1" t="s">
        <v>2992</v>
      </c>
      <c r="C1775" s="7" t="s">
        <v>2406</v>
      </c>
    </row>
    <row r="1776" spans="1:3">
      <c r="A1776" s="1" t="s">
        <v>2042</v>
      </c>
      <c r="B1776" s="1" t="s">
        <v>2993</v>
      </c>
      <c r="C1776" s="7" t="s">
        <v>2402</v>
      </c>
    </row>
    <row r="1777" spans="1:3">
      <c r="A1777" s="1" t="s">
        <v>2042</v>
      </c>
      <c r="B1777" s="1" t="s">
        <v>2994</v>
      </c>
      <c r="C1777" s="7" t="s">
        <v>2995</v>
      </c>
    </row>
    <row r="1778" spans="1:3">
      <c r="A1778" s="1" t="s">
        <v>2042</v>
      </c>
      <c r="B1778" s="1" t="s">
        <v>2996</v>
      </c>
      <c r="C1778" s="7" t="s">
        <v>2410</v>
      </c>
    </row>
    <row r="1779" spans="1:3">
      <c r="A1779" s="1" t="s">
        <v>2042</v>
      </c>
      <c r="B1779" s="1" t="s">
        <v>2997</v>
      </c>
      <c r="C1779" s="7" t="s">
        <v>2998</v>
      </c>
    </row>
    <row r="1780" spans="1:3">
      <c r="A1780" s="1" t="s">
        <v>2042</v>
      </c>
      <c r="B1780" s="1" t="s">
        <v>2999</v>
      </c>
      <c r="C1780" s="7" t="s">
        <v>3000</v>
      </c>
    </row>
    <row r="1781" spans="1:3">
      <c r="A1781" s="1" t="s">
        <v>2042</v>
      </c>
      <c r="B1781" s="1" t="s">
        <v>3001</v>
      </c>
      <c r="C1781" s="7" t="s">
        <v>537</v>
      </c>
    </row>
    <row r="1782" spans="1:3">
      <c r="A1782" s="1" t="s">
        <v>2042</v>
      </c>
      <c r="B1782" s="1" t="s">
        <v>3002</v>
      </c>
      <c r="C1782" s="7" t="s">
        <v>1609</v>
      </c>
    </row>
    <row r="1783" spans="1:3">
      <c r="A1783" s="1" t="s">
        <v>2042</v>
      </c>
      <c r="B1783" s="1" t="s">
        <v>3003</v>
      </c>
      <c r="C1783" s="7" t="s">
        <v>1598</v>
      </c>
    </row>
    <row r="1784" spans="1:3">
      <c r="A1784" s="1" t="s">
        <v>2042</v>
      </c>
      <c r="B1784" s="1" t="s">
        <v>3004</v>
      </c>
      <c r="C1784" s="7" t="s">
        <v>1547</v>
      </c>
    </row>
    <row r="1785" spans="1:3">
      <c r="A1785" s="1" t="s">
        <v>2042</v>
      </c>
      <c r="B1785" s="1" t="s">
        <v>3005</v>
      </c>
      <c r="C1785" s="7" t="s">
        <v>497</v>
      </c>
    </row>
    <row r="1786" spans="1:3">
      <c r="A1786" s="1" t="s">
        <v>2042</v>
      </c>
      <c r="B1786" s="1" t="s">
        <v>3006</v>
      </c>
      <c r="C1786" s="7" t="s">
        <v>3007</v>
      </c>
    </row>
    <row r="1787" spans="1:3">
      <c r="A1787" s="1" t="s">
        <v>2042</v>
      </c>
      <c r="B1787" s="1" t="s">
        <v>3008</v>
      </c>
      <c r="C1787" s="7" t="s">
        <v>3009</v>
      </c>
    </row>
    <row r="1788" spans="1:3">
      <c r="A1788" s="1" t="s">
        <v>2042</v>
      </c>
      <c r="B1788" s="1" t="s">
        <v>3010</v>
      </c>
      <c r="C1788" s="7" t="s">
        <v>511</v>
      </c>
    </row>
    <row r="1789" spans="1:3">
      <c r="A1789" s="1" t="s">
        <v>2042</v>
      </c>
      <c r="B1789" s="1" t="s">
        <v>3011</v>
      </c>
      <c r="C1789" s="7" t="s">
        <v>3012</v>
      </c>
    </row>
    <row r="1790" spans="1:3">
      <c r="A1790" s="1" t="s">
        <v>2042</v>
      </c>
      <c r="B1790" s="1" t="s">
        <v>3013</v>
      </c>
      <c r="C1790" s="7" t="s">
        <v>3014</v>
      </c>
    </row>
    <row r="1791" spans="1:3">
      <c r="A1791" s="1" t="s">
        <v>2042</v>
      </c>
      <c r="B1791" s="1" t="s">
        <v>3015</v>
      </c>
      <c r="C1791" s="7" t="s">
        <v>3016</v>
      </c>
    </row>
    <row r="1792" spans="1:3">
      <c r="A1792" s="1" t="s">
        <v>2042</v>
      </c>
      <c r="B1792" s="1" t="s">
        <v>3017</v>
      </c>
      <c r="C1792" s="7" t="s">
        <v>3018</v>
      </c>
    </row>
    <row r="1793" spans="1:3">
      <c r="A1793" s="1" t="s">
        <v>2042</v>
      </c>
      <c r="B1793" s="1" t="s">
        <v>3019</v>
      </c>
      <c r="C1793" s="7" t="s">
        <v>3020</v>
      </c>
    </row>
    <row r="1794" spans="1:3">
      <c r="A1794" s="1" t="s">
        <v>2042</v>
      </c>
      <c r="B1794" s="1" t="s">
        <v>3021</v>
      </c>
      <c r="C1794" s="7" t="s">
        <v>3022</v>
      </c>
    </row>
    <row r="1795" spans="1:3">
      <c r="A1795" s="1" t="s">
        <v>2042</v>
      </c>
      <c r="B1795" s="1" t="s">
        <v>3023</v>
      </c>
      <c r="C1795" s="7" t="s">
        <v>3024</v>
      </c>
    </row>
    <row r="1796" spans="1:3">
      <c r="A1796" s="1" t="s">
        <v>2042</v>
      </c>
      <c r="B1796" s="1" t="s">
        <v>3025</v>
      </c>
      <c r="C1796" s="7" t="s">
        <v>3026</v>
      </c>
    </row>
    <row r="1797" spans="1:3">
      <c r="A1797" s="1" t="s">
        <v>2042</v>
      </c>
      <c r="B1797" s="1" t="s">
        <v>3027</v>
      </c>
      <c r="C1797" s="7" t="s">
        <v>3028</v>
      </c>
    </row>
    <row r="1798" spans="1:3">
      <c r="A1798" s="1" t="s">
        <v>2042</v>
      </c>
      <c r="B1798" s="1" t="s">
        <v>3029</v>
      </c>
      <c r="C1798" s="7" t="s">
        <v>3030</v>
      </c>
    </row>
    <row r="1799" spans="1:3">
      <c r="A1799" s="1" t="s">
        <v>2042</v>
      </c>
      <c r="B1799" s="1" t="s">
        <v>3031</v>
      </c>
      <c r="C1799" s="7" t="s">
        <v>3032</v>
      </c>
    </row>
    <row r="1800" spans="1:3">
      <c r="A1800" s="1" t="s">
        <v>2042</v>
      </c>
      <c r="B1800" s="1" t="s">
        <v>3033</v>
      </c>
      <c r="C1800" s="7" t="s">
        <v>3034</v>
      </c>
    </row>
    <row r="1801" spans="1:3">
      <c r="A1801" s="1" t="s">
        <v>2042</v>
      </c>
      <c r="B1801" s="1" t="s">
        <v>3035</v>
      </c>
      <c r="C1801" s="7" t="s">
        <v>3036</v>
      </c>
    </row>
    <row r="1802" spans="1:3">
      <c r="A1802" s="1" t="s">
        <v>2042</v>
      </c>
      <c r="B1802" s="1" t="s">
        <v>3037</v>
      </c>
      <c r="C1802" s="7" t="s">
        <v>3038</v>
      </c>
    </row>
    <row r="1803" spans="1:3">
      <c r="A1803" s="1" t="s">
        <v>2042</v>
      </c>
      <c r="B1803" s="1" t="s">
        <v>3039</v>
      </c>
      <c r="C1803" s="7" t="s">
        <v>3040</v>
      </c>
    </row>
    <row r="1804" spans="1:3">
      <c r="A1804" s="1" t="s">
        <v>2042</v>
      </c>
      <c r="B1804" s="1" t="s">
        <v>3041</v>
      </c>
      <c r="C1804" s="7" t="s">
        <v>3042</v>
      </c>
    </row>
    <row r="1805" spans="1:3">
      <c r="A1805" s="1" t="s">
        <v>2042</v>
      </c>
      <c r="B1805" s="1" t="s">
        <v>3043</v>
      </c>
      <c r="C1805" s="7" t="s">
        <v>3044</v>
      </c>
    </row>
    <row r="1806" spans="1:3">
      <c r="A1806" s="1" t="s">
        <v>2042</v>
      </c>
      <c r="B1806" s="1" t="s">
        <v>3045</v>
      </c>
      <c r="C1806" s="7" t="s">
        <v>3046</v>
      </c>
    </row>
    <row r="1807" spans="1:3">
      <c r="A1807" s="1" t="s">
        <v>2042</v>
      </c>
      <c r="B1807" s="1" t="s">
        <v>3047</v>
      </c>
      <c r="C1807" s="7" t="s">
        <v>3048</v>
      </c>
    </row>
    <row r="1808" spans="1:3">
      <c r="A1808" s="1" t="s">
        <v>2042</v>
      </c>
      <c r="B1808" s="1" t="s">
        <v>3049</v>
      </c>
      <c r="C1808" s="7" t="s">
        <v>3050</v>
      </c>
    </row>
    <row r="1809" spans="1:3">
      <c r="A1809" s="1" t="s">
        <v>2042</v>
      </c>
      <c r="B1809" s="1" t="s">
        <v>3051</v>
      </c>
      <c r="C1809" s="7" t="s">
        <v>3052</v>
      </c>
    </row>
    <row r="1810" spans="1:3">
      <c r="A1810" s="1" t="s">
        <v>2042</v>
      </c>
      <c r="B1810" s="1" t="s">
        <v>3053</v>
      </c>
      <c r="C1810" s="7" t="s">
        <v>3054</v>
      </c>
    </row>
    <row r="1811" spans="1:3">
      <c r="A1811" s="1" t="s">
        <v>2042</v>
      </c>
      <c r="B1811" s="1" t="s">
        <v>3055</v>
      </c>
      <c r="C1811" s="7" t="s">
        <v>3056</v>
      </c>
    </row>
    <row r="1812" spans="1:3">
      <c r="A1812" s="1" t="s">
        <v>2042</v>
      </c>
      <c r="B1812" s="1" t="s">
        <v>3057</v>
      </c>
      <c r="C1812" s="7" t="s">
        <v>3058</v>
      </c>
    </row>
    <row r="1813" spans="1:3">
      <c r="A1813" s="1" t="s">
        <v>2042</v>
      </c>
      <c r="B1813" s="1" t="s">
        <v>3059</v>
      </c>
      <c r="C1813" s="7" t="s">
        <v>3060</v>
      </c>
    </row>
    <row r="1814" spans="1:3">
      <c r="A1814" s="1" t="s">
        <v>2042</v>
      </c>
      <c r="B1814" s="1" t="s">
        <v>3061</v>
      </c>
      <c r="C1814" s="7" t="s">
        <v>3062</v>
      </c>
    </row>
    <row r="1815" spans="1:3">
      <c r="A1815" s="1" t="s">
        <v>2042</v>
      </c>
      <c r="B1815" s="1" t="s">
        <v>3063</v>
      </c>
      <c r="C1815" s="7" t="s">
        <v>3064</v>
      </c>
    </row>
    <row r="1816" spans="1:3">
      <c r="A1816" s="1" t="s">
        <v>2042</v>
      </c>
      <c r="B1816" s="1" t="s">
        <v>3065</v>
      </c>
      <c r="C1816" s="7" t="s">
        <v>3066</v>
      </c>
    </row>
    <row r="1817" spans="1:3">
      <c r="A1817" s="1" t="s">
        <v>2042</v>
      </c>
      <c r="B1817" s="1" t="s">
        <v>3067</v>
      </c>
      <c r="C1817" s="7" t="s">
        <v>3068</v>
      </c>
    </row>
    <row r="1818" spans="1:3">
      <c r="A1818" s="1" t="s">
        <v>2042</v>
      </c>
      <c r="B1818" s="1" t="s">
        <v>3069</v>
      </c>
      <c r="C1818" s="7" t="s">
        <v>3058</v>
      </c>
    </row>
    <row r="1819" spans="1:3">
      <c r="A1819" s="1" t="s">
        <v>2042</v>
      </c>
      <c r="B1819" s="1" t="s">
        <v>3070</v>
      </c>
      <c r="C1819" s="7" t="s">
        <v>3071</v>
      </c>
    </row>
    <row r="1820" spans="1:3">
      <c r="A1820" s="1" t="s">
        <v>2042</v>
      </c>
      <c r="B1820" s="1" t="s">
        <v>3072</v>
      </c>
      <c r="C1820" s="7" t="s">
        <v>3073</v>
      </c>
    </row>
    <row r="1821" spans="1:3">
      <c r="A1821" s="1" t="s">
        <v>2042</v>
      </c>
      <c r="B1821" s="1" t="s">
        <v>3074</v>
      </c>
      <c r="C1821" s="7" t="s">
        <v>3075</v>
      </c>
    </row>
    <row r="1822" spans="1:3">
      <c r="A1822" s="1" t="s">
        <v>2042</v>
      </c>
      <c r="B1822" s="1" t="s">
        <v>3076</v>
      </c>
      <c r="C1822" s="7" t="s">
        <v>3077</v>
      </c>
    </row>
    <row r="1823" spans="1:3">
      <c r="A1823" s="1" t="s">
        <v>2042</v>
      </c>
      <c r="B1823" s="1" t="s">
        <v>3078</v>
      </c>
      <c r="C1823" s="7" t="s">
        <v>3079</v>
      </c>
    </row>
    <row r="1824" spans="1:3">
      <c r="A1824" s="1" t="s">
        <v>2042</v>
      </c>
      <c r="B1824" s="1" t="s">
        <v>3080</v>
      </c>
      <c r="C1824" s="7" t="s">
        <v>3081</v>
      </c>
    </row>
    <row r="1825" spans="1:3">
      <c r="A1825" s="1" t="s">
        <v>2042</v>
      </c>
      <c r="B1825" s="1" t="s">
        <v>3082</v>
      </c>
      <c r="C1825" s="7" t="s">
        <v>3083</v>
      </c>
    </row>
    <row r="1826" spans="1:3">
      <c r="A1826" s="1" t="s">
        <v>2042</v>
      </c>
      <c r="B1826" s="1" t="s">
        <v>3084</v>
      </c>
      <c r="C1826" s="7" t="s">
        <v>3058</v>
      </c>
    </row>
    <row r="1827" spans="1:3">
      <c r="A1827" s="1" t="s">
        <v>2042</v>
      </c>
      <c r="B1827" s="1" t="s">
        <v>3085</v>
      </c>
      <c r="C1827" s="7" t="s">
        <v>3086</v>
      </c>
    </row>
    <row r="1828" spans="1:3">
      <c r="A1828" s="1" t="s">
        <v>2042</v>
      </c>
      <c r="B1828" s="1" t="s">
        <v>3087</v>
      </c>
      <c r="C1828" s="7" t="s">
        <v>3088</v>
      </c>
    </row>
    <row r="1829" spans="1:3">
      <c r="A1829" s="1" t="s">
        <v>2042</v>
      </c>
      <c r="B1829" s="1" t="s">
        <v>3089</v>
      </c>
      <c r="C1829" s="7" t="s">
        <v>3090</v>
      </c>
    </row>
    <row r="1830" spans="1:3">
      <c r="A1830" s="1" t="s">
        <v>2042</v>
      </c>
      <c r="B1830" s="1" t="s">
        <v>3091</v>
      </c>
      <c r="C1830" s="7" t="s">
        <v>3092</v>
      </c>
    </row>
    <row r="1831" spans="1:3">
      <c r="A1831" s="1" t="s">
        <v>2042</v>
      </c>
      <c r="B1831" s="1" t="s">
        <v>3093</v>
      </c>
      <c r="C1831" s="7" t="s">
        <v>3079</v>
      </c>
    </row>
    <row r="1832" spans="1:3">
      <c r="A1832" s="1" t="s">
        <v>2042</v>
      </c>
      <c r="B1832" s="1" t="s">
        <v>3094</v>
      </c>
      <c r="C1832" s="7" t="s">
        <v>3095</v>
      </c>
    </row>
    <row r="1833" spans="1:3">
      <c r="A1833" s="1" t="s">
        <v>2042</v>
      </c>
      <c r="B1833" s="1" t="s">
        <v>3096</v>
      </c>
      <c r="C1833" s="7" t="s">
        <v>3097</v>
      </c>
    </row>
    <row r="1834" spans="1:3">
      <c r="A1834" s="1" t="s">
        <v>2042</v>
      </c>
      <c r="B1834" s="1" t="s">
        <v>3098</v>
      </c>
      <c r="C1834" s="7" t="s">
        <v>3099</v>
      </c>
    </row>
    <row r="1835" spans="1:3">
      <c r="A1835" s="1" t="s">
        <v>2042</v>
      </c>
      <c r="B1835" s="1" t="s">
        <v>3100</v>
      </c>
      <c r="C1835" s="7" t="s">
        <v>3101</v>
      </c>
    </row>
    <row r="1836" spans="1:3">
      <c r="A1836" s="1" t="s">
        <v>2042</v>
      </c>
      <c r="B1836" s="1" t="s">
        <v>3102</v>
      </c>
      <c r="C1836" s="7" t="s">
        <v>3103</v>
      </c>
    </row>
    <row r="1837" spans="1:3">
      <c r="A1837" s="1" t="s">
        <v>2042</v>
      </c>
      <c r="B1837" s="1" t="s">
        <v>3104</v>
      </c>
      <c r="C1837" s="7" t="s">
        <v>3105</v>
      </c>
    </row>
    <row r="1838" spans="1:3">
      <c r="A1838" s="1" t="s">
        <v>2042</v>
      </c>
      <c r="B1838" s="1" t="s">
        <v>3106</v>
      </c>
      <c r="C1838" s="7" t="s">
        <v>3107</v>
      </c>
    </row>
    <row r="1839" spans="1:3">
      <c r="A1839" s="1" t="s">
        <v>2042</v>
      </c>
      <c r="B1839" s="1" t="s">
        <v>3108</v>
      </c>
      <c r="C1839" s="7" t="s">
        <v>3109</v>
      </c>
    </row>
    <row r="1840" spans="1:3">
      <c r="A1840" s="1" t="s">
        <v>2042</v>
      </c>
      <c r="B1840" s="1" t="s">
        <v>3110</v>
      </c>
      <c r="C1840" s="7" t="s">
        <v>3081</v>
      </c>
    </row>
    <row r="1841" spans="1:3">
      <c r="A1841" s="1" t="s">
        <v>2042</v>
      </c>
      <c r="B1841" s="1" t="s">
        <v>3111</v>
      </c>
      <c r="C1841" s="7" t="s">
        <v>3083</v>
      </c>
    </row>
    <row r="1842" spans="1:3">
      <c r="A1842" s="1" t="s">
        <v>2042</v>
      </c>
      <c r="B1842" s="1" t="s">
        <v>3112</v>
      </c>
      <c r="C1842" s="7" t="s">
        <v>3113</v>
      </c>
    </row>
    <row r="1843" spans="1:3">
      <c r="A1843" s="1" t="s">
        <v>2042</v>
      </c>
      <c r="B1843" s="1" t="s">
        <v>3114</v>
      </c>
      <c r="C1843" s="7" t="s">
        <v>3115</v>
      </c>
    </row>
    <row r="1844" spans="1:3">
      <c r="A1844" s="1" t="s">
        <v>2042</v>
      </c>
      <c r="B1844" s="1" t="s">
        <v>3116</v>
      </c>
      <c r="C1844" s="7" t="s">
        <v>3052</v>
      </c>
    </row>
    <row r="1845" spans="1:3">
      <c r="A1845" s="1" t="s">
        <v>2042</v>
      </c>
      <c r="B1845" s="1" t="s">
        <v>3117</v>
      </c>
      <c r="C1845" s="7" t="s">
        <v>3054</v>
      </c>
    </row>
    <row r="1846" spans="1:3">
      <c r="A1846" s="1" t="s">
        <v>2042</v>
      </c>
      <c r="B1846" s="1" t="s">
        <v>3118</v>
      </c>
      <c r="C1846" s="7" t="s">
        <v>3056</v>
      </c>
    </row>
    <row r="1847" spans="1:3">
      <c r="A1847" s="1" t="s">
        <v>2042</v>
      </c>
      <c r="B1847" s="1" t="s">
        <v>3119</v>
      </c>
      <c r="C1847" s="7" t="s">
        <v>3058</v>
      </c>
    </row>
    <row r="1848" spans="1:3">
      <c r="A1848" s="1" t="s">
        <v>2042</v>
      </c>
      <c r="B1848" s="1" t="s">
        <v>3120</v>
      </c>
      <c r="C1848" s="7" t="s">
        <v>3121</v>
      </c>
    </row>
    <row r="1849" spans="1:3">
      <c r="A1849" s="1" t="s">
        <v>2042</v>
      </c>
      <c r="B1849" s="1" t="s">
        <v>3122</v>
      </c>
      <c r="C1849" s="7" t="s">
        <v>3123</v>
      </c>
    </row>
    <row r="1850" spans="1:3">
      <c r="A1850" s="1" t="s">
        <v>2042</v>
      </c>
      <c r="B1850" s="1" t="s">
        <v>3124</v>
      </c>
      <c r="C1850" s="7" t="s">
        <v>3125</v>
      </c>
    </row>
    <row r="1851" spans="1:3">
      <c r="A1851" s="1" t="s">
        <v>2042</v>
      </c>
      <c r="B1851" s="1" t="s">
        <v>3126</v>
      </c>
      <c r="C1851" s="7" t="s">
        <v>3127</v>
      </c>
    </row>
    <row r="1852" spans="1:3">
      <c r="A1852" s="1" t="s">
        <v>2042</v>
      </c>
      <c r="B1852" s="1" t="s">
        <v>3128</v>
      </c>
      <c r="C1852" s="7" t="s">
        <v>3129</v>
      </c>
    </row>
    <row r="1853" spans="1:3">
      <c r="A1853" s="1" t="s">
        <v>2042</v>
      </c>
      <c r="B1853" s="1" t="s">
        <v>3130</v>
      </c>
      <c r="C1853" s="7" t="s">
        <v>3131</v>
      </c>
    </row>
    <row r="1854" spans="1:3">
      <c r="A1854" s="1" t="s">
        <v>2042</v>
      </c>
      <c r="B1854" s="1" t="s">
        <v>3132</v>
      </c>
      <c r="C1854" s="7" t="s">
        <v>3133</v>
      </c>
    </row>
    <row r="1855" spans="1:3">
      <c r="A1855" s="1" t="s">
        <v>2042</v>
      </c>
      <c r="B1855" s="1" t="s">
        <v>3134</v>
      </c>
      <c r="C1855" s="7" t="s">
        <v>3135</v>
      </c>
    </row>
    <row r="1856" spans="1:3">
      <c r="A1856" s="1" t="s">
        <v>2042</v>
      </c>
      <c r="B1856" s="1" t="s">
        <v>3136</v>
      </c>
      <c r="C1856" s="7" t="s">
        <v>3137</v>
      </c>
    </row>
    <row r="1857" spans="1:3">
      <c r="A1857" s="1" t="s">
        <v>2042</v>
      </c>
      <c r="B1857" s="1" t="s">
        <v>3138</v>
      </c>
      <c r="C1857" s="7" t="s">
        <v>3139</v>
      </c>
    </row>
    <row r="1858" spans="1:3">
      <c r="A1858" s="1" t="s">
        <v>2042</v>
      </c>
      <c r="B1858" s="1" t="s">
        <v>3140</v>
      </c>
      <c r="C1858" s="7" t="s">
        <v>3141</v>
      </c>
    </row>
    <row r="1859" spans="1:3">
      <c r="A1859" s="1" t="s">
        <v>2042</v>
      </c>
      <c r="B1859" s="1" t="s">
        <v>3142</v>
      </c>
      <c r="C1859" s="7" t="s">
        <v>3143</v>
      </c>
    </row>
    <row r="1860" spans="1:3">
      <c r="A1860" s="1" t="s">
        <v>2042</v>
      </c>
      <c r="B1860" s="1" t="s">
        <v>3144</v>
      </c>
      <c r="C1860" s="7" t="s">
        <v>3145</v>
      </c>
    </row>
    <row r="1861" spans="1:3">
      <c r="A1861" s="1" t="s">
        <v>2042</v>
      </c>
      <c r="B1861" s="1" t="s">
        <v>3146</v>
      </c>
      <c r="C1861" s="7" t="s">
        <v>3147</v>
      </c>
    </row>
    <row r="1862" spans="1:3">
      <c r="A1862" s="1" t="s">
        <v>2042</v>
      </c>
      <c r="B1862" s="1" t="s">
        <v>3148</v>
      </c>
      <c r="C1862" s="7" t="s">
        <v>3149</v>
      </c>
    </row>
    <row r="1863" spans="1:3">
      <c r="A1863" s="1" t="s">
        <v>2042</v>
      </c>
      <c r="B1863" s="1" t="s">
        <v>3150</v>
      </c>
      <c r="C1863" s="7" t="s">
        <v>3151</v>
      </c>
    </row>
    <row r="1864" spans="1:3">
      <c r="A1864" s="1" t="s">
        <v>2042</v>
      </c>
      <c r="B1864" s="1" t="s">
        <v>3152</v>
      </c>
      <c r="C1864" s="7" t="s">
        <v>3153</v>
      </c>
    </row>
    <row r="1865" spans="1:3">
      <c r="A1865" s="1" t="s">
        <v>2042</v>
      </c>
      <c r="B1865" s="1" t="s">
        <v>3154</v>
      </c>
      <c r="C1865" s="7" t="s">
        <v>3155</v>
      </c>
    </row>
    <row r="1866" spans="1:3">
      <c r="A1866" s="1" t="s">
        <v>2042</v>
      </c>
      <c r="B1866" s="1" t="s">
        <v>3156</v>
      </c>
      <c r="C1866" s="7" t="s">
        <v>3157</v>
      </c>
    </row>
    <row r="1867" spans="1:3">
      <c r="A1867" s="1" t="s">
        <v>2042</v>
      </c>
      <c r="B1867" s="1" t="s">
        <v>3158</v>
      </c>
      <c r="C1867" s="7" t="s">
        <v>3159</v>
      </c>
    </row>
    <row r="1868" spans="1:3">
      <c r="A1868" s="1" t="s">
        <v>2042</v>
      </c>
      <c r="B1868" s="1" t="s">
        <v>3160</v>
      </c>
      <c r="C1868" s="7" t="s">
        <v>3161</v>
      </c>
    </row>
    <row r="1869" spans="1:3">
      <c r="A1869" s="1" t="s">
        <v>2042</v>
      </c>
      <c r="B1869" s="1" t="s">
        <v>3162</v>
      </c>
      <c r="C1869" s="7" t="s">
        <v>3163</v>
      </c>
    </row>
    <row r="1870" spans="1:3">
      <c r="A1870" s="1" t="s">
        <v>2042</v>
      </c>
      <c r="B1870" s="1" t="s">
        <v>3164</v>
      </c>
      <c r="C1870" s="7" t="s">
        <v>3165</v>
      </c>
    </row>
    <row r="1871" spans="1:3">
      <c r="A1871" s="1" t="s">
        <v>2042</v>
      </c>
      <c r="B1871" s="1" t="s">
        <v>3166</v>
      </c>
      <c r="C1871" s="7" t="s">
        <v>3052</v>
      </c>
    </row>
    <row r="1872" spans="1:3">
      <c r="A1872" s="1" t="s">
        <v>2042</v>
      </c>
      <c r="B1872" s="1" t="s">
        <v>3167</v>
      </c>
      <c r="C1872" s="7" t="s">
        <v>3054</v>
      </c>
    </row>
    <row r="1873" spans="1:3">
      <c r="A1873" s="1" t="s">
        <v>2042</v>
      </c>
      <c r="B1873" s="1" t="s">
        <v>3168</v>
      </c>
      <c r="C1873" s="7" t="s">
        <v>3056</v>
      </c>
    </row>
    <row r="1874" spans="1:3">
      <c r="A1874" s="1" t="s">
        <v>2042</v>
      </c>
      <c r="B1874" s="1" t="s">
        <v>3169</v>
      </c>
      <c r="C1874" s="7" t="s">
        <v>3170</v>
      </c>
    </row>
    <row r="1875" spans="1:3">
      <c r="A1875" s="1" t="s">
        <v>2042</v>
      </c>
      <c r="B1875" s="1" t="s">
        <v>3171</v>
      </c>
      <c r="C1875" s="7" t="s">
        <v>3172</v>
      </c>
    </row>
    <row r="1876" spans="1:3">
      <c r="A1876" s="1" t="s">
        <v>2042</v>
      </c>
      <c r="B1876" s="1" t="s">
        <v>3173</v>
      </c>
      <c r="C1876" s="7" t="s">
        <v>3174</v>
      </c>
    </row>
    <row r="1877" spans="1:3">
      <c r="A1877" s="1" t="s">
        <v>2042</v>
      </c>
      <c r="B1877" s="1" t="s">
        <v>3175</v>
      </c>
      <c r="C1877" s="7" t="s">
        <v>3176</v>
      </c>
    </row>
    <row r="1878" spans="1:3">
      <c r="A1878" s="1" t="s">
        <v>2042</v>
      </c>
      <c r="B1878" s="1" t="s">
        <v>3177</v>
      </c>
      <c r="C1878" s="7" t="s">
        <v>3178</v>
      </c>
    </row>
    <row r="1879" spans="1:3">
      <c r="A1879" s="1" t="s">
        <v>2042</v>
      </c>
      <c r="B1879" s="1" t="s">
        <v>3179</v>
      </c>
      <c r="C1879" s="7" t="s">
        <v>1609</v>
      </c>
    </row>
    <row r="1880" spans="1:3">
      <c r="A1880" s="1" t="s">
        <v>2042</v>
      </c>
      <c r="B1880" s="1" t="s">
        <v>3180</v>
      </c>
      <c r="C1880" s="7" t="s">
        <v>1485</v>
      </c>
    </row>
    <row r="1881" spans="1:3">
      <c r="A1881" s="1" t="s">
        <v>2042</v>
      </c>
      <c r="B1881" s="1" t="s">
        <v>3181</v>
      </c>
      <c r="C1881" s="7" t="s">
        <v>1598</v>
      </c>
    </row>
    <row r="1882" spans="1:3">
      <c r="A1882" s="1" t="s">
        <v>2042</v>
      </c>
      <c r="B1882" s="1" t="s">
        <v>3182</v>
      </c>
      <c r="C1882" s="7" t="s">
        <v>1547</v>
      </c>
    </row>
    <row r="1883" spans="1:3">
      <c r="A1883" s="1" t="s">
        <v>2042</v>
      </c>
      <c r="B1883" s="1" t="s">
        <v>3183</v>
      </c>
      <c r="C1883" s="7" t="s">
        <v>3007</v>
      </c>
    </row>
    <row r="1884" spans="1:3">
      <c r="A1884" s="1" t="s">
        <v>2042</v>
      </c>
      <c r="B1884" s="1" t="s">
        <v>3184</v>
      </c>
      <c r="C1884" s="7" t="s">
        <v>497</v>
      </c>
    </row>
    <row r="1885" spans="1:3">
      <c r="A1885" s="1" t="s">
        <v>2042</v>
      </c>
      <c r="B1885" s="1" t="s">
        <v>3185</v>
      </c>
      <c r="C1885" s="7" t="s">
        <v>3186</v>
      </c>
    </row>
    <row r="1886" spans="1:3">
      <c r="A1886" s="1" t="s">
        <v>2042</v>
      </c>
      <c r="B1886" s="1" t="s">
        <v>3187</v>
      </c>
      <c r="C1886" s="7" t="s">
        <v>3188</v>
      </c>
    </row>
    <row r="1887" spans="1:3">
      <c r="A1887" s="1" t="s">
        <v>2042</v>
      </c>
      <c r="B1887" s="1" t="s">
        <v>3189</v>
      </c>
      <c r="C1887" s="7" t="s">
        <v>3190</v>
      </c>
    </row>
    <row r="1888" spans="1:3">
      <c r="A1888" s="1" t="s">
        <v>2042</v>
      </c>
      <c r="B1888" s="1" t="s">
        <v>3191</v>
      </c>
      <c r="C1888" s="7" t="s">
        <v>3192</v>
      </c>
    </row>
    <row r="1889" spans="1:3">
      <c r="A1889" s="1" t="s">
        <v>2042</v>
      </c>
      <c r="B1889" s="1" t="s">
        <v>3193</v>
      </c>
      <c r="C1889" s="7" t="s">
        <v>3194</v>
      </c>
    </row>
    <row r="1890" spans="1:3">
      <c r="A1890" s="1" t="s">
        <v>2042</v>
      </c>
      <c r="B1890" s="1" t="s">
        <v>3195</v>
      </c>
      <c r="C1890" s="7" t="s">
        <v>3196</v>
      </c>
    </row>
    <row r="1891" spans="1:3">
      <c r="A1891" s="1" t="s">
        <v>2042</v>
      </c>
      <c r="B1891" s="1" t="s">
        <v>3197</v>
      </c>
      <c r="C1891" s="7" t="s">
        <v>3198</v>
      </c>
    </row>
    <row r="1892" spans="1:3">
      <c r="A1892" s="1" t="s">
        <v>2042</v>
      </c>
      <c r="B1892" s="1" t="s">
        <v>3199</v>
      </c>
      <c r="C1892" s="7" t="s">
        <v>3200</v>
      </c>
    </row>
    <row r="1893" spans="1:3">
      <c r="A1893" s="1" t="s">
        <v>2042</v>
      </c>
      <c r="B1893" s="1" t="s">
        <v>3201</v>
      </c>
      <c r="C1893" s="7" t="s">
        <v>3202</v>
      </c>
    </row>
    <row r="1894" spans="1:3">
      <c r="A1894" s="1" t="s">
        <v>2042</v>
      </c>
      <c r="B1894" s="1" t="s">
        <v>3203</v>
      </c>
      <c r="C1894" s="7" t="s">
        <v>3204</v>
      </c>
    </row>
    <row r="1895" spans="1:3">
      <c r="A1895" s="1" t="s">
        <v>2042</v>
      </c>
      <c r="B1895" s="1" t="s">
        <v>3205</v>
      </c>
      <c r="C1895" s="7" t="s">
        <v>3206</v>
      </c>
    </row>
    <row r="1896" spans="1:3">
      <c r="A1896" s="1" t="s">
        <v>2042</v>
      </c>
      <c r="B1896" s="1" t="s">
        <v>3207</v>
      </c>
      <c r="C1896" s="7" t="s">
        <v>3208</v>
      </c>
    </row>
    <row r="1897" spans="1:3">
      <c r="A1897" s="1" t="s">
        <v>2042</v>
      </c>
      <c r="B1897" s="1" t="s">
        <v>3209</v>
      </c>
      <c r="C1897" s="7" t="s">
        <v>3210</v>
      </c>
    </row>
    <row r="1898" spans="1:3">
      <c r="A1898" s="1" t="s">
        <v>2042</v>
      </c>
      <c r="B1898" s="1" t="s">
        <v>3211</v>
      </c>
      <c r="C1898" s="7" t="s">
        <v>3212</v>
      </c>
    </row>
    <row r="1899" spans="1:3">
      <c r="A1899" s="1" t="s">
        <v>2042</v>
      </c>
      <c r="B1899" s="1" t="s">
        <v>3213</v>
      </c>
      <c r="C1899" s="7" t="s">
        <v>3214</v>
      </c>
    </row>
    <row r="1900" spans="1:3">
      <c r="A1900" s="1" t="s">
        <v>2042</v>
      </c>
      <c r="B1900" s="1" t="s">
        <v>3215</v>
      </c>
      <c r="C1900" s="7" t="s">
        <v>3216</v>
      </c>
    </row>
    <row r="1901" spans="1:3">
      <c r="A1901" s="1" t="s">
        <v>2042</v>
      </c>
      <c r="B1901" s="1" t="s">
        <v>3217</v>
      </c>
      <c r="C1901" s="7" t="s">
        <v>3218</v>
      </c>
    </row>
    <row r="1902" spans="1:3">
      <c r="A1902" s="1" t="s">
        <v>2042</v>
      </c>
      <c r="B1902" s="1" t="s">
        <v>3219</v>
      </c>
      <c r="C1902" s="7" t="s">
        <v>3220</v>
      </c>
    </row>
    <row r="1903" spans="1:3">
      <c r="A1903" s="1" t="s">
        <v>2042</v>
      </c>
      <c r="B1903" s="1" t="s">
        <v>3221</v>
      </c>
      <c r="C1903" s="7" t="s">
        <v>3222</v>
      </c>
    </row>
    <row r="1904" spans="1:3">
      <c r="A1904" s="1" t="s">
        <v>2042</v>
      </c>
      <c r="B1904" s="1" t="s">
        <v>3223</v>
      </c>
      <c r="C1904" s="7" t="s">
        <v>3224</v>
      </c>
    </row>
    <row r="1905" spans="1:3">
      <c r="A1905" s="1" t="s">
        <v>2042</v>
      </c>
      <c r="B1905" s="1" t="s">
        <v>3225</v>
      </c>
      <c r="C1905" s="7" t="s">
        <v>3226</v>
      </c>
    </row>
    <row r="1906" spans="1:3">
      <c r="A1906" s="1" t="s">
        <v>2042</v>
      </c>
      <c r="B1906" s="1" t="s">
        <v>3227</v>
      </c>
      <c r="C1906" s="7" t="s">
        <v>3228</v>
      </c>
    </row>
    <row r="1907" spans="1:3">
      <c r="A1907" s="1" t="s">
        <v>2042</v>
      </c>
      <c r="B1907" s="1" t="s">
        <v>3229</v>
      </c>
      <c r="C1907" s="7" t="s">
        <v>3230</v>
      </c>
    </row>
    <row r="1908" spans="1:3">
      <c r="A1908" s="1" t="s">
        <v>2042</v>
      </c>
      <c r="B1908" s="1" t="s">
        <v>3231</v>
      </c>
      <c r="C1908" s="7" t="s">
        <v>3232</v>
      </c>
    </row>
    <row r="1909" spans="1:3">
      <c r="A1909" s="1" t="s">
        <v>2042</v>
      </c>
      <c r="B1909" s="1" t="s">
        <v>3233</v>
      </c>
      <c r="C1909" s="7" t="s">
        <v>3234</v>
      </c>
    </row>
    <row r="1910" spans="1:3">
      <c r="A1910" s="1" t="s">
        <v>2042</v>
      </c>
      <c r="B1910" s="1" t="s">
        <v>3235</v>
      </c>
      <c r="C1910" s="7" t="s">
        <v>3236</v>
      </c>
    </row>
    <row r="1911" spans="1:3">
      <c r="A1911" s="1" t="s">
        <v>2042</v>
      </c>
      <c r="B1911" s="1" t="s">
        <v>3237</v>
      </c>
      <c r="C1911" s="7" t="s">
        <v>3238</v>
      </c>
    </row>
    <row r="1912" spans="1:3">
      <c r="A1912" s="1" t="s">
        <v>2042</v>
      </c>
      <c r="B1912" s="1" t="s">
        <v>3239</v>
      </c>
      <c r="C1912" s="7" t="s">
        <v>3240</v>
      </c>
    </row>
    <row r="1913" spans="1:3">
      <c r="A1913" s="1" t="s">
        <v>2042</v>
      </c>
      <c r="B1913" s="1" t="s">
        <v>3241</v>
      </c>
      <c r="C1913" s="7" t="s">
        <v>3242</v>
      </c>
    </row>
    <row r="1914" spans="1:3">
      <c r="A1914" s="1" t="s">
        <v>2042</v>
      </c>
      <c r="B1914" s="1" t="s">
        <v>3243</v>
      </c>
      <c r="C1914" s="7" t="s">
        <v>3244</v>
      </c>
    </row>
    <row r="1915" spans="1:3">
      <c r="A1915" s="1" t="s">
        <v>2042</v>
      </c>
      <c r="B1915" s="1" t="s">
        <v>3245</v>
      </c>
      <c r="C1915" s="7" t="s">
        <v>3246</v>
      </c>
    </row>
    <row r="1916" spans="1:3">
      <c r="A1916" s="1" t="s">
        <v>2042</v>
      </c>
      <c r="B1916" s="1" t="s">
        <v>3247</v>
      </c>
      <c r="C1916" s="7" t="s">
        <v>3248</v>
      </c>
    </row>
    <row r="1917" spans="1:3">
      <c r="A1917" s="1" t="s">
        <v>2042</v>
      </c>
      <c r="B1917" s="1" t="s">
        <v>3249</v>
      </c>
      <c r="C1917" s="7" t="s">
        <v>3250</v>
      </c>
    </row>
    <row r="1918" spans="1:3">
      <c r="A1918" s="1" t="s">
        <v>2042</v>
      </c>
      <c r="B1918" s="1" t="s">
        <v>3251</v>
      </c>
      <c r="C1918" s="7" t="s">
        <v>3252</v>
      </c>
    </row>
    <row r="1919" spans="1:3">
      <c r="A1919" s="1" t="s">
        <v>2042</v>
      </c>
      <c r="B1919" s="1" t="s">
        <v>3253</v>
      </c>
      <c r="C1919" s="7" t="s">
        <v>3254</v>
      </c>
    </row>
    <row r="1920" spans="1:3">
      <c r="A1920" s="1" t="s">
        <v>2042</v>
      </c>
      <c r="B1920" s="1" t="s">
        <v>3255</v>
      </c>
      <c r="C1920" s="7" t="s">
        <v>3256</v>
      </c>
    </row>
    <row r="1921" spans="1:3">
      <c r="A1921" s="1" t="s">
        <v>2042</v>
      </c>
      <c r="B1921" s="1" t="s">
        <v>3257</v>
      </c>
      <c r="C1921" s="7" t="s">
        <v>3079</v>
      </c>
    </row>
    <row r="1922" spans="1:3">
      <c r="A1922" s="1" t="s">
        <v>2042</v>
      </c>
      <c r="B1922" s="1" t="s">
        <v>3258</v>
      </c>
      <c r="C1922" s="7" t="s">
        <v>3259</v>
      </c>
    </row>
    <row r="1923" spans="1:3">
      <c r="A1923" s="1" t="s">
        <v>2042</v>
      </c>
      <c r="B1923" s="1" t="s">
        <v>3260</v>
      </c>
      <c r="C1923" s="7" t="s">
        <v>3261</v>
      </c>
    </row>
    <row r="1924" spans="1:3">
      <c r="A1924" s="1" t="s">
        <v>2042</v>
      </c>
      <c r="B1924" s="1" t="s">
        <v>3262</v>
      </c>
      <c r="C1924" s="7" t="s">
        <v>3263</v>
      </c>
    </row>
    <row r="1925" spans="1:3">
      <c r="A1925" s="1" t="s">
        <v>2042</v>
      </c>
      <c r="B1925" s="1" t="s">
        <v>3264</v>
      </c>
      <c r="C1925" s="7" t="s">
        <v>3265</v>
      </c>
    </row>
    <row r="1926" spans="1:3">
      <c r="A1926" s="1" t="s">
        <v>2042</v>
      </c>
      <c r="B1926" s="1" t="s">
        <v>3266</v>
      </c>
      <c r="C1926" s="7" t="s">
        <v>3267</v>
      </c>
    </row>
    <row r="1927" spans="1:3">
      <c r="A1927" s="1" t="s">
        <v>2042</v>
      </c>
      <c r="B1927" s="1" t="s">
        <v>3268</v>
      </c>
      <c r="C1927" s="7" t="s">
        <v>3269</v>
      </c>
    </row>
    <row r="1928" spans="1:3">
      <c r="A1928" s="1" t="s">
        <v>2042</v>
      </c>
      <c r="B1928" s="1" t="s">
        <v>3270</v>
      </c>
      <c r="C1928" s="7" t="s">
        <v>457</v>
      </c>
    </row>
    <row r="1929" spans="1:3">
      <c r="A1929" s="1" t="s">
        <v>2042</v>
      </c>
      <c r="B1929" s="1" t="s">
        <v>3271</v>
      </c>
      <c r="C1929" s="7" t="s">
        <v>3272</v>
      </c>
    </row>
    <row r="1930" spans="1:3">
      <c r="A1930" s="1" t="s">
        <v>2042</v>
      </c>
      <c r="B1930" s="1" t="s">
        <v>3273</v>
      </c>
      <c r="C1930" s="7" t="s">
        <v>3274</v>
      </c>
    </row>
    <row r="1931" spans="1:3">
      <c r="A1931" s="1" t="s">
        <v>2042</v>
      </c>
      <c r="B1931" s="1" t="s">
        <v>3275</v>
      </c>
      <c r="C1931" s="7" t="s">
        <v>3276</v>
      </c>
    </row>
    <row r="1932" spans="1:3">
      <c r="A1932" s="1" t="s">
        <v>2042</v>
      </c>
      <c r="B1932" s="1" t="s">
        <v>3277</v>
      </c>
      <c r="C1932" s="7" t="s">
        <v>499</v>
      </c>
    </row>
    <row r="1933" spans="1:3">
      <c r="A1933" s="1" t="s">
        <v>2042</v>
      </c>
      <c r="B1933" s="1" t="s">
        <v>3278</v>
      </c>
      <c r="C1933" s="7" t="s">
        <v>448</v>
      </c>
    </row>
    <row r="1934" spans="1:3">
      <c r="A1934" s="1" t="s">
        <v>2042</v>
      </c>
      <c r="B1934" s="1" t="s">
        <v>3279</v>
      </c>
      <c r="C1934" s="7" t="s">
        <v>3280</v>
      </c>
    </row>
    <row r="1935" spans="1:3">
      <c r="A1935" s="1" t="s">
        <v>2042</v>
      </c>
      <c r="B1935" s="1" t="s">
        <v>3281</v>
      </c>
      <c r="C1935" s="7" t="s">
        <v>3282</v>
      </c>
    </row>
    <row r="1936" spans="1:3">
      <c r="A1936" s="1" t="s">
        <v>2042</v>
      </c>
      <c r="B1936" s="1" t="s">
        <v>3283</v>
      </c>
      <c r="C1936" s="7" t="s">
        <v>3284</v>
      </c>
    </row>
    <row r="1937" spans="1:3">
      <c r="A1937" s="1" t="s">
        <v>2042</v>
      </c>
      <c r="B1937" s="1" t="s">
        <v>3285</v>
      </c>
      <c r="C1937" s="7" t="s">
        <v>3286</v>
      </c>
    </row>
    <row r="1938" spans="1:3">
      <c r="A1938" s="1" t="s">
        <v>2042</v>
      </c>
      <c r="B1938" s="1" t="s">
        <v>3287</v>
      </c>
      <c r="C1938" s="7" t="s">
        <v>3288</v>
      </c>
    </row>
    <row r="1939" spans="1:3">
      <c r="A1939" s="1" t="s">
        <v>2042</v>
      </c>
      <c r="B1939" s="1" t="s">
        <v>3289</v>
      </c>
      <c r="C1939" s="7" t="s">
        <v>2046</v>
      </c>
    </row>
    <row r="1940" spans="1:3">
      <c r="A1940" s="1" t="s">
        <v>2042</v>
      </c>
      <c r="B1940" s="1" t="s">
        <v>3290</v>
      </c>
      <c r="C1940" s="7" t="s">
        <v>3291</v>
      </c>
    </row>
    <row r="1941" spans="1:3">
      <c r="A1941" s="1" t="s">
        <v>2042</v>
      </c>
      <c r="B1941" s="1" t="s">
        <v>3292</v>
      </c>
      <c r="C1941" s="7" t="s">
        <v>3293</v>
      </c>
    </row>
    <row r="1942" spans="1:3">
      <c r="A1942" s="1" t="s">
        <v>2042</v>
      </c>
      <c r="B1942" s="1" t="s">
        <v>3294</v>
      </c>
      <c r="C1942" s="7" t="s">
        <v>3048</v>
      </c>
    </row>
    <row r="1943" spans="1:3">
      <c r="A1943" s="1" t="s">
        <v>2042</v>
      </c>
      <c r="B1943" s="1" t="s">
        <v>3295</v>
      </c>
      <c r="C1943" s="7" t="s">
        <v>3296</v>
      </c>
    </row>
    <row r="1944" spans="1:3">
      <c r="A1944" s="1" t="s">
        <v>2042</v>
      </c>
      <c r="B1944" s="1" t="s">
        <v>3297</v>
      </c>
      <c r="C1944" s="7" t="s">
        <v>3298</v>
      </c>
    </row>
    <row r="1945" spans="1:3">
      <c r="A1945" s="1" t="s">
        <v>2042</v>
      </c>
      <c r="B1945" s="1" t="s">
        <v>3299</v>
      </c>
      <c r="C1945" s="7" t="s">
        <v>3077</v>
      </c>
    </row>
    <row r="1946" spans="1:3">
      <c r="A1946" s="1" t="s">
        <v>2042</v>
      </c>
      <c r="B1946" s="1" t="s">
        <v>3300</v>
      </c>
      <c r="C1946" s="7" t="s">
        <v>3301</v>
      </c>
    </row>
    <row r="1947" spans="1:3">
      <c r="A1947" s="1" t="s">
        <v>2042</v>
      </c>
      <c r="B1947" s="1" t="s">
        <v>3302</v>
      </c>
      <c r="C1947" s="7" t="s">
        <v>3083</v>
      </c>
    </row>
    <row r="1948" spans="1:3">
      <c r="A1948" s="1" t="s">
        <v>2042</v>
      </c>
      <c r="B1948" s="1" t="s">
        <v>3303</v>
      </c>
      <c r="C1948" s="7" t="s">
        <v>809</v>
      </c>
    </row>
    <row r="1949" spans="1:3">
      <c r="A1949" s="1" t="s">
        <v>2042</v>
      </c>
      <c r="B1949" s="1" t="s">
        <v>3304</v>
      </c>
      <c r="C1949" s="7" t="s">
        <v>3305</v>
      </c>
    </row>
    <row r="1950" spans="1:3">
      <c r="A1950" s="1" t="s">
        <v>2042</v>
      </c>
      <c r="B1950" s="1" t="s">
        <v>3306</v>
      </c>
      <c r="C1950" s="7" t="s">
        <v>3307</v>
      </c>
    </row>
    <row r="1951" spans="1:3">
      <c r="A1951" s="1" t="s">
        <v>2042</v>
      </c>
      <c r="B1951" s="1" t="s">
        <v>3308</v>
      </c>
      <c r="C1951" s="7" t="s">
        <v>3165</v>
      </c>
    </row>
    <row r="1952" spans="1:3">
      <c r="A1952" s="1" t="s">
        <v>2042</v>
      </c>
      <c r="B1952" s="1" t="s">
        <v>3309</v>
      </c>
      <c r="C1952" s="7" t="s">
        <v>3310</v>
      </c>
    </row>
    <row r="1953" spans="1:3">
      <c r="A1953" s="1" t="s">
        <v>2042</v>
      </c>
      <c r="B1953" s="1" t="s">
        <v>3311</v>
      </c>
      <c r="C1953" s="7" t="s">
        <v>3312</v>
      </c>
    </row>
    <row r="1954" spans="1:3">
      <c r="A1954" s="1" t="s">
        <v>2042</v>
      </c>
      <c r="B1954" s="1" t="s">
        <v>3313</v>
      </c>
      <c r="C1954" s="7" t="s">
        <v>3139</v>
      </c>
    </row>
    <row r="1955" spans="1:3">
      <c r="A1955" s="1" t="s">
        <v>2042</v>
      </c>
      <c r="B1955" s="1" t="s">
        <v>3314</v>
      </c>
      <c r="C1955" s="7" t="s">
        <v>3315</v>
      </c>
    </row>
    <row r="1956" spans="1:3">
      <c r="A1956" s="1" t="s">
        <v>2042</v>
      </c>
      <c r="B1956" s="1" t="s">
        <v>3316</v>
      </c>
      <c r="C1956" s="7" t="s">
        <v>3317</v>
      </c>
    </row>
    <row r="1957" spans="1:3">
      <c r="A1957" s="1" t="s">
        <v>2042</v>
      </c>
      <c r="B1957" s="1" t="s">
        <v>3318</v>
      </c>
      <c r="C1957" s="7" t="s">
        <v>3218</v>
      </c>
    </row>
    <row r="1958" spans="1:3">
      <c r="A1958" s="1" t="s">
        <v>2042</v>
      </c>
      <c r="B1958" s="1" t="s">
        <v>3319</v>
      </c>
      <c r="C1958" s="7" t="s">
        <v>3320</v>
      </c>
    </row>
    <row r="1959" spans="1:3">
      <c r="A1959" s="1" t="s">
        <v>2042</v>
      </c>
      <c r="B1959" s="1" t="s">
        <v>3321</v>
      </c>
      <c r="C1959" s="7" t="s">
        <v>3322</v>
      </c>
    </row>
    <row r="1960" spans="1:3">
      <c r="A1960" s="1" t="s">
        <v>2042</v>
      </c>
      <c r="B1960" s="1" t="s">
        <v>3323</v>
      </c>
      <c r="C1960" s="7" t="s">
        <v>3324</v>
      </c>
    </row>
    <row r="1961" spans="1:3">
      <c r="A1961" s="1" t="s">
        <v>2042</v>
      </c>
      <c r="B1961" s="1" t="s">
        <v>3325</v>
      </c>
      <c r="C1961" s="7" t="s">
        <v>3326</v>
      </c>
    </row>
    <row r="1962" spans="1:3">
      <c r="A1962" s="1" t="s">
        <v>2042</v>
      </c>
      <c r="B1962" s="1" t="s">
        <v>3327</v>
      </c>
      <c r="C1962" s="7" t="s">
        <v>3328</v>
      </c>
    </row>
    <row r="1963" spans="1:3">
      <c r="A1963" s="1" t="s">
        <v>2042</v>
      </c>
      <c r="B1963" s="1" t="s">
        <v>3329</v>
      </c>
      <c r="C1963" s="7" t="s">
        <v>3330</v>
      </c>
    </row>
    <row r="1964" spans="1:3">
      <c r="A1964" s="1" t="s">
        <v>2042</v>
      </c>
      <c r="B1964" s="1" t="s">
        <v>3331</v>
      </c>
      <c r="C1964" s="7" t="s">
        <v>3332</v>
      </c>
    </row>
    <row r="1965" spans="1:3">
      <c r="A1965" s="1" t="s">
        <v>2042</v>
      </c>
      <c r="B1965" s="1" t="s">
        <v>3333</v>
      </c>
      <c r="C1965" s="7" t="s">
        <v>3334</v>
      </c>
    </row>
    <row r="1966" spans="1:3">
      <c r="A1966" s="1" t="s">
        <v>2042</v>
      </c>
      <c r="B1966" s="1" t="s">
        <v>3335</v>
      </c>
      <c r="C1966" s="7" t="s">
        <v>3336</v>
      </c>
    </row>
    <row r="1967" spans="1:3">
      <c r="A1967" s="1" t="s">
        <v>2042</v>
      </c>
      <c r="B1967" s="1" t="s">
        <v>3337</v>
      </c>
      <c r="C1967" s="7" t="s">
        <v>3338</v>
      </c>
    </row>
    <row r="1968" spans="1:3">
      <c r="A1968" s="1" t="s">
        <v>2042</v>
      </c>
      <c r="B1968" s="1" t="s">
        <v>3339</v>
      </c>
      <c r="C1968" s="7" t="s">
        <v>3340</v>
      </c>
    </row>
    <row r="1969" spans="1:3">
      <c r="A1969" s="1" t="s">
        <v>2042</v>
      </c>
      <c r="B1969" s="1" t="s">
        <v>3341</v>
      </c>
      <c r="C1969" s="7" t="s">
        <v>3342</v>
      </c>
    </row>
    <row r="1970" spans="1:3">
      <c r="A1970" s="1" t="s">
        <v>2042</v>
      </c>
      <c r="B1970" s="1" t="s">
        <v>3343</v>
      </c>
      <c r="C1970" s="7" t="s">
        <v>3344</v>
      </c>
    </row>
    <row r="1971" spans="1:3">
      <c r="A1971" s="1" t="s">
        <v>2042</v>
      </c>
      <c r="B1971" s="1" t="s">
        <v>3345</v>
      </c>
      <c r="C1971" s="7" t="s">
        <v>794</v>
      </c>
    </row>
    <row r="1972" spans="1:3">
      <c r="A1972" s="1" t="s">
        <v>2042</v>
      </c>
      <c r="B1972" s="1" t="s">
        <v>3346</v>
      </c>
      <c r="C1972" s="7" t="s">
        <v>3347</v>
      </c>
    </row>
    <row r="1973" spans="1:3">
      <c r="A1973" s="1" t="s">
        <v>2042</v>
      </c>
      <c r="B1973" s="1" t="s">
        <v>3348</v>
      </c>
      <c r="C1973" s="7" t="s">
        <v>3349</v>
      </c>
    </row>
    <row r="1974" spans="1:3">
      <c r="A1974" s="1" t="s">
        <v>2042</v>
      </c>
      <c r="B1974" s="1" t="s">
        <v>3350</v>
      </c>
      <c r="C1974" s="7" t="s">
        <v>3351</v>
      </c>
    </row>
    <row r="1975" spans="1:3">
      <c r="A1975" s="1" t="s">
        <v>2042</v>
      </c>
      <c r="B1975" s="1" t="s">
        <v>3352</v>
      </c>
      <c r="C1975" s="7" t="s">
        <v>3353</v>
      </c>
    </row>
    <row r="1976" spans="1:3">
      <c r="A1976" s="1" t="s">
        <v>2042</v>
      </c>
      <c r="B1976" s="1" t="s">
        <v>3354</v>
      </c>
      <c r="C1976" s="7" t="s">
        <v>3355</v>
      </c>
    </row>
    <row r="1977" spans="1:3">
      <c r="A1977" s="1" t="s">
        <v>2042</v>
      </c>
      <c r="B1977" s="1" t="s">
        <v>3356</v>
      </c>
      <c r="C1977" s="7" t="s">
        <v>3357</v>
      </c>
    </row>
    <row r="1978" spans="1:3">
      <c r="A1978" s="1" t="s">
        <v>2042</v>
      </c>
      <c r="B1978" s="1" t="s">
        <v>3358</v>
      </c>
      <c r="C1978" s="7" t="s">
        <v>3359</v>
      </c>
    </row>
    <row r="1979" spans="1:3">
      <c r="A1979" s="1" t="s">
        <v>2042</v>
      </c>
      <c r="B1979" s="1" t="s">
        <v>3360</v>
      </c>
      <c r="C1979" s="7" t="s">
        <v>3361</v>
      </c>
    </row>
    <row r="1980" spans="1:3">
      <c r="A1980" s="1" t="s">
        <v>2042</v>
      </c>
      <c r="B1980" s="1" t="s">
        <v>3362</v>
      </c>
      <c r="C1980" s="7" t="s">
        <v>3357</v>
      </c>
    </row>
    <row r="1981" spans="1:3">
      <c r="A1981" s="1" t="s">
        <v>2042</v>
      </c>
      <c r="B1981" s="1" t="s">
        <v>3363</v>
      </c>
      <c r="C1981" s="7" t="s">
        <v>3359</v>
      </c>
    </row>
    <row r="1982" spans="1:3" ht="19.5" customHeight="1">
      <c r="A1982" s="5" t="s">
        <v>3364</v>
      </c>
      <c r="B1982" s="6"/>
      <c r="C1982" s="6"/>
    </row>
    <row r="1983" spans="1:3">
      <c r="A1983" s="1" t="s">
        <v>3365</v>
      </c>
      <c r="B1983" s="1" t="s">
        <v>981</v>
      </c>
      <c r="C1983" s="7" t="s">
        <v>3366</v>
      </c>
    </row>
    <row r="1984" spans="1:3">
      <c r="A1984" s="1" t="s">
        <v>3365</v>
      </c>
      <c r="B1984" s="1" t="s">
        <v>983</v>
      </c>
      <c r="C1984" s="7" t="s">
        <v>1522</v>
      </c>
    </row>
    <row r="1985" spans="1:3">
      <c r="A1985" s="1" t="s">
        <v>3365</v>
      </c>
      <c r="B1985" s="1" t="s">
        <v>1713</v>
      </c>
      <c r="C1985" s="7" t="s">
        <v>300</v>
      </c>
    </row>
    <row r="1986" spans="1:3">
      <c r="A1986" s="1" t="s">
        <v>3365</v>
      </c>
      <c r="B1986" s="1" t="s">
        <v>1418</v>
      </c>
      <c r="C1986" s="7" t="s">
        <v>3367</v>
      </c>
    </row>
    <row r="1987" spans="1:3">
      <c r="A1987" s="1" t="s">
        <v>3365</v>
      </c>
      <c r="B1987" s="1" t="s">
        <v>985</v>
      </c>
      <c r="C1987" s="7" t="s">
        <v>3368</v>
      </c>
    </row>
    <row r="1988" spans="1:3">
      <c r="A1988" s="1" t="s">
        <v>3365</v>
      </c>
      <c r="B1988" s="1" t="s">
        <v>986</v>
      </c>
      <c r="C1988" s="7" t="s">
        <v>3369</v>
      </c>
    </row>
    <row r="1989" spans="1:3">
      <c r="A1989" s="1" t="s">
        <v>3365</v>
      </c>
      <c r="B1989" s="1" t="s">
        <v>988</v>
      </c>
      <c r="C1989" s="7" t="s">
        <v>3370</v>
      </c>
    </row>
    <row r="1990" spans="1:3">
      <c r="A1990" s="1" t="s">
        <v>3365</v>
      </c>
      <c r="B1990" s="1" t="s">
        <v>1423</v>
      </c>
      <c r="C1990" s="7" t="s">
        <v>3371</v>
      </c>
    </row>
    <row r="1991" spans="1:3">
      <c r="A1991" s="1" t="s">
        <v>3365</v>
      </c>
      <c r="B1991" s="1" t="s">
        <v>1250</v>
      </c>
      <c r="C1991" s="4" t="s">
        <v>3372</v>
      </c>
    </row>
    <row r="1992" spans="1:3">
      <c r="A1992" s="1" t="s">
        <v>3365</v>
      </c>
      <c r="B1992" s="1" t="s">
        <v>990</v>
      </c>
      <c r="C1992" s="7" t="s">
        <v>3373</v>
      </c>
    </row>
    <row r="1993" spans="1:3">
      <c r="A1993" s="1" t="s">
        <v>3365</v>
      </c>
      <c r="B1993" s="1" t="s">
        <v>994</v>
      </c>
      <c r="C1993" s="7" t="s">
        <v>3374</v>
      </c>
    </row>
    <row r="1994" spans="1:3">
      <c r="A1994" s="1" t="s">
        <v>3365</v>
      </c>
      <c r="B1994" s="1" t="s">
        <v>996</v>
      </c>
      <c r="C1994" s="7" t="s">
        <v>3375</v>
      </c>
    </row>
    <row r="1995" spans="1:3">
      <c r="A1995" s="1" t="s">
        <v>3365</v>
      </c>
      <c r="B1995" s="1" t="s">
        <v>1000</v>
      </c>
      <c r="C1995" s="7" t="s">
        <v>3376</v>
      </c>
    </row>
    <row r="1996" spans="1:3">
      <c r="A1996" s="1" t="s">
        <v>3365</v>
      </c>
      <c r="B1996" s="1" t="s">
        <v>1089</v>
      </c>
      <c r="C1996" s="7" t="s">
        <v>3377</v>
      </c>
    </row>
    <row r="1997" spans="1:3">
      <c r="A1997" s="1" t="s">
        <v>3365</v>
      </c>
      <c r="B1997" s="1" t="s">
        <v>1004</v>
      </c>
      <c r="C1997" s="7" t="s">
        <v>3378</v>
      </c>
    </row>
    <row r="1998" spans="1:3">
      <c r="A1998" s="1" t="s">
        <v>3365</v>
      </c>
      <c r="B1998" s="1" t="s">
        <v>1008</v>
      </c>
      <c r="C1998" s="7" t="s">
        <v>3379</v>
      </c>
    </row>
    <row r="1999" spans="1:3">
      <c r="A1999" s="1" t="s">
        <v>3365</v>
      </c>
      <c r="B1999" s="1" t="s">
        <v>1278</v>
      </c>
      <c r="C1999" s="7" t="s">
        <v>3380</v>
      </c>
    </row>
    <row r="2000" spans="1:3">
      <c r="A2000" s="1" t="s">
        <v>3365</v>
      </c>
      <c r="B2000" s="1" t="s">
        <v>1119</v>
      </c>
      <c r="C2000" s="7" t="s">
        <v>2976</v>
      </c>
    </row>
    <row r="2001" spans="1:3">
      <c r="A2001" s="1" t="s">
        <v>3365</v>
      </c>
      <c r="B2001" s="1" t="s">
        <v>1122</v>
      </c>
      <c r="C2001" s="7" t="s">
        <v>3381</v>
      </c>
    </row>
    <row r="2002" spans="1:3">
      <c r="A2002" s="1" t="s">
        <v>3365</v>
      </c>
      <c r="B2002" s="1" t="s">
        <v>1126</v>
      </c>
      <c r="C2002" s="7" t="s">
        <v>2981</v>
      </c>
    </row>
    <row r="2003" spans="1:3">
      <c r="A2003" s="1" t="s">
        <v>3365</v>
      </c>
      <c r="B2003" s="1" t="s">
        <v>1127</v>
      </c>
      <c r="C2003" s="7" t="s">
        <v>2983</v>
      </c>
    </row>
    <row r="2004" spans="1:3">
      <c r="A2004" s="1" t="s">
        <v>3365</v>
      </c>
      <c r="B2004" s="1" t="s">
        <v>1298</v>
      </c>
      <c r="C2004" s="7" t="s">
        <v>2985</v>
      </c>
    </row>
    <row r="2005" spans="1:3">
      <c r="A2005" s="1" t="s">
        <v>3365</v>
      </c>
      <c r="B2005" s="1" t="s">
        <v>1129</v>
      </c>
      <c r="C2005" s="7" t="s">
        <v>2987</v>
      </c>
    </row>
    <row r="2006" spans="1:3">
      <c r="A2006" s="1" t="s">
        <v>3365</v>
      </c>
      <c r="B2006" s="1" t="s">
        <v>1131</v>
      </c>
      <c r="C2006" s="7" t="s">
        <v>2989</v>
      </c>
    </row>
    <row r="2007" spans="1:3">
      <c r="A2007" s="1" t="s">
        <v>3365</v>
      </c>
      <c r="B2007" s="1" t="s">
        <v>1132</v>
      </c>
      <c r="C2007" s="7" t="s">
        <v>2991</v>
      </c>
    </row>
    <row r="2008" spans="1:3">
      <c r="A2008" s="1" t="s">
        <v>3365</v>
      </c>
      <c r="B2008" s="1" t="s">
        <v>1134</v>
      </c>
      <c r="C2008" s="7" t="s">
        <v>2406</v>
      </c>
    </row>
    <row r="2009" spans="1:3">
      <c r="A2009" s="1" t="s">
        <v>3365</v>
      </c>
      <c r="B2009" s="1" t="s">
        <v>1135</v>
      </c>
      <c r="C2009" s="7" t="s">
        <v>2402</v>
      </c>
    </row>
    <row r="2010" spans="1:3">
      <c r="A2010" s="1" t="s">
        <v>3365</v>
      </c>
      <c r="B2010" s="1" t="s">
        <v>1137</v>
      </c>
      <c r="C2010" s="7" t="s">
        <v>2995</v>
      </c>
    </row>
    <row r="2011" spans="1:3">
      <c r="A2011" s="1" t="s">
        <v>3365</v>
      </c>
      <c r="B2011" s="1" t="s">
        <v>1139</v>
      </c>
      <c r="C2011" s="7" t="s">
        <v>2410</v>
      </c>
    </row>
    <row r="2012" spans="1:3">
      <c r="A2012" s="1" t="s">
        <v>3365</v>
      </c>
      <c r="B2012" s="1" t="s">
        <v>1141</v>
      </c>
      <c r="C2012" s="7" t="s">
        <v>2998</v>
      </c>
    </row>
    <row r="2013" spans="1:3">
      <c r="A2013" s="1" t="s">
        <v>3365</v>
      </c>
      <c r="B2013" s="1" t="s">
        <v>1143</v>
      </c>
      <c r="C2013" s="7" t="s">
        <v>3000</v>
      </c>
    </row>
    <row r="2014" spans="1:3">
      <c r="A2014" s="1" t="s">
        <v>3365</v>
      </c>
      <c r="B2014" s="1" t="s">
        <v>1305</v>
      </c>
      <c r="C2014" s="7" t="s">
        <v>537</v>
      </c>
    </row>
    <row r="2015" spans="1:3">
      <c r="A2015" s="1" t="s">
        <v>3365</v>
      </c>
      <c r="B2015" s="1" t="s">
        <v>1145</v>
      </c>
      <c r="C2015" s="7" t="s">
        <v>1609</v>
      </c>
    </row>
    <row r="2016" spans="1:3">
      <c r="A2016" s="1" t="s">
        <v>3365</v>
      </c>
      <c r="B2016" s="1" t="s">
        <v>1313</v>
      </c>
      <c r="C2016" s="7" t="s">
        <v>1598</v>
      </c>
    </row>
    <row r="2017" spans="1:3">
      <c r="A2017" s="1" t="s">
        <v>3365</v>
      </c>
      <c r="B2017" s="1" t="s">
        <v>1320</v>
      </c>
      <c r="C2017" s="7" t="s">
        <v>1547</v>
      </c>
    </row>
    <row r="2018" spans="1:3">
      <c r="A2018" s="1" t="s">
        <v>3365</v>
      </c>
      <c r="B2018" s="1" t="s">
        <v>1327</v>
      </c>
      <c r="C2018" s="7" t="s">
        <v>497</v>
      </c>
    </row>
    <row r="2019" spans="1:3">
      <c r="A2019" s="1" t="s">
        <v>3365</v>
      </c>
      <c r="B2019" s="1" t="s">
        <v>1151</v>
      </c>
      <c r="C2019" s="7" t="s">
        <v>3007</v>
      </c>
    </row>
    <row r="2020" spans="1:3">
      <c r="A2020" s="1" t="s">
        <v>3365</v>
      </c>
      <c r="B2020" s="1" t="s">
        <v>1339</v>
      </c>
      <c r="C2020" s="7" t="s">
        <v>3009</v>
      </c>
    </row>
    <row r="2021" spans="1:3">
      <c r="A2021" s="1" t="s">
        <v>3365</v>
      </c>
      <c r="B2021" s="1" t="s">
        <v>1155</v>
      </c>
      <c r="C2021" s="7" t="s">
        <v>511</v>
      </c>
    </row>
    <row r="2022" spans="1:3">
      <c r="A2022" s="1" t="s">
        <v>3365</v>
      </c>
      <c r="B2022" s="1" t="s">
        <v>1352</v>
      </c>
      <c r="C2022" s="7" t="s">
        <v>3012</v>
      </c>
    </row>
    <row r="2023" spans="1:3">
      <c r="A2023" s="1" t="s">
        <v>3365</v>
      </c>
      <c r="B2023" s="1" t="s">
        <v>2086</v>
      </c>
      <c r="C2023" s="7" t="s">
        <v>3014</v>
      </c>
    </row>
    <row r="2024" spans="1:3">
      <c r="A2024" s="1" t="s">
        <v>3365</v>
      </c>
      <c r="B2024" s="1" t="s">
        <v>1363</v>
      </c>
      <c r="C2024" s="7" t="s">
        <v>3016</v>
      </c>
    </row>
    <row r="2025" spans="1:3">
      <c r="A2025" s="1" t="s">
        <v>3365</v>
      </c>
      <c r="B2025" s="1" t="s">
        <v>1365</v>
      </c>
      <c r="C2025" s="7" t="s">
        <v>3018</v>
      </c>
    </row>
    <row r="2026" spans="1:3">
      <c r="A2026" s="1" t="s">
        <v>3365</v>
      </c>
      <c r="B2026" s="1" t="s">
        <v>1368</v>
      </c>
      <c r="C2026" s="7" t="s">
        <v>3020</v>
      </c>
    </row>
    <row r="2027" spans="1:3">
      <c r="A2027" s="1" t="s">
        <v>3365</v>
      </c>
      <c r="B2027" s="1" t="s">
        <v>1375</v>
      </c>
      <c r="C2027" s="7" t="s">
        <v>3022</v>
      </c>
    </row>
    <row r="2028" spans="1:3">
      <c r="A2028" s="1" t="s">
        <v>3365</v>
      </c>
      <c r="B2028" s="1" t="s">
        <v>1165</v>
      </c>
      <c r="C2028" s="7" t="s">
        <v>3024</v>
      </c>
    </row>
    <row r="2029" spans="1:3">
      <c r="A2029" s="1" t="s">
        <v>3365</v>
      </c>
      <c r="B2029" s="1" t="s">
        <v>1389</v>
      </c>
      <c r="C2029" s="7" t="s">
        <v>3026</v>
      </c>
    </row>
    <row r="2030" spans="1:3">
      <c r="A2030" s="1" t="s">
        <v>3365</v>
      </c>
      <c r="B2030" s="1" t="s">
        <v>1168</v>
      </c>
      <c r="C2030" s="7" t="s">
        <v>3028</v>
      </c>
    </row>
    <row r="2031" spans="1:3">
      <c r="A2031" s="1" t="s">
        <v>3365</v>
      </c>
      <c r="B2031" s="1" t="s">
        <v>1170</v>
      </c>
      <c r="C2031" s="7" t="s">
        <v>3030</v>
      </c>
    </row>
    <row r="2032" spans="1:3">
      <c r="A2032" s="1" t="s">
        <v>3365</v>
      </c>
      <c r="B2032" s="1" t="s">
        <v>1172</v>
      </c>
      <c r="C2032" s="7" t="s">
        <v>3032</v>
      </c>
    </row>
    <row r="2033" spans="1:3">
      <c r="A2033" s="1" t="s">
        <v>3365</v>
      </c>
      <c r="B2033" s="1" t="s">
        <v>1174</v>
      </c>
      <c r="C2033" s="7" t="s">
        <v>3034</v>
      </c>
    </row>
    <row r="2034" spans="1:3">
      <c r="A2034" s="1" t="s">
        <v>3365</v>
      </c>
      <c r="B2034" s="1" t="s">
        <v>1176</v>
      </c>
      <c r="C2034" s="7" t="s">
        <v>3036</v>
      </c>
    </row>
    <row r="2035" spans="1:3">
      <c r="A2035" s="1" t="s">
        <v>3365</v>
      </c>
      <c r="B2035" s="1" t="s">
        <v>1178</v>
      </c>
      <c r="C2035" s="7" t="s">
        <v>3038</v>
      </c>
    </row>
    <row r="2036" spans="1:3">
      <c r="A2036" s="1" t="s">
        <v>3365</v>
      </c>
      <c r="B2036" s="1" t="s">
        <v>1180</v>
      </c>
      <c r="C2036" s="7" t="s">
        <v>3040</v>
      </c>
    </row>
    <row r="2037" spans="1:3">
      <c r="A2037" s="1" t="s">
        <v>3365</v>
      </c>
      <c r="B2037" s="1" t="s">
        <v>1408</v>
      </c>
      <c r="C2037" s="7" t="s">
        <v>3042</v>
      </c>
    </row>
    <row r="2038" spans="1:3">
      <c r="A2038" s="1" t="s">
        <v>3365</v>
      </c>
      <c r="B2038" s="1" t="s">
        <v>1182</v>
      </c>
      <c r="C2038" s="7" t="s">
        <v>3044</v>
      </c>
    </row>
    <row r="2039" spans="1:3">
      <c r="A2039" s="1" t="s">
        <v>3365</v>
      </c>
      <c r="B2039" s="1" t="s">
        <v>1184</v>
      </c>
      <c r="C2039" s="7" t="s">
        <v>3046</v>
      </c>
    </row>
    <row r="2040" spans="1:3">
      <c r="A2040" s="1" t="s">
        <v>3365</v>
      </c>
      <c r="B2040" s="1" t="s">
        <v>1186</v>
      </c>
      <c r="C2040" s="7" t="s">
        <v>3048</v>
      </c>
    </row>
    <row r="2041" spans="1:3">
      <c r="A2041" s="1" t="s">
        <v>3365</v>
      </c>
      <c r="B2041" s="1" t="s">
        <v>1188</v>
      </c>
      <c r="C2041" s="7" t="s">
        <v>3050</v>
      </c>
    </row>
    <row r="2042" spans="1:3">
      <c r="A2042" s="1" t="s">
        <v>3365</v>
      </c>
      <c r="B2042" s="1" t="s">
        <v>1192</v>
      </c>
      <c r="C2042" s="7" t="s">
        <v>3052</v>
      </c>
    </row>
    <row r="2043" spans="1:3">
      <c r="A2043" s="1" t="s">
        <v>3365</v>
      </c>
      <c r="B2043" s="1" t="s">
        <v>1194</v>
      </c>
      <c r="C2043" s="7" t="s">
        <v>3054</v>
      </c>
    </row>
    <row r="2044" spans="1:3">
      <c r="A2044" s="1" t="s">
        <v>3365</v>
      </c>
      <c r="B2044" s="1" t="s">
        <v>1198</v>
      </c>
      <c r="C2044" s="7" t="s">
        <v>3056</v>
      </c>
    </row>
    <row r="2045" spans="1:3">
      <c r="A2045" s="1" t="s">
        <v>3365</v>
      </c>
      <c r="B2045" s="1" t="s">
        <v>1203</v>
      </c>
      <c r="C2045" s="7" t="s">
        <v>3058</v>
      </c>
    </row>
    <row r="2046" spans="1:3">
      <c r="A2046" s="1" t="s">
        <v>3365</v>
      </c>
      <c r="B2046" s="1" t="s">
        <v>1208</v>
      </c>
      <c r="C2046" s="7" t="s">
        <v>3060</v>
      </c>
    </row>
    <row r="2047" spans="1:3">
      <c r="A2047" s="1" t="s">
        <v>3365</v>
      </c>
      <c r="B2047" s="1" t="s">
        <v>1210</v>
      </c>
      <c r="C2047" s="7" t="s">
        <v>3062</v>
      </c>
    </row>
    <row r="2048" spans="1:3">
      <c r="A2048" s="1" t="s">
        <v>3365</v>
      </c>
      <c r="B2048" s="1" t="s">
        <v>1212</v>
      </c>
      <c r="C2048" s="7" t="s">
        <v>3064</v>
      </c>
    </row>
    <row r="2049" spans="1:3">
      <c r="A2049" s="1" t="s">
        <v>3365</v>
      </c>
      <c r="B2049" s="1" t="s">
        <v>1214</v>
      </c>
      <c r="C2049" s="7" t="s">
        <v>3066</v>
      </c>
    </row>
    <row r="2050" spans="1:3">
      <c r="A2050" s="1" t="s">
        <v>3365</v>
      </c>
      <c r="B2050" s="1" t="s">
        <v>2142</v>
      </c>
      <c r="C2050" s="7" t="s">
        <v>3068</v>
      </c>
    </row>
    <row r="2051" spans="1:3">
      <c r="A2051" s="1" t="s">
        <v>3365</v>
      </c>
      <c r="B2051" s="1" t="s">
        <v>1216</v>
      </c>
      <c r="C2051" s="7" t="s">
        <v>3058</v>
      </c>
    </row>
    <row r="2052" spans="1:3">
      <c r="A2052" s="1" t="s">
        <v>3365</v>
      </c>
      <c r="B2052" s="1" t="s">
        <v>1218</v>
      </c>
      <c r="C2052" s="7" t="s">
        <v>3071</v>
      </c>
    </row>
    <row r="2053" spans="1:3">
      <c r="A2053" s="1" t="s">
        <v>3365</v>
      </c>
      <c r="B2053" s="1" t="s">
        <v>1219</v>
      </c>
      <c r="C2053" s="7" t="s">
        <v>3073</v>
      </c>
    </row>
    <row r="2054" spans="1:3">
      <c r="A2054" s="1" t="s">
        <v>3365</v>
      </c>
      <c r="B2054" s="1" t="s">
        <v>1221</v>
      </c>
      <c r="C2054" s="7" t="s">
        <v>3075</v>
      </c>
    </row>
    <row r="2055" spans="1:3">
      <c r="A2055" s="1" t="s">
        <v>3365</v>
      </c>
      <c r="B2055" s="1" t="s">
        <v>1222</v>
      </c>
      <c r="C2055" s="7" t="s">
        <v>3077</v>
      </c>
    </row>
    <row r="2056" spans="1:3">
      <c r="A2056" s="1" t="s">
        <v>3365</v>
      </c>
      <c r="B2056" s="1" t="s">
        <v>1223</v>
      </c>
      <c r="C2056" s="7" t="s">
        <v>3079</v>
      </c>
    </row>
    <row r="2057" spans="1:3">
      <c r="A2057" s="1" t="s">
        <v>3365</v>
      </c>
      <c r="B2057" s="1" t="s">
        <v>1225</v>
      </c>
      <c r="C2057" s="7" t="s">
        <v>3081</v>
      </c>
    </row>
    <row r="2058" spans="1:3">
      <c r="A2058" s="1" t="s">
        <v>3365</v>
      </c>
      <c r="B2058" s="1" t="s">
        <v>1227</v>
      </c>
      <c r="C2058" s="7" t="s">
        <v>3083</v>
      </c>
    </row>
    <row r="2059" spans="1:3">
      <c r="A2059" s="1" t="s">
        <v>3365</v>
      </c>
      <c r="B2059" s="1" t="s">
        <v>1229</v>
      </c>
      <c r="C2059" s="7" t="s">
        <v>3058</v>
      </c>
    </row>
    <row r="2060" spans="1:3">
      <c r="A2060" s="1" t="s">
        <v>3365</v>
      </c>
      <c r="B2060" s="1" t="s">
        <v>2173</v>
      </c>
      <c r="C2060" s="7" t="s">
        <v>3086</v>
      </c>
    </row>
    <row r="2061" spans="1:3">
      <c r="A2061" s="1" t="s">
        <v>3365</v>
      </c>
      <c r="B2061" s="1" t="s">
        <v>2177</v>
      </c>
      <c r="C2061" s="7" t="s">
        <v>3088</v>
      </c>
    </row>
    <row r="2062" spans="1:3">
      <c r="A2062" s="1" t="s">
        <v>3365</v>
      </c>
      <c r="B2062" s="1" t="s">
        <v>1231</v>
      </c>
      <c r="C2062" s="7" t="s">
        <v>3090</v>
      </c>
    </row>
    <row r="2063" spans="1:3">
      <c r="A2063" s="1" t="s">
        <v>3365</v>
      </c>
      <c r="B2063" s="1" t="s">
        <v>2184</v>
      </c>
      <c r="C2063" s="7" t="s">
        <v>3092</v>
      </c>
    </row>
    <row r="2064" spans="1:3">
      <c r="A2064" s="1" t="s">
        <v>3365</v>
      </c>
      <c r="B2064" s="1" t="s">
        <v>1233</v>
      </c>
      <c r="C2064" s="7" t="s">
        <v>3079</v>
      </c>
    </row>
    <row r="2065" spans="1:3">
      <c r="A2065" s="1" t="s">
        <v>3365</v>
      </c>
      <c r="B2065" s="1" t="s">
        <v>2191</v>
      </c>
      <c r="C2065" s="7" t="s">
        <v>3095</v>
      </c>
    </row>
    <row r="2066" spans="1:3">
      <c r="A2066" s="1" t="s">
        <v>3365</v>
      </c>
      <c r="B2066" s="1" t="s">
        <v>1235</v>
      </c>
      <c r="C2066" s="7" t="s">
        <v>3097</v>
      </c>
    </row>
    <row r="2067" spans="1:3">
      <c r="A2067" s="1" t="s">
        <v>3365</v>
      </c>
      <c r="B2067" s="1" t="s">
        <v>2198</v>
      </c>
      <c r="C2067" s="7" t="s">
        <v>3099</v>
      </c>
    </row>
    <row r="2068" spans="1:3">
      <c r="A2068" s="1" t="s">
        <v>3365</v>
      </c>
      <c r="B2068" s="1" t="s">
        <v>1237</v>
      </c>
      <c r="C2068" s="7" t="s">
        <v>3101</v>
      </c>
    </row>
    <row r="2069" spans="1:3">
      <c r="A2069" s="1" t="s">
        <v>3365</v>
      </c>
      <c r="B2069" s="1" t="s">
        <v>2205</v>
      </c>
      <c r="C2069" s="7" t="s">
        <v>3103</v>
      </c>
    </row>
    <row r="2070" spans="1:3">
      <c r="A2070" s="1" t="s">
        <v>3365</v>
      </c>
      <c r="B2070" s="1" t="s">
        <v>2209</v>
      </c>
      <c r="C2070" s="7" t="s">
        <v>3105</v>
      </c>
    </row>
    <row r="2071" spans="1:3">
      <c r="A2071" s="1" t="s">
        <v>3365</v>
      </c>
      <c r="B2071" s="1" t="s">
        <v>2213</v>
      </c>
      <c r="C2071" s="7" t="s">
        <v>3107</v>
      </c>
    </row>
    <row r="2072" spans="1:3">
      <c r="A2072" s="1" t="s">
        <v>3365</v>
      </c>
      <c r="B2072" s="1" t="s">
        <v>2217</v>
      </c>
      <c r="C2072" s="7" t="s">
        <v>3109</v>
      </c>
    </row>
    <row r="2073" spans="1:3">
      <c r="A2073" s="1" t="s">
        <v>3365</v>
      </c>
      <c r="B2073" s="1" t="s">
        <v>2221</v>
      </c>
      <c r="C2073" s="7" t="s">
        <v>3081</v>
      </c>
    </row>
    <row r="2074" spans="1:3">
      <c r="A2074" s="1" t="s">
        <v>3365</v>
      </c>
      <c r="B2074" s="1" t="s">
        <v>2225</v>
      </c>
      <c r="C2074" s="7" t="s">
        <v>3083</v>
      </c>
    </row>
    <row r="2075" spans="1:3">
      <c r="A2075" s="1" t="s">
        <v>3365</v>
      </c>
      <c r="B2075" s="1" t="s">
        <v>2229</v>
      </c>
      <c r="C2075" s="7" t="s">
        <v>3113</v>
      </c>
    </row>
    <row r="2076" spans="1:3">
      <c r="A2076" s="1" t="s">
        <v>3365</v>
      </c>
      <c r="B2076" s="1" t="s">
        <v>2233</v>
      </c>
      <c r="C2076" s="7" t="s">
        <v>3115</v>
      </c>
    </row>
    <row r="2077" spans="1:3">
      <c r="A2077" s="1" t="s">
        <v>3365</v>
      </c>
      <c r="B2077" s="1" t="s">
        <v>2237</v>
      </c>
      <c r="C2077" s="7" t="s">
        <v>3052</v>
      </c>
    </row>
    <row r="2078" spans="1:3">
      <c r="A2078" s="1" t="s">
        <v>3365</v>
      </c>
      <c r="B2078" s="1" t="s">
        <v>2241</v>
      </c>
      <c r="C2078" s="7" t="s">
        <v>3054</v>
      </c>
    </row>
    <row r="2079" spans="1:3">
      <c r="A2079" s="1" t="s">
        <v>3365</v>
      </c>
      <c r="B2079" s="1" t="s">
        <v>2245</v>
      </c>
      <c r="C2079" s="7" t="s">
        <v>3056</v>
      </c>
    </row>
    <row r="2080" spans="1:3">
      <c r="A2080" s="1" t="s">
        <v>3365</v>
      </c>
      <c r="B2080" s="1" t="s">
        <v>2249</v>
      </c>
      <c r="C2080" s="7" t="s">
        <v>3058</v>
      </c>
    </row>
    <row r="2081" spans="1:3">
      <c r="A2081" s="1" t="s">
        <v>3365</v>
      </c>
      <c r="B2081" s="1" t="s">
        <v>2253</v>
      </c>
      <c r="C2081" s="7" t="s">
        <v>3121</v>
      </c>
    </row>
    <row r="2082" spans="1:3">
      <c r="A2082" s="1" t="s">
        <v>3365</v>
      </c>
      <c r="B2082" s="1" t="s">
        <v>2257</v>
      </c>
      <c r="C2082" s="7" t="s">
        <v>3123</v>
      </c>
    </row>
    <row r="2083" spans="1:3">
      <c r="A2083" s="1" t="s">
        <v>3365</v>
      </c>
      <c r="B2083" s="1" t="s">
        <v>2263</v>
      </c>
      <c r="C2083" s="7" t="s">
        <v>3125</v>
      </c>
    </row>
    <row r="2084" spans="1:3">
      <c r="A2084" s="1" t="s">
        <v>3365</v>
      </c>
      <c r="B2084" s="1" t="s">
        <v>2267</v>
      </c>
      <c r="C2084" s="7" t="s">
        <v>3127</v>
      </c>
    </row>
    <row r="2085" spans="1:3">
      <c r="A2085" s="1" t="s">
        <v>3365</v>
      </c>
      <c r="B2085" s="1" t="s">
        <v>2271</v>
      </c>
      <c r="C2085" s="7" t="s">
        <v>3129</v>
      </c>
    </row>
    <row r="2086" spans="1:3">
      <c r="A2086" s="1" t="s">
        <v>3365</v>
      </c>
      <c r="B2086" s="1" t="s">
        <v>2274</v>
      </c>
      <c r="C2086" s="7" t="s">
        <v>3131</v>
      </c>
    </row>
    <row r="2087" spans="1:3">
      <c r="A2087" s="1" t="s">
        <v>3365</v>
      </c>
      <c r="B2087" s="1" t="s">
        <v>2278</v>
      </c>
      <c r="C2087" s="7" t="s">
        <v>3133</v>
      </c>
    </row>
    <row r="2088" spans="1:3">
      <c r="A2088" s="1" t="s">
        <v>3365</v>
      </c>
      <c r="B2088" s="1" t="s">
        <v>2281</v>
      </c>
      <c r="C2088" s="7" t="s">
        <v>3135</v>
      </c>
    </row>
    <row r="2089" spans="1:3">
      <c r="A2089" s="1" t="s">
        <v>3365</v>
      </c>
      <c r="B2089" s="1" t="s">
        <v>2284</v>
      </c>
      <c r="C2089" s="7" t="s">
        <v>3137</v>
      </c>
    </row>
    <row r="2090" spans="1:3">
      <c r="A2090" s="1" t="s">
        <v>3365</v>
      </c>
      <c r="B2090" s="1" t="s">
        <v>2287</v>
      </c>
      <c r="C2090" s="7" t="s">
        <v>3139</v>
      </c>
    </row>
    <row r="2091" spans="1:3">
      <c r="A2091" s="1" t="s">
        <v>3365</v>
      </c>
      <c r="B2091" s="1" t="s">
        <v>2290</v>
      </c>
      <c r="C2091" s="7" t="s">
        <v>3141</v>
      </c>
    </row>
    <row r="2092" spans="1:3">
      <c r="A2092" s="1" t="s">
        <v>3365</v>
      </c>
      <c r="B2092" s="1" t="s">
        <v>2293</v>
      </c>
      <c r="C2092" s="7" t="s">
        <v>3143</v>
      </c>
    </row>
    <row r="2093" spans="1:3">
      <c r="A2093" s="1" t="s">
        <v>3365</v>
      </c>
      <c r="B2093" s="1" t="s">
        <v>2296</v>
      </c>
      <c r="C2093" s="7" t="s">
        <v>3145</v>
      </c>
    </row>
    <row r="2094" spans="1:3">
      <c r="A2094" s="1" t="s">
        <v>3365</v>
      </c>
      <c r="B2094" s="1" t="s">
        <v>2300</v>
      </c>
      <c r="C2094" s="7" t="s">
        <v>3147</v>
      </c>
    </row>
    <row r="2095" spans="1:3">
      <c r="A2095" s="1" t="s">
        <v>3365</v>
      </c>
      <c r="B2095" s="1" t="s">
        <v>2304</v>
      </c>
      <c r="C2095" s="7" t="s">
        <v>3149</v>
      </c>
    </row>
    <row r="2096" spans="1:3">
      <c r="A2096" s="1" t="s">
        <v>3365</v>
      </c>
      <c r="B2096" s="1" t="s">
        <v>2308</v>
      </c>
      <c r="C2096" s="7" t="s">
        <v>3151</v>
      </c>
    </row>
    <row r="2097" spans="1:3">
      <c r="A2097" s="1" t="s">
        <v>3365</v>
      </c>
      <c r="B2097" s="1" t="s">
        <v>2312</v>
      </c>
      <c r="C2097" s="7" t="s">
        <v>3153</v>
      </c>
    </row>
    <row r="2098" spans="1:3">
      <c r="A2098" s="1" t="s">
        <v>3365</v>
      </c>
      <c r="B2098" s="1" t="s">
        <v>2315</v>
      </c>
      <c r="C2098" s="7" t="s">
        <v>3155</v>
      </c>
    </row>
    <row r="2099" spans="1:3">
      <c r="A2099" s="1" t="s">
        <v>3365</v>
      </c>
      <c r="B2099" s="1" t="s">
        <v>2319</v>
      </c>
      <c r="C2099" s="7" t="s">
        <v>3157</v>
      </c>
    </row>
    <row r="2100" spans="1:3">
      <c r="A2100" s="1" t="s">
        <v>3365</v>
      </c>
      <c r="B2100" s="1" t="s">
        <v>2324</v>
      </c>
      <c r="C2100" s="7" t="s">
        <v>3159</v>
      </c>
    </row>
    <row r="2101" spans="1:3">
      <c r="A2101" s="1" t="s">
        <v>3365</v>
      </c>
      <c r="B2101" s="1" t="s">
        <v>2327</v>
      </c>
      <c r="C2101" s="7" t="s">
        <v>3161</v>
      </c>
    </row>
    <row r="2102" spans="1:3">
      <c r="A2102" s="1" t="s">
        <v>3365</v>
      </c>
      <c r="B2102" s="1" t="s">
        <v>2330</v>
      </c>
      <c r="C2102" s="7" t="s">
        <v>3163</v>
      </c>
    </row>
    <row r="2103" spans="1:3">
      <c r="A2103" s="1" t="s">
        <v>3365</v>
      </c>
      <c r="B2103" s="1" t="s">
        <v>2333</v>
      </c>
      <c r="C2103" s="7" t="s">
        <v>3165</v>
      </c>
    </row>
    <row r="2104" spans="1:3">
      <c r="A2104" s="1" t="s">
        <v>3365</v>
      </c>
      <c r="B2104" s="1" t="s">
        <v>2337</v>
      </c>
      <c r="C2104" s="7" t="s">
        <v>3052</v>
      </c>
    </row>
    <row r="2105" spans="1:3">
      <c r="A2105" s="1" t="s">
        <v>3365</v>
      </c>
      <c r="B2105" s="1" t="s">
        <v>2340</v>
      </c>
      <c r="C2105" s="7" t="s">
        <v>3054</v>
      </c>
    </row>
    <row r="2106" spans="1:3">
      <c r="A2106" s="1" t="s">
        <v>3365</v>
      </c>
      <c r="B2106" s="1" t="s">
        <v>2343</v>
      </c>
      <c r="C2106" s="7" t="s">
        <v>3056</v>
      </c>
    </row>
    <row r="2107" spans="1:3">
      <c r="A2107" s="1" t="s">
        <v>3365</v>
      </c>
      <c r="B2107" s="1" t="s">
        <v>2346</v>
      </c>
      <c r="C2107" s="7" t="s">
        <v>3170</v>
      </c>
    </row>
    <row r="2108" spans="1:3">
      <c r="A2108" s="1" t="s">
        <v>3365</v>
      </c>
      <c r="B2108" s="1" t="s">
        <v>2350</v>
      </c>
      <c r="C2108" s="7" t="s">
        <v>3172</v>
      </c>
    </row>
    <row r="2109" spans="1:3">
      <c r="A2109" s="1" t="s">
        <v>3365</v>
      </c>
      <c r="B2109" s="1" t="s">
        <v>2356</v>
      </c>
      <c r="C2109" s="7" t="s">
        <v>3174</v>
      </c>
    </row>
    <row r="2110" spans="1:3">
      <c r="A2110" s="1" t="s">
        <v>3365</v>
      </c>
      <c r="B2110" s="1" t="s">
        <v>2361</v>
      </c>
      <c r="C2110" s="7" t="s">
        <v>3176</v>
      </c>
    </row>
    <row r="2111" spans="1:3">
      <c r="A2111" s="1" t="s">
        <v>3365</v>
      </c>
      <c r="B2111" s="1" t="s">
        <v>2366</v>
      </c>
      <c r="C2111" s="7" t="s">
        <v>3178</v>
      </c>
    </row>
    <row r="2112" spans="1:3">
      <c r="A2112" s="1" t="s">
        <v>3365</v>
      </c>
      <c r="B2112" s="1" t="s">
        <v>2371</v>
      </c>
      <c r="C2112" s="7" t="s">
        <v>1609</v>
      </c>
    </row>
    <row r="2113" spans="1:3">
      <c r="A2113" s="1" t="s">
        <v>3365</v>
      </c>
      <c r="B2113" s="1" t="s">
        <v>2376</v>
      </c>
      <c r="C2113" s="7" t="s">
        <v>1485</v>
      </c>
    </row>
    <row r="2114" spans="1:3">
      <c r="A2114" s="1" t="s">
        <v>3365</v>
      </c>
      <c r="B2114" s="1" t="s">
        <v>2378</v>
      </c>
      <c r="C2114" s="7" t="s">
        <v>1598</v>
      </c>
    </row>
    <row r="2115" spans="1:3">
      <c r="A2115" s="1" t="s">
        <v>3365</v>
      </c>
      <c r="B2115" s="1" t="s">
        <v>2384</v>
      </c>
      <c r="C2115" s="7" t="s">
        <v>1547</v>
      </c>
    </row>
    <row r="2116" spans="1:3">
      <c r="A2116" s="1" t="s">
        <v>3365</v>
      </c>
      <c r="B2116" s="1" t="s">
        <v>2388</v>
      </c>
      <c r="C2116" s="7" t="s">
        <v>3007</v>
      </c>
    </row>
    <row r="2117" spans="1:3">
      <c r="A2117" s="1" t="s">
        <v>3365</v>
      </c>
      <c r="B2117" s="1" t="s">
        <v>2392</v>
      </c>
      <c r="C2117" s="7" t="s">
        <v>497</v>
      </c>
    </row>
    <row r="2118" spans="1:3">
      <c r="A2118" s="1" t="s">
        <v>3365</v>
      </c>
      <c r="B2118" s="1" t="s">
        <v>2395</v>
      </c>
      <c r="C2118" s="7" t="s">
        <v>3186</v>
      </c>
    </row>
    <row r="2119" spans="1:3">
      <c r="A2119" s="1" t="s">
        <v>3365</v>
      </c>
      <c r="B2119" s="1" t="s">
        <v>2399</v>
      </c>
      <c r="C2119" s="7" t="s">
        <v>3188</v>
      </c>
    </row>
    <row r="2120" spans="1:3">
      <c r="A2120" s="1" t="s">
        <v>3365</v>
      </c>
      <c r="B2120" s="1" t="s">
        <v>2403</v>
      </c>
      <c r="C2120" s="7" t="s">
        <v>3190</v>
      </c>
    </row>
    <row r="2121" spans="1:3">
      <c r="A2121" s="1" t="s">
        <v>3365</v>
      </c>
      <c r="B2121" s="1" t="s">
        <v>2407</v>
      </c>
      <c r="C2121" s="7" t="s">
        <v>3192</v>
      </c>
    </row>
    <row r="2122" spans="1:3">
      <c r="A2122" s="1" t="s">
        <v>3365</v>
      </c>
      <c r="B2122" s="1" t="s">
        <v>2411</v>
      </c>
      <c r="C2122" s="7" t="s">
        <v>3194</v>
      </c>
    </row>
    <row r="2123" spans="1:3">
      <c r="A2123" s="1" t="s">
        <v>3365</v>
      </c>
      <c r="B2123" s="1" t="s">
        <v>2415</v>
      </c>
      <c r="C2123" s="7" t="s">
        <v>3196</v>
      </c>
    </row>
    <row r="2124" spans="1:3">
      <c r="A2124" s="1" t="s">
        <v>3365</v>
      </c>
      <c r="B2124" s="1" t="s">
        <v>2419</v>
      </c>
      <c r="C2124" s="7" t="s">
        <v>3198</v>
      </c>
    </row>
    <row r="2125" spans="1:3">
      <c r="A2125" s="1" t="s">
        <v>3365</v>
      </c>
      <c r="B2125" s="1" t="s">
        <v>2423</v>
      </c>
      <c r="C2125" s="7" t="s">
        <v>3200</v>
      </c>
    </row>
    <row r="2126" spans="1:3">
      <c r="A2126" s="1" t="s">
        <v>3365</v>
      </c>
      <c r="B2126" s="1" t="s">
        <v>2427</v>
      </c>
      <c r="C2126" s="7" t="s">
        <v>3202</v>
      </c>
    </row>
    <row r="2127" spans="1:3">
      <c r="A2127" s="1" t="s">
        <v>3365</v>
      </c>
      <c r="B2127" s="1" t="s">
        <v>2431</v>
      </c>
      <c r="C2127" s="7" t="s">
        <v>3204</v>
      </c>
    </row>
    <row r="2128" spans="1:3">
      <c r="A2128" s="1" t="s">
        <v>3365</v>
      </c>
      <c r="B2128" s="1" t="s">
        <v>2435</v>
      </c>
      <c r="C2128" s="7" t="s">
        <v>3206</v>
      </c>
    </row>
    <row r="2129" spans="1:3">
      <c r="A2129" s="1" t="s">
        <v>3365</v>
      </c>
      <c r="B2129" s="1" t="s">
        <v>2438</v>
      </c>
      <c r="C2129" s="7" t="s">
        <v>3208</v>
      </c>
    </row>
    <row r="2130" spans="1:3">
      <c r="A2130" s="1" t="s">
        <v>3365</v>
      </c>
      <c r="B2130" s="1" t="s">
        <v>2442</v>
      </c>
      <c r="C2130" s="7" t="s">
        <v>3210</v>
      </c>
    </row>
    <row r="2131" spans="1:3">
      <c r="A2131" s="1" t="s">
        <v>3365</v>
      </c>
      <c r="B2131" s="1" t="s">
        <v>2445</v>
      </c>
      <c r="C2131" s="7" t="s">
        <v>3212</v>
      </c>
    </row>
    <row r="2132" spans="1:3">
      <c r="A2132" s="1" t="s">
        <v>3365</v>
      </c>
      <c r="B2132" s="1" t="s">
        <v>2448</v>
      </c>
      <c r="C2132" s="7" t="s">
        <v>3214</v>
      </c>
    </row>
    <row r="2133" spans="1:3">
      <c r="A2133" s="1" t="s">
        <v>3365</v>
      </c>
      <c r="B2133" s="1" t="s">
        <v>2451</v>
      </c>
      <c r="C2133" s="7" t="s">
        <v>3216</v>
      </c>
    </row>
    <row r="2134" spans="1:3">
      <c r="A2134" s="1" t="s">
        <v>3365</v>
      </c>
      <c r="B2134" s="1" t="s">
        <v>2455</v>
      </c>
      <c r="C2134" s="7" t="s">
        <v>3218</v>
      </c>
    </row>
    <row r="2135" spans="1:3">
      <c r="A2135" s="1" t="s">
        <v>3365</v>
      </c>
      <c r="B2135" s="1" t="s">
        <v>2459</v>
      </c>
      <c r="C2135" s="7" t="s">
        <v>3220</v>
      </c>
    </row>
    <row r="2136" spans="1:3">
      <c r="A2136" s="1" t="s">
        <v>3365</v>
      </c>
      <c r="B2136" s="1" t="s">
        <v>2462</v>
      </c>
      <c r="C2136" s="7" t="s">
        <v>3222</v>
      </c>
    </row>
    <row r="2137" spans="1:3">
      <c r="A2137" s="1" t="s">
        <v>3365</v>
      </c>
      <c r="B2137" s="1" t="s">
        <v>2465</v>
      </c>
      <c r="C2137" s="7" t="s">
        <v>3224</v>
      </c>
    </row>
    <row r="2138" spans="1:3">
      <c r="A2138" s="1" t="s">
        <v>3365</v>
      </c>
      <c r="B2138" s="1" t="s">
        <v>2469</v>
      </c>
      <c r="C2138" s="7" t="s">
        <v>3226</v>
      </c>
    </row>
    <row r="2139" spans="1:3">
      <c r="A2139" s="1" t="s">
        <v>3365</v>
      </c>
      <c r="B2139" s="1" t="s">
        <v>2473</v>
      </c>
      <c r="C2139" s="7" t="s">
        <v>3228</v>
      </c>
    </row>
    <row r="2140" spans="1:3">
      <c r="A2140" s="1" t="s">
        <v>3365</v>
      </c>
      <c r="B2140" s="1" t="s">
        <v>2477</v>
      </c>
      <c r="C2140" s="7" t="s">
        <v>3230</v>
      </c>
    </row>
    <row r="2141" spans="1:3">
      <c r="A2141" s="1" t="s">
        <v>3365</v>
      </c>
      <c r="B2141" s="1" t="s">
        <v>2480</v>
      </c>
      <c r="C2141" s="7" t="s">
        <v>3232</v>
      </c>
    </row>
    <row r="2142" spans="1:3">
      <c r="A2142" s="1" t="s">
        <v>3365</v>
      </c>
      <c r="B2142" s="1" t="s">
        <v>1612</v>
      </c>
      <c r="C2142" s="7" t="s">
        <v>3234</v>
      </c>
    </row>
    <row r="2143" spans="1:3">
      <c r="A2143" s="1" t="s">
        <v>3365</v>
      </c>
      <c r="B2143" s="1" t="s">
        <v>1614</v>
      </c>
      <c r="C2143" s="7" t="s">
        <v>3236</v>
      </c>
    </row>
    <row r="2144" spans="1:3">
      <c r="A2144" s="1" t="s">
        <v>3365</v>
      </c>
      <c r="B2144" s="1" t="s">
        <v>1616</v>
      </c>
      <c r="C2144" s="7" t="s">
        <v>3238</v>
      </c>
    </row>
    <row r="2145" spans="1:3">
      <c r="A2145" s="1" t="s">
        <v>3365</v>
      </c>
      <c r="B2145" s="1" t="s">
        <v>1618</v>
      </c>
      <c r="C2145" s="7" t="s">
        <v>3240</v>
      </c>
    </row>
    <row r="2146" spans="1:3">
      <c r="A2146" s="1" t="s">
        <v>3365</v>
      </c>
      <c r="B2146" s="1" t="s">
        <v>1620</v>
      </c>
      <c r="C2146" s="7" t="s">
        <v>3242</v>
      </c>
    </row>
    <row r="2147" spans="1:3">
      <c r="A2147" s="1" t="s">
        <v>3365</v>
      </c>
      <c r="B2147" s="1" t="s">
        <v>1622</v>
      </c>
      <c r="C2147" s="7" t="s">
        <v>3244</v>
      </c>
    </row>
    <row r="2148" spans="1:3">
      <c r="A2148" s="1" t="s">
        <v>3365</v>
      </c>
      <c r="B2148" s="1" t="s">
        <v>1624</v>
      </c>
      <c r="C2148" s="7" t="s">
        <v>3246</v>
      </c>
    </row>
    <row r="2149" spans="1:3">
      <c r="A2149" s="1" t="s">
        <v>3365</v>
      </c>
      <c r="B2149" s="1" t="s">
        <v>1626</v>
      </c>
      <c r="C2149" s="7" t="s">
        <v>3248</v>
      </c>
    </row>
    <row r="2150" spans="1:3">
      <c r="A2150" s="1" t="s">
        <v>3365</v>
      </c>
      <c r="B2150" s="1" t="s">
        <v>1628</v>
      </c>
      <c r="C2150" s="7" t="s">
        <v>3250</v>
      </c>
    </row>
    <row r="2151" spans="1:3">
      <c r="A2151" s="1" t="s">
        <v>3365</v>
      </c>
      <c r="B2151" s="1" t="s">
        <v>1630</v>
      </c>
      <c r="C2151" s="7" t="s">
        <v>3252</v>
      </c>
    </row>
    <row r="2152" spans="1:3">
      <c r="A2152" s="1" t="s">
        <v>3365</v>
      </c>
      <c r="B2152" s="1" t="s">
        <v>1632</v>
      </c>
      <c r="C2152" s="7" t="s">
        <v>3254</v>
      </c>
    </row>
    <row r="2153" spans="1:3">
      <c r="A2153" s="1" t="s">
        <v>3365</v>
      </c>
      <c r="B2153" s="1" t="s">
        <v>1634</v>
      </c>
      <c r="C2153" s="7" t="s">
        <v>3256</v>
      </c>
    </row>
    <row r="2154" spans="1:3">
      <c r="A2154" s="1" t="s">
        <v>3365</v>
      </c>
      <c r="B2154" s="1" t="s">
        <v>1636</v>
      </c>
      <c r="C2154" s="7" t="s">
        <v>3079</v>
      </c>
    </row>
    <row r="2155" spans="1:3">
      <c r="A2155" s="1" t="s">
        <v>3365</v>
      </c>
      <c r="B2155" s="1" t="s">
        <v>1638</v>
      </c>
      <c r="C2155" s="7" t="s">
        <v>3259</v>
      </c>
    </row>
    <row r="2156" spans="1:3">
      <c r="A2156" s="1" t="s">
        <v>3365</v>
      </c>
      <c r="B2156" s="1" t="s">
        <v>1640</v>
      </c>
      <c r="C2156" s="7" t="s">
        <v>3261</v>
      </c>
    </row>
    <row r="2157" spans="1:3">
      <c r="A2157" s="1" t="s">
        <v>3365</v>
      </c>
      <c r="B2157" s="1" t="s">
        <v>1642</v>
      </c>
      <c r="C2157" s="7" t="s">
        <v>3263</v>
      </c>
    </row>
    <row r="2158" spans="1:3">
      <c r="A2158" s="1" t="s">
        <v>3365</v>
      </c>
      <c r="B2158" s="1" t="s">
        <v>1644</v>
      </c>
      <c r="C2158" s="7" t="s">
        <v>3265</v>
      </c>
    </row>
    <row r="2159" spans="1:3">
      <c r="A2159" s="1" t="s">
        <v>3365</v>
      </c>
      <c r="B2159" s="1" t="s">
        <v>1646</v>
      </c>
      <c r="C2159" s="7" t="s">
        <v>3267</v>
      </c>
    </row>
    <row r="2160" spans="1:3">
      <c r="A2160" s="1" t="s">
        <v>3365</v>
      </c>
      <c r="B2160" s="1" t="s">
        <v>1648</v>
      </c>
      <c r="C2160" s="7" t="s">
        <v>3269</v>
      </c>
    </row>
    <row r="2161" spans="1:3">
      <c r="A2161" s="1" t="s">
        <v>3365</v>
      </c>
      <c r="B2161" s="1" t="s">
        <v>1650</v>
      </c>
      <c r="C2161" s="7" t="s">
        <v>457</v>
      </c>
    </row>
    <row r="2162" spans="1:3">
      <c r="A2162" s="1" t="s">
        <v>3365</v>
      </c>
      <c r="B2162" s="1" t="s">
        <v>1652</v>
      </c>
      <c r="C2162" s="7" t="s">
        <v>3272</v>
      </c>
    </row>
    <row r="2163" spans="1:3">
      <c r="A2163" s="1" t="s">
        <v>3365</v>
      </c>
      <c r="B2163" s="1" t="s">
        <v>1654</v>
      </c>
      <c r="C2163" s="7" t="s">
        <v>3274</v>
      </c>
    </row>
    <row r="2164" spans="1:3">
      <c r="A2164" s="1" t="s">
        <v>3365</v>
      </c>
      <c r="B2164" s="1" t="s">
        <v>1656</v>
      </c>
      <c r="C2164" s="7" t="s">
        <v>3276</v>
      </c>
    </row>
    <row r="2165" spans="1:3">
      <c r="A2165" s="1" t="s">
        <v>3365</v>
      </c>
      <c r="B2165" s="1" t="s">
        <v>1658</v>
      </c>
      <c r="C2165" s="7" t="s">
        <v>499</v>
      </c>
    </row>
    <row r="2166" spans="1:3">
      <c r="A2166" s="1" t="s">
        <v>3365</v>
      </c>
      <c r="B2166" s="1" t="s">
        <v>1660</v>
      </c>
      <c r="C2166" s="7" t="s">
        <v>448</v>
      </c>
    </row>
    <row r="2167" spans="1:3">
      <c r="A2167" s="1" t="s">
        <v>3365</v>
      </c>
      <c r="B2167" s="1" t="s">
        <v>1661</v>
      </c>
      <c r="C2167" s="7" t="s">
        <v>3280</v>
      </c>
    </row>
    <row r="2168" spans="1:3">
      <c r="A2168" s="1" t="s">
        <v>3365</v>
      </c>
      <c r="B2168" s="1" t="s">
        <v>1663</v>
      </c>
      <c r="C2168" s="7" t="s">
        <v>3282</v>
      </c>
    </row>
    <row r="2169" spans="1:3">
      <c r="A2169" s="1" t="s">
        <v>3365</v>
      </c>
      <c r="B2169" s="1" t="s">
        <v>1665</v>
      </c>
      <c r="C2169" s="7" t="s">
        <v>3284</v>
      </c>
    </row>
    <row r="2170" spans="1:3">
      <c r="A2170" s="1" t="s">
        <v>3365</v>
      </c>
      <c r="B2170" s="1" t="s">
        <v>1667</v>
      </c>
      <c r="C2170" s="7" t="s">
        <v>3286</v>
      </c>
    </row>
    <row r="2171" spans="1:3">
      <c r="A2171" s="1" t="s">
        <v>3365</v>
      </c>
      <c r="B2171" s="1" t="s">
        <v>1669</v>
      </c>
      <c r="C2171" s="7" t="s">
        <v>3288</v>
      </c>
    </row>
    <row r="2172" spans="1:3">
      <c r="A2172" s="1" t="s">
        <v>3365</v>
      </c>
      <c r="B2172" s="1" t="s">
        <v>1671</v>
      </c>
      <c r="C2172" s="7" t="s">
        <v>2046</v>
      </c>
    </row>
    <row r="2173" spans="1:3">
      <c r="A2173" s="1" t="s">
        <v>3365</v>
      </c>
      <c r="B2173" s="1" t="s">
        <v>1673</v>
      </c>
      <c r="C2173" s="7" t="s">
        <v>3291</v>
      </c>
    </row>
    <row r="2174" spans="1:3">
      <c r="A2174" s="1" t="s">
        <v>3365</v>
      </c>
      <c r="B2174" s="1" t="s">
        <v>1675</v>
      </c>
      <c r="C2174" s="7" t="s">
        <v>3293</v>
      </c>
    </row>
    <row r="2175" spans="1:3">
      <c r="A2175" s="1" t="s">
        <v>3365</v>
      </c>
      <c r="B2175" s="1" t="s">
        <v>1677</v>
      </c>
      <c r="C2175" s="7" t="s">
        <v>3048</v>
      </c>
    </row>
    <row r="2176" spans="1:3">
      <c r="A2176" s="1" t="s">
        <v>3365</v>
      </c>
      <c r="B2176" s="1" t="s">
        <v>1679</v>
      </c>
      <c r="C2176" s="7" t="s">
        <v>3296</v>
      </c>
    </row>
    <row r="2177" spans="1:3">
      <c r="A2177" s="1" t="s">
        <v>3365</v>
      </c>
      <c r="B2177" s="1" t="s">
        <v>1681</v>
      </c>
      <c r="C2177" s="7" t="s">
        <v>3298</v>
      </c>
    </row>
    <row r="2178" spans="1:3">
      <c r="A2178" s="1" t="s">
        <v>3365</v>
      </c>
      <c r="B2178" s="1" t="s">
        <v>1683</v>
      </c>
      <c r="C2178" s="7" t="s">
        <v>3077</v>
      </c>
    </row>
    <row r="2179" spans="1:3">
      <c r="A2179" s="1" t="s">
        <v>3365</v>
      </c>
      <c r="B2179" s="1" t="s">
        <v>1685</v>
      </c>
      <c r="C2179" s="7" t="s">
        <v>3301</v>
      </c>
    </row>
    <row r="2180" spans="1:3">
      <c r="A2180" s="1" t="s">
        <v>3365</v>
      </c>
      <c r="B2180" s="1" t="s">
        <v>1687</v>
      </c>
      <c r="C2180" s="7" t="s">
        <v>3083</v>
      </c>
    </row>
    <row r="2181" spans="1:3">
      <c r="A2181" s="1" t="s">
        <v>3365</v>
      </c>
      <c r="B2181" s="1" t="s">
        <v>1689</v>
      </c>
      <c r="C2181" s="7" t="s">
        <v>809</v>
      </c>
    </row>
    <row r="2182" spans="1:3">
      <c r="A2182" s="1" t="s">
        <v>3365</v>
      </c>
      <c r="B2182" s="1" t="s">
        <v>1691</v>
      </c>
      <c r="C2182" s="7" t="s">
        <v>3305</v>
      </c>
    </row>
    <row r="2183" spans="1:3">
      <c r="A2183" s="1" t="s">
        <v>3365</v>
      </c>
      <c r="B2183" s="1" t="s">
        <v>1693</v>
      </c>
      <c r="C2183" s="7" t="s">
        <v>3307</v>
      </c>
    </row>
    <row r="2184" spans="1:3">
      <c r="A2184" s="1" t="s">
        <v>3365</v>
      </c>
      <c r="B2184" s="1" t="s">
        <v>1695</v>
      </c>
      <c r="C2184" s="7" t="s">
        <v>3165</v>
      </c>
    </row>
    <row r="2185" spans="1:3">
      <c r="A2185" s="1" t="s">
        <v>3365</v>
      </c>
      <c r="B2185" s="1" t="s">
        <v>1697</v>
      </c>
      <c r="C2185" s="7" t="s">
        <v>3310</v>
      </c>
    </row>
    <row r="2186" spans="1:3">
      <c r="A2186" s="1" t="s">
        <v>3365</v>
      </c>
      <c r="B2186" s="1" t="s">
        <v>1699</v>
      </c>
      <c r="C2186" s="7" t="s">
        <v>3312</v>
      </c>
    </row>
    <row r="2187" spans="1:3">
      <c r="A2187" s="1" t="s">
        <v>3365</v>
      </c>
      <c r="B2187" s="1" t="s">
        <v>1701</v>
      </c>
      <c r="C2187" s="7" t="s">
        <v>3139</v>
      </c>
    </row>
    <row r="2188" spans="1:3">
      <c r="A2188" s="1" t="s">
        <v>3365</v>
      </c>
      <c r="B2188" s="1" t="s">
        <v>1703</v>
      </c>
      <c r="C2188" s="7" t="s">
        <v>3315</v>
      </c>
    </row>
    <row r="2189" spans="1:3">
      <c r="A2189" s="1" t="s">
        <v>3365</v>
      </c>
      <c r="B2189" s="1" t="s">
        <v>1705</v>
      </c>
      <c r="C2189" s="7" t="s">
        <v>3317</v>
      </c>
    </row>
    <row r="2190" spans="1:3">
      <c r="A2190" s="1" t="s">
        <v>3365</v>
      </c>
      <c r="B2190" s="1" t="s">
        <v>1707</v>
      </c>
      <c r="C2190" s="7" t="s">
        <v>3218</v>
      </c>
    </row>
    <row r="2191" spans="1:3">
      <c r="A2191" s="1" t="s">
        <v>3365</v>
      </c>
      <c r="B2191" s="1" t="s">
        <v>1709</v>
      </c>
      <c r="C2191" s="7" t="s">
        <v>3320</v>
      </c>
    </row>
    <row r="2192" spans="1:3">
      <c r="A2192" s="1" t="s">
        <v>3365</v>
      </c>
      <c r="B2192" s="1" t="s">
        <v>2606</v>
      </c>
      <c r="C2192" s="7" t="s">
        <v>3322</v>
      </c>
    </row>
    <row r="2193" spans="1:3">
      <c r="A2193" s="1" t="s">
        <v>3365</v>
      </c>
      <c r="B2193" s="1" t="s">
        <v>2609</v>
      </c>
      <c r="C2193" s="7" t="s">
        <v>3324</v>
      </c>
    </row>
    <row r="2194" spans="1:3">
      <c r="A2194" s="1" t="s">
        <v>3365</v>
      </c>
      <c r="B2194" s="1" t="s">
        <v>2612</v>
      </c>
      <c r="C2194" s="7" t="s">
        <v>3326</v>
      </c>
    </row>
    <row r="2195" spans="1:3">
      <c r="A2195" s="1" t="s">
        <v>3365</v>
      </c>
      <c r="B2195" s="1" t="s">
        <v>2615</v>
      </c>
      <c r="C2195" s="7" t="s">
        <v>3328</v>
      </c>
    </row>
    <row r="2196" spans="1:3">
      <c r="A2196" s="1" t="s">
        <v>3365</v>
      </c>
      <c r="B2196" s="1" t="s">
        <v>2618</v>
      </c>
      <c r="C2196" s="7" t="s">
        <v>3330</v>
      </c>
    </row>
    <row r="2197" spans="1:3">
      <c r="A2197" s="1" t="s">
        <v>3365</v>
      </c>
      <c r="B2197" s="1" t="s">
        <v>2621</v>
      </c>
      <c r="C2197" s="7" t="s">
        <v>3332</v>
      </c>
    </row>
    <row r="2198" spans="1:3">
      <c r="A2198" s="1" t="s">
        <v>3365</v>
      </c>
      <c r="B2198" s="1" t="s">
        <v>2624</v>
      </c>
      <c r="C2198" s="7" t="s">
        <v>3338</v>
      </c>
    </row>
    <row r="2199" spans="1:3">
      <c r="A2199" s="1" t="s">
        <v>3365</v>
      </c>
      <c r="B2199" s="1" t="s">
        <v>2627</v>
      </c>
      <c r="C2199" s="7" t="s">
        <v>3344</v>
      </c>
    </row>
    <row r="2200" spans="1:3">
      <c r="A2200" s="1" t="s">
        <v>3365</v>
      </c>
      <c r="B2200" s="1" t="s">
        <v>2630</v>
      </c>
      <c r="C2200" s="7" t="s">
        <v>3349</v>
      </c>
    </row>
    <row r="2201" spans="1:3">
      <c r="A2201" s="1" t="s">
        <v>3365</v>
      </c>
      <c r="B2201" s="1" t="s">
        <v>2633</v>
      </c>
      <c r="C2201" s="7" t="s">
        <v>3355</v>
      </c>
    </row>
    <row r="2202" spans="1:3">
      <c r="A2202" s="1" t="s">
        <v>3365</v>
      </c>
      <c r="B2202" s="1" t="s">
        <v>2636</v>
      </c>
      <c r="C2202" s="7" t="s">
        <v>3361</v>
      </c>
    </row>
    <row r="2203" spans="1:3" ht="19.5" customHeight="1">
      <c r="A2203" s="5" t="s">
        <v>3382</v>
      </c>
      <c r="B2203" s="6"/>
      <c r="C2203" s="6"/>
    </row>
    <row r="2204" spans="1:3">
      <c r="A2204" s="1" t="s">
        <v>3383</v>
      </c>
      <c r="B2204" s="1" t="s">
        <v>981</v>
      </c>
      <c r="C2204" s="7" t="s">
        <v>3384</v>
      </c>
    </row>
    <row r="2205" spans="1:3">
      <c r="A2205" s="1" t="s">
        <v>3383</v>
      </c>
      <c r="B2205" s="1" t="s">
        <v>985</v>
      </c>
      <c r="C2205" s="7" t="s">
        <v>1726</v>
      </c>
    </row>
    <row r="2206" spans="1:3">
      <c r="A2206" s="1" t="s">
        <v>3383</v>
      </c>
      <c r="B2206" s="1" t="s">
        <v>986</v>
      </c>
      <c r="C2206" s="7" t="s">
        <v>3385</v>
      </c>
    </row>
    <row r="2207" spans="1:3">
      <c r="A2207" s="1" t="s">
        <v>3383</v>
      </c>
      <c r="B2207" s="1" t="s">
        <v>990</v>
      </c>
      <c r="C2207" s="7" t="s">
        <v>188</v>
      </c>
    </row>
    <row r="2208" spans="1:3">
      <c r="A2208" s="1" t="s">
        <v>3383</v>
      </c>
      <c r="B2208" s="1" t="s">
        <v>992</v>
      </c>
      <c r="C2208" s="7" t="s">
        <v>578</v>
      </c>
    </row>
    <row r="2209" spans="1:3">
      <c r="A2209" s="1" t="s">
        <v>3383</v>
      </c>
      <c r="B2209" s="1" t="s">
        <v>996</v>
      </c>
      <c r="C2209" s="7" t="s">
        <v>1739</v>
      </c>
    </row>
    <row r="2210" spans="1:3">
      <c r="A2210" s="1" t="s">
        <v>3383</v>
      </c>
      <c r="B2210" s="1" t="s">
        <v>998</v>
      </c>
      <c r="C2210" s="7" t="s">
        <v>2406</v>
      </c>
    </row>
    <row r="2211" spans="1:3">
      <c r="A2211" s="1" t="s">
        <v>3383</v>
      </c>
      <c r="B2211" s="1" t="s">
        <v>1089</v>
      </c>
      <c r="C2211" s="7" t="s">
        <v>1745</v>
      </c>
    </row>
    <row r="2212" spans="1:3">
      <c r="A2212" s="1" t="s">
        <v>3383</v>
      </c>
      <c r="B2212" s="1" t="s">
        <v>1002</v>
      </c>
      <c r="C2212" s="7" t="s">
        <v>3385</v>
      </c>
    </row>
    <row r="2213" spans="1:3">
      <c r="A2213" s="1" t="s">
        <v>3383</v>
      </c>
      <c r="B2213" s="1" t="s">
        <v>1004</v>
      </c>
      <c r="C2213" s="7" t="s">
        <v>1752</v>
      </c>
    </row>
    <row r="2214" spans="1:3">
      <c r="A2214" s="1" t="s">
        <v>3383</v>
      </c>
      <c r="B2214" s="1" t="s">
        <v>1006</v>
      </c>
      <c r="C2214" s="7" t="s">
        <v>3386</v>
      </c>
    </row>
    <row r="2215" spans="1:3">
      <c r="A2215" s="1" t="s">
        <v>3383</v>
      </c>
      <c r="B2215" s="1" t="s">
        <v>1008</v>
      </c>
      <c r="C2215" s="7" t="s">
        <v>1761</v>
      </c>
    </row>
    <row r="2216" spans="1:3">
      <c r="A2216" s="1" t="s">
        <v>3383</v>
      </c>
      <c r="B2216" s="1" t="s">
        <v>1010</v>
      </c>
      <c r="C2216" s="7" t="s">
        <v>3387</v>
      </c>
    </row>
    <row r="2217" spans="1:3">
      <c r="A2217" s="1" t="s">
        <v>3383</v>
      </c>
      <c r="B2217" s="1" t="s">
        <v>1278</v>
      </c>
      <c r="C2217" s="7" t="s">
        <v>1771</v>
      </c>
    </row>
    <row r="2218" spans="1:3">
      <c r="A2218" s="1" t="s">
        <v>3383</v>
      </c>
      <c r="B2218" s="1" t="s">
        <v>1097</v>
      </c>
      <c r="C2218" s="7" t="s">
        <v>3388</v>
      </c>
    </row>
    <row r="2219" spans="1:3">
      <c r="A2219" s="1" t="s">
        <v>3383</v>
      </c>
      <c r="B2219" s="1" t="s">
        <v>1280</v>
      </c>
      <c r="C2219" s="7" t="s">
        <v>1779</v>
      </c>
    </row>
    <row r="2220" spans="1:3">
      <c r="A2220" s="1" t="s">
        <v>3383</v>
      </c>
      <c r="B2220" s="1" t="s">
        <v>1012</v>
      </c>
      <c r="C2220" s="7" t="s">
        <v>3389</v>
      </c>
    </row>
    <row r="2221" spans="1:3">
      <c r="A2221" s="1" t="s">
        <v>3383</v>
      </c>
      <c r="B2221" s="1" t="s">
        <v>1282</v>
      </c>
      <c r="C2221" s="7" t="s">
        <v>1787</v>
      </c>
    </row>
    <row r="2222" spans="1:3">
      <c r="A2222" s="1" t="s">
        <v>3383</v>
      </c>
      <c r="B2222" s="1" t="s">
        <v>1014</v>
      </c>
      <c r="C2222" s="7" t="s">
        <v>3390</v>
      </c>
    </row>
    <row r="2223" spans="1:3">
      <c r="A2223" s="1" t="s">
        <v>3383</v>
      </c>
      <c r="B2223" s="1" t="s">
        <v>1102</v>
      </c>
      <c r="C2223" s="7" t="s">
        <v>1714</v>
      </c>
    </row>
    <row r="2224" spans="1:3">
      <c r="A2224" s="1" t="s">
        <v>3383</v>
      </c>
      <c r="B2224" s="1" t="s">
        <v>1016</v>
      </c>
      <c r="C2224" s="7" t="s">
        <v>208</v>
      </c>
    </row>
    <row r="2225" spans="1:3">
      <c r="A2225" s="1" t="s">
        <v>3383</v>
      </c>
      <c r="B2225" s="1" t="s">
        <v>1105</v>
      </c>
      <c r="C2225" s="7" t="s">
        <v>1799</v>
      </c>
    </row>
    <row r="2226" spans="1:3">
      <c r="A2226" s="1" t="s">
        <v>3383</v>
      </c>
      <c r="B2226" s="1" t="s">
        <v>1018</v>
      </c>
      <c r="C2226" s="7" t="s">
        <v>3391</v>
      </c>
    </row>
    <row r="2227" spans="1:3">
      <c r="A2227" s="1" t="s">
        <v>3383</v>
      </c>
      <c r="B2227" s="1" t="s">
        <v>1108</v>
      </c>
      <c r="C2227" s="7" t="s">
        <v>1805</v>
      </c>
    </row>
    <row r="2228" spans="1:3">
      <c r="A2228" s="1" t="s">
        <v>3383</v>
      </c>
      <c r="B2228" s="1" t="s">
        <v>1975</v>
      </c>
      <c r="C2228" s="7" t="s">
        <v>3392</v>
      </c>
    </row>
    <row r="2229" spans="1:3">
      <c r="A2229" s="1" t="s">
        <v>3383</v>
      </c>
      <c r="B2229" s="1" t="s">
        <v>1114</v>
      </c>
      <c r="C2229" s="7" t="s">
        <v>329</v>
      </c>
    </row>
    <row r="2230" spans="1:3">
      <c r="A2230" s="1" t="s">
        <v>3383</v>
      </c>
      <c r="B2230" s="1" t="s">
        <v>1020</v>
      </c>
      <c r="C2230" s="7" t="s">
        <v>3393</v>
      </c>
    </row>
    <row r="2231" spans="1:3">
      <c r="A2231" s="1" t="s">
        <v>3383</v>
      </c>
      <c r="B2231" s="1" t="s">
        <v>1119</v>
      </c>
      <c r="C2231" s="7" t="s">
        <v>1815</v>
      </c>
    </row>
    <row r="2232" spans="1:3">
      <c r="A2232" s="1" t="s">
        <v>3383</v>
      </c>
      <c r="B2232" s="1" t="s">
        <v>1982</v>
      </c>
      <c r="C2232" s="4" t="s">
        <v>3394</v>
      </c>
    </row>
    <row r="2233" spans="1:3">
      <c r="A2233" s="1" t="s">
        <v>3383</v>
      </c>
      <c r="B2233" s="1" t="s">
        <v>1122</v>
      </c>
      <c r="C2233" s="7" t="s">
        <v>1821</v>
      </c>
    </row>
    <row r="2234" spans="1:3">
      <c r="A2234" s="1" t="s">
        <v>3383</v>
      </c>
      <c r="B2234" s="1" t="s">
        <v>1022</v>
      </c>
      <c r="C2234" s="7" t="s">
        <v>3395</v>
      </c>
    </row>
    <row r="2235" spans="1:3">
      <c r="A2235" s="1" t="s">
        <v>3383</v>
      </c>
      <c r="B2235" s="1" t="s">
        <v>1126</v>
      </c>
      <c r="C2235" s="7" t="s">
        <v>1826</v>
      </c>
    </row>
    <row r="2236" spans="1:3">
      <c r="A2236" s="1" t="s">
        <v>3383</v>
      </c>
      <c r="B2236" s="1" t="s">
        <v>1987</v>
      </c>
      <c r="C2236" s="7" t="s">
        <v>3396</v>
      </c>
    </row>
    <row r="2237" spans="1:3">
      <c r="A2237" s="1" t="s">
        <v>3383</v>
      </c>
      <c r="B2237" s="1" t="s">
        <v>1127</v>
      </c>
      <c r="C2237" s="7" t="s">
        <v>1832</v>
      </c>
    </row>
    <row r="2238" spans="1:3">
      <c r="A2238" s="1" t="s">
        <v>3383</v>
      </c>
      <c r="B2238" s="1" t="s">
        <v>1990</v>
      </c>
      <c r="C2238" s="7" t="s">
        <v>3397</v>
      </c>
    </row>
    <row r="2239" spans="1:3">
      <c r="A2239" s="1" t="s">
        <v>3383</v>
      </c>
      <c r="B2239" s="1" t="s">
        <v>1298</v>
      </c>
      <c r="C2239" s="7" t="s">
        <v>1838</v>
      </c>
    </row>
    <row r="2240" spans="1:3">
      <c r="A2240" s="1" t="s">
        <v>3383</v>
      </c>
      <c r="B2240" s="1" t="s">
        <v>1026</v>
      </c>
      <c r="C2240" s="7" t="s">
        <v>3398</v>
      </c>
    </row>
    <row r="2241" spans="1:3">
      <c r="A2241" s="1" t="s">
        <v>3383</v>
      </c>
      <c r="B2241" s="1" t="s">
        <v>1129</v>
      </c>
      <c r="C2241" s="7" t="s">
        <v>1843</v>
      </c>
    </row>
    <row r="2242" spans="1:3">
      <c r="A2242" s="1" t="s">
        <v>3383</v>
      </c>
      <c r="B2242" s="1" t="s">
        <v>1028</v>
      </c>
      <c r="C2242" s="4" t="s">
        <v>582</v>
      </c>
    </row>
    <row r="2243" spans="1:3">
      <c r="A2243" s="1" t="s">
        <v>3383</v>
      </c>
      <c r="B2243" s="1" t="s">
        <v>1131</v>
      </c>
      <c r="C2243" s="7" t="s">
        <v>1849</v>
      </c>
    </row>
    <row r="2244" spans="1:3">
      <c r="A2244" s="1" t="s">
        <v>3383</v>
      </c>
      <c r="B2244" s="1" t="s">
        <v>1032</v>
      </c>
      <c r="C2244" s="7" t="s">
        <v>3399</v>
      </c>
    </row>
    <row r="2245" spans="1:3">
      <c r="A2245" s="1" t="s">
        <v>3383</v>
      </c>
      <c r="B2245" s="1" t="s">
        <v>1132</v>
      </c>
      <c r="C2245" s="7" t="s">
        <v>1855</v>
      </c>
    </row>
    <row r="2246" spans="1:3">
      <c r="A2246" s="1" t="s">
        <v>3383</v>
      </c>
      <c r="B2246" s="1" t="s">
        <v>1034</v>
      </c>
      <c r="C2246" s="7" t="s">
        <v>3400</v>
      </c>
    </row>
    <row r="2247" spans="1:3">
      <c r="A2247" s="1" t="s">
        <v>3383</v>
      </c>
      <c r="B2247" s="1" t="s">
        <v>1134</v>
      </c>
      <c r="C2247" s="7" t="s">
        <v>1861</v>
      </c>
    </row>
    <row r="2248" spans="1:3">
      <c r="A2248" s="1" t="s">
        <v>3383</v>
      </c>
      <c r="B2248" s="1" t="s">
        <v>1535</v>
      </c>
      <c r="C2248" s="7" t="s">
        <v>3401</v>
      </c>
    </row>
    <row r="2249" spans="1:3">
      <c r="A2249" s="1" t="s">
        <v>3383</v>
      </c>
      <c r="B2249" s="1" t="s">
        <v>1135</v>
      </c>
      <c r="C2249" s="7" t="s">
        <v>1867</v>
      </c>
    </row>
    <row r="2250" spans="1:3">
      <c r="A2250" s="1" t="s">
        <v>3383</v>
      </c>
      <c r="B2250" s="1" t="s">
        <v>1036</v>
      </c>
      <c r="C2250" s="4" t="s">
        <v>3402</v>
      </c>
    </row>
    <row r="2251" spans="1:3">
      <c r="A2251" s="1" t="s">
        <v>3383</v>
      </c>
      <c r="B2251" s="1" t="s">
        <v>1137</v>
      </c>
      <c r="C2251" s="7" t="s">
        <v>1873</v>
      </c>
    </row>
    <row r="2252" spans="1:3">
      <c r="A2252" s="1" t="s">
        <v>3383</v>
      </c>
      <c r="B2252" s="1" t="s">
        <v>1038</v>
      </c>
      <c r="C2252" s="7" t="s">
        <v>3401</v>
      </c>
    </row>
    <row r="2253" spans="1:3">
      <c r="A2253" s="1" t="s">
        <v>3383</v>
      </c>
      <c r="B2253" s="1" t="s">
        <v>1139</v>
      </c>
      <c r="C2253" s="7" t="s">
        <v>1879</v>
      </c>
    </row>
    <row r="2254" spans="1:3">
      <c r="A2254" s="1" t="s">
        <v>3383</v>
      </c>
      <c r="B2254" s="1" t="s">
        <v>2019</v>
      </c>
      <c r="C2254" s="7" t="s">
        <v>3403</v>
      </c>
    </row>
    <row r="2255" spans="1:3">
      <c r="A2255" s="1" t="s">
        <v>3383</v>
      </c>
      <c r="B2255" s="1" t="s">
        <v>1141</v>
      </c>
      <c r="C2255" s="7" t="s">
        <v>1885</v>
      </c>
    </row>
    <row r="2256" spans="1:3">
      <c r="A2256" s="1" t="s">
        <v>3383</v>
      </c>
      <c r="B2256" s="1" t="s">
        <v>2023</v>
      </c>
      <c r="C2256" s="7" t="s">
        <v>3404</v>
      </c>
    </row>
    <row r="2257" spans="1:3">
      <c r="A2257" s="1" t="s">
        <v>3383</v>
      </c>
      <c r="B2257" s="1" t="s">
        <v>1143</v>
      </c>
      <c r="C2257" s="7" t="s">
        <v>1891</v>
      </c>
    </row>
    <row r="2258" spans="1:3">
      <c r="A2258" s="1" t="s">
        <v>3383</v>
      </c>
      <c r="B2258" s="1" t="s">
        <v>2028</v>
      </c>
      <c r="C2258" s="7" t="s">
        <v>3405</v>
      </c>
    </row>
    <row r="2259" spans="1:3">
      <c r="A2259" s="1" t="s">
        <v>3383</v>
      </c>
      <c r="B2259" s="1" t="s">
        <v>1305</v>
      </c>
      <c r="C2259" s="7" t="s">
        <v>1720</v>
      </c>
    </row>
    <row r="2260" spans="1:3">
      <c r="A2260" s="1" t="s">
        <v>3383</v>
      </c>
      <c r="B2260" s="1" t="s">
        <v>1145</v>
      </c>
      <c r="C2260" s="7" t="s">
        <v>1727</v>
      </c>
    </row>
    <row r="2261" spans="1:3">
      <c r="A2261" s="1" t="s">
        <v>3383</v>
      </c>
      <c r="B2261" s="1" t="s">
        <v>1308</v>
      </c>
      <c r="C2261" s="7" t="s">
        <v>3406</v>
      </c>
    </row>
    <row r="2262" spans="1:3">
      <c r="A2262" s="1" t="s">
        <v>3383</v>
      </c>
      <c r="B2262" s="1" t="s">
        <v>1313</v>
      </c>
      <c r="C2262" s="7" t="s">
        <v>1733</v>
      </c>
    </row>
    <row r="2263" spans="1:3">
      <c r="A2263" s="1" t="s">
        <v>3383</v>
      </c>
      <c r="B2263" s="1" t="s">
        <v>1040</v>
      </c>
      <c r="C2263" s="7" t="s">
        <v>3407</v>
      </c>
    </row>
    <row r="2264" spans="1:3">
      <c r="A2264" s="1" t="s">
        <v>3383</v>
      </c>
      <c r="B2264" s="1" t="s">
        <v>1320</v>
      </c>
      <c r="C2264" s="7" t="s">
        <v>961</v>
      </c>
    </row>
    <row r="2265" spans="1:3">
      <c r="A2265" s="1" t="s">
        <v>3383</v>
      </c>
      <c r="B2265" s="1" t="s">
        <v>1148</v>
      </c>
      <c r="C2265" s="7" t="s">
        <v>3407</v>
      </c>
    </row>
    <row r="2266" spans="1:3">
      <c r="A2266" s="1" t="s">
        <v>3383</v>
      </c>
      <c r="B2266" s="1" t="s">
        <v>1327</v>
      </c>
      <c r="C2266" s="7" t="s">
        <v>1909</v>
      </c>
    </row>
    <row r="2267" spans="1:3" ht="19.5" customHeight="1">
      <c r="A2267" s="5" t="s">
        <v>3408</v>
      </c>
      <c r="B2267" s="6"/>
      <c r="C2267" s="6"/>
    </row>
    <row r="2268" spans="1:3">
      <c r="A2268" s="1" t="s">
        <v>3409</v>
      </c>
      <c r="B2268" s="1" t="s">
        <v>985</v>
      </c>
      <c r="C2268" s="4" t="s">
        <v>3410</v>
      </c>
    </row>
    <row r="2269" spans="1:3" ht="39" customHeight="1">
      <c r="A2269" s="1" t="s">
        <v>3409</v>
      </c>
      <c r="B2269" s="1" t="s">
        <v>986</v>
      </c>
      <c r="C2269" s="7" t="s">
        <v>3411</v>
      </c>
    </row>
  </sheetData>
  <mergeCells count="2">
    <mergeCell ref="A1:C1"/>
    <mergeCell ref="A2:C2"/>
  </mergeCells>
  <hyperlinks>
    <hyperlink ref="C57" r:id="rId1" xr:uid="{38AADCD7-DC9E-45B6-BFEA-2600622B36E1}"/>
    <hyperlink ref="C59" r:id="rId2" xr:uid="{8FA67A05-0211-48C3-B597-1A742BD44E56}"/>
    <hyperlink ref="C62" r:id="rId3" display="https://sunlightfinancial.tfaforms.net/wf/eyJ0eXAiOiJKV1QiLCJhbGciOiJIUzI1NiIsImtpZCI6InYyIn0.eyJ3b3JrZmxvd1Nlc3Npb25JZCI6Ijc5ODEwNDJiLWEwNjktNDQ5Yi1hY2E2LTA4MDBlYTY5NTgzNyIsIm5vbmNlIjoiUU1EU1NRY1AxbTBnajg4RzdFSTI5dmJleHRVdUczMHolM0E3ZGEzYTFlOWYwYmI4ZGNkYzlkYzAwMTk0ZTRjNWY4MCIsImV2ZW50Ijoic2F2ZV9hbmRfcmVzdW1lLnJlc3VtZSJ9.ftGrGddQZcTj79jn1K4LqkrvmVE_rs-11DlSbFRP2co." xr:uid="{B26035A5-65DF-4703-8FC8-A018362984F3}"/>
    <hyperlink ref="C66" r:id="rId4" xr:uid="{E8DA2C09-EDFC-4FE6-BC08-52BDC91DCE42}"/>
    <hyperlink ref="C67" r:id="rId5" xr:uid="{B0C6BCE8-67D8-4120-AAD0-B9F3C6A2A385}"/>
    <hyperlink ref="C68" r:id="rId6" xr:uid="{5B334C74-5452-4853-B8CD-78DB1F048AEF}"/>
    <hyperlink ref="C69" r:id="rId7" xr:uid="{F852BB66-98B2-45E5-B263-DD9992780D51}"/>
    <hyperlink ref="C148" r:id="rId8" xr:uid="{8C2AA8AD-649F-40AF-8127-A3B87092E93F}"/>
    <hyperlink ref="C155" r:id="rId9" xr:uid="{74EA3072-F37F-4256-801E-6916FE2BAA3F}"/>
    <hyperlink ref="C166" r:id="rId10" xr:uid="{FFB0054F-C432-4A60-B005-C4872F34508B}"/>
    <hyperlink ref="C168" r:id="rId11" xr:uid="{2618AFA2-CE1D-4D58-BF2D-E635D1C3F7B3}"/>
    <hyperlink ref="C205" r:id="rId12" xr:uid="{5106D1EF-24FB-486B-AB6A-A97429D0E0D1}"/>
    <hyperlink ref="C209" r:id="rId13" xr:uid="{E1D6F47B-DF51-44D6-A7A7-43F0E90C195A}"/>
    <hyperlink ref="C213" r:id="rId14" xr:uid="{498F9469-2506-41B5-A2F4-5DCFA4654F38}"/>
    <hyperlink ref="C217" r:id="rId15" xr:uid="{F9A17715-D782-4C42-8E6F-F8B52388BE15}"/>
    <hyperlink ref="C221" r:id="rId16" xr:uid="{ED389A59-2E62-45DB-A0FB-5F6756847483}"/>
    <hyperlink ref="C225" r:id="rId17" xr:uid="{7F96411F-9847-417B-AB27-33927CDA9D78}"/>
    <hyperlink ref="C229" r:id="rId18" xr:uid="{506EA0BD-167C-4216-A58D-1EC0B94EDCDF}"/>
    <hyperlink ref="C240" r:id="rId19" xr:uid="{4B07F0EC-2479-48F5-A98B-BBCFB9EE890E}"/>
    <hyperlink ref="C244" r:id="rId20" xr:uid="{D625BD24-EF09-4F6E-AD83-DE53268E3C60}"/>
    <hyperlink ref="C248" r:id="rId21" xr:uid="{5B5996E2-694F-4FF0-A356-2332B29552A8}"/>
    <hyperlink ref="C252" r:id="rId22" xr:uid="{7F633AC6-1FB1-4C47-B3E4-C91A75372830}"/>
    <hyperlink ref="C259" r:id="rId23" xr:uid="{EE88D397-B70C-477E-8671-D12327CAD13E}"/>
    <hyperlink ref="C262" r:id="rId24" xr:uid="{5AF3A104-2AC5-41C2-B66B-6067CB50FFE3}"/>
    <hyperlink ref="C271" r:id="rId25" xr:uid="{35744A2C-3687-4DE1-9ED5-5385FC9685F9}"/>
    <hyperlink ref="C275" r:id="rId26" xr:uid="{305EAD86-B8D8-4A76-A935-CB9E3450B74D}"/>
    <hyperlink ref="C280" r:id="rId27" xr:uid="{59BD242B-457B-48E9-A3F1-31432B97F6DF}"/>
    <hyperlink ref="C286" r:id="rId28" xr:uid="{12D5AF95-04D5-47B5-B2BC-CD63A5C7A3B4}"/>
    <hyperlink ref="C307" r:id="rId29" xr:uid="{5B123884-916B-4828-94EC-83A012021D38}"/>
    <hyperlink ref="C308" r:id="rId30" xr:uid="{F5325730-A86F-429A-9335-75527EB0B2DB}"/>
    <hyperlink ref="C334" r:id="rId31" xr:uid="{E6DC48D5-2B5F-41B3-AA7A-70C0D7025396}"/>
    <hyperlink ref="C342" r:id="rId32" xr:uid="{AE64D9B6-CB8B-46EC-A213-B0B7A5B04721}"/>
    <hyperlink ref="C350" r:id="rId33" xr:uid="{58750DB6-7FC3-4A66-A948-89074F4FC780}"/>
    <hyperlink ref="C355" r:id="rId34" xr:uid="{319D3983-AD92-4804-B7A7-D26D7F5A3090}"/>
    <hyperlink ref="C392" r:id="rId35" xr:uid="{3CFED9F7-F7ED-4E94-BF1C-3CC15AA3D4C6}"/>
    <hyperlink ref="C408" r:id="rId36" xr:uid="{0DA7F329-DC2D-4135-B1BC-D04A2B506D9D}"/>
    <hyperlink ref="C488" r:id="rId37" xr:uid="{484D191F-73FC-4B9D-9D83-A3CABD84DC38}"/>
    <hyperlink ref="C493" r:id="rId38" xr:uid="{69BF093F-DFED-43B6-A656-713CE80A58EF}"/>
    <hyperlink ref="C511" r:id="rId39" xr:uid="{6A744C9A-300B-4B65-BA20-DEB18CB8DD1F}"/>
    <hyperlink ref="C518" r:id="rId40" xr:uid="{209B3F39-66D1-4D10-909D-A1E30B6C0F36}"/>
    <hyperlink ref="C530" r:id="rId41" xr:uid="{6FEE9741-32A4-44BE-B4D0-07D9CBA9FFCF}"/>
    <hyperlink ref="C737" r:id="rId42" xr:uid="{23C97B46-D8B0-4A7C-AF2E-4F0E85740396}"/>
    <hyperlink ref="C810" r:id="rId43" xr:uid="{C127592E-828F-47B3-ADCE-E2E950FD7F39}"/>
    <hyperlink ref="C811" r:id="rId44" xr:uid="{DA09F904-2D8C-4DF6-9639-380938223F99}"/>
    <hyperlink ref="C1091" r:id="rId45" xr:uid="{3FD461D0-B137-4833-A32E-28B7FF3424FB}"/>
    <hyperlink ref="C1651" r:id="rId46" xr:uid="{518664C9-2338-4CCA-AC57-07A845964ED8}"/>
    <hyperlink ref="C1721" r:id="rId47" xr:uid="{4E04FB1D-F7E3-4B27-AE0F-E31544347CE1}"/>
    <hyperlink ref="C1991" r:id="rId48" xr:uid="{04C17BE4-0D5C-435A-9F14-7B65AE30AE69}"/>
    <hyperlink ref="C2232" r:id="rId49" xr:uid="{D7E6CF30-305E-4247-A71F-CCF3420A4975}"/>
    <hyperlink ref="C2242" r:id="rId50" xr:uid="{FEA80214-65DE-406C-9E39-77C264E630B1}"/>
    <hyperlink ref="C2250" r:id="rId51" xr:uid="{8ECB207B-D893-4790-908B-A3D3D9B034BA}"/>
    <hyperlink ref="C2268" r:id="rId52" xr:uid="{2A431855-8889-4293-A994-ACB67B9D3529}"/>
  </hyperlink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7B10A"/>
  </sheetPr>
  <dimension ref="A1:D36"/>
  <sheetViews>
    <sheetView showGridLines="0" zoomScaleNormal="100" workbookViewId="0">
      <pane ySplit="4" topLeftCell="A13" activePane="bottomLeft" state="frozen"/>
      <selection pane="bottomLeft" sqref="A1:D1"/>
    </sheetView>
  </sheetViews>
  <sheetFormatPr defaultColWidth="8.7109375" defaultRowHeight="15"/>
  <cols>
    <col min="1" max="1" width="18" customWidth="1"/>
    <col min="2" max="2" width="12" customWidth="1"/>
    <col min="3" max="3" width="34" customWidth="1"/>
    <col min="4" max="4" width="110" customWidth="1"/>
  </cols>
  <sheetData>
    <row r="1" spans="1:4" ht="25.5" customHeight="1">
      <c r="A1" s="302" t="s">
        <v>3412</v>
      </c>
      <c r="B1" s="302"/>
      <c r="C1" s="302"/>
      <c r="D1" s="302"/>
    </row>
    <row r="2" spans="1:4" ht="30" customHeight="1">
      <c r="A2" s="303" t="s">
        <v>3413</v>
      </c>
      <c r="B2" s="303"/>
      <c r="C2" s="303"/>
      <c r="D2" s="303"/>
    </row>
    <row r="3" spans="1:4">
      <c r="A3" s="1"/>
      <c r="B3" s="1"/>
      <c r="C3" s="1"/>
      <c r="D3" s="1"/>
    </row>
    <row r="4" spans="1:4" ht="24" customHeight="1">
      <c r="A4" s="2" t="s">
        <v>3414</v>
      </c>
      <c r="B4" s="2" t="s">
        <v>3415</v>
      </c>
      <c r="C4" s="2" t="s">
        <v>3416</v>
      </c>
      <c r="D4" s="2" t="s">
        <v>3417</v>
      </c>
    </row>
    <row r="5" spans="1:4" ht="84" customHeight="1">
      <c r="A5" s="3" t="s">
        <v>279</v>
      </c>
      <c r="B5" s="3" t="s">
        <v>3418</v>
      </c>
      <c r="C5" s="8" t="s">
        <v>3419</v>
      </c>
      <c r="D5" s="3" t="s">
        <v>3420</v>
      </c>
    </row>
    <row r="6" spans="1:4" ht="72" customHeight="1">
      <c r="A6" s="3" t="s">
        <v>271</v>
      </c>
      <c r="B6" s="3" t="s">
        <v>3421</v>
      </c>
      <c r="C6" s="8" t="s">
        <v>3422</v>
      </c>
      <c r="D6" s="3" t="s">
        <v>3423</v>
      </c>
    </row>
    <row r="7" spans="1:4" ht="216" customHeight="1">
      <c r="A7" s="3" t="s">
        <v>271</v>
      </c>
      <c r="B7" s="3" t="s">
        <v>3424</v>
      </c>
      <c r="C7" s="8" t="s">
        <v>3425</v>
      </c>
      <c r="D7" s="4" t="s">
        <v>3426</v>
      </c>
    </row>
    <row r="8" spans="1:4" ht="120" customHeight="1">
      <c r="A8" s="3" t="s">
        <v>271</v>
      </c>
      <c r="B8" s="3" t="s">
        <v>3427</v>
      </c>
      <c r="C8" s="8" t="s">
        <v>3428</v>
      </c>
      <c r="D8" s="4" t="s">
        <v>3429</v>
      </c>
    </row>
    <row r="9" spans="1:4" ht="96" customHeight="1">
      <c r="A9" s="3" t="s">
        <v>271</v>
      </c>
      <c r="B9" s="3" t="s">
        <v>3430</v>
      </c>
      <c r="C9" s="8" t="s">
        <v>3431</v>
      </c>
      <c r="D9" s="4" t="s">
        <v>3432</v>
      </c>
    </row>
    <row r="10" spans="1:4" ht="120" customHeight="1">
      <c r="A10" s="3" t="s">
        <v>271</v>
      </c>
      <c r="B10" s="3" t="s">
        <v>3433</v>
      </c>
      <c r="C10" s="8" t="s">
        <v>3434</v>
      </c>
      <c r="D10" s="3" t="s">
        <v>3435</v>
      </c>
    </row>
    <row r="11" spans="1:4" ht="72" customHeight="1">
      <c r="A11" s="3" t="s">
        <v>271</v>
      </c>
      <c r="B11" s="3" t="s">
        <v>3436</v>
      </c>
      <c r="C11" s="8" t="s">
        <v>3437</v>
      </c>
      <c r="D11" s="3" t="s">
        <v>3438</v>
      </c>
    </row>
    <row r="12" spans="1:4" ht="48" customHeight="1">
      <c r="A12" s="3" t="s">
        <v>271</v>
      </c>
      <c r="B12" s="3" t="s">
        <v>3439</v>
      </c>
      <c r="C12" s="8" t="s">
        <v>3440</v>
      </c>
      <c r="D12" s="3" t="s">
        <v>3441</v>
      </c>
    </row>
    <row r="13" spans="1:4" ht="39.75" customHeight="1">
      <c r="A13" s="3" t="s">
        <v>271</v>
      </c>
      <c r="B13" s="3" t="s">
        <v>3442</v>
      </c>
      <c r="C13" s="8" t="s">
        <v>3443</v>
      </c>
      <c r="D13" s="3" t="s">
        <v>3444</v>
      </c>
    </row>
    <row r="14" spans="1:4" ht="72" customHeight="1">
      <c r="A14" s="3" t="s">
        <v>286</v>
      </c>
      <c r="B14" s="3" t="s">
        <v>1139</v>
      </c>
      <c r="C14" s="8" t="s">
        <v>3445</v>
      </c>
      <c r="D14" s="4" t="s">
        <v>3446</v>
      </c>
    </row>
    <row r="15" spans="1:4" ht="72" customHeight="1">
      <c r="A15" s="3" t="s">
        <v>286</v>
      </c>
      <c r="B15" s="3" t="s">
        <v>3447</v>
      </c>
      <c r="C15" s="8" t="s">
        <v>3448</v>
      </c>
      <c r="D15" s="3" t="s">
        <v>3449</v>
      </c>
    </row>
    <row r="16" spans="1:4" ht="252" customHeight="1">
      <c r="A16" s="3" t="s">
        <v>286</v>
      </c>
      <c r="B16" s="3" t="s">
        <v>1174</v>
      </c>
      <c r="C16" s="8" t="s">
        <v>3450</v>
      </c>
      <c r="D16" s="3" t="s">
        <v>3451</v>
      </c>
    </row>
    <row r="17" spans="1:4" ht="228" customHeight="1">
      <c r="A17" s="3" t="s">
        <v>286</v>
      </c>
      <c r="B17" s="3" t="s">
        <v>3452</v>
      </c>
      <c r="C17" s="8" t="s">
        <v>3453</v>
      </c>
      <c r="D17" s="3" t="s">
        <v>3454</v>
      </c>
    </row>
    <row r="18" spans="1:4" ht="396" customHeight="1">
      <c r="A18" s="3" t="s">
        <v>286</v>
      </c>
      <c r="B18" s="3" t="s">
        <v>1225</v>
      </c>
      <c r="C18" s="8" t="s">
        <v>3455</v>
      </c>
      <c r="D18" s="3" t="s">
        <v>3456</v>
      </c>
    </row>
    <row r="19" spans="1:4" ht="300" customHeight="1">
      <c r="A19" s="3" t="s">
        <v>286</v>
      </c>
      <c r="B19" s="3" t="s">
        <v>3457</v>
      </c>
      <c r="C19" s="8" t="s">
        <v>3458</v>
      </c>
      <c r="D19" s="4" t="s">
        <v>3459</v>
      </c>
    </row>
    <row r="20" spans="1:4" ht="276" customHeight="1">
      <c r="A20" s="3" t="s">
        <v>286</v>
      </c>
      <c r="B20" s="3" t="s">
        <v>2278</v>
      </c>
      <c r="C20" s="8" t="s">
        <v>3460</v>
      </c>
      <c r="D20" s="3" t="s">
        <v>3461</v>
      </c>
    </row>
    <row r="21" spans="1:4" ht="48" customHeight="1">
      <c r="A21" s="3" t="s">
        <v>286</v>
      </c>
      <c r="B21" s="3" t="s">
        <v>3462</v>
      </c>
      <c r="C21" s="8" t="s">
        <v>3463</v>
      </c>
      <c r="D21" s="3" t="s">
        <v>3464</v>
      </c>
    </row>
    <row r="22" spans="1:4" ht="39.75" customHeight="1">
      <c r="A22" s="3" t="s">
        <v>286</v>
      </c>
      <c r="B22" s="3" t="s">
        <v>3465</v>
      </c>
      <c r="C22" s="8" t="s">
        <v>3466</v>
      </c>
      <c r="D22" s="3" t="s">
        <v>3467</v>
      </c>
    </row>
    <row r="23" spans="1:4" ht="48" customHeight="1">
      <c r="A23" s="3" t="s">
        <v>286</v>
      </c>
      <c r="B23" s="3" t="s">
        <v>3468</v>
      </c>
      <c r="C23" s="8" t="s">
        <v>3469</v>
      </c>
      <c r="D23" s="3" t="s">
        <v>3470</v>
      </c>
    </row>
    <row r="24" spans="1:4" ht="39.75" customHeight="1">
      <c r="A24" s="3" t="s">
        <v>286</v>
      </c>
      <c r="B24" s="3" t="s">
        <v>3471</v>
      </c>
      <c r="C24" s="8" t="s">
        <v>3472</v>
      </c>
      <c r="D24" s="3" t="s">
        <v>3473</v>
      </c>
    </row>
    <row r="25" spans="1:4" ht="39.75" customHeight="1">
      <c r="A25" s="3" t="s">
        <v>286</v>
      </c>
      <c r="B25" s="3" t="s">
        <v>3474</v>
      </c>
      <c r="C25" s="8" t="s">
        <v>3475</v>
      </c>
      <c r="D25" s="3" t="s">
        <v>3476</v>
      </c>
    </row>
    <row r="26" spans="1:4" ht="60" customHeight="1">
      <c r="A26" s="3" t="s">
        <v>286</v>
      </c>
      <c r="B26" s="3" t="s">
        <v>3477</v>
      </c>
      <c r="C26" s="8" t="s">
        <v>3478</v>
      </c>
      <c r="D26" s="3" t="s">
        <v>3479</v>
      </c>
    </row>
    <row r="27" spans="1:4" ht="84" customHeight="1">
      <c r="A27" s="3" t="s">
        <v>286</v>
      </c>
      <c r="B27" s="3" t="s">
        <v>3480</v>
      </c>
      <c r="C27" s="8" t="s">
        <v>3481</v>
      </c>
      <c r="D27" s="3" t="s">
        <v>3482</v>
      </c>
    </row>
    <row r="28" spans="1:4" ht="120" customHeight="1">
      <c r="A28" s="3" t="s">
        <v>286</v>
      </c>
      <c r="B28" s="3" t="s">
        <v>3483</v>
      </c>
      <c r="C28" s="8" t="s">
        <v>3484</v>
      </c>
      <c r="D28" s="3" t="s">
        <v>3485</v>
      </c>
    </row>
    <row r="29" spans="1:4" ht="120" customHeight="1">
      <c r="A29" s="3" t="s">
        <v>378</v>
      </c>
      <c r="B29" s="3" t="s">
        <v>1119</v>
      </c>
      <c r="C29" s="8" t="s">
        <v>3486</v>
      </c>
      <c r="D29" s="3" t="s">
        <v>3487</v>
      </c>
    </row>
    <row r="30" spans="1:4" ht="96" customHeight="1">
      <c r="A30" s="3" t="s">
        <v>378</v>
      </c>
      <c r="B30" s="3" t="s">
        <v>1048</v>
      </c>
      <c r="C30" s="8" t="s">
        <v>3488</v>
      </c>
      <c r="D30" s="3" t="s">
        <v>3489</v>
      </c>
    </row>
    <row r="31" spans="1:4" ht="108" customHeight="1">
      <c r="A31" s="3" t="s">
        <v>378</v>
      </c>
      <c r="B31" s="3" t="s">
        <v>3490</v>
      </c>
      <c r="C31" s="8" t="s">
        <v>3491</v>
      </c>
      <c r="D31" s="3" t="s">
        <v>3492</v>
      </c>
    </row>
    <row r="32" spans="1:4" ht="84" customHeight="1">
      <c r="A32" s="3" t="s">
        <v>378</v>
      </c>
      <c r="B32" s="3" t="s">
        <v>2086</v>
      </c>
      <c r="C32" s="8" t="s">
        <v>3493</v>
      </c>
      <c r="D32" s="3" t="s">
        <v>3494</v>
      </c>
    </row>
    <row r="33" spans="1:4" ht="156" customHeight="1">
      <c r="A33" s="3" t="s">
        <v>378</v>
      </c>
      <c r="B33" s="3" t="s">
        <v>1216</v>
      </c>
      <c r="C33" s="8" t="s">
        <v>3495</v>
      </c>
      <c r="D33" s="3" t="s">
        <v>3496</v>
      </c>
    </row>
    <row r="34" spans="1:4" ht="60" customHeight="1">
      <c r="A34" s="3" t="s">
        <v>378</v>
      </c>
      <c r="B34" s="3" t="s">
        <v>3497</v>
      </c>
      <c r="C34" s="8" t="s">
        <v>3498</v>
      </c>
      <c r="D34" s="3" t="s">
        <v>3499</v>
      </c>
    </row>
    <row r="35" spans="1:4" ht="180" customHeight="1">
      <c r="A35" s="3" t="s">
        <v>1946</v>
      </c>
      <c r="B35" s="3" t="s">
        <v>1073</v>
      </c>
      <c r="C35" s="8" t="s">
        <v>3500</v>
      </c>
      <c r="D35" s="3" t="s">
        <v>3501</v>
      </c>
    </row>
    <row r="36" spans="1:4" ht="252" customHeight="1">
      <c r="A36" s="3" t="s">
        <v>1946</v>
      </c>
      <c r="B36" s="3" t="s">
        <v>1313</v>
      </c>
      <c r="C36" s="8" t="s">
        <v>3502</v>
      </c>
      <c r="D36" s="3" t="s">
        <v>3503</v>
      </c>
    </row>
  </sheetData>
  <mergeCells count="2">
    <mergeCell ref="A1:D1"/>
    <mergeCell ref="A2:D2"/>
  </mergeCells>
  <hyperlinks>
    <hyperlink ref="D7" r:id="rId1" display="Service Finance Company, LLC — Dealer Enrollment, Step 1 of 4: Business Information. Marked (FINTI)._x000a_Fields captured, with the example values used:_x000a_  • Business Legal Name: Vantage Point Roofing - and Restoration, LLC_x000a_  • Business Type: ROOFING MATERIAL_x000a_  • Sales: Greater than 10,000,000_x000a_  • Contractor/Business License or State Registration Name: VP Roofing_x000a_  • Contractor's Website: https://vproofing.com/_x000a_  • Address / Apt-Suite #: 687 N 2000 W Unit 8-9 / Units 8-9_x000a_  • Zip / City / State: 84663 / Springville / Utah_x000a_  • Do you offer products or services in the state of New Jersey?: No_x000a_  • Member ID - Preferred contractor # (Optional)_x000a_  • Contact Name / Contact Email: Jacke Fullmer / jake@vproofing.com_x000a_  • Contact Phone / Main Business Phone: 801-889-8609 / 801-430-9248_x000a_  • FEIN or Business Tax Id: 85-4125041_x000a_  • License type: Contractor (checked) or Business_x000a_  • License ID#: 12066923-5501_x000a_  • Date of Company Formation: 12/03/2020_x000a_Support line shown: (877) 661-6793." xr:uid="{D75143FA-A807-428B-AA26-9F9C13B9B649}"/>
    <hyperlink ref="D8" r:id="rId2" display="Service Finance enrollment, Payment Info screen (voided-check capture)._x000a_Warning modal — 'Verify Business Name Listed in Step 1':_x000a_  Business Legal Name: VANTAGE POINT ROOFING - AND RESTORATION, LLC_x000a_  Contractor/Business License Name: VP ROOFING_x000a_  'The business check you submit with this application must have one of the names listed above._x000a_   If it does not, please return to Step 1 and make the necessary changes.'_x000a_  Buttons: Go Back / Ok_x000a_IMPORTANT for onboarding: the voided check name must match the legal name or the license name, or the app is rejected._x000a_Fields on the page: ABA Number (routing), Account Number, Bank Name, and the email funding info should go to._x000a_Example values: ABA 324079555 / Acct 12494058 / MOUNTAIN AMERICA CU / jake@vproofing.com" xr:uid="{DFCBF7BF-E028-4F93-A7C8-450EE50890D4}"/>
    <hyperlink ref="D9" r:id="rId3" display="Service Finance enrollment, Step 4 of 4: Trade References. Three reference blocks, each capturing:_x000a_  Company Name, Account Number, Contact Person Name, Email, Contact Person Phone Number,_x000a_  Address, Apt/Suite #, Zip, City, State._x000a_Buttons: Remove Trade / Add Trade / Back / Proceed._x000a_Worked example used:_x000a_  Ref 1 — ABC Supply, acct 2010489-0001, Matt Johnson, matthew.johnson3@abcsupply.com, 801-420-3475, 1522 W 400 S, Orem UT 84058_x000a_  Ref 2 — GAF, acct 1136945, Beau Ballard, beau.ballard@gaf.com, 801-797-4593, 1 Campus Drive, Parsippany NJ 07054_x000a_  Ref 3 — R and R Solar Roofs, acct 'VP Roofing', Seth, seth@randrsolarroofs.com, 385-539-8892, 721 S 400 W, Orem UT 84058" xr:uid="{0DFAA64B-057A-4075-A139-DF45F4B2F517}"/>
    <hyperlink ref="D14" r:id="rId4" display="Slide: Verification Email._x000a_'When a new dealer is signed up, FFC will create a new user account. The user must verify their credentials for_x000a_ applications to be submitted via the API.'_x000a_Example: Username: testuserexample / Verification Code: 49b1f4_x000a_The email arrives from noreply@foundationfinance.com, subject '[External] Foundation Finance - Email Verification',_x000a_contains the created user ID and a verification code, plus a 'Verify Email' button." xr:uid="{481E974C-ED68-479A-88D1-78C40CB73725}"/>
    <hyperlink ref="D19" r:id="rId5" display="MICHIGAN &amp; PENNSYLVANIA: Maximum Interest Rate Allowed by Term and Program._x000a_Home Improvement and HVAC projects. Buy-down discounts apply._x000a_  Standard: 13.50% for 12-84mo; 11.90% for 96-180mo; 10.90% at 240._x000a_  SAC: same as Standard._x000a_  NOP: term not allowed at any term._x000a_  3 MODEF: 11.90% at 12; 13.50% for 24-60; 11.90% for 72-180; 10.90% at 240._x000a_  6, 12, 18 &amp; 24 MODEFSAC: term not allowed at 12 or 24; 9.90% for 36 through 240._x000a__x000a_TENNESSEE: Maximum Interest Rate Allowed by Term and Program. Buy-down discounts apply._x000a_  Standard: 17.99% through 120mo; 17.00% at 144; 15.99% at 180 and 240._x000a_  SAC: same as Standard._x000a_  NOP: 17.99% through 120mo; term not allowed at 144/180/240._x000a_  3 MODEF: 17.99% through 96mo; 17.00% for 108-144; 15.99% at 180; 14.90% at 240._x000a_  6 &amp; 12 MODEFSAC: term not allowed at 12; 14.90% for 24 through 240._x000a_  18 &amp; 24 MODEFSAC: term not allowed at 12; 13.50% for 24 through 240._x000a__x000a_ALABAMA: Min. contract size $2,001._x000a_ARKANSAS: 17.00% Max rate._x000a_CONNECTICUT: 12.00% Max rate. Buy-down discounts apply._x000a_MINNESOTA: 8.00% Max rate. Buy-down discounts apply._x000a_VERMONT: 15.00% Max rate. Buy-down discounts apply._x000a__x000a_For dealer use only. Not a consumer advertisement. All credit products subject to credit approval. Rates, terms,_x000a_conditions and promotional programs may vary by dealer and are subject to change without notice._x000a_Contact FFC for complete program details. 1-855-241-0024 - foundationfinance.com - REV. 10/15/2024" xr:uid="{E17E908C-8202-4025-BBD5-AA952DDF2485}"/>
  </hyperlinks>
  <pageMargins left="0.75" right="0.75" top="1" bottom="1" header="0.511811023622047" footer="0.511811023622047"/>
  <pageSetup paperSize="9" orientation="portrait" horizontalDpi="300" verticalDpi="300"/>
  <tableParts count="1">
    <tablePart r:id="rId6"/>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E1B5C-9224-461E-9F11-FE3BB12A382B}">
  <dimension ref="A1:E78"/>
  <sheetViews>
    <sheetView topLeftCell="A3" workbookViewId="0">
      <selection activeCell="C79" sqref="C79"/>
    </sheetView>
  </sheetViews>
  <sheetFormatPr defaultColWidth="9.140625" defaultRowHeight="15"/>
  <cols>
    <col min="1" max="16384" width="9.140625" style="10"/>
  </cols>
  <sheetData>
    <row r="1" spans="1:5">
      <c r="A1" s="41" t="s">
        <v>3504</v>
      </c>
    </row>
    <row r="2" spans="1:5">
      <c r="A2" s="9"/>
    </row>
    <row r="3" spans="1:5">
      <c r="A3" s="41" t="s">
        <v>3505</v>
      </c>
    </row>
    <row r="4" spans="1:5">
      <c r="A4" s="141" t="s">
        <v>3506</v>
      </c>
      <c r="E4" s="83" t="s">
        <v>3507</v>
      </c>
    </row>
    <row r="5" spans="1:5">
      <c r="A5" s="9" t="s">
        <v>3508</v>
      </c>
    </row>
    <row r="6" spans="1:5">
      <c r="A6" s="9" t="s">
        <v>3509</v>
      </c>
    </row>
    <row r="7" spans="1:5">
      <c r="A7" s="9"/>
    </row>
    <row r="8" spans="1:5">
      <c r="A8" s="41" t="s">
        <v>332</v>
      </c>
    </row>
    <row r="9" spans="1:5">
      <c r="A9" s="42" t="s">
        <v>3510</v>
      </c>
    </row>
    <row r="10" spans="1:5">
      <c r="A10" s="9"/>
    </row>
    <row r="11" spans="1:5">
      <c r="A11" s="41" t="s">
        <v>3511</v>
      </c>
    </row>
    <row r="12" spans="1:5">
      <c r="A12" s="9" t="s">
        <v>3512</v>
      </c>
    </row>
    <row r="13" spans="1:5">
      <c r="A13" s="9"/>
    </row>
    <row r="14" spans="1:5">
      <c r="A14" s="41" t="s">
        <v>3513</v>
      </c>
    </row>
    <row r="15" spans="1:5">
      <c r="A15" s="9" t="s">
        <v>3514</v>
      </c>
    </row>
    <row r="16" spans="1:5">
      <c r="A16" s="9" t="s">
        <v>3515</v>
      </c>
    </row>
    <row r="17" spans="1:1">
      <c r="A17" s="9" t="s">
        <v>1607</v>
      </c>
    </row>
    <row r="18" spans="1:1">
      <c r="A18" s="9" t="s">
        <v>3516</v>
      </c>
    </row>
    <row r="19" spans="1:1">
      <c r="A19" s="9" t="s">
        <v>3517</v>
      </c>
    </row>
    <row r="20" spans="1:1">
      <c r="A20" s="9"/>
    </row>
    <row r="21" spans="1:1">
      <c r="A21" s="41" t="s">
        <v>3518</v>
      </c>
    </row>
    <row r="22" spans="1:1">
      <c r="A22" s="9" t="s">
        <v>3519</v>
      </c>
    </row>
    <row r="23" spans="1:1">
      <c r="A23" s="9"/>
    </row>
    <row r="24" spans="1:1">
      <c r="A24" s="41" t="s">
        <v>3520</v>
      </c>
    </row>
    <row r="25" spans="1:1">
      <c r="A25" s="9" t="s">
        <v>3521</v>
      </c>
    </row>
    <row r="26" spans="1:1">
      <c r="A26" s="9"/>
    </row>
    <row r="27" spans="1:1">
      <c r="A27" s="41" t="s">
        <v>3522</v>
      </c>
    </row>
    <row r="28" spans="1:1">
      <c r="A28" s="9" t="s">
        <v>3523</v>
      </c>
    </row>
    <row r="29" spans="1:1">
      <c r="A29" s="9" t="s">
        <v>3524</v>
      </c>
    </row>
    <row r="30" spans="1:1">
      <c r="A30" s="9"/>
    </row>
    <row r="31" spans="1:1">
      <c r="A31" s="41" t="s">
        <v>3525</v>
      </c>
    </row>
    <row r="32" spans="1:1">
      <c r="A32" s="9" t="s">
        <v>3526</v>
      </c>
    </row>
    <row r="34" spans="1:1">
      <c r="A34" s="41" t="s">
        <v>3527</v>
      </c>
    </row>
    <row r="35" spans="1:1">
      <c r="A35" s="9" t="s">
        <v>3528</v>
      </c>
    </row>
    <row r="36" spans="1:1">
      <c r="A36" s="9" t="s">
        <v>3529</v>
      </c>
    </row>
    <row r="37" spans="1:1">
      <c r="A37" s="9" t="s">
        <v>3530</v>
      </c>
    </row>
    <row r="38" spans="1:1">
      <c r="A38" s="9" t="s">
        <v>3531</v>
      </c>
    </row>
    <row r="39" spans="1:1">
      <c r="A39" s="9"/>
    </row>
    <row r="40" spans="1:1">
      <c r="A40" s="41" t="s">
        <v>3532</v>
      </c>
    </row>
    <row r="41" spans="1:1">
      <c r="A41" s="9" t="s">
        <v>3533</v>
      </c>
    </row>
    <row r="42" spans="1:1">
      <c r="A42" s="9" t="s">
        <v>3534</v>
      </c>
    </row>
    <row r="43" spans="1:1">
      <c r="A43" s="9" t="s">
        <v>3535</v>
      </c>
    </row>
    <row r="44" spans="1:1">
      <c r="A44" s="9"/>
    </row>
    <row r="45" spans="1:1">
      <c r="A45" s="41" t="s">
        <v>3536</v>
      </c>
    </row>
    <row r="46" spans="1:1">
      <c r="A46" s="9" t="s">
        <v>3537</v>
      </c>
    </row>
    <row r="47" spans="1:1">
      <c r="A47" s="9" t="s">
        <v>3538</v>
      </c>
    </row>
    <row r="48" spans="1:1">
      <c r="A48" s="9" t="s">
        <v>3539</v>
      </c>
    </row>
    <row r="49" spans="1:1">
      <c r="A49" s="9" t="s">
        <v>3540</v>
      </c>
    </row>
    <row r="50" spans="1:1">
      <c r="A50" s="9" t="s">
        <v>3541</v>
      </c>
    </row>
    <row r="51" spans="1:1">
      <c r="A51" s="9" t="s">
        <v>3542</v>
      </c>
    </row>
    <row r="52" spans="1:1">
      <c r="A52" s="9" t="s">
        <v>3543</v>
      </c>
    </row>
    <row r="53" spans="1:1">
      <c r="A53" s="9" t="s">
        <v>3544</v>
      </c>
    </row>
    <row r="54" spans="1:1">
      <c r="A54" s="9"/>
    </row>
    <row r="55" spans="1:1">
      <c r="A55" s="41" t="s">
        <v>3545</v>
      </c>
    </row>
    <row r="56" spans="1:1">
      <c r="A56" s="42" t="s">
        <v>3546</v>
      </c>
    </row>
    <row r="57" spans="1:1">
      <c r="A57" s="42" t="s">
        <v>3547</v>
      </c>
    </row>
    <row r="58" spans="1:1">
      <c r="A58" s="42" t="s">
        <v>3548</v>
      </c>
    </row>
    <row r="59" spans="1:1">
      <c r="A59" s="42" t="s">
        <v>3549</v>
      </c>
    </row>
    <row r="60" spans="1:1">
      <c r="A60" s="42" t="s">
        <v>3550</v>
      </c>
    </row>
    <row r="61" spans="1:1">
      <c r="A61" s="42" t="s">
        <v>3551</v>
      </c>
    </row>
    <row r="62" spans="1:1">
      <c r="A62" s="42" t="s">
        <v>3552</v>
      </c>
    </row>
    <row r="64" spans="1:1">
      <c r="A64" s="41" t="s">
        <v>3553</v>
      </c>
    </row>
    <row r="65" spans="1:1">
      <c r="A65" s="42" t="s">
        <v>3554</v>
      </c>
    </row>
    <row r="66" spans="1:1">
      <c r="A66" s="42" t="s">
        <v>3555</v>
      </c>
    </row>
    <row r="67" spans="1:1">
      <c r="A67" s="42" t="s">
        <v>3556</v>
      </c>
    </row>
    <row r="68" spans="1:1">
      <c r="A68" s="42" t="s">
        <v>3557</v>
      </c>
    </row>
    <row r="69" spans="1:1">
      <c r="A69" s="9"/>
    </row>
    <row r="70" spans="1:1">
      <c r="A70" s="41" t="s">
        <v>3558</v>
      </c>
    </row>
    <row r="71" spans="1:1">
      <c r="A71" s="42" t="s">
        <v>3559</v>
      </c>
    </row>
    <row r="72" spans="1:1">
      <c r="A72" s="42" t="s">
        <v>3560</v>
      </c>
    </row>
    <row r="73" spans="1:1">
      <c r="A73" s="9"/>
    </row>
    <row r="74" spans="1:1">
      <c r="A74" s="41" t="s">
        <v>3561</v>
      </c>
    </row>
    <row r="75" spans="1:1">
      <c r="A75" s="9" t="s">
        <v>3562</v>
      </c>
    </row>
    <row r="76" spans="1:1">
      <c r="A76" s="9" t="s">
        <v>3563</v>
      </c>
    </row>
    <row r="77" spans="1:1">
      <c r="A77" s="9" t="s">
        <v>3564</v>
      </c>
    </row>
    <row r="78" spans="1:1">
      <c r="A78" s="9" t="s">
        <v>3565</v>
      </c>
    </row>
  </sheetData>
  <hyperlinks>
    <hyperlink ref="A4" r:id="rId1" xr:uid="{C2EBDFF7-63F2-4375-8B75-7E1CA11617A5}"/>
    <hyperlink ref="A9" r:id="rId2" xr:uid="{33F7B834-12E0-4D18-A17F-74609C54EBC2}"/>
    <hyperlink ref="A56" r:id="rId3" xr:uid="{BF1E9F5F-7021-4F63-9B25-E743B21767CE}"/>
    <hyperlink ref="A57" r:id="rId4" xr:uid="{29A12055-CE91-4A9A-ABA4-7E1F7498DB02}"/>
    <hyperlink ref="A58" r:id="rId5" xr:uid="{CC74A588-EFE7-44D3-86EE-D01A3F6E3513}"/>
    <hyperlink ref="A59" r:id="rId6" xr:uid="{BD1F1E87-C9A8-473A-AC29-C208ED830EC0}"/>
    <hyperlink ref="A60" r:id="rId7" xr:uid="{340B634F-887E-49E0-A645-219AE8739DE2}"/>
    <hyperlink ref="A61" r:id="rId8" xr:uid="{913363AD-D41D-4762-9943-FDDD4BA64D5E}"/>
    <hyperlink ref="A62" r:id="rId9" xr:uid="{94F978CC-9A1F-4625-B3A0-85E8CD6E31F4}"/>
    <hyperlink ref="A65" r:id="rId10" xr:uid="{63BD45F4-790F-4769-985E-87F049D7A23C}"/>
    <hyperlink ref="A66" r:id="rId11" xr:uid="{568CA730-DC6C-4E52-B35A-72C6AD56D31A}"/>
    <hyperlink ref="A67" r:id="rId12" xr:uid="{F0EC9106-9BEE-4667-B6C4-0769C2EFBF5A}"/>
    <hyperlink ref="A68" r:id="rId13" xr:uid="{D9125103-6036-4E25-97D7-75035A59EA5D}"/>
    <hyperlink ref="A71" r:id="rId14" xr:uid="{30951A2F-6E74-4F31-A90A-DD8FDCAEBB97}"/>
    <hyperlink ref="A72" r:id="rId15" xr:uid="{23A04764-E0B9-4D6B-A516-593A56DD6AFC}"/>
    <hyperlink ref="E4" r:id="rId16" xr:uid="{2C8E975E-945F-4952-BCD1-9FF79268F48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61325-C2D1-45C4-9F96-4614AEC4E38A}">
  <dimension ref="A1:A60"/>
  <sheetViews>
    <sheetView workbookViewId="0">
      <selection activeCell="A33" sqref="A33"/>
    </sheetView>
  </sheetViews>
  <sheetFormatPr defaultColWidth="9.140625" defaultRowHeight="15"/>
  <cols>
    <col min="1" max="16384" width="9.140625" style="10"/>
  </cols>
  <sheetData>
    <row r="1" spans="1:1">
      <c r="A1" s="41" t="s">
        <v>3566</v>
      </c>
    </row>
    <row r="2" spans="1:1">
      <c r="A2" s="9"/>
    </row>
    <row r="3" spans="1:1">
      <c r="A3" s="41" t="s">
        <v>3505</v>
      </c>
    </row>
    <row r="4" spans="1:1">
      <c r="A4" s="42" t="s">
        <v>3567</v>
      </c>
    </row>
    <row r="5" spans="1:1">
      <c r="A5" s="9" t="s">
        <v>3568</v>
      </c>
    </row>
    <row r="6" spans="1:1">
      <c r="A6" s="9" t="s">
        <v>3569</v>
      </c>
    </row>
    <row r="7" spans="1:1">
      <c r="A7" s="9"/>
    </row>
    <row r="8" spans="1:1">
      <c r="A8" s="41" t="s">
        <v>3570</v>
      </c>
    </row>
    <row r="9" spans="1:1">
      <c r="A9" s="9" t="s">
        <v>3571</v>
      </c>
    </row>
    <row r="10" spans="1:1">
      <c r="A10" s="9" t="s">
        <v>3572</v>
      </c>
    </row>
    <row r="11" spans="1:1">
      <c r="A11" s="9" t="s">
        <v>3573</v>
      </c>
    </row>
    <row r="12" spans="1:1">
      <c r="A12" s="9" t="s">
        <v>3574</v>
      </c>
    </row>
    <row r="13" spans="1:1">
      <c r="A13" s="9" t="s">
        <v>3575</v>
      </c>
    </row>
    <row r="14" spans="1:1">
      <c r="A14" s="9" t="s">
        <v>3576</v>
      </c>
    </row>
    <row r="15" spans="1:1">
      <c r="A15" s="9"/>
    </row>
    <row r="16" spans="1:1">
      <c r="A16" s="41" t="s">
        <v>3577</v>
      </c>
    </row>
    <row r="17" spans="1:1">
      <c r="A17" s="9" t="s">
        <v>3578</v>
      </c>
    </row>
    <row r="18" spans="1:1">
      <c r="A18" s="42" t="s">
        <v>3579</v>
      </c>
    </row>
    <row r="19" spans="1:1">
      <c r="A19" s="9" t="s">
        <v>3580</v>
      </c>
    </row>
    <row r="20" spans="1:1">
      <c r="A20" s="9" t="s">
        <v>3581</v>
      </c>
    </row>
    <row r="21" spans="1:1">
      <c r="A21" s="9"/>
    </row>
    <row r="22" spans="1:1">
      <c r="A22" s="41" t="s">
        <v>3582</v>
      </c>
    </row>
    <row r="23" spans="1:1">
      <c r="A23" s="9" t="s">
        <v>3583</v>
      </c>
    </row>
    <row r="24" spans="1:1">
      <c r="A24" s="9"/>
    </row>
    <row r="25" spans="1:1">
      <c r="A25" s="41" t="s">
        <v>943</v>
      </c>
    </row>
    <row r="26" spans="1:1">
      <c r="A26" s="42" t="s">
        <v>3584</v>
      </c>
    </row>
    <row r="27" spans="1:1">
      <c r="A27" s="42" t="s">
        <v>3585</v>
      </c>
    </row>
    <row r="28" spans="1:1">
      <c r="A28" s="42" t="s">
        <v>3586</v>
      </c>
    </row>
    <row r="29" spans="1:1">
      <c r="A29" s="42" t="s">
        <v>3587</v>
      </c>
    </row>
    <row r="30" spans="1:1">
      <c r="A30" s="42" t="s">
        <v>3588</v>
      </c>
    </row>
    <row r="31" spans="1:1">
      <c r="A31" s="9"/>
    </row>
    <row r="32" spans="1:1">
      <c r="A32" s="41" t="s">
        <v>3511</v>
      </c>
    </row>
    <row r="33" spans="1:1">
      <c r="A33" s="9" t="s">
        <v>3589</v>
      </c>
    </row>
    <row r="34" spans="1:1">
      <c r="A34" s="9" t="s">
        <v>3590</v>
      </c>
    </row>
    <row r="35" spans="1:1">
      <c r="A35" s="9" t="s">
        <v>3591</v>
      </c>
    </row>
    <row r="36" spans="1:1">
      <c r="A36" s="9"/>
    </row>
    <row r="37" spans="1:1">
      <c r="A37" s="41" t="s">
        <v>3592</v>
      </c>
    </row>
    <row r="38" spans="1:1">
      <c r="A38" s="9" t="s">
        <v>3593</v>
      </c>
    </row>
    <row r="39" spans="1:1">
      <c r="A39" s="9"/>
    </row>
    <row r="40" spans="1:1">
      <c r="A40" s="41" t="s">
        <v>3594</v>
      </c>
    </row>
    <row r="41" spans="1:1">
      <c r="A41" s="9" t="s">
        <v>3595</v>
      </c>
    </row>
    <row r="42" spans="1:1">
      <c r="A42" s="9" t="s">
        <v>3596</v>
      </c>
    </row>
    <row r="43" spans="1:1">
      <c r="A43" s="9" t="s">
        <v>3597</v>
      </c>
    </row>
    <row r="44" spans="1:1">
      <c r="A44" s="9" t="s">
        <v>3598</v>
      </c>
    </row>
    <row r="45" spans="1:1">
      <c r="A45" s="9" t="s">
        <v>3599</v>
      </c>
    </row>
    <row r="46" spans="1:1">
      <c r="A46" s="9" t="s">
        <v>3600</v>
      </c>
    </row>
    <row r="47" spans="1:1">
      <c r="A47" s="9" t="s">
        <v>1552</v>
      </c>
    </row>
    <row r="48" spans="1:1">
      <c r="A48" s="9" t="s">
        <v>3601</v>
      </c>
    </row>
    <row r="49" spans="1:1">
      <c r="A49" s="9" t="s">
        <v>3602</v>
      </c>
    </row>
    <row r="50" spans="1:1">
      <c r="A50" s="9" t="s">
        <v>3603</v>
      </c>
    </row>
    <row r="51" spans="1:1">
      <c r="A51" s="9"/>
    </row>
    <row r="52" spans="1:1">
      <c r="A52" s="41" t="s">
        <v>3604</v>
      </c>
    </row>
    <row r="53" spans="1:1">
      <c r="A53" s="9" t="s">
        <v>3605</v>
      </c>
    </row>
    <row r="54" spans="1:1">
      <c r="A54" s="9" t="s">
        <v>3606</v>
      </c>
    </row>
    <row r="55" spans="1:1">
      <c r="A55" s="9" t="s">
        <v>3607</v>
      </c>
    </row>
    <row r="56" spans="1:1">
      <c r="A56" s="9" t="s">
        <v>3608</v>
      </c>
    </row>
    <row r="57" spans="1:1">
      <c r="A57" s="9"/>
    </row>
    <row r="58" spans="1:1">
      <c r="A58" s="41" t="s">
        <v>3561</v>
      </c>
    </row>
    <row r="59" spans="1:1">
      <c r="A59" s="9" t="s">
        <v>3609</v>
      </c>
    </row>
    <row r="60" spans="1:1">
      <c r="A60" s="9" t="s">
        <v>3610</v>
      </c>
    </row>
  </sheetData>
  <hyperlinks>
    <hyperlink ref="A4" r:id="rId1" xr:uid="{6E58F4F0-0CE8-42D7-8F79-41B4027F0985}"/>
    <hyperlink ref="A18" r:id="rId2" xr:uid="{F0B0DF67-C61F-499D-BE99-9ABA4CECF8BE}"/>
    <hyperlink ref="A26" r:id="rId3" xr:uid="{65EF1304-F08F-42A1-A981-8BB63619EBBA}"/>
    <hyperlink ref="A27" r:id="rId4" xr:uid="{FCB84968-8E89-4F3B-9F9E-7AE87A4756C7}"/>
    <hyperlink ref="A28" r:id="rId5" xr:uid="{C1A023F9-A8B9-43CA-9C9F-9CADD84E75F4}"/>
    <hyperlink ref="A29" r:id="rId6" xr:uid="{A2A776B8-E08F-4433-86DA-44D9C0CF52A2}"/>
    <hyperlink ref="A30" r:id="rId7" xr:uid="{88C7F855-480B-4CAB-B7DD-4125392BA32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833B7-FE6A-4BDC-8ECD-610F701A4549}">
  <dimension ref="A1:A46"/>
  <sheetViews>
    <sheetView topLeftCell="A18" workbookViewId="0">
      <selection activeCell="A44" sqref="A44"/>
    </sheetView>
  </sheetViews>
  <sheetFormatPr defaultRowHeight="15"/>
  <sheetData>
    <row r="1" spans="1:1" ht="18.75">
      <c r="A1" s="144" t="s">
        <v>3611</v>
      </c>
    </row>
    <row r="3" spans="1:1">
      <c r="A3" s="142" t="s">
        <v>3612</v>
      </c>
    </row>
    <row r="4" spans="1:1">
      <c r="A4" t="s">
        <v>3613</v>
      </c>
    </row>
    <row r="5" spans="1:1">
      <c r="A5" t="s">
        <v>1955</v>
      </c>
    </row>
    <row r="6" spans="1:1">
      <c r="A6" t="s">
        <v>3614</v>
      </c>
    </row>
    <row r="7" spans="1:1">
      <c r="A7" t="s">
        <v>3615</v>
      </c>
    </row>
    <row r="9" spans="1:1">
      <c r="A9" s="142" t="s">
        <v>3616</v>
      </c>
    </row>
    <row r="10" spans="1:1">
      <c r="A10" t="s">
        <v>3617</v>
      </c>
    </row>
    <row r="11" spans="1:1">
      <c r="A11" t="s">
        <v>3618</v>
      </c>
    </row>
    <row r="12" spans="1:1">
      <c r="A12" t="s">
        <v>3619</v>
      </c>
    </row>
    <row r="13" spans="1:1">
      <c r="A13" t="s">
        <v>3620</v>
      </c>
    </row>
    <row r="14" spans="1:1">
      <c r="A14" t="s">
        <v>3621</v>
      </c>
    </row>
    <row r="15" spans="1:1">
      <c r="A15" t="s">
        <v>3622</v>
      </c>
    </row>
    <row r="16" spans="1:1">
      <c r="A16" t="s">
        <v>3623</v>
      </c>
    </row>
    <row r="17" spans="1:1">
      <c r="A17" t="s">
        <v>3624</v>
      </c>
    </row>
    <row r="18" spans="1:1">
      <c r="A18" t="s">
        <v>3625</v>
      </c>
    </row>
    <row r="20" spans="1:1">
      <c r="A20" s="142" t="s">
        <v>3626</v>
      </c>
    </row>
    <row r="21" spans="1:1">
      <c r="A21" t="s">
        <v>3627</v>
      </c>
    </row>
    <row r="22" spans="1:1">
      <c r="A22" t="s">
        <v>3628</v>
      </c>
    </row>
    <row r="23" spans="1:1" ht="15" customHeight="1">
      <c r="A23" s="143" t="s">
        <v>3629</v>
      </c>
    </row>
    <row r="24" spans="1:1">
      <c r="A24" t="s">
        <v>3630</v>
      </c>
    </row>
    <row r="26" spans="1:1">
      <c r="A26" s="142" t="s">
        <v>3631</v>
      </c>
    </row>
    <row r="27" spans="1:1">
      <c r="A27" t="s">
        <v>3632</v>
      </c>
    </row>
    <row r="28" spans="1:1">
      <c r="A28" t="s">
        <v>3633</v>
      </c>
    </row>
    <row r="29" spans="1:1">
      <c r="A29" t="s">
        <v>3634</v>
      </c>
    </row>
    <row r="30" spans="1:1">
      <c r="A30" t="s">
        <v>3635</v>
      </c>
    </row>
    <row r="31" spans="1:1">
      <c r="A31" t="s">
        <v>3636</v>
      </c>
    </row>
    <row r="32" spans="1:1">
      <c r="A32" t="s">
        <v>3637</v>
      </c>
    </row>
    <row r="34" spans="1:1">
      <c r="A34" s="142" t="s">
        <v>342</v>
      </c>
    </row>
    <row r="35" spans="1:1">
      <c r="A35" t="s">
        <v>3638</v>
      </c>
    </row>
    <row r="36" spans="1:1">
      <c r="A36" t="s">
        <v>3639</v>
      </c>
    </row>
    <row r="38" spans="1:1">
      <c r="A38" s="142" t="s">
        <v>3640</v>
      </c>
    </row>
    <row r="39" spans="1:1">
      <c r="A39" t="s">
        <v>3641</v>
      </c>
    </row>
    <row r="40" spans="1:1">
      <c r="A40" t="s">
        <v>3642</v>
      </c>
    </row>
    <row r="41" spans="1:1">
      <c r="A41" t="s">
        <v>3643</v>
      </c>
    </row>
    <row r="43" spans="1:1">
      <c r="A43" s="142" t="s">
        <v>3644</v>
      </c>
    </row>
    <row r="44" spans="1:1">
      <c r="A44" t="s">
        <v>3645</v>
      </c>
    </row>
    <row r="45" spans="1:1">
      <c r="A45" t="s">
        <v>2039</v>
      </c>
    </row>
    <row r="46" spans="1:1">
      <c r="A46" t="s">
        <v>3646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C8182-A0B5-4501-B2F6-2F800300D172}">
  <sheetPr>
    <tabColor rgb="FFFF9900"/>
  </sheetPr>
  <dimension ref="A1:G15"/>
  <sheetViews>
    <sheetView workbookViewId="0">
      <selection activeCell="F14" sqref="F14"/>
    </sheetView>
  </sheetViews>
  <sheetFormatPr defaultColWidth="9.140625" defaultRowHeight="15"/>
  <cols>
    <col min="1" max="1" width="6.42578125" style="10" customWidth="1"/>
    <col min="2" max="2" width="32.42578125" style="10" customWidth="1"/>
    <col min="3" max="4" width="20" style="10" customWidth="1"/>
    <col min="5" max="5" width="21.85546875" style="10" customWidth="1"/>
    <col min="6" max="6" width="81.85546875" style="10" customWidth="1"/>
    <col min="7" max="7" width="69" style="126" customWidth="1"/>
    <col min="8" max="16384" width="9.140625" style="10"/>
  </cols>
  <sheetData>
    <row r="1" spans="1:7">
      <c r="A1" s="47" t="s">
        <v>3647</v>
      </c>
      <c r="B1" s="47" t="s">
        <v>824</v>
      </c>
      <c r="C1" s="47" t="s">
        <v>187</v>
      </c>
      <c r="D1" s="47" t="s">
        <v>3648</v>
      </c>
      <c r="E1" s="47" t="s">
        <v>3649</v>
      </c>
      <c r="F1" s="47" t="s">
        <v>3650</v>
      </c>
      <c r="G1" s="126" t="s">
        <v>3651</v>
      </c>
    </row>
    <row r="2" spans="1:7" ht="27.75">
      <c r="A2" s="48">
        <v>6</v>
      </c>
      <c r="B2" s="48" t="s">
        <v>442</v>
      </c>
      <c r="C2" s="48" t="s">
        <v>431</v>
      </c>
      <c r="D2" s="48" t="s">
        <v>435</v>
      </c>
      <c r="E2" s="48" t="s">
        <v>3652</v>
      </c>
      <c r="F2" s="48" t="s">
        <v>3653</v>
      </c>
      <c r="G2" s="126" t="s">
        <v>3654</v>
      </c>
    </row>
    <row r="3" spans="1:7" ht="27.75">
      <c r="A3" s="48">
        <v>7</v>
      </c>
      <c r="B3" s="48" t="s">
        <v>452</v>
      </c>
      <c r="C3" s="48" t="s">
        <v>453</v>
      </c>
      <c r="D3" s="48" t="s">
        <v>435</v>
      </c>
      <c r="E3" s="48" t="s">
        <v>3652</v>
      </c>
      <c r="F3" s="48" t="s">
        <v>3655</v>
      </c>
      <c r="G3" s="126" t="s">
        <v>3656</v>
      </c>
    </row>
    <row r="4" spans="1:7" ht="27.75">
      <c r="A4" s="48">
        <v>8</v>
      </c>
      <c r="B4" s="48" t="s">
        <v>460</v>
      </c>
      <c r="C4" s="48" t="s">
        <v>465</v>
      </c>
      <c r="D4" s="48" t="s">
        <v>435</v>
      </c>
      <c r="E4" s="48" t="s">
        <v>469</v>
      </c>
      <c r="F4" s="48" t="s">
        <v>3657</v>
      </c>
      <c r="G4" s="126" t="s">
        <v>3658</v>
      </c>
    </row>
    <row r="5" spans="1:7" ht="27.75">
      <c r="A5" s="48">
        <v>10</v>
      </c>
      <c r="B5" s="48" t="s">
        <v>483</v>
      </c>
      <c r="C5" s="48" t="s">
        <v>465</v>
      </c>
      <c r="D5" s="48" t="s">
        <v>435</v>
      </c>
      <c r="E5" s="48" t="s">
        <v>3659</v>
      </c>
      <c r="F5" s="48" t="s">
        <v>3660</v>
      </c>
      <c r="G5" s="126" t="s">
        <v>3661</v>
      </c>
    </row>
    <row r="6" spans="1:7" ht="41.25">
      <c r="A6" s="48">
        <v>11</v>
      </c>
      <c r="B6" s="48" t="s">
        <v>492</v>
      </c>
      <c r="C6" s="48" t="s">
        <v>465</v>
      </c>
      <c r="D6" s="48" t="s">
        <v>435</v>
      </c>
      <c r="E6" s="48" t="s">
        <v>3662</v>
      </c>
      <c r="F6" s="48" t="s">
        <v>3663</v>
      </c>
      <c r="G6" s="126" t="s">
        <v>3664</v>
      </c>
    </row>
    <row r="7" spans="1:7">
      <c r="A7" s="48">
        <v>14</v>
      </c>
      <c r="B7" s="48" t="s">
        <v>521</v>
      </c>
      <c r="C7" s="48" t="s">
        <v>465</v>
      </c>
      <c r="D7" s="48" t="s">
        <v>435</v>
      </c>
      <c r="E7" s="48" t="s">
        <v>3659</v>
      </c>
      <c r="F7" s="48" t="s">
        <v>3665</v>
      </c>
      <c r="G7" s="126" t="s">
        <v>3666</v>
      </c>
    </row>
    <row r="8" spans="1:7" ht="27.75">
      <c r="A8" s="48">
        <v>15</v>
      </c>
      <c r="B8" s="48" t="s">
        <v>530</v>
      </c>
      <c r="C8" s="48" t="s">
        <v>535</v>
      </c>
      <c r="D8" s="48" t="s">
        <v>785</v>
      </c>
      <c r="E8" s="48" t="s">
        <v>3662</v>
      </c>
      <c r="F8" s="48" t="s">
        <v>3667</v>
      </c>
      <c r="G8" s="126" t="s">
        <v>3668</v>
      </c>
    </row>
    <row r="9" spans="1:7" ht="27.75">
      <c r="A9" s="48">
        <v>16</v>
      </c>
      <c r="B9" s="48" t="s">
        <v>540</v>
      </c>
      <c r="C9" s="48" t="s">
        <v>465</v>
      </c>
      <c r="D9" s="48" t="s">
        <v>785</v>
      </c>
      <c r="E9" s="48" t="s">
        <v>3652</v>
      </c>
      <c r="F9" s="48" t="s">
        <v>3669</v>
      </c>
    </row>
    <row r="10" spans="1:7" ht="27.75">
      <c r="A10" s="48">
        <v>17</v>
      </c>
      <c r="B10" s="48" t="s">
        <v>545</v>
      </c>
      <c r="C10" s="48" t="s">
        <v>550</v>
      </c>
      <c r="D10" s="48" t="s">
        <v>785</v>
      </c>
      <c r="E10" s="48" t="s">
        <v>3652</v>
      </c>
      <c r="F10" s="48" t="s">
        <v>3670</v>
      </c>
    </row>
    <row r="11" spans="1:7" ht="27.75">
      <c r="A11" s="48">
        <v>22</v>
      </c>
      <c r="B11" s="48" t="s">
        <v>592</v>
      </c>
      <c r="C11" s="48" t="s">
        <v>560</v>
      </c>
      <c r="D11" s="48" t="s">
        <v>785</v>
      </c>
      <c r="E11" s="48" t="s">
        <v>3652</v>
      </c>
      <c r="F11" s="48" t="s">
        <v>3671</v>
      </c>
    </row>
    <row r="12" spans="1:7" ht="27.75">
      <c r="A12" s="48">
        <v>24</v>
      </c>
      <c r="B12" s="48" t="s">
        <v>606</v>
      </c>
      <c r="C12" s="48" t="s">
        <v>611</v>
      </c>
      <c r="D12" s="48" t="s">
        <v>785</v>
      </c>
      <c r="E12" s="48" t="s">
        <v>3672</v>
      </c>
      <c r="F12" s="48" t="s">
        <v>3673</v>
      </c>
    </row>
    <row r="13" spans="1:7" ht="27.75">
      <c r="A13" s="48">
        <v>27</v>
      </c>
      <c r="B13" s="48" t="s">
        <v>630</v>
      </c>
      <c r="C13" s="48" t="s">
        <v>635</v>
      </c>
      <c r="D13" s="48" t="s">
        <v>785</v>
      </c>
      <c r="E13" s="48" t="s">
        <v>3672</v>
      </c>
      <c r="F13" s="48" t="s">
        <v>3674</v>
      </c>
    </row>
    <row r="14" spans="1:7" ht="27.75">
      <c r="A14" s="48">
        <v>30</v>
      </c>
      <c r="B14" s="48" t="s">
        <v>644</v>
      </c>
      <c r="C14" s="48" t="s">
        <v>646</v>
      </c>
      <c r="D14" s="48" t="s">
        <v>785</v>
      </c>
      <c r="E14" s="48" t="s">
        <v>3675</v>
      </c>
      <c r="F14" s="48" t="s">
        <v>3676</v>
      </c>
    </row>
    <row r="15" spans="1:7" ht="27.75">
      <c r="A15" s="48">
        <v>33</v>
      </c>
      <c r="B15" s="48" t="s">
        <v>663</v>
      </c>
      <c r="C15" s="48" t="s">
        <v>465</v>
      </c>
      <c r="D15" s="48" t="s">
        <v>435</v>
      </c>
      <c r="E15" s="48" t="s">
        <v>3672</v>
      </c>
      <c r="F15" s="48" t="s">
        <v>3677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74BF0-07BB-4281-BB7F-BE87465AD680}">
  <sheetPr>
    <tabColor rgb="FF808080"/>
  </sheetPr>
  <dimension ref="A1:BY1027"/>
  <sheetViews>
    <sheetView showGridLines="0" zoomScaleNormal="100" workbookViewId="0">
      <pane xSplit="1" ySplit="4" topLeftCell="S11" activePane="bottomRight" state="frozen"/>
      <selection pane="bottomRight" activeCell="AK12" sqref="AK12"/>
      <selection pane="bottomLeft" activeCell="A7" sqref="A7"/>
      <selection pane="topRight"/>
    </sheetView>
  </sheetViews>
  <sheetFormatPr defaultColWidth="8.7109375" defaultRowHeight="21" customHeight="1" outlineLevelCol="1"/>
  <cols>
    <col min="1" max="1" width="26" style="18" customWidth="1"/>
    <col min="2" max="3" width="22" style="10" customWidth="1"/>
    <col min="4" max="4" width="25.28515625" style="10" customWidth="1"/>
    <col min="5" max="5" width="22" style="11" customWidth="1"/>
    <col min="6" max="6" width="33.28515625" style="10" customWidth="1"/>
    <col min="7" max="7" width="22.140625" style="10" customWidth="1"/>
    <col min="8" max="8" width="33.28515625" style="10" customWidth="1"/>
    <col min="9" max="9" width="23.85546875" style="10" customWidth="1"/>
    <col min="10" max="10" width="22.85546875" style="10" customWidth="1"/>
    <col min="11" max="11" width="11.7109375" style="10" customWidth="1"/>
    <col min="12" max="12" width="28.28515625" style="10" customWidth="1"/>
    <col min="13" max="13" width="19.28515625" style="10" customWidth="1"/>
    <col min="14" max="14" width="18.140625" style="10" customWidth="1"/>
    <col min="15" max="15" width="35.28515625" style="10" customWidth="1"/>
    <col min="16" max="16" width="23.28515625" style="10" customWidth="1"/>
    <col min="17" max="17" width="14.140625" style="10" customWidth="1"/>
    <col min="18" max="19" width="11.7109375" style="10" customWidth="1"/>
    <col min="20" max="20" width="23.28515625" style="10" customWidth="1"/>
    <col min="21" max="21" width="14.140625" style="10" customWidth="1"/>
    <col min="22" max="23" width="11.7109375" style="10" customWidth="1"/>
    <col min="24" max="24" width="23.28515625" style="10" customWidth="1"/>
    <col min="25" max="25" width="14.140625" style="10" customWidth="1"/>
    <col min="26" max="27" width="11.7109375" style="10" customWidth="1"/>
    <col min="28" max="28" width="23.28515625" style="10" customWidth="1"/>
    <col min="29" max="29" width="14.140625" style="10" customWidth="1"/>
    <col min="30" max="30" width="14.5703125" style="10" customWidth="1"/>
    <col min="31" max="31" width="11.7109375" style="10" customWidth="1"/>
    <col min="32" max="32" width="23.28515625" style="10" customWidth="1"/>
    <col min="33" max="33" width="14.140625" style="10" customWidth="1"/>
    <col min="34" max="35" width="11.7109375" style="10" customWidth="1"/>
    <col min="36" max="36" width="55.7109375" style="10" customWidth="1"/>
    <col min="37" max="37" width="38" style="10" customWidth="1"/>
    <col min="38" max="38" width="19" style="10" customWidth="1"/>
    <col min="39" max="39" width="21.140625" style="10" customWidth="1"/>
    <col min="40" max="40" width="17.7109375" style="10" customWidth="1"/>
    <col min="41" max="41" width="8.7109375" style="10" customWidth="1"/>
    <col min="42" max="42" width="28.5703125" style="10" customWidth="1" outlineLevel="1"/>
    <col min="43" max="43" width="38.140625" style="10" customWidth="1" outlineLevel="1"/>
    <col min="44" max="44" width="52.42578125" style="10" customWidth="1" outlineLevel="1"/>
    <col min="45" max="45" width="38.140625" style="10" customWidth="1" outlineLevel="1"/>
    <col min="46" max="46" width="28.5703125" style="10" customWidth="1" outlineLevel="1"/>
    <col min="47" max="47" width="38.140625" style="10" customWidth="1" outlineLevel="1"/>
    <col min="48" max="48" width="36.140625" style="10" customWidth="1" outlineLevel="1"/>
    <col min="49" max="49" width="38.140625" style="10" customWidth="1" outlineLevel="1"/>
    <col min="50" max="50" width="28.5703125" style="10" customWidth="1" outlineLevel="1"/>
    <col min="51" max="51" width="38.140625" style="10" customWidth="1" outlineLevel="1"/>
    <col min="52" max="52" width="9.140625" style="10"/>
    <col min="53" max="54" width="0" style="10" hidden="1" customWidth="1"/>
    <col min="55" max="55" width="9.140625" style="10"/>
    <col min="56" max="77" width="0" style="10" hidden="1" customWidth="1"/>
    <col min="78" max="16384" width="8.7109375" style="10"/>
  </cols>
  <sheetData>
    <row r="1" spans="1:77" ht="16.5" customHeight="1">
      <c r="A1" s="86" t="s">
        <v>353</v>
      </c>
      <c r="B1" s="87"/>
      <c r="C1" s="87"/>
      <c r="D1" s="87"/>
      <c r="E1" s="88"/>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c r="AH1" s="87"/>
      <c r="AI1" s="87"/>
      <c r="AJ1" s="89"/>
      <c r="AK1" s="87"/>
      <c r="AL1" s="87"/>
      <c r="AM1" s="87"/>
      <c r="AN1" s="87"/>
      <c r="AO1" s="87"/>
      <c r="AP1" s="87"/>
      <c r="AQ1" s="87"/>
      <c r="AR1" s="87"/>
      <c r="AS1" s="87"/>
      <c r="AT1" s="87"/>
      <c r="AU1" s="87"/>
      <c r="AV1" s="87"/>
      <c r="AW1" s="87"/>
      <c r="AX1" s="87"/>
      <c r="AY1" s="87"/>
      <c r="BA1" s="10" t="s">
        <v>354</v>
      </c>
    </row>
    <row r="2" spans="1:77" ht="76.5">
      <c r="A2" s="90" t="s">
        <v>355</v>
      </c>
      <c r="B2" s="90"/>
      <c r="C2" s="90"/>
      <c r="D2" s="90"/>
      <c r="E2" s="91"/>
      <c r="F2" s="90"/>
      <c r="G2" s="90"/>
      <c r="H2" s="90"/>
      <c r="I2" s="92" t="str">
        <f>"Waiting on Dealer: "&amp;COUNTIF($L$5:$L$1027,"Waiting on Dealer")</f>
        <v>Waiting on Dealer: 20</v>
      </c>
      <c r="J2" s="92"/>
      <c r="K2" s="93" t="str">
        <f>"Waiting on Lender: "&amp;COUNTIF($L$5:$L$1027,"Waiting on Lender")</f>
        <v>Waiting on Lender: 8</v>
      </c>
      <c r="L2" s="93" t="str">
        <f>"App Submitted: "&amp;COUNTIF($L$5:$L$1027,"Application Submitted")</f>
        <v>App Submitted: 1</v>
      </c>
      <c r="M2" s="94" t="str">
        <f>"Rate Sheet: "&amp;COUNTIF($L$5:$L$1027,"Rate Sheet")</f>
        <v>Rate Sheet: 3</v>
      </c>
      <c r="N2" s="87"/>
      <c r="O2" s="95" t="str">
        <f>"LIVE DLR: "&amp;COUNTIF($L$5:$L$1027,"LIVE DLR")</f>
        <v>LIVE DLR: 4</v>
      </c>
      <c r="P2" s="192" t="s">
        <v>356</v>
      </c>
      <c r="Q2" s="192"/>
      <c r="R2" s="192"/>
      <c r="S2" s="192"/>
      <c r="T2" s="192" t="s">
        <v>356</v>
      </c>
      <c r="U2" s="192"/>
      <c r="V2" s="192"/>
      <c r="W2" s="192"/>
      <c r="X2" s="192" t="s">
        <v>356</v>
      </c>
      <c r="Y2" s="192"/>
      <c r="Z2" s="192"/>
      <c r="AA2" s="192"/>
      <c r="AB2" s="192" t="s">
        <v>356</v>
      </c>
      <c r="AC2" s="192"/>
      <c r="AD2" s="192"/>
      <c r="AE2" s="192"/>
      <c r="AF2" s="192" t="s">
        <v>356</v>
      </c>
      <c r="AG2" s="192"/>
      <c r="AH2" s="192"/>
      <c r="AI2" s="192"/>
      <c r="AJ2" s="192"/>
      <c r="AK2" s="192"/>
      <c r="AL2" s="192"/>
      <c r="AM2" s="192"/>
      <c r="AN2" s="192"/>
      <c r="AO2" s="192"/>
      <c r="AP2" s="192"/>
      <c r="AQ2" s="192"/>
      <c r="AR2" s="192"/>
      <c r="AS2" s="192"/>
      <c r="AT2" s="192"/>
      <c r="AU2" s="192"/>
      <c r="AV2" s="192"/>
      <c r="AW2" s="192"/>
      <c r="AX2" s="192"/>
      <c r="AY2" s="192"/>
    </row>
    <row r="3" spans="1:77" ht="38.25">
      <c r="A3" s="90"/>
      <c r="B3" s="90"/>
      <c r="C3" s="90"/>
      <c r="D3" s="90"/>
      <c r="E3" s="91"/>
      <c r="F3" s="90"/>
      <c r="G3" s="90"/>
      <c r="H3" s="90"/>
      <c r="I3" s="94" t="str">
        <f>"Active: "&amp;COUNTIF($L$5:$L$1027,"Active")</f>
        <v>Active: 4</v>
      </c>
      <c r="J3" s="94"/>
      <c r="K3" s="96" t="str">
        <f>"Dead: "&amp;COUNTIF($L$5:$L$1027,"Dead")</f>
        <v>Dead: 4</v>
      </c>
      <c r="L3" s="92" t="str">
        <f>"P1 open To-Do: "&amp;COUNTIFS($K$5:$K$1027,1,$AJ$5:$AJ$1027,"&lt;&gt;",$AK$5:$AK$1027,FALSE)</f>
        <v>P1 open To-Do: 8</v>
      </c>
      <c r="M3" s="96" t="str">
        <f ca="1">"No update &gt;3d: "&amp;COUNTIFS($AN$5:$AN$1027,"&gt;3",$L$5:$L$1027,"&lt;&gt;Active",$L$5:$L$1027,"&lt;&gt;Dead",$L$5:$L$1027,"&lt;&gt;LIVE DLR")</f>
        <v>No update &gt;3d: 22</v>
      </c>
      <c r="N3" s="87"/>
      <c r="O3" s="97" t="str">
        <f>"Training: "&amp;COUNTIF($L$5:$L$1027,"Training")</f>
        <v>Training: 1</v>
      </c>
      <c r="P3" s="192" t="s">
        <v>357</v>
      </c>
      <c r="Q3" s="192"/>
      <c r="R3" s="192" t="s">
        <v>358</v>
      </c>
      <c r="S3" s="192" t="s">
        <v>359</v>
      </c>
      <c r="T3" s="192" t="s">
        <v>360</v>
      </c>
      <c r="U3" s="192"/>
      <c r="V3" s="192" t="s">
        <v>361</v>
      </c>
      <c r="W3" s="192" t="s">
        <v>359</v>
      </c>
      <c r="X3" s="192" t="s">
        <v>362</v>
      </c>
      <c r="Y3" s="192"/>
      <c r="Z3" s="192" t="s">
        <v>358</v>
      </c>
      <c r="AA3" s="192" t="s">
        <v>359</v>
      </c>
      <c r="AB3" s="192" t="s">
        <v>362</v>
      </c>
      <c r="AC3" s="192"/>
      <c r="AD3" s="192" t="s">
        <v>361</v>
      </c>
      <c r="AE3" s="192" t="s">
        <v>359</v>
      </c>
      <c r="AF3" s="192" t="s">
        <v>357</v>
      </c>
      <c r="AG3" s="192"/>
      <c r="AH3" s="192"/>
      <c r="AI3" s="192" t="s">
        <v>359</v>
      </c>
      <c r="AJ3" s="192"/>
      <c r="AK3" s="192"/>
      <c r="AL3" s="192"/>
      <c r="AM3" s="192"/>
      <c r="AN3" s="192"/>
      <c r="AO3" s="192"/>
      <c r="AP3" s="192"/>
      <c r="AQ3" s="192"/>
      <c r="AR3" s="192"/>
      <c r="AS3" s="192"/>
      <c r="AT3" s="192"/>
      <c r="AU3" s="192"/>
      <c r="AV3" s="192"/>
      <c r="AW3" s="192"/>
      <c r="AX3" s="192"/>
      <c r="AY3" s="192"/>
    </row>
    <row r="4" spans="1:77" ht="29.25">
      <c r="A4" s="189" t="s">
        <v>363</v>
      </c>
      <c r="B4" s="189" t="s">
        <v>188</v>
      </c>
      <c r="C4" s="189" t="s">
        <v>314</v>
      </c>
      <c r="D4" s="189" t="s">
        <v>364</v>
      </c>
      <c r="E4" s="190" t="s">
        <v>206</v>
      </c>
      <c r="F4" s="189" t="s">
        <v>365</v>
      </c>
      <c r="G4" s="189" t="s">
        <v>187</v>
      </c>
      <c r="H4" s="189" t="s">
        <v>232</v>
      </c>
      <c r="I4" s="189" t="s">
        <v>241</v>
      </c>
      <c r="J4" s="189" t="s">
        <v>321</v>
      </c>
      <c r="K4" s="189" t="s">
        <v>366</v>
      </c>
      <c r="L4" s="189" t="s">
        <v>25</v>
      </c>
      <c r="M4" s="189" t="s">
        <v>257</v>
      </c>
      <c r="N4" s="189" t="s">
        <v>367</v>
      </c>
      <c r="O4" s="189" t="s">
        <v>368</v>
      </c>
      <c r="P4" s="189" t="s">
        <v>271</v>
      </c>
      <c r="Q4" s="189" t="s">
        <v>369</v>
      </c>
      <c r="R4" s="189" t="s">
        <v>370</v>
      </c>
      <c r="S4" s="189" t="s">
        <v>371</v>
      </c>
      <c r="T4" s="189" t="s">
        <v>279</v>
      </c>
      <c r="U4" s="189" t="s">
        <v>372</v>
      </c>
      <c r="V4" s="189" t="s">
        <v>373</v>
      </c>
      <c r="W4" s="189" t="s">
        <v>374</v>
      </c>
      <c r="X4" s="189" t="s">
        <v>286</v>
      </c>
      <c r="Y4" s="189" t="s">
        <v>375</v>
      </c>
      <c r="Z4" s="189" t="s">
        <v>376</v>
      </c>
      <c r="AA4" s="189" t="s">
        <v>377</v>
      </c>
      <c r="AB4" s="189" t="s">
        <v>378</v>
      </c>
      <c r="AC4" s="189" t="s">
        <v>379</v>
      </c>
      <c r="AD4" s="189" t="s">
        <v>380</v>
      </c>
      <c r="AE4" s="189" t="s">
        <v>381</v>
      </c>
      <c r="AF4" s="189" t="s">
        <v>300</v>
      </c>
      <c r="AG4" s="189" t="s">
        <v>382</v>
      </c>
      <c r="AH4" s="189" t="s">
        <v>383</v>
      </c>
      <c r="AI4" s="189" t="s">
        <v>384</v>
      </c>
      <c r="AJ4" s="189" t="s">
        <v>307</v>
      </c>
      <c r="AK4" s="189" t="s">
        <v>385</v>
      </c>
      <c r="AL4" s="189" t="s">
        <v>386</v>
      </c>
      <c r="AM4" s="189" t="s">
        <v>387</v>
      </c>
      <c r="AN4" s="189" t="s">
        <v>388</v>
      </c>
      <c r="AO4" s="98" t="s">
        <v>389</v>
      </c>
      <c r="AP4" s="191" t="s">
        <v>390</v>
      </c>
      <c r="AQ4" s="191" t="s">
        <v>391</v>
      </c>
      <c r="AR4" s="191" t="s">
        <v>392</v>
      </c>
      <c r="AS4" s="191" t="s">
        <v>393</v>
      </c>
      <c r="AT4" s="191" t="s">
        <v>394</v>
      </c>
      <c r="AU4" s="191" t="s">
        <v>395</v>
      </c>
      <c r="AV4" s="191" t="s">
        <v>396</v>
      </c>
      <c r="AW4" s="191" t="s">
        <v>397</v>
      </c>
      <c r="AX4" s="191" t="s">
        <v>398</v>
      </c>
      <c r="AY4" s="191" t="s">
        <v>399</v>
      </c>
      <c r="BA4" s="10" t="s">
        <v>401</v>
      </c>
      <c r="BB4" s="10" t="s">
        <v>402</v>
      </c>
      <c r="BD4" s="173" t="s">
        <v>404</v>
      </c>
      <c r="BE4" s="173" t="s">
        <v>405</v>
      </c>
      <c r="BF4" s="173" t="s">
        <v>406</v>
      </c>
      <c r="BG4" s="173" t="s">
        <v>407</v>
      </c>
      <c r="BH4" s="173" t="s">
        <v>408</v>
      </c>
      <c r="BI4" s="173" t="s">
        <v>409</v>
      </c>
      <c r="BJ4" s="173" t="s">
        <v>410</v>
      </c>
      <c r="BK4" s="173" t="s">
        <v>411</v>
      </c>
      <c r="BL4" s="173" t="s">
        <v>412</v>
      </c>
      <c r="BM4" s="173" t="s">
        <v>413</v>
      </c>
      <c r="BN4" s="173" t="s">
        <v>414</v>
      </c>
      <c r="BO4" s="173" t="s">
        <v>415</v>
      </c>
      <c r="BP4" s="173" t="s">
        <v>416</v>
      </c>
      <c r="BQ4" s="173" t="s">
        <v>417</v>
      </c>
      <c r="BR4" s="173" t="s">
        <v>418</v>
      </c>
      <c r="BS4" s="173" t="s">
        <v>419</v>
      </c>
      <c r="BT4" s="173" t="s">
        <v>420</v>
      </c>
      <c r="BU4" s="173" t="s">
        <v>421</v>
      </c>
      <c r="BV4" s="173" t="s">
        <v>422</v>
      </c>
      <c r="BW4" s="173" t="s">
        <v>423</v>
      </c>
      <c r="BX4" s="173" t="s">
        <v>424</v>
      </c>
      <c r="BY4" s="173" t="s">
        <v>425</v>
      </c>
    </row>
    <row r="5" spans="1:77" s="20" customFormat="1" ht="57">
      <c r="A5" s="195" t="s">
        <v>426</v>
      </c>
      <c r="B5" s="127" t="s">
        <v>427</v>
      </c>
      <c r="C5" s="127"/>
      <c r="D5" s="201" t="s">
        <v>428</v>
      </c>
      <c r="E5" s="129" t="s">
        <v>429</v>
      </c>
      <c r="F5" s="193" t="s">
        <v>430</v>
      </c>
      <c r="G5" s="130" t="s">
        <v>431</v>
      </c>
      <c r="H5" s="193" t="s">
        <v>432</v>
      </c>
      <c r="I5" s="127" t="s">
        <v>433</v>
      </c>
      <c r="J5" s="139"/>
      <c r="K5" s="131"/>
      <c r="L5" s="131" t="str" cm="1">
        <f t="array" ref="L5">IF($A5="","",_xlfn.LET(_xlpm.stat,CHOOSE({1,2,3,4,5},$P5,$T5,$X5,$AB5,$AF5),_xlpm.rate,CHOOSE({1,2,3,4,5},$R5,$V5,$Z5,$AD5,$AH5),_xlpm.trn,CHOOSE({1,2,3,4,5},$S5,$W5,$AA5,$AE5,$AI5),_xlpm.nsC,SUMPRODUCT(--(_xlpm.stat="Ready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DLR",IF(AND(_xlpm.actRS&gt;0,_xlpm.actDone&lt;_xlpm.actRS),"Training",IF(_xlpm.actRS&gt;0,"Active",IF(AND(_xlpm.decC&gt;0,_xlpm.inPlay+_xlpm.actC=0),"Dead",IF(AND($AJ5&lt;&gt;"",$AK5=FALSE),"Waiting on Dealer",IF(_xlpm.subC&gt;0,"Waiting on Lender",IF(AND(_xlpm.appC+_xlpm.actC&gt;0,_xlpm.nsC+_xlpm.wdC=0),"Rate Sheet","Application Submitted")))))))))</f>
        <v>LIVE DLR</v>
      </c>
      <c r="M5" s="132">
        <v>46107</v>
      </c>
      <c r="N5" s="132">
        <v>46280</v>
      </c>
      <c r="O5" s="195" t="s">
        <v>434</v>
      </c>
      <c r="P5" s="131" t="s">
        <v>435</v>
      </c>
      <c r="Q5" s="132">
        <v>46274</v>
      </c>
      <c r="R5" s="131" t="s">
        <v>436</v>
      </c>
      <c r="S5" s="131" t="s">
        <v>436</v>
      </c>
      <c r="T5" s="131" t="s">
        <v>435</v>
      </c>
      <c r="U5" s="132">
        <v>46274</v>
      </c>
      <c r="V5" s="131" t="s">
        <v>436</v>
      </c>
      <c r="W5" s="131" t="s">
        <v>436</v>
      </c>
      <c r="X5" s="131" t="s">
        <v>435</v>
      </c>
      <c r="Y5" s="132">
        <v>46274</v>
      </c>
      <c r="Z5" s="131" t="s">
        <v>436</v>
      </c>
      <c r="AA5" s="131" t="s">
        <v>436</v>
      </c>
      <c r="AB5" s="131" t="s">
        <v>437</v>
      </c>
      <c r="AC5" s="132"/>
      <c r="AD5" s="131" t="s">
        <v>272</v>
      </c>
      <c r="AE5" s="131" t="s">
        <v>272</v>
      </c>
      <c r="AF5" s="131" t="s">
        <v>437</v>
      </c>
      <c r="AG5" s="132"/>
      <c r="AH5" s="131" t="s">
        <v>272</v>
      </c>
      <c r="AI5" s="131" t="s">
        <v>272</v>
      </c>
      <c r="AJ5" s="195" t="s">
        <v>435</v>
      </c>
      <c r="AK5" s="133" t="b">
        <v>1</v>
      </c>
      <c r="AL5" s="131" cm="1">
        <f t="array" ref="AL5">IF($A5="","",SUMPRODUCT((CHOOSE({1,2,3,4,5},$R5,$V5,$Z5,$AD5,$AH5)="Yes")*(((CHOOSE({1,2,3,4,5},$S5,$W5,$AA5,$AE5,$AI5)="Yes")+(CHOOSE({1,2,3,4,5},$S5,$W5,$AA5,$AE5,$AI5)=TRUE))&gt;0)))</f>
        <v>3</v>
      </c>
      <c r="AM5" s="132"/>
      <c r="AN5" s="131" t="str">
        <f ca="1">IF(OR($A5="",$AM5=""),"",TODAY()-$AM5)</f>
        <v/>
      </c>
      <c r="AO5" s="134"/>
      <c r="AP5" s="135" t="s">
        <v>438</v>
      </c>
      <c r="AQ5" s="136"/>
      <c r="AR5" s="187" t="s">
        <v>439</v>
      </c>
      <c r="AS5" s="136" t="s">
        <v>440</v>
      </c>
      <c r="AT5" s="135" t="s">
        <v>441</v>
      </c>
      <c r="AU5" s="136"/>
      <c r="AV5" s="136"/>
      <c r="AW5" s="136"/>
      <c r="AX5" s="136"/>
      <c r="AY5" s="136"/>
      <c r="AZ5" s="137"/>
      <c r="BA5" s="20">
        <v>1</v>
      </c>
      <c r="BD5" s="174"/>
      <c r="BE5" s="174"/>
      <c r="BF5" s="174"/>
      <c r="BG5" s="174"/>
      <c r="BH5" s="174"/>
      <c r="BI5" s="174"/>
      <c r="BJ5" s="174"/>
      <c r="BK5" s="174"/>
      <c r="BL5" s="174"/>
      <c r="BM5" s="174"/>
      <c r="BN5" s="174"/>
      <c r="BO5" s="174"/>
      <c r="BP5" s="174"/>
      <c r="BQ5" s="174"/>
      <c r="BR5" s="174"/>
      <c r="BS5" s="174"/>
      <c r="BT5" s="174"/>
      <c r="BU5" s="174"/>
      <c r="BV5" s="174"/>
      <c r="BW5" s="174"/>
      <c r="BX5" s="174"/>
      <c r="BY5" s="174"/>
    </row>
    <row r="6" spans="1:77" s="20" customFormat="1" ht="76.5">
      <c r="A6" s="195" t="s">
        <v>442</v>
      </c>
      <c r="B6" s="127" t="s">
        <v>443</v>
      </c>
      <c r="C6" s="127"/>
      <c r="D6" s="201" t="s">
        <v>444</v>
      </c>
      <c r="E6" s="129" t="s">
        <v>445</v>
      </c>
      <c r="F6" s="193" t="s">
        <v>446</v>
      </c>
      <c r="G6" s="130" t="s">
        <v>431</v>
      </c>
      <c r="H6" s="193" t="s">
        <v>432</v>
      </c>
      <c r="I6" s="127" t="s">
        <v>447</v>
      </c>
      <c r="J6" s="139"/>
      <c r="K6" s="131"/>
      <c r="L6" s="131" t="str" cm="1">
        <f t="array" ref="L6">IF($A6="","",_xlfn.LET(_xlpm.stat,CHOOSE({1,2,3,4,5},$P6,$T6,$X6,$AB6,$AF6),_xlpm.rate,CHOOSE({1,2,3,4,5},$R6,$V6,$Z6,$AD6,$AH6),_xlpm.trn,CHOOSE({1,2,3,4,5},$S6,$W6,$AA6,$AE6,$AI6),_xlpm.nsC,SUMPRODUCT(--(_xlpm.stat="Ready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DLR",IF(AND(_xlpm.actRS&gt;0,_xlpm.actDone&lt;_xlpm.actRS),"Training",IF(_xlpm.actRS&gt;0,"Active",IF(AND(_xlpm.decC&gt;0,_xlpm.inPlay+_xlpm.actC=0),"Dead",IF(AND($AJ6&lt;&gt;"",$AK6=FALSE),"Waiting on Dealer",IF(_xlpm.subC&gt;0,"Waiting on Lender",IF(AND(_xlpm.appC+_xlpm.actC&gt;0,_xlpm.nsC+_xlpm.wdC=0),"Rate Sheet","Application Submitted")))))))))</f>
        <v>LIVE DLR</v>
      </c>
      <c r="M6" s="132">
        <v>46195</v>
      </c>
      <c r="N6" s="132">
        <v>46280</v>
      </c>
      <c r="O6" s="195"/>
      <c r="P6" s="131" t="s">
        <v>448</v>
      </c>
      <c r="Q6" s="132"/>
      <c r="R6" s="131"/>
      <c r="S6" s="131" t="s">
        <v>272</v>
      </c>
      <c r="T6" s="131" t="s">
        <v>448</v>
      </c>
      <c r="U6" s="132"/>
      <c r="V6" s="131" t="s">
        <v>272</v>
      </c>
      <c r="W6" s="131" t="s">
        <v>272</v>
      </c>
      <c r="X6" s="131" t="s">
        <v>435</v>
      </c>
      <c r="Y6" s="132">
        <v>46274</v>
      </c>
      <c r="Z6" s="131" t="s">
        <v>436</v>
      </c>
      <c r="AA6" s="131" t="s">
        <v>436</v>
      </c>
      <c r="AB6" s="131" t="s">
        <v>437</v>
      </c>
      <c r="AC6" s="132"/>
      <c r="AD6" s="131" t="s">
        <v>272</v>
      </c>
      <c r="AE6" s="131" t="s">
        <v>272</v>
      </c>
      <c r="AF6" s="131" t="s">
        <v>435</v>
      </c>
      <c r="AG6" s="132">
        <v>46274</v>
      </c>
      <c r="AH6" s="131" t="s">
        <v>436</v>
      </c>
      <c r="AI6" s="131" t="s">
        <v>436</v>
      </c>
      <c r="AJ6" s="195" t="s">
        <v>449</v>
      </c>
      <c r="AK6" s="133" t="b">
        <v>1</v>
      </c>
      <c r="AL6" s="131" cm="1">
        <f t="array" ref="AL6">IF($A6="","",SUMPRODUCT((CHOOSE({1,2,3,4,5},$R6,$V6,$Z6,$AD6,$AH6)="Yes")*(((CHOOSE({1,2,3,4,5},$S6,$W6,$AA6,$AE6,$AI6)="Yes")+(CHOOSE({1,2,3,4,5},$S6,$W6,$AA6,$AE6,$AI6)=TRUE))&gt;0)))</f>
        <v>2</v>
      </c>
      <c r="AM6" s="132"/>
      <c r="AN6" s="131" t="str">
        <f ca="1">IF(OR($A6="",$AM6=""),"",TODAY()-$AM6)</f>
        <v/>
      </c>
      <c r="AO6" s="128"/>
      <c r="AP6" s="138"/>
      <c r="AQ6" s="138"/>
      <c r="AR6" s="138"/>
      <c r="AS6" s="138"/>
      <c r="AT6" s="139" t="s">
        <v>450</v>
      </c>
      <c r="AU6" s="138"/>
      <c r="AV6" s="138"/>
      <c r="AW6" s="138"/>
      <c r="AX6" s="139" t="s">
        <v>451</v>
      </c>
      <c r="AY6" s="138"/>
      <c r="AZ6" s="137"/>
      <c r="BA6" s="20">
        <v>2</v>
      </c>
      <c r="BD6" s="174"/>
      <c r="BE6" s="174"/>
      <c r="BF6" s="174"/>
      <c r="BG6" s="174"/>
      <c r="BH6" s="174"/>
      <c r="BI6" s="174"/>
      <c r="BJ6" s="174"/>
      <c r="BK6" s="174"/>
      <c r="BL6" s="174"/>
      <c r="BM6" s="174"/>
      <c r="BN6" s="174"/>
      <c r="BO6" s="174"/>
      <c r="BP6" s="174"/>
      <c r="BQ6" s="174"/>
      <c r="BR6" s="174"/>
      <c r="BS6" s="174"/>
      <c r="BT6" s="174"/>
      <c r="BU6" s="174"/>
      <c r="BV6" s="174"/>
      <c r="BW6" s="174"/>
      <c r="BX6" s="174"/>
      <c r="BY6" s="174"/>
    </row>
    <row r="7" spans="1:77" s="20" customFormat="1" ht="38.25">
      <c r="A7" s="196" t="s">
        <v>452</v>
      </c>
      <c r="B7" s="99" t="s">
        <v>452</v>
      </c>
      <c r="C7" s="99"/>
      <c r="D7" s="197" t="s">
        <v>453</v>
      </c>
      <c r="E7" s="88" t="s">
        <v>454</v>
      </c>
      <c r="F7" s="194" t="s">
        <v>455</v>
      </c>
      <c r="G7" s="100" t="s">
        <v>453</v>
      </c>
      <c r="H7" s="194" t="s">
        <v>455</v>
      </c>
      <c r="I7" s="99" t="s">
        <v>456</v>
      </c>
      <c r="J7" s="107"/>
      <c r="K7" s="85">
        <v>3</v>
      </c>
      <c r="L7" s="85" t="str" cm="1">
        <f t="array" ref="L7">IF($A7="","",_xlfn.LET(_xlpm.stat,CHOOSE({1,2,3,4,5},$P7,$T7,$X7,$AB7,$AF7),_xlpm.rate,CHOOSE({1,2,3,4,5},$R7,$V7,$Z7,$AD7,$AH7),_xlpm.trn,CHOOSE({1,2,3,4,5},$S7,$W7,$AA7,$AE7,$AI7),_xlpm.nsC,SUMPRODUCT(--(_xlpm.stat="Ready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DLR",IF(AND(_xlpm.actRS&gt;0,_xlpm.actDone&lt;_xlpm.actRS),"Training",IF(_xlpm.actRS&gt;0,"Active",IF(AND(_xlpm.decC&gt;0,_xlpm.inPlay+_xlpm.actC=0),"Dead",IF(AND($AJ7&lt;&gt;"",$AK7=FALSE),"Waiting on Dealer",IF(_xlpm.subC&gt;0,"Waiting on Lender",IF(AND(_xlpm.appC+_xlpm.actC&gt;0,_xlpm.nsC+_xlpm.wdC=0),"Rate Sheet","Application Submitted")))))))))</f>
        <v>Active</v>
      </c>
      <c r="M7" s="101">
        <v>46202</v>
      </c>
      <c r="N7" s="101">
        <v>46280</v>
      </c>
      <c r="O7" s="196"/>
      <c r="P7" s="85" t="s">
        <v>448</v>
      </c>
      <c r="Q7" s="101"/>
      <c r="R7" s="85" t="s">
        <v>272</v>
      </c>
      <c r="S7" s="85" t="s">
        <v>272</v>
      </c>
      <c r="T7" s="85" t="s">
        <v>448</v>
      </c>
      <c r="U7" s="101"/>
      <c r="V7" s="85" t="s">
        <v>272</v>
      </c>
      <c r="W7" s="85" t="s">
        <v>272</v>
      </c>
      <c r="X7" s="85" t="s">
        <v>435</v>
      </c>
      <c r="Y7" s="101">
        <v>46274</v>
      </c>
      <c r="Z7" s="85" t="s">
        <v>436</v>
      </c>
      <c r="AA7" s="85" t="s">
        <v>436</v>
      </c>
      <c r="AB7" s="85" t="s">
        <v>437</v>
      </c>
      <c r="AC7" s="101"/>
      <c r="AD7" s="85" t="s">
        <v>272</v>
      </c>
      <c r="AE7" s="85" t="s">
        <v>272</v>
      </c>
      <c r="AF7" s="85" t="s">
        <v>457</v>
      </c>
      <c r="AG7" s="101">
        <v>46275</v>
      </c>
      <c r="AH7" s="85" t="s">
        <v>272</v>
      </c>
      <c r="AI7" s="85" t="s">
        <v>272</v>
      </c>
      <c r="AJ7" s="196" t="s">
        <v>458</v>
      </c>
      <c r="AK7" s="102" t="b">
        <v>0</v>
      </c>
      <c r="AL7" s="85" cm="1">
        <f t="array" ref="AL7">IF($A7="","",SUMPRODUCT((CHOOSE({1,2,3,4,5},$R7,$V7,$Z7,$AD7,$AH7)="Yes")*(((CHOOSE({1,2,3,4,5},$S7,$W7,$AA7,$AE7,$AI7)="Yes")+(CHOOSE({1,2,3,4,5},$S7,$W7,$AA7,$AE7,$AI7)=TRUE))&gt;0)))</f>
        <v>1</v>
      </c>
      <c r="AM7" s="101">
        <v>46280</v>
      </c>
      <c r="AN7" s="85">
        <f ca="1">IF(OR($A7="",$AM7=""),"",TODAY()-$AM7)</f>
        <v>8</v>
      </c>
      <c r="AO7" s="87"/>
      <c r="AP7" s="106"/>
      <c r="AQ7" s="106"/>
      <c r="AR7" s="106"/>
      <c r="AS7" s="106"/>
      <c r="AT7" s="107" t="s">
        <v>459</v>
      </c>
      <c r="AU7" s="106"/>
      <c r="AV7" s="106"/>
      <c r="AW7" s="106"/>
      <c r="AX7" s="106"/>
      <c r="AY7" s="106"/>
      <c r="BA7" s="20">
        <v>3</v>
      </c>
      <c r="BD7" s="174"/>
      <c r="BE7" s="174"/>
      <c r="BF7" s="174"/>
      <c r="BG7" s="174"/>
      <c r="BH7" s="174"/>
      <c r="BI7" s="174"/>
      <c r="BJ7" s="174"/>
      <c r="BK7" s="174"/>
      <c r="BL7" s="174"/>
      <c r="BM7" s="174"/>
      <c r="BN7" s="174"/>
      <c r="BO7" s="174"/>
      <c r="BP7" s="174"/>
      <c r="BQ7" s="174"/>
      <c r="BR7" s="174"/>
      <c r="BS7" s="174"/>
      <c r="BT7" s="174"/>
      <c r="BU7" s="174"/>
      <c r="BV7" s="174"/>
      <c r="BW7" s="174"/>
      <c r="BX7" s="174"/>
      <c r="BY7" s="174"/>
    </row>
    <row r="8" spans="1:77" s="20" customFormat="1" ht="57">
      <c r="A8" s="196" t="s">
        <v>460</v>
      </c>
      <c r="B8" s="99" t="s">
        <v>461</v>
      </c>
      <c r="C8" s="99"/>
      <c r="D8" s="197" t="s">
        <v>462</v>
      </c>
      <c r="E8" s="88" t="s">
        <v>463</v>
      </c>
      <c r="F8" s="194" t="s">
        <v>464</v>
      </c>
      <c r="G8" s="100" t="s">
        <v>465</v>
      </c>
      <c r="H8" s="194" t="s">
        <v>466</v>
      </c>
      <c r="I8" s="99" t="s">
        <v>467</v>
      </c>
      <c r="J8" s="107"/>
      <c r="K8" s="85"/>
      <c r="L8" s="85" t="str" cm="1">
        <f t="array" ref="L8">IF($A8="","",_xlfn.LET(_xlpm.stat,CHOOSE({1,2,3,4,5},$P8,$T8,$X8,$AB8,$AF8),_xlpm.rate,CHOOSE({1,2,3,4,5},$R8,$V8,$Z8,$AD8,$AH8),_xlpm.trn,CHOOSE({1,2,3,4,5},$S8,$W8,$AA8,$AE8,$AI8),_xlpm.nsC,SUMPRODUCT(--(_xlpm.stat="Ready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DLR",IF(AND(_xlpm.actRS&gt;0,_xlpm.actDone&lt;_xlpm.actRS),"Training",IF(_xlpm.actRS&gt;0,"Active",IF(AND(_xlpm.decC&gt;0,_xlpm.inPlay+_xlpm.actC=0),"Dead",IF(AND($AJ8&lt;&gt;"",$AK8=FALSE),"Waiting on Dealer",IF(_xlpm.subC&gt;0,"Waiting on Lender",IF(AND(_xlpm.appC+_xlpm.actC&gt;0,_xlpm.nsC+_xlpm.wdC=0),"Rate Sheet","Application Submitted")))))))))</f>
        <v>LIVE DLR</v>
      </c>
      <c r="M8" s="101">
        <v>46202</v>
      </c>
      <c r="N8" s="101">
        <v>46280</v>
      </c>
      <c r="O8" s="196" t="s">
        <v>468</v>
      </c>
      <c r="P8" s="85" t="s">
        <v>435</v>
      </c>
      <c r="Q8" s="101">
        <v>46274</v>
      </c>
      <c r="R8" s="85" t="s">
        <v>436</v>
      </c>
      <c r="S8" s="85" t="s">
        <v>436</v>
      </c>
      <c r="T8" s="85" t="s">
        <v>435</v>
      </c>
      <c r="U8" s="101">
        <v>46274</v>
      </c>
      <c r="V8" s="85" t="s">
        <v>436</v>
      </c>
      <c r="W8" s="85" t="s">
        <v>436</v>
      </c>
      <c r="X8" s="85" t="s">
        <v>435</v>
      </c>
      <c r="Y8" s="101">
        <v>46274</v>
      </c>
      <c r="Z8" s="85" t="s">
        <v>436</v>
      </c>
      <c r="AA8" s="85" t="s">
        <v>436</v>
      </c>
      <c r="AB8" s="85" t="s">
        <v>435</v>
      </c>
      <c r="AC8" s="101">
        <v>46274</v>
      </c>
      <c r="AD8" s="85" t="s">
        <v>436</v>
      </c>
      <c r="AE8" s="85" t="s">
        <v>436</v>
      </c>
      <c r="AF8" s="85" t="s">
        <v>437</v>
      </c>
      <c r="AG8" s="101"/>
      <c r="AH8" s="85" t="s">
        <v>272</v>
      </c>
      <c r="AI8" s="85" t="s">
        <v>272</v>
      </c>
      <c r="AJ8" s="196" t="s">
        <v>469</v>
      </c>
      <c r="AK8" s="102" t="b">
        <v>1</v>
      </c>
      <c r="AL8" s="85" cm="1">
        <f t="array" ref="AL8">IF($A8="","",SUMPRODUCT((CHOOSE({1,2,3,4,5},$R8,$V8,$Z8,$AD8,$AH8)="Yes")*(((CHOOSE({1,2,3,4,5},$S8,$W8,$AA8,$AE8,$AI8)="Yes")+(CHOOSE({1,2,3,4,5},$S8,$W8,$AA8,$AE8,$AI8)=TRUE))&gt;0)))</f>
        <v>4</v>
      </c>
      <c r="AM8" s="101"/>
      <c r="AN8" s="85" t="str">
        <f ca="1">IF(OR($A8="",$AM8=""),"",TODAY()-$AM8)</f>
        <v/>
      </c>
      <c r="AO8" s="87"/>
      <c r="AP8" s="107" t="s">
        <v>470</v>
      </c>
      <c r="AQ8" s="106"/>
      <c r="AR8" s="152" t="s">
        <v>471</v>
      </c>
      <c r="AS8" s="106" t="s">
        <v>269</v>
      </c>
      <c r="AT8" s="107" t="s">
        <v>472</v>
      </c>
      <c r="AU8" s="106" t="s">
        <v>473</v>
      </c>
      <c r="AV8" s="107" t="s">
        <v>474</v>
      </c>
      <c r="AW8" s="106"/>
      <c r="AX8" s="106"/>
      <c r="AY8" s="106"/>
      <c r="BA8" s="20">
        <v>4</v>
      </c>
      <c r="BD8" s="174"/>
      <c r="BE8" s="174"/>
      <c r="BF8" s="174"/>
      <c r="BG8" s="174"/>
      <c r="BH8" s="174"/>
      <c r="BI8" s="174"/>
      <c r="BJ8" s="174"/>
      <c r="BK8" s="174"/>
      <c r="BL8" s="174"/>
      <c r="BM8" s="174"/>
      <c r="BN8" s="174"/>
      <c r="BO8" s="174"/>
      <c r="BP8" s="174"/>
      <c r="BQ8" s="174"/>
      <c r="BR8" s="174"/>
      <c r="BS8" s="174"/>
      <c r="BT8" s="174"/>
      <c r="BU8" s="174"/>
      <c r="BV8" s="174"/>
      <c r="BW8" s="174"/>
      <c r="BX8" s="174"/>
      <c r="BY8" s="174"/>
    </row>
    <row r="9" spans="1:77" s="20" customFormat="1" ht="57">
      <c r="A9" s="195" t="s">
        <v>475</v>
      </c>
      <c r="B9" s="127" t="s">
        <v>476</v>
      </c>
      <c r="C9" s="127"/>
      <c r="D9" s="201" t="s">
        <v>477</v>
      </c>
      <c r="E9" s="129" t="s">
        <v>478</v>
      </c>
      <c r="F9" s="193" t="s">
        <v>479</v>
      </c>
      <c r="G9" s="130" t="s">
        <v>465</v>
      </c>
      <c r="H9" s="193" t="s">
        <v>466</v>
      </c>
      <c r="I9" s="127"/>
      <c r="J9" s="139"/>
      <c r="K9" s="131"/>
      <c r="L9" s="131" t="str" cm="1">
        <f t="array" ref="L9">IF($A9="","",_xlfn.LET(_xlpm.stat,CHOOSE({1,2,3,4,5},$P9,$T9,$X9,$AB9,$AF9),_xlpm.rate,CHOOSE({1,2,3,4,5},$R9,$V9,$Z9,$AD9,$AH9),_xlpm.trn,CHOOSE({1,2,3,4,5},$S9,$W9,$AA9,$AE9,$AI9),_xlpm.nsC,SUMPRODUCT(--(_xlpm.stat="Ready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DLR",IF(AND(_xlpm.actRS&gt;0,_xlpm.actDone&lt;_xlpm.actRS),"Training",IF(_xlpm.actRS&gt;0,"Active",IF(AND(_xlpm.decC&gt;0,_xlpm.inPlay+_xlpm.actC=0),"Dead",IF(AND($AJ9&lt;&gt;"",$AK9=FALSE),"Waiting on Dealer",IF(_xlpm.subC&gt;0,"Waiting on Lender",IF(AND(_xlpm.appC+_xlpm.actC&gt;0,_xlpm.nsC+_xlpm.wdC=0),"Rate Sheet","Application Submitted")))))))))</f>
        <v>LIVE DLR</v>
      </c>
      <c r="M9" s="132">
        <v>46209</v>
      </c>
      <c r="N9" s="132">
        <v>46209</v>
      </c>
      <c r="O9" s="195" t="s">
        <v>468</v>
      </c>
      <c r="P9" s="131" t="s">
        <v>435</v>
      </c>
      <c r="Q9" s="132">
        <v>46274</v>
      </c>
      <c r="R9" s="131" t="s">
        <v>436</v>
      </c>
      <c r="S9" s="131" t="s">
        <v>436</v>
      </c>
      <c r="T9" s="131" t="s">
        <v>435</v>
      </c>
      <c r="U9" s="132">
        <v>46274</v>
      </c>
      <c r="V9" s="131" t="s">
        <v>436</v>
      </c>
      <c r="W9" s="131" t="s">
        <v>436</v>
      </c>
      <c r="X9" s="131" t="s">
        <v>435</v>
      </c>
      <c r="Y9" s="132">
        <v>46274</v>
      </c>
      <c r="Z9" s="131" t="s">
        <v>436</v>
      </c>
      <c r="AA9" s="131" t="s">
        <v>436</v>
      </c>
      <c r="AB9" s="131" t="s">
        <v>437</v>
      </c>
      <c r="AC9" s="132"/>
      <c r="AD9" s="131" t="s">
        <v>272</v>
      </c>
      <c r="AE9" s="131" t="s">
        <v>272</v>
      </c>
      <c r="AF9" s="131" t="s">
        <v>437</v>
      </c>
      <c r="AG9" s="132"/>
      <c r="AH9" s="131" t="s">
        <v>272</v>
      </c>
      <c r="AI9" s="131" t="s">
        <v>272</v>
      </c>
      <c r="AJ9" s="195" t="s">
        <v>435</v>
      </c>
      <c r="AK9" s="133" t="b">
        <v>0</v>
      </c>
      <c r="AL9" s="131" cm="1">
        <f t="array" ref="AL9">IF($A9="","",SUMPRODUCT((CHOOSE({1,2,3,4,5},$R9,$V9,$Z9,$AD9,$AH9)="Yes")*(((CHOOSE({1,2,3,4,5},$S9,$W9,$AA9,$AE9,$AI9)="Yes")+(CHOOSE({1,2,3,4,5},$S9,$W9,$AA9,$AE9,$AI9)=TRUE))&gt;0)))</f>
        <v>3</v>
      </c>
      <c r="AM9" s="132"/>
      <c r="AN9" s="131" t="str">
        <f ca="1">IF(OR($A9="",$AM9=""),"",TODAY()-$AM9)</f>
        <v/>
      </c>
      <c r="AO9" s="128"/>
      <c r="AP9" s="139" t="s">
        <v>480</v>
      </c>
      <c r="AQ9" s="138"/>
      <c r="AR9" s="188" t="s">
        <v>481</v>
      </c>
      <c r="AS9" s="138"/>
      <c r="AT9" s="139" t="s">
        <v>482</v>
      </c>
      <c r="AU9" s="138"/>
      <c r="AV9" s="138"/>
      <c r="AW9" s="138"/>
      <c r="AX9" s="138"/>
      <c r="AY9" s="138"/>
      <c r="AZ9" s="137"/>
      <c r="BA9" s="20">
        <v>5</v>
      </c>
      <c r="BD9" s="174"/>
      <c r="BE9" s="174"/>
      <c r="BF9" s="174"/>
      <c r="BG9" s="174"/>
      <c r="BH9" s="174"/>
      <c r="BI9" s="174"/>
      <c r="BJ9" s="174"/>
      <c r="BK9" s="174"/>
      <c r="BL9" s="174"/>
      <c r="BM9" s="174"/>
      <c r="BN9" s="174"/>
      <c r="BO9" s="174"/>
      <c r="BP9" s="174"/>
      <c r="BQ9" s="174"/>
      <c r="BR9" s="174"/>
      <c r="BS9" s="174"/>
      <c r="BT9" s="174"/>
      <c r="BU9" s="174"/>
      <c r="BV9" s="174"/>
      <c r="BW9" s="174"/>
      <c r="BX9" s="174"/>
      <c r="BY9" s="174"/>
    </row>
    <row r="10" spans="1:77" s="20" customFormat="1" ht="57">
      <c r="A10" s="196" t="s">
        <v>483</v>
      </c>
      <c r="B10" s="99" t="s">
        <v>484</v>
      </c>
      <c r="C10" s="99" t="s">
        <v>485</v>
      </c>
      <c r="D10" s="197" t="s">
        <v>486</v>
      </c>
      <c r="E10" s="108" t="s">
        <v>487</v>
      </c>
      <c r="F10" s="203" t="s">
        <v>488</v>
      </c>
      <c r="G10" s="100" t="s">
        <v>465</v>
      </c>
      <c r="H10" s="194" t="s">
        <v>466</v>
      </c>
      <c r="I10" s="99" t="s">
        <v>489</v>
      </c>
      <c r="J10" s="107"/>
      <c r="K10" s="85">
        <v>1</v>
      </c>
      <c r="L10" s="85" t="str" cm="1">
        <f t="array" ref="L10">IF($A10="","",_xlfn.LET(_xlpm.stat,CHOOSE({1,2,3,4,5},$P10,$T10,$X10,$AB10,$AF10),_xlpm.rate,CHOOSE({1,2,3,4,5},$R10,$V10,$Z10,$AD10,$AH10),_xlpm.trn,CHOOSE({1,2,3,4,5},$S10,$W10,$AA10,$AE10,$AI10),_xlpm.nsC,SUMPRODUCT(--(_xlpm.stat="Ready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DLR",IF(AND(_xlpm.actRS&gt;0,_xlpm.actDone&lt;_xlpm.actRS),"Training",IF(_xlpm.actRS&gt;0,"Active",IF(AND(_xlpm.decC&gt;0,_xlpm.inPlay+_xlpm.actC=0),"Dead",IF(AND($AJ10&lt;&gt;"",$AK10=FALSE),"Waiting on Dealer",IF(_xlpm.subC&gt;0,"Waiting on Lender",IF(AND(_xlpm.appC+_xlpm.actC&gt;0,_xlpm.nsC+_xlpm.wdC=0),"Rate Sheet","Application Submitted")))))))))</f>
        <v>Waiting on Lender</v>
      </c>
      <c r="M10" s="101">
        <v>46219</v>
      </c>
      <c r="N10" s="101">
        <v>46219</v>
      </c>
      <c r="O10" s="196"/>
      <c r="P10" s="85" t="s">
        <v>457</v>
      </c>
      <c r="Q10" s="101">
        <v>46279</v>
      </c>
      <c r="R10" s="85" t="s">
        <v>272</v>
      </c>
      <c r="S10" s="85" t="s">
        <v>272</v>
      </c>
      <c r="T10" s="85" t="s">
        <v>448</v>
      </c>
      <c r="U10" s="101"/>
      <c r="V10" s="85" t="s">
        <v>272</v>
      </c>
      <c r="W10" s="85" t="s">
        <v>272</v>
      </c>
      <c r="X10" s="85" t="s">
        <v>435</v>
      </c>
      <c r="Y10" s="101">
        <v>46274</v>
      </c>
      <c r="Z10" s="85" t="s">
        <v>272</v>
      </c>
      <c r="AA10" s="85" t="s">
        <v>272</v>
      </c>
      <c r="AB10" s="85" t="s">
        <v>437</v>
      </c>
      <c r="AC10" s="101"/>
      <c r="AD10" s="85" t="s">
        <v>272</v>
      </c>
      <c r="AE10" s="85" t="s">
        <v>272</v>
      </c>
      <c r="AF10" s="85" t="s">
        <v>437</v>
      </c>
      <c r="AG10" s="101"/>
      <c r="AH10" s="85" t="s">
        <v>272</v>
      </c>
      <c r="AI10" s="85" t="s">
        <v>272</v>
      </c>
      <c r="AJ10" s="196" t="s">
        <v>490</v>
      </c>
      <c r="AK10" s="102" t="b">
        <v>1</v>
      </c>
      <c r="AL10" s="85" cm="1">
        <f t="array" ref="AL10">IF($A10="","",SUMPRODUCT((CHOOSE({1,2,3,4,5},$R10,$V10,$Z10,$AD10,$AH10)="Yes")*(((CHOOSE({1,2,3,4,5},$S10,$W10,$AA10,$AE10,$AI10)="Yes")+(CHOOSE({1,2,3,4,5},$S10,$W10,$AA10,$AE10,$AI10)=TRUE))&gt;0)))</f>
        <v>0</v>
      </c>
      <c r="AM10" s="101">
        <v>46279</v>
      </c>
      <c r="AN10" s="85">
        <f ca="1">IF(OR($A10="",$AM10=""),"",TODAY()-$AM10)</f>
        <v>9</v>
      </c>
      <c r="AO10" s="87"/>
      <c r="AP10" s="106"/>
      <c r="AQ10" s="106"/>
      <c r="AR10" s="106"/>
      <c r="AS10" s="106"/>
      <c r="AT10" s="107" t="s">
        <v>491</v>
      </c>
      <c r="AU10" s="106"/>
      <c r="AV10" s="106"/>
      <c r="AW10" s="106"/>
      <c r="AX10" s="106"/>
      <c r="AY10" s="106"/>
      <c r="BA10" s="20">
        <v>6</v>
      </c>
      <c r="BD10" s="174"/>
      <c r="BE10" s="174"/>
      <c r="BF10" s="174"/>
      <c r="BG10" s="174"/>
      <c r="BH10" s="174"/>
      <c r="BI10" s="174"/>
      <c r="BJ10" s="174"/>
      <c r="BK10" s="174"/>
      <c r="BL10" s="174"/>
      <c r="BM10" s="174"/>
      <c r="BN10" s="174"/>
      <c r="BO10" s="174"/>
      <c r="BP10" s="174"/>
      <c r="BQ10" s="174"/>
      <c r="BR10" s="174"/>
      <c r="BS10" s="174"/>
      <c r="BT10" s="174"/>
      <c r="BU10" s="174"/>
      <c r="BV10" s="174"/>
      <c r="BW10" s="174"/>
      <c r="BX10" s="174"/>
      <c r="BY10" s="174"/>
    </row>
    <row r="11" spans="1:77" s="20" customFormat="1" ht="57">
      <c r="A11" s="196" t="s">
        <v>492</v>
      </c>
      <c r="B11" s="99" t="s">
        <v>493</v>
      </c>
      <c r="C11" s="99"/>
      <c r="D11" s="197" t="s">
        <v>494</v>
      </c>
      <c r="E11" s="88" t="s">
        <v>495</v>
      </c>
      <c r="F11" s="194" t="s">
        <v>496</v>
      </c>
      <c r="G11" s="100" t="s">
        <v>465</v>
      </c>
      <c r="H11" s="194" t="s">
        <v>466</v>
      </c>
      <c r="I11" s="99" t="s">
        <v>497</v>
      </c>
      <c r="J11" s="107"/>
      <c r="K11" s="85">
        <v>1</v>
      </c>
      <c r="L11" s="85" t="str" cm="1">
        <f t="array" ref="L11">IF($A11="","",_xlfn.LET(_xlpm.stat,CHOOSE({1,2,3,4,5},$P11,$T11,$X11,$AB11,$AF11),_xlpm.rate,CHOOSE({1,2,3,4,5},$R11,$V11,$Z11,$AD11,$AH11),_xlpm.trn,CHOOSE({1,2,3,4,5},$S11,$W11,$AA11,$AE11,$AI11),_xlpm.nsC,SUMPRODUCT(--(_xlpm.stat="Ready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DLR",IF(AND(_xlpm.actRS&gt;0,_xlpm.actDone&lt;_xlpm.actRS),"Training",IF(_xlpm.actRS&gt;0,"Active",IF(AND(_xlpm.decC&gt;0,_xlpm.inPlay+_xlpm.actC=0),"Dead",IF(AND($AJ11&lt;&gt;"",$AK11=FALSE),"Waiting on Dealer",IF(_xlpm.subC&gt;0,"Waiting on Lender",IF(AND(_xlpm.appC+_xlpm.actC&gt;0,_xlpm.nsC+_xlpm.wdC=0),"Rate Sheet","Application Submitted")))))))))</f>
        <v>Active</v>
      </c>
      <c r="M11" s="101">
        <v>46224</v>
      </c>
      <c r="N11" s="101">
        <v>46280</v>
      </c>
      <c r="O11" s="196" t="s">
        <v>498</v>
      </c>
      <c r="P11" s="85" t="s">
        <v>499</v>
      </c>
      <c r="Q11" s="101">
        <v>46274</v>
      </c>
      <c r="R11" s="85" t="s">
        <v>272</v>
      </c>
      <c r="S11" s="85" t="s">
        <v>272</v>
      </c>
      <c r="T11" s="85" t="s">
        <v>435</v>
      </c>
      <c r="U11" s="101">
        <v>46274</v>
      </c>
      <c r="V11" s="85" t="s">
        <v>436</v>
      </c>
      <c r="W11" s="85" t="s">
        <v>436</v>
      </c>
      <c r="X11" s="85" t="s">
        <v>435</v>
      </c>
      <c r="Y11" s="101">
        <v>46274</v>
      </c>
      <c r="Z11" s="85" t="s">
        <v>272</v>
      </c>
      <c r="AA11" s="85" t="s">
        <v>272</v>
      </c>
      <c r="AB11" s="85" t="s">
        <v>435</v>
      </c>
      <c r="AC11" s="101">
        <v>46274</v>
      </c>
      <c r="AD11" s="85" t="s">
        <v>436</v>
      </c>
      <c r="AE11" s="85" t="s">
        <v>436</v>
      </c>
      <c r="AF11" s="85" t="s">
        <v>437</v>
      </c>
      <c r="AG11" s="101"/>
      <c r="AH11" s="85" t="s">
        <v>272</v>
      </c>
      <c r="AI11" s="85" t="s">
        <v>272</v>
      </c>
      <c r="AJ11" s="196" t="s">
        <v>500</v>
      </c>
      <c r="AK11" s="102" t="b">
        <v>0</v>
      </c>
      <c r="AL11" s="85" cm="1">
        <f t="array" ref="AL11">IF($A11="","",SUMPRODUCT((CHOOSE({1,2,3,4,5},$R11,$V11,$Z11,$AD11,$AH11)="Yes")*(((CHOOSE({1,2,3,4,5},$S11,$W11,$AA11,$AE11,$AI11)="Yes")+(CHOOSE({1,2,3,4,5},$S11,$W11,$AA11,$AE11,$AI11)=TRUE))&gt;0)))</f>
        <v>2</v>
      </c>
      <c r="AM11" s="101"/>
      <c r="AN11" s="85" t="str">
        <f ca="1">IF(OR($A11="",$AM11=""),"",TODAY()-$AM11)</f>
        <v/>
      </c>
      <c r="AO11" s="87"/>
      <c r="AP11" s="172">
        <v>227125334</v>
      </c>
      <c r="AQ11" s="106" t="s">
        <v>501</v>
      </c>
      <c r="AR11" s="152" t="s">
        <v>502</v>
      </c>
      <c r="AS11" s="106" t="s">
        <v>265</v>
      </c>
      <c r="AT11" s="106"/>
      <c r="AU11" s="106" t="s">
        <v>265</v>
      </c>
      <c r="AV11" s="107" t="s">
        <v>503</v>
      </c>
      <c r="AW11" s="106"/>
      <c r="AX11" s="106"/>
      <c r="AY11" s="106"/>
      <c r="BA11" s="20">
        <v>7</v>
      </c>
      <c r="BD11" s="174"/>
      <c r="BE11" s="174"/>
      <c r="BF11" s="174"/>
      <c r="BG11" s="174"/>
      <c r="BH11" s="174"/>
      <c r="BI11" s="174"/>
      <c r="BJ11" s="174"/>
      <c r="BK11" s="174"/>
      <c r="BL11" s="174"/>
      <c r="BM11" s="174"/>
      <c r="BN11" s="174"/>
      <c r="BO11" s="174"/>
      <c r="BP11" s="174"/>
      <c r="BQ11" s="174"/>
      <c r="BR11" s="174"/>
      <c r="BS11" s="174"/>
      <c r="BT11" s="174"/>
      <c r="BU11" s="174"/>
      <c r="BV11" s="174"/>
      <c r="BW11" s="174"/>
      <c r="BX11" s="174"/>
      <c r="BY11" s="174"/>
    </row>
    <row r="12" spans="1:77" s="20" customFormat="1" ht="38.25">
      <c r="A12" s="196" t="s">
        <v>504</v>
      </c>
      <c r="B12" s="99" t="s">
        <v>505</v>
      </c>
      <c r="C12" s="99"/>
      <c r="D12" s="197" t="s">
        <v>506</v>
      </c>
      <c r="E12" s="88" t="s">
        <v>507</v>
      </c>
      <c r="F12" s="194" t="s">
        <v>508</v>
      </c>
      <c r="G12" s="100" t="s">
        <v>509</v>
      </c>
      <c r="H12" s="194" t="s">
        <v>510</v>
      </c>
      <c r="I12" s="99" t="s">
        <v>511</v>
      </c>
      <c r="J12" s="107"/>
      <c r="K12" s="85">
        <v>2</v>
      </c>
      <c r="L12" s="85" t="str" cm="1">
        <f t="array" ref="L12">IF($A12="","",_xlfn.LET(_xlpm.stat,CHOOSE({1,2,3,4,5},$P12,$T12,$X12,$AB12,$AF12),_xlpm.rate,CHOOSE({1,2,3,4,5},$R12,$V12,$Z12,$AD12,$AH12),_xlpm.trn,CHOOSE({1,2,3,4,5},$S12,$W12,$AA12,$AE12,$AI12),_xlpm.nsC,SUMPRODUCT(--(_xlpm.stat="Ready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DLR",IF(AND(_xlpm.actRS&gt;0,_xlpm.actDone&lt;_xlpm.actRS),"Training",IF(_xlpm.actRS&gt;0,"Active",IF(AND(_xlpm.decC&gt;0,_xlpm.inPlay+_xlpm.actC=0),"Dead",IF(AND($AJ12&lt;&gt;"",$AK12=FALSE),"Waiting on Dealer",IF(_xlpm.subC&gt;0,"Waiting on Lender",IF(AND(_xlpm.appC+_xlpm.actC&gt;0,_xlpm.nsC+_xlpm.wdC=0),"Rate Sheet","Application Submitted")))))))))</f>
        <v>Waiting on Lender</v>
      </c>
      <c r="M12" s="101">
        <v>46225</v>
      </c>
      <c r="N12" s="101">
        <v>46280</v>
      </c>
      <c r="O12" s="196" t="s">
        <v>512</v>
      </c>
      <c r="P12" s="85" t="str">
        <f>IF($A12="","",IF($AK12=TRUE,"Ready 2 Submit","Waiting on Dealer"))</f>
        <v>Ready 2 Submit</v>
      </c>
      <c r="Q12" s="101"/>
      <c r="R12" s="85" t="s">
        <v>272</v>
      </c>
      <c r="S12" s="85" t="s">
        <v>272</v>
      </c>
      <c r="T12" s="85" t="str">
        <f>IF($A12="","",IF($AK12=TRUE,"Ready 2 Submit","Waiting on Dealer"))</f>
        <v>Ready 2 Submit</v>
      </c>
      <c r="U12" s="101"/>
      <c r="V12" s="85" t="s">
        <v>272</v>
      </c>
      <c r="W12" s="85" t="s">
        <v>272</v>
      </c>
      <c r="X12" s="85" t="s">
        <v>457</v>
      </c>
      <c r="Y12" s="101">
        <v>46274</v>
      </c>
      <c r="Z12" s="85" t="s">
        <v>272</v>
      </c>
      <c r="AA12" s="85" t="s">
        <v>272</v>
      </c>
      <c r="AB12" s="85" t="s">
        <v>437</v>
      </c>
      <c r="AC12" s="101"/>
      <c r="AD12" s="85" t="s">
        <v>272</v>
      </c>
      <c r="AE12" s="85" t="s">
        <v>272</v>
      </c>
      <c r="AF12" s="85" t="s">
        <v>437</v>
      </c>
      <c r="AG12" s="101"/>
      <c r="AH12" s="85" t="s">
        <v>272</v>
      </c>
      <c r="AI12" s="85" t="s">
        <v>272</v>
      </c>
      <c r="AJ12" s="196" t="s">
        <v>3678</v>
      </c>
      <c r="AK12" s="102" t="b">
        <v>1</v>
      </c>
      <c r="AL12" s="85" cm="1">
        <f t="array" ref="AL12">IF($A12="","",SUMPRODUCT((CHOOSE({1,2,3,4,5},$R12,$V12,$Z12,$AD12,$AH12)="Yes")*(((CHOOSE({1,2,3,4,5},$S12,$W12,$AA12,$AE12,$AI12)="Yes")+(CHOOSE({1,2,3,4,5},$S12,$W12,$AA12,$AE12,$AI12)=TRUE))&gt;0)))</f>
        <v>0</v>
      </c>
      <c r="AM12" s="101">
        <v>46281</v>
      </c>
      <c r="AN12" s="85">
        <f ca="1">IF(OR($A12="",$AM12=""),"",TODAY()-$AM12)</f>
        <v>7</v>
      </c>
      <c r="AO12" s="87"/>
      <c r="AP12" s="106"/>
      <c r="AQ12" s="106"/>
      <c r="AR12" s="106"/>
      <c r="AS12" s="106"/>
      <c r="AT12" s="106"/>
      <c r="AU12" s="106"/>
      <c r="AV12" s="106"/>
      <c r="AW12" s="106"/>
      <c r="AX12" s="106"/>
      <c r="AY12" s="106"/>
      <c r="BA12" s="20">
        <v>8</v>
      </c>
      <c r="BD12" s="174"/>
      <c r="BE12" s="174"/>
      <c r="BF12" s="174"/>
      <c r="BG12" s="174"/>
      <c r="BH12" s="174"/>
      <c r="BI12" s="174"/>
      <c r="BJ12" s="174"/>
      <c r="BK12" s="174"/>
      <c r="BL12" s="174"/>
      <c r="BM12" s="174"/>
      <c r="BN12" s="174"/>
      <c r="BO12" s="174"/>
      <c r="BP12" s="174"/>
      <c r="BQ12" s="174"/>
      <c r="BR12" s="174"/>
      <c r="BS12" s="174"/>
      <c r="BT12" s="174"/>
      <c r="BU12" s="174"/>
      <c r="BV12" s="174"/>
      <c r="BW12" s="174"/>
      <c r="BX12" s="174"/>
      <c r="BY12" s="174"/>
    </row>
    <row r="13" spans="1:77" s="21" customFormat="1" ht="12.75" customHeight="1">
      <c r="A13" s="206" t="s">
        <v>515</v>
      </c>
      <c r="B13" s="206" t="s">
        <v>515</v>
      </c>
      <c r="C13" s="206"/>
      <c r="D13" s="209" t="s">
        <v>516</v>
      </c>
      <c r="E13" s="211" t="s">
        <v>517</v>
      </c>
      <c r="F13" s="210" t="s">
        <v>518</v>
      </c>
      <c r="G13" s="206" t="s">
        <v>509</v>
      </c>
      <c r="H13" s="210" t="s">
        <v>510</v>
      </c>
      <c r="I13" s="206" t="s">
        <v>519</v>
      </c>
      <c r="J13" s="212"/>
      <c r="K13" s="207">
        <v>2</v>
      </c>
      <c r="L13" s="207" t="str" cm="1">
        <f t="array" ref="L13">IF($A13="","",_xlfn.LET(_xlpm.stat,CHOOSE({1,2,3,4,5},$P13,$T13,$X13,$AB13,$AF13),_xlpm.rate,CHOOSE({1,2,3,4,5},$R13,$V13,$Z13,$AD13,$AH13),_xlpm.trn,CHOOSE({1,2,3,4,5},$S13,$W13,$AA13,$AE13,$AI13),_xlpm.nsC,SUMPRODUCT(--(_xlpm.stat="Ready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DLR",IF(AND(_xlpm.actRS&gt;0,_xlpm.actDone&lt;_xlpm.actRS),"Training",IF(_xlpm.actRS&gt;0,"Active",IF(AND(_xlpm.decC&gt;0,_xlpm.inPlay+_xlpm.actC=0),"Dead",IF(AND($AJ13&lt;&gt;"",$AK13=FALSE),"Waiting on Dealer",IF(_xlpm.subC&gt;0,"Waiting on Lender",IF(AND(_xlpm.appC+_xlpm.actC&gt;0,_xlpm.nsC+_xlpm.wdC=0),"Rate Sheet","Application Submitted")))))))))</f>
        <v>Dead</v>
      </c>
      <c r="M13" s="208">
        <v>46230</v>
      </c>
      <c r="N13" s="208"/>
      <c r="O13" s="206" t="s">
        <v>512</v>
      </c>
      <c r="P13" s="207" t="s">
        <v>448</v>
      </c>
      <c r="Q13" s="208"/>
      <c r="R13" s="207" t="s">
        <v>272</v>
      </c>
      <c r="S13" s="207" t="s">
        <v>272</v>
      </c>
      <c r="T13" s="207" t="s">
        <v>448</v>
      </c>
      <c r="U13" s="208"/>
      <c r="V13" s="207" t="s">
        <v>272</v>
      </c>
      <c r="W13" s="207" t="s">
        <v>272</v>
      </c>
      <c r="X13" s="207" t="s">
        <v>448</v>
      </c>
      <c r="Y13" s="208"/>
      <c r="Z13" s="207" t="s">
        <v>272</v>
      </c>
      <c r="AA13" s="207" t="s">
        <v>272</v>
      </c>
      <c r="AB13" s="207" t="s">
        <v>437</v>
      </c>
      <c r="AC13" s="208"/>
      <c r="AD13" s="207" t="s">
        <v>272</v>
      </c>
      <c r="AE13" s="207" t="s">
        <v>272</v>
      </c>
      <c r="AF13" s="207" t="s">
        <v>437</v>
      </c>
      <c r="AG13" s="208"/>
      <c r="AH13" s="207" t="s">
        <v>272</v>
      </c>
      <c r="AI13" s="207" t="s">
        <v>272</v>
      </c>
      <c r="AJ13" s="206" t="s">
        <v>520</v>
      </c>
      <c r="AK13" s="213" t="b">
        <v>1</v>
      </c>
      <c r="AL13" s="207" cm="1">
        <f t="array" ref="AL13">IF($A13="","",SUMPRODUCT((CHOOSE({1,2,3,4,5},$R13,$V13,$Z13,$AD13,$AH13)="Yes")*(((CHOOSE({1,2,3,4,5},$S13,$W13,$AA13,$AE13,$AI13)="Yes")+(CHOOSE({1,2,3,4,5},$S13,$W13,$AA13,$AE13,$AI13)=TRUE))&gt;0)))</f>
        <v>0</v>
      </c>
      <c r="AM13" s="208">
        <v>46265</v>
      </c>
      <c r="AN13" s="207">
        <f ca="1">IF(OR($A13="",$AM13=""),"",TODAY()-$AM13)</f>
        <v>23</v>
      </c>
      <c r="AO13" s="209"/>
      <c r="AP13" s="214"/>
      <c r="AQ13" s="214"/>
      <c r="AR13" s="214"/>
      <c r="AS13" s="214"/>
      <c r="AT13" s="214"/>
      <c r="AU13" s="214"/>
      <c r="AV13" s="214"/>
      <c r="AW13" s="214"/>
      <c r="AX13" s="214"/>
      <c r="AY13" s="214"/>
      <c r="BA13" s="21">
        <v>9</v>
      </c>
      <c r="BD13" s="175"/>
      <c r="BE13" s="175"/>
      <c r="BF13" s="175"/>
      <c r="BG13" s="175"/>
      <c r="BH13" s="175"/>
      <c r="BI13" s="175"/>
      <c r="BJ13" s="175"/>
      <c r="BK13" s="175"/>
      <c r="BL13" s="175"/>
      <c r="BM13" s="175"/>
      <c r="BN13" s="175"/>
      <c r="BO13" s="175"/>
      <c r="BP13" s="175"/>
      <c r="BQ13" s="175"/>
      <c r="BR13" s="175"/>
      <c r="BS13" s="175"/>
      <c r="BT13" s="175"/>
      <c r="BU13" s="175"/>
      <c r="BV13" s="175"/>
      <c r="BW13" s="175"/>
      <c r="BX13" s="175"/>
      <c r="BY13" s="175"/>
    </row>
    <row r="14" spans="1:77" s="20" customFormat="1" ht="38.25">
      <c r="A14" s="196" t="s">
        <v>521</v>
      </c>
      <c r="B14" s="99" t="s">
        <v>522</v>
      </c>
      <c r="C14" s="99"/>
      <c r="D14" s="197" t="s">
        <v>523</v>
      </c>
      <c r="E14" s="88" t="s">
        <v>524</v>
      </c>
      <c r="F14" s="203" t="s">
        <v>525</v>
      </c>
      <c r="G14" s="100" t="s">
        <v>465</v>
      </c>
      <c r="H14" s="194" t="s">
        <v>466</v>
      </c>
      <c r="I14" s="99" t="s">
        <v>526</v>
      </c>
      <c r="J14" s="107"/>
      <c r="K14" s="85">
        <v>1</v>
      </c>
      <c r="L14" s="85" t="str" cm="1">
        <f t="array" ref="L14">IF($A14="","",_xlfn.LET(_xlpm.stat,CHOOSE({1,2,3,4,5},$P14,$T14,$X14,$AB14,$AF14),_xlpm.rate,CHOOSE({1,2,3,4,5},$R14,$V14,$Z14,$AD14,$AH14),_xlpm.trn,CHOOSE({1,2,3,4,5},$S14,$W14,$AA14,$AE14,$AI14),_xlpm.nsC,SUMPRODUCT(--(_xlpm.stat="Ready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DLR",IF(AND(_xlpm.actRS&gt;0,_xlpm.actDone&lt;_xlpm.actRS),"Training",IF(_xlpm.actRS&gt;0,"Active",IF(AND(_xlpm.decC&gt;0,_xlpm.inPlay+_xlpm.actC=0),"Dead",IF(AND($AJ14&lt;&gt;"",$AK14=FALSE),"Waiting on Dealer",IF(_xlpm.subC&gt;0,"Waiting on Lender",IF(AND(_xlpm.appC+_xlpm.actC&gt;0,_xlpm.nsC+_xlpm.wdC=0),"Rate Sheet","Application Submitted")))))))))</f>
        <v>Rate Sheet</v>
      </c>
      <c r="M14" s="101">
        <v>46231</v>
      </c>
      <c r="N14" s="101">
        <v>46280</v>
      </c>
      <c r="O14" s="196" t="s">
        <v>527</v>
      </c>
      <c r="P14" s="85" t="s">
        <v>435</v>
      </c>
      <c r="Q14" s="101">
        <v>46274</v>
      </c>
      <c r="R14" s="85" t="s">
        <v>272</v>
      </c>
      <c r="S14" s="85" t="s">
        <v>272</v>
      </c>
      <c r="T14" s="85" t="s">
        <v>435</v>
      </c>
      <c r="U14" s="101">
        <v>46274</v>
      </c>
      <c r="V14" s="85" t="s">
        <v>272</v>
      </c>
      <c r="W14" s="85" t="s">
        <v>272</v>
      </c>
      <c r="X14" s="85" t="s">
        <v>448</v>
      </c>
      <c r="Y14" s="101"/>
      <c r="Z14" s="85" t="s">
        <v>272</v>
      </c>
      <c r="AA14" s="85" t="s">
        <v>272</v>
      </c>
      <c r="AB14" s="85" t="s">
        <v>437</v>
      </c>
      <c r="AC14" s="101"/>
      <c r="AD14" s="85" t="s">
        <v>272</v>
      </c>
      <c r="AE14" s="85" t="s">
        <v>272</v>
      </c>
      <c r="AF14" s="85" t="s">
        <v>437</v>
      </c>
      <c r="AG14" s="101"/>
      <c r="AH14" s="85" t="s">
        <v>272</v>
      </c>
      <c r="AI14" s="85" t="s">
        <v>272</v>
      </c>
      <c r="AJ14" s="196" t="s">
        <v>528</v>
      </c>
      <c r="AK14" s="102" t="b">
        <v>1</v>
      </c>
      <c r="AL14" s="85" cm="1">
        <f t="array" ref="AL14">IF($A14="","",SUMPRODUCT((CHOOSE({1,2,3,4,5},$R14,$V14,$Z14,$AD14,$AH14)="Yes")*(((CHOOSE({1,2,3,4,5},$S14,$W14,$AA14,$AE14,$AI14)="Yes")+(CHOOSE({1,2,3,4,5},$S14,$W14,$AA14,$AE14,$AI14)=TRUE))&gt;0)))</f>
        <v>0</v>
      </c>
      <c r="AM14" s="101">
        <v>46273</v>
      </c>
      <c r="AN14" s="85">
        <f ca="1">IF(OR($A14="",$AM14=""),"",TODAY()-$AM14)</f>
        <v>15</v>
      </c>
      <c r="AO14" s="87"/>
      <c r="AP14" s="167">
        <v>227125338</v>
      </c>
      <c r="AQ14" s="167">
        <v>227125338</v>
      </c>
      <c r="AR14" s="152" t="s">
        <v>529</v>
      </c>
      <c r="AS14" s="106"/>
      <c r="AT14" s="106"/>
      <c r="AU14" s="106"/>
      <c r="AV14" s="106"/>
      <c r="AW14" s="106"/>
      <c r="AX14" s="106"/>
      <c r="AY14" s="106"/>
      <c r="BA14" s="20">
        <v>10</v>
      </c>
      <c r="BD14" s="174"/>
      <c r="BE14" s="174"/>
      <c r="BF14" s="174"/>
      <c r="BG14" s="174"/>
      <c r="BH14" s="174"/>
      <c r="BI14" s="174"/>
      <c r="BJ14" s="174"/>
      <c r="BK14" s="174"/>
      <c r="BL14" s="174"/>
      <c r="BM14" s="174"/>
      <c r="BN14" s="174"/>
      <c r="BO14" s="174"/>
      <c r="BP14" s="174"/>
      <c r="BQ14" s="174"/>
      <c r="BR14" s="174"/>
      <c r="BS14" s="174"/>
      <c r="BT14" s="174"/>
      <c r="BU14" s="174"/>
      <c r="BV14" s="174"/>
      <c r="BW14" s="174"/>
      <c r="BX14" s="174"/>
      <c r="BY14" s="174"/>
    </row>
    <row r="15" spans="1:77" s="20" customFormat="1" ht="19.5">
      <c r="A15" s="196" t="s">
        <v>530</v>
      </c>
      <c r="B15" s="99" t="s">
        <v>531</v>
      </c>
      <c r="C15" s="99"/>
      <c r="D15" s="197" t="s">
        <v>532</v>
      </c>
      <c r="E15" s="88" t="s">
        <v>533</v>
      </c>
      <c r="F15" s="194" t="s">
        <v>534</v>
      </c>
      <c r="G15" s="100" t="s">
        <v>535</v>
      </c>
      <c r="H15" s="194" t="s">
        <v>536</v>
      </c>
      <c r="I15" s="99" t="s">
        <v>537</v>
      </c>
      <c r="J15" s="107"/>
      <c r="K15" s="85">
        <v>1</v>
      </c>
      <c r="L15" s="85" t="str" cm="1">
        <f t="array" ref="L15">IF($A15="","",_xlfn.LET(_xlpm.stat,CHOOSE({1,2,3,4,5},$P15,$T15,$X15,$AB15,$AF15),_xlpm.rate,CHOOSE({1,2,3,4,5},$R15,$V15,$Z15,$AD15,$AH15),_xlpm.trn,CHOOSE({1,2,3,4,5},$S15,$W15,$AA15,$AE15,$AI15),_xlpm.nsC,SUMPRODUCT(--(_xlpm.stat="Ready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DLR",IF(AND(_xlpm.actRS&gt;0,_xlpm.actDone&lt;_xlpm.actRS),"Training",IF(_xlpm.actRS&gt;0,"Active",IF(AND(_xlpm.decC&gt;0,_xlpm.inPlay+_xlpm.actC=0),"Dead",IF(AND($AJ15&lt;&gt;"",$AK15=FALSE),"Waiting on Dealer",IF(_xlpm.subC&gt;0,"Waiting on Lender",IF(AND(_xlpm.appC+_xlpm.actC&gt;0,_xlpm.nsC+_xlpm.wdC=0),"Rate Sheet","Application Submitted")))))))))</f>
        <v>Rate Sheet</v>
      </c>
      <c r="M15" s="101">
        <v>46234</v>
      </c>
      <c r="N15" s="101">
        <v>46280</v>
      </c>
      <c r="O15" s="196" t="s">
        <v>538</v>
      </c>
      <c r="P15" s="85" t="s">
        <v>435</v>
      </c>
      <c r="Q15" s="101">
        <v>46274</v>
      </c>
      <c r="R15" s="85" t="s">
        <v>272</v>
      </c>
      <c r="S15" s="85" t="s">
        <v>272</v>
      </c>
      <c r="T15" s="85" t="s">
        <v>499</v>
      </c>
      <c r="U15" s="101">
        <v>46274</v>
      </c>
      <c r="V15" s="85" t="s">
        <v>272</v>
      </c>
      <c r="W15" s="85" t="s">
        <v>272</v>
      </c>
      <c r="X15" s="85" t="s">
        <v>435</v>
      </c>
      <c r="Y15" s="101">
        <v>46274</v>
      </c>
      <c r="Z15" s="85" t="s">
        <v>272</v>
      </c>
      <c r="AA15" s="85" t="s">
        <v>272</v>
      </c>
      <c r="AB15" s="85" t="s">
        <v>437</v>
      </c>
      <c r="AC15" s="101"/>
      <c r="AD15" s="85" t="s">
        <v>272</v>
      </c>
      <c r="AE15" s="85" t="s">
        <v>272</v>
      </c>
      <c r="AF15" s="85" t="s">
        <v>437</v>
      </c>
      <c r="AG15" s="101"/>
      <c r="AH15" s="85" t="s">
        <v>272</v>
      </c>
      <c r="AI15" s="85" t="s">
        <v>272</v>
      </c>
      <c r="AJ15" s="196" t="s">
        <v>539</v>
      </c>
      <c r="AK15" s="102" t="b">
        <v>1</v>
      </c>
      <c r="AL15" s="85" cm="1">
        <f t="array" ref="AL15">IF($A15="","",SUMPRODUCT((CHOOSE({1,2,3,4,5},$R15,$V15,$Z15,$AD15,$AH15)="Yes")*(((CHOOSE({1,2,3,4,5},$S15,$W15,$AA15,$AE15,$AI15)="Yes")+(CHOOSE({1,2,3,4,5},$S15,$W15,$AA15,$AE15,$AI15)=TRUE))&gt;0)))</f>
        <v>0</v>
      </c>
      <c r="AM15" s="101">
        <v>46273</v>
      </c>
      <c r="AN15" s="85">
        <f ca="1">IF(OR($A15="",$AM15=""),"",TODAY()-$AM15)</f>
        <v>15</v>
      </c>
      <c r="AO15" s="87"/>
      <c r="AP15" s="169">
        <v>815133226</v>
      </c>
      <c r="AQ15" s="106" t="s">
        <v>207</v>
      </c>
      <c r="AR15" s="106"/>
      <c r="AS15" s="106"/>
      <c r="AT15" s="169">
        <v>34146000</v>
      </c>
      <c r="AU15" s="106" t="s">
        <v>207</v>
      </c>
      <c r="AV15" s="106"/>
      <c r="AW15" s="106"/>
      <c r="AX15" s="106"/>
      <c r="AY15" s="106"/>
      <c r="BA15" s="20">
        <v>11</v>
      </c>
      <c r="BD15" s="174"/>
      <c r="BE15" s="174"/>
      <c r="BF15" s="174"/>
      <c r="BG15" s="174"/>
      <c r="BH15" s="174"/>
      <c r="BI15" s="174"/>
      <c r="BJ15" s="174"/>
      <c r="BK15" s="174"/>
      <c r="BL15" s="174"/>
      <c r="BM15" s="174"/>
      <c r="BN15" s="174"/>
      <c r="BO15" s="174"/>
      <c r="BP15" s="174"/>
      <c r="BQ15" s="174"/>
      <c r="BR15" s="174"/>
      <c r="BS15" s="174"/>
      <c r="BT15" s="174"/>
      <c r="BU15" s="174"/>
      <c r="BV15" s="174"/>
      <c r="BW15" s="174"/>
      <c r="BX15" s="174"/>
      <c r="BY15" s="174"/>
    </row>
    <row r="16" spans="1:77" s="20" customFormat="1" ht="19.5">
      <c r="A16" s="196" t="s">
        <v>540</v>
      </c>
      <c r="B16" s="99" t="s">
        <v>540</v>
      </c>
      <c r="C16" s="99" t="s">
        <v>485</v>
      </c>
      <c r="D16" s="197" t="s">
        <v>541</v>
      </c>
      <c r="E16" s="88" t="s">
        <v>542</v>
      </c>
      <c r="F16" s="194" t="s">
        <v>543</v>
      </c>
      <c r="G16" s="100" t="s">
        <v>465</v>
      </c>
      <c r="H16" s="194" t="s">
        <v>466</v>
      </c>
      <c r="I16" s="99" t="s">
        <v>537</v>
      </c>
      <c r="J16" s="107"/>
      <c r="K16" s="85">
        <v>1</v>
      </c>
      <c r="L16" s="85" t="str" cm="1">
        <f t="array" ref="L16">IF($A16="","",_xlfn.LET(_xlpm.stat,CHOOSE({1,2,3,4,5},$P16,$T16,$X16,$AB16,$AF16),_xlpm.rate,CHOOSE({1,2,3,4,5},$R16,$V16,$Z16,$AD16,$AH16),_xlpm.trn,CHOOSE({1,2,3,4,5},$S16,$W16,$AA16,$AE16,$AI16),_xlpm.nsC,SUMPRODUCT(--(_xlpm.stat="Ready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DLR",IF(AND(_xlpm.actRS&gt;0,_xlpm.actDone&lt;_xlpm.actRS),"Training",IF(_xlpm.actRS&gt;0,"Active",IF(AND(_xlpm.decC&gt;0,_xlpm.inPlay+_xlpm.actC=0),"Dead",IF(AND($AJ16&lt;&gt;"",$AK16=FALSE),"Waiting on Dealer",IF(_xlpm.subC&gt;0,"Waiting on Lender",IF(AND(_xlpm.appC+_xlpm.actC&gt;0,_xlpm.nsC+_xlpm.wdC=0),"Rate Sheet","Application Submitted")))))))))</f>
        <v>Waiting on Dealer</v>
      </c>
      <c r="M16" s="101">
        <v>46237</v>
      </c>
      <c r="N16" s="101">
        <v>46280</v>
      </c>
      <c r="O16" s="196"/>
      <c r="P16" s="85" t="str">
        <f>IF($A16="","",IF($AK16=TRUE,"Ready 2 Submit","Waiting on Dealer"))</f>
        <v>Waiting on Dealer</v>
      </c>
      <c r="Q16" s="101"/>
      <c r="R16" s="85" t="s">
        <v>272</v>
      </c>
      <c r="S16" s="85" t="s">
        <v>272</v>
      </c>
      <c r="T16" s="85" t="s">
        <v>448</v>
      </c>
      <c r="U16" s="101"/>
      <c r="V16" s="85" t="s">
        <v>272</v>
      </c>
      <c r="W16" s="85" t="s">
        <v>272</v>
      </c>
      <c r="X16" s="85" t="str">
        <f>IF($A16="","",IF($AK16=TRUE,"Ready 2 Submit","Waiting on Dealer"))</f>
        <v>Waiting on Dealer</v>
      </c>
      <c r="Y16" s="101"/>
      <c r="Z16" s="85" t="s">
        <v>272</v>
      </c>
      <c r="AA16" s="85" t="s">
        <v>272</v>
      </c>
      <c r="AB16" s="85" t="s">
        <v>437</v>
      </c>
      <c r="AC16" s="101"/>
      <c r="AD16" s="85" t="s">
        <v>272</v>
      </c>
      <c r="AE16" s="85" t="s">
        <v>272</v>
      </c>
      <c r="AF16" s="85" t="s">
        <v>437</v>
      </c>
      <c r="AG16" s="101"/>
      <c r="AH16" s="85" t="s">
        <v>272</v>
      </c>
      <c r="AI16" s="85" t="s">
        <v>272</v>
      </c>
      <c r="AJ16" s="196" t="s">
        <v>544</v>
      </c>
      <c r="AK16" s="102" t="b">
        <v>0</v>
      </c>
      <c r="AL16" s="85" cm="1">
        <f t="array" ref="AL16">IF($A16="","",SUMPRODUCT((CHOOSE({1,2,3,4,5},$R16,$V16,$Z16,$AD16,$AH16)="Yes")*(((CHOOSE({1,2,3,4,5},$S16,$W16,$AA16,$AE16,$AI16)="Yes")+(CHOOSE({1,2,3,4,5},$S16,$W16,$AA16,$AE16,$AI16)=TRUE))&gt;0)))</f>
        <v>0</v>
      </c>
      <c r="AM16" s="101">
        <v>46275</v>
      </c>
      <c r="AN16" s="85">
        <f ca="1">IF(OR($A16="",$AM16=""),"",TODAY()-$AM16)</f>
        <v>13</v>
      </c>
      <c r="AO16" s="87"/>
      <c r="AP16" s="106"/>
      <c r="AQ16" s="106"/>
      <c r="AR16" s="106"/>
      <c r="AS16" s="106"/>
      <c r="AT16" s="106"/>
      <c r="AU16" s="106"/>
      <c r="AV16" s="106"/>
      <c r="AW16" s="106"/>
      <c r="AX16" s="106"/>
      <c r="AY16" s="106"/>
      <c r="BA16" s="20">
        <v>12</v>
      </c>
      <c r="BD16" s="174"/>
      <c r="BE16" s="174"/>
      <c r="BF16" s="174"/>
      <c r="BG16" s="174"/>
      <c r="BH16" s="174"/>
      <c r="BI16" s="174"/>
      <c r="BJ16" s="174"/>
      <c r="BK16" s="174"/>
      <c r="BL16" s="174"/>
      <c r="BM16" s="174"/>
      <c r="BN16" s="174"/>
      <c r="BO16" s="174"/>
      <c r="BP16" s="174"/>
      <c r="BQ16" s="174"/>
      <c r="BR16" s="174"/>
      <c r="BS16" s="174"/>
      <c r="BT16" s="174"/>
      <c r="BU16" s="174"/>
      <c r="BV16" s="174"/>
      <c r="BW16" s="174"/>
      <c r="BX16" s="174"/>
      <c r="BY16" s="174"/>
    </row>
    <row r="17" spans="1:53" s="20" customFormat="1" ht="19.5">
      <c r="A17" s="196" t="s">
        <v>545</v>
      </c>
      <c r="B17" s="99" t="s">
        <v>546</v>
      </c>
      <c r="C17" s="99"/>
      <c r="D17" s="197" t="s">
        <v>547</v>
      </c>
      <c r="E17" s="88" t="s">
        <v>548</v>
      </c>
      <c r="F17" s="194" t="s">
        <v>549</v>
      </c>
      <c r="G17" s="100" t="s">
        <v>550</v>
      </c>
      <c r="H17" s="194" t="s">
        <v>551</v>
      </c>
      <c r="I17" s="99" t="s">
        <v>552</v>
      </c>
      <c r="J17" s="107"/>
      <c r="K17" s="85">
        <v>3</v>
      </c>
      <c r="L17" s="85" t="str" cm="1">
        <f t="array" ref="L17">IF($A17="","",_xlfn.LET(_xlpm.stat,CHOOSE({1,2,3,4,5},$P17,$T17,$X17,$AB17,$AF17),_xlpm.rate,CHOOSE({1,2,3,4,5},$R17,$V17,$Z17,$AD17,$AH17),_xlpm.trn,CHOOSE({1,2,3,4,5},$S17,$W17,$AA17,$AE17,$AI17),_xlpm.nsC,SUMPRODUCT(--(_xlpm.stat="Ready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DLR",IF(AND(_xlpm.actRS&gt;0,_xlpm.actDone&lt;_xlpm.actRS),"Training",IF(_xlpm.actRS&gt;0,"Active",IF(AND(_xlpm.decC&gt;0,_xlpm.inPlay+_xlpm.actC=0),"Dead",IF(AND($AJ17&lt;&gt;"",$AK17=FALSE),"Waiting on Dealer",IF(_xlpm.subC&gt;0,"Waiting on Lender",IF(AND(_xlpm.appC+_xlpm.actC&gt;0,_xlpm.nsC+_xlpm.wdC=0),"Rate Sheet","Application Submitted")))))))))</f>
        <v>Rate Sheet</v>
      </c>
      <c r="M17" s="101">
        <v>46239</v>
      </c>
      <c r="N17" s="101">
        <v>46280</v>
      </c>
      <c r="O17" s="196" t="s">
        <v>553</v>
      </c>
      <c r="P17" s="85" t="s">
        <v>437</v>
      </c>
      <c r="Q17" s="101"/>
      <c r="R17" s="85" t="s">
        <v>272</v>
      </c>
      <c r="S17" s="85" t="s">
        <v>272</v>
      </c>
      <c r="T17" s="85" t="s">
        <v>437</v>
      </c>
      <c r="U17" s="101"/>
      <c r="V17" s="85" t="s">
        <v>272</v>
      </c>
      <c r="W17" s="85" t="s">
        <v>272</v>
      </c>
      <c r="X17" s="85" t="s">
        <v>499</v>
      </c>
      <c r="Y17" s="101">
        <v>46274</v>
      </c>
      <c r="Z17" s="85" t="s">
        <v>272</v>
      </c>
      <c r="AA17" s="85" t="s">
        <v>272</v>
      </c>
      <c r="AB17" s="85" t="s">
        <v>437</v>
      </c>
      <c r="AC17" s="101"/>
      <c r="AD17" s="85" t="s">
        <v>272</v>
      </c>
      <c r="AE17" s="85" t="s">
        <v>272</v>
      </c>
      <c r="AF17" s="85" t="s">
        <v>437</v>
      </c>
      <c r="AG17" s="101"/>
      <c r="AH17" s="85" t="s">
        <v>272</v>
      </c>
      <c r="AI17" s="85" t="s">
        <v>272</v>
      </c>
      <c r="AJ17" s="196" t="s">
        <v>3679</v>
      </c>
      <c r="AK17" s="102" t="b">
        <v>1</v>
      </c>
      <c r="AL17" s="85" cm="1">
        <f t="array" ref="AL17">IF($A17="","",SUMPRODUCT((CHOOSE({1,2,3,4,5},$R17,$V17,$Z17,$AD17,$AH17)="Yes")*(((CHOOSE({1,2,3,4,5},$S17,$W17,$AA17,$AE17,$AI17)="Yes")+(CHOOSE({1,2,3,4,5},$S17,$W17,$AA17,$AE17,$AI17)=TRUE))&gt;0)))</f>
        <v>0</v>
      </c>
      <c r="AM17" s="101">
        <v>46274</v>
      </c>
      <c r="AN17" s="85">
        <f ca="1">IF(OR($A17="",$AM17=""),"",TODAY()-$AM17)</f>
        <v>14</v>
      </c>
      <c r="AO17" s="87"/>
      <c r="AP17" s="106"/>
      <c r="AQ17" s="106"/>
      <c r="AR17" s="106"/>
      <c r="AS17" s="106"/>
      <c r="AT17" s="170" t="s">
        <v>3680</v>
      </c>
      <c r="AU17" s="106"/>
      <c r="AV17" s="106"/>
      <c r="AW17" s="106"/>
      <c r="AX17" s="106"/>
      <c r="AY17" s="106"/>
      <c r="BA17" s="20">
        <v>13</v>
      </c>
    </row>
    <row r="18" spans="1:53" s="20" customFormat="1" ht="12.75" customHeight="1">
      <c r="A18" s="206" t="s">
        <v>555</v>
      </c>
      <c r="B18" s="206" t="s">
        <v>556</v>
      </c>
      <c r="C18" s="206"/>
      <c r="D18" s="209" t="s">
        <v>557</v>
      </c>
      <c r="E18" s="211" t="s">
        <v>558</v>
      </c>
      <c r="F18" s="210" t="s">
        <v>559</v>
      </c>
      <c r="G18" s="206" t="s">
        <v>560</v>
      </c>
      <c r="H18" s="210" t="s">
        <v>561</v>
      </c>
      <c r="I18" s="206" t="s">
        <v>562</v>
      </c>
      <c r="J18" s="212"/>
      <c r="K18" s="207">
        <v>2</v>
      </c>
      <c r="L18" s="207" t="str" cm="1">
        <f t="array" ref="L18">IF($A18="","",_xlfn.LET(_xlpm.stat,CHOOSE({1,2,3,4,5},$P18,$T18,$X18,$AB18,$AF18),_xlpm.rate,CHOOSE({1,2,3,4,5},$R18,$V18,$Z18,$AD18,$AH18),_xlpm.trn,CHOOSE({1,2,3,4,5},$S18,$W18,$AA18,$AE18,$AI18),_xlpm.nsC,SUMPRODUCT(--(_xlpm.stat="Ready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DLR",IF(AND(_xlpm.actRS&gt;0,_xlpm.actDone&lt;_xlpm.actRS),"Training",IF(_xlpm.actRS&gt;0,"Active",IF(AND(_xlpm.decC&gt;0,_xlpm.inPlay+_xlpm.actC=0),"Dead",IF(AND($AJ18&lt;&gt;"",$AK18=FALSE),"Waiting on Dealer",IF(_xlpm.subC&gt;0,"Waiting on Lender",IF(AND(_xlpm.appC+_xlpm.actC&gt;0,_xlpm.nsC+_xlpm.wdC=0),"Rate Sheet","Application Submitted")))))))))</f>
        <v>Dead</v>
      </c>
      <c r="M18" s="208">
        <v>46239</v>
      </c>
      <c r="N18" s="208"/>
      <c r="O18" s="206" t="s">
        <v>563</v>
      </c>
      <c r="P18" s="207" t="s">
        <v>437</v>
      </c>
      <c r="Q18" s="208"/>
      <c r="R18" s="207" t="s">
        <v>437</v>
      </c>
      <c r="S18" s="207" t="s">
        <v>272</v>
      </c>
      <c r="T18" s="207" t="s">
        <v>437</v>
      </c>
      <c r="U18" s="208"/>
      <c r="V18" s="207" t="s">
        <v>437</v>
      </c>
      <c r="W18" s="207" t="s">
        <v>272</v>
      </c>
      <c r="X18" s="207" t="s">
        <v>448</v>
      </c>
      <c r="Y18" s="208"/>
      <c r="Z18" s="207" t="s">
        <v>272</v>
      </c>
      <c r="AA18" s="207" t="s">
        <v>272</v>
      </c>
      <c r="AB18" s="207" t="s">
        <v>437</v>
      </c>
      <c r="AC18" s="208"/>
      <c r="AD18" s="207" t="s">
        <v>272</v>
      </c>
      <c r="AE18" s="207" t="s">
        <v>272</v>
      </c>
      <c r="AF18" s="207" t="s">
        <v>437</v>
      </c>
      <c r="AG18" s="208"/>
      <c r="AH18" s="207" t="s">
        <v>272</v>
      </c>
      <c r="AI18" s="207" t="s">
        <v>272</v>
      </c>
      <c r="AJ18" s="206" t="s">
        <v>564</v>
      </c>
      <c r="AK18" s="213" t="b">
        <v>1</v>
      </c>
      <c r="AL18" s="207" cm="1">
        <f t="array" ref="AL18">IF($A18="","",SUMPRODUCT((CHOOSE({1,2,3,4,5},$R18,$V18,$Z18,$AD18,$AH18)="Yes")*(((CHOOSE({1,2,3,4,5},$S18,$W18,$AA18,$AE18,$AI18)="Yes")+(CHOOSE({1,2,3,4,5},$S18,$W18,$AA18,$AE18,$AI18)=TRUE))&gt;0)))</f>
        <v>0</v>
      </c>
      <c r="AM18" s="208">
        <v>46266</v>
      </c>
      <c r="AN18" s="207">
        <f ca="1">IF(OR($A18="",$AM18=""),"",TODAY()-$AM18)</f>
        <v>22</v>
      </c>
      <c r="AO18" s="209"/>
      <c r="AP18" s="214"/>
      <c r="AQ18" s="214"/>
      <c r="AR18" s="214"/>
      <c r="AS18" s="214"/>
      <c r="AT18" s="214"/>
      <c r="AU18" s="214"/>
      <c r="AV18" s="214"/>
      <c r="AW18" s="214"/>
      <c r="AX18" s="214"/>
      <c r="AY18" s="214"/>
      <c r="BA18" s="20">
        <v>14</v>
      </c>
    </row>
    <row r="19" spans="1:53" s="20" customFormat="1" ht="38.25">
      <c r="A19" s="196" t="s">
        <v>565</v>
      </c>
      <c r="B19" s="99" t="s">
        <v>566</v>
      </c>
      <c r="C19" s="99"/>
      <c r="D19" s="197" t="s">
        <v>567</v>
      </c>
      <c r="E19" s="108" t="s">
        <v>568</v>
      </c>
      <c r="F19" s="194" t="s">
        <v>569</v>
      </c>
      <c r="G19" s="100" t="s">
        <v>465</v>
      </c>
      <c r="H19" s="194" t="s">
        <v>466</v>
      </c>
      <c r="I19" s="99" t="s">
        <v>537</v>
      </c>
      <c r="J19" s="107"/>
      <c r="K19" s="85">
        <v>1</v>
      </c>
      <c r="L19" s="85" t="str" cm="1">
        <f t="array" ref="L19">IF($A19="","",_xlfn.LET(_xlpm.stat,CHOOSE({1,2,3,4,5},$P19,$T19,$X19,$AB19,$AF19),_xlpm.rate,CHOOSE({1,2,3,4,5},$R19,$V19,$Z19,$AD19,$AH19),_xlpm.trn,CHOOSE({1,2,3,4,5},$S19,$W19,$AA19,$AE19,$AI19),_xlpm.nsC,SUMPRODUCT(--(_xlpm.stat="Ready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DLR",IF(AND(_xlpm.actRS&gt;0,_xlpm.actDone&lt;_xlpm.actRS),"Training",IF(_xlpm.actRS&gt;0,"Active",IF(AND(_xlpm.decC&gt;0,_xlpm.inPlay+_xlpm.actC=0),"Dead",IF(AND($AJ19&lt;&gt;"",$AK19=FALSE),"Waiting on Dealer",IF(_xlpm.subC&gt;0,"Waiting on Lender",IF(AND(_xlpm.appC+_xlpm.actC&gt;0,_xlpm.nsC+_xlpm.wdC=0),"Rate Sheet","Application Submitted")))))))))</f>
        <v>Waiting on Lender</v>
      </c>
      <c r="M19" s="101">
        <v>46241</v>
      </c>
      <c r="N19" s="101">
        <v>46280</v>
      </c>
      <c r="O19" s="196" t="s">
        <v>563</v>
      </c>
      <c r="P19" s="85" t="s">
        <v>457</v>
      </c>
      <c r="Q19" s="101">
        <v>46279</v>
      </c>
      <c r="R19" s="85" t="s">
        <v>272</v>
      </c>
      <c r="S19" s="85" t="s">
        <v>272</v>
      </c>
      <c r="T19" s="85" t="s">
        <v>448</v>
      </c>
      <c r="U19" s="101">
        <v>46274</v>
      </c>
      <c r="V19" s="85" t="s">
        <v>272</v>
      </c>
      <c r="W19" s="85" t="s">
        <v>272</v>
      </c>
      <c r="X19" s="85" t="s">
        <v>457</v>
      </c>
      <c r="Y19" s="101">
        <v>46274</v>
      </c>
      <c r="Z19" s="85" t="s">
        <v>272</v>
      </c>
      <c r="AA19" s="85" t="s">
        <v>272</v>
      </c>
      <c r="AB19" s="85" t="s">
        <v>437</v>
      </c>
      <c r="AC19" s="101"/>
      <c r="AD19" s="85" t="s">
        <v>272</v>
      </c>
      <c r="AE19" s="85" t="s">
        <v>272</v>
      </c>
      <c r="AF19" s="85" t="s">
        <v>437</v>
      </c>
      <c r="AG19" s="101"/>
      <c r="AH19" s="85" t="s">
        <v>272</v>
      </c>
      <c r="AI19" s="85" t="s">
        <v>272</v>
      </c>
      <c r="AJ19" s="196" t="s">
        <v>3681</v>
      </c>
      <c r="AK19" s="102" t="b">
        <v>1</v>
      </c>
      <c r="AL19" s="85" cm="1">
        <f t="array" ref="AL19">IF($A19="","",SUMPRODUCT((CHOOSE({1,2,3,4,5},$R19,$V19,$Z19,$AD19,$AH19)="Yes")*(((CHOOSE({1,2,3,4,5},$S19,$W19,$AA19,$AE19,$AI19)="Yes")+(CHOOSE({1,2,3,4,5},$S19,$W19,$AA19,$AE19,$AI19)=TRUE))&gt;0)))</f>
        <v>0</v>
      </c>
      <c r="AM19" s="101">
        <v>46279</v>
      </c>
      <c r="AN19" s="85">
        <f ca="1">IF(OR($A19="",$AM19=""),"",TODAY()-$AM19)</f>
        <v>9</v>
      </c>
      <c r="AO19" s="87"/>
      <c r="AP19" s="106"/>
      <c r="AQ19" s="106"/>
      <c r="AR19" s="106"/>
      <c r="AS19" s="106"/>
      <c r="AT19" s="106"/>
      <c r="AU19" s="106"/>
      <c r="AV19" s="106"/>
      <c r="AW19" s="106"/>
      <c r="AX19" s="106"/>
      <c r="AY19" s="106"/>
      <c r="BA19" s="20">
        <v>15</v>
      </c>
    </row>
    <row r="20" spans="1:53" s="20" customFormat="1" ht="12.75" customHeight="1">
      <c r="A20" s="206" t="s">
        <v>571</v>
      </c>
      <c r="B20" s="206" t="s">
        <v>572</v>
      </c>
      <c r="C20" s="206"/>
      <c r="D20" s="209" t="s">
        <v>573</v>
      </c>
      <c r="E20" s="215" t="s">
        <v>574</v>
      </c>
      <c r="F20" s="210" t="s">
        <v>575</v>
      </c>
      <c r="G20" s="206" t="s">
        <v>535</v>
      </c>
      <c r="H20" s="210" t="s">
        <v>536</v>
      </c>
      <c r="I20" s="206" t="s">
        <v>537</v>
      </c>
      <c r="J20" s="212"/>
      <c r="K20" s="207">
        <v>3</v>
      </c>
      <c r="L20" s="207" t="str" cm="1">
        <f t="array" ref="L20">IF($A20="","",_xlfn.LET(_xlpm.stat,CHOOSE({1,2,3,4,5},$P20,$T20,$X20,$AB20,$AF20),_xlpm.rate,CHOOSE({1,2,3,4,5},$R20,$V20,$Z20,$AD20,$AH20),_xlpm.trn,CHOOSE({1,2,3,4,5},$S20,$W20,$AA20,$AE20,$AI20),_xlpm.nsC,SUMPRODUCT(--(_xlpm.stat="Ready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DLR",IF(AND(_xlpm.actRS&gt;0,_xlpm.actDone&lt;_xlpm.actRS),"Training",IF(_xlpm.actRS&gt;0,"Active",IF(AND(_xlpm.decC&gt;0,_xlpm.inPlay+_xlpm.actC=0),"Dead",IF(AND($AJ20&lt;&gt;"",$AK20=FALSE),"Waiting on Dealer",IF(_xlpm.subC&gt;0,"Waiting on Lender",IF(AND(_xlpm.appC+_xlpm.actC&gt;0,_xlpm.nsC+_xlpm.wdC=0),"Rate Sheet","Application Submitted")))))))))</f>
        <v>Dead</v>
      </c>
      <c r="M20" s="208">
        <v>46242</v>
      </c>
      <c r="N20" s="208">
        <v>46280</v>
      </c>
      <c r="O20" s="206" t="s">
        <v>576</v>
      </c>
      <c r="P20" s="207" t="s">
        <v>448</v>
      </c>
      <c r="Q20" s="208">
        <v>46279</v>
      </c>
      <c r="R20" s="207" t="s">
        <v>272</v>
      </c>
      <c r="S20" s="207" t="s">
        <v>272</v>
      </c>
      <c r="T20" s="207" t="s">
        <v>437</v>
      </c>
      <c r="U20" s="208"/>
      <c r="V20" s="207" t="s">
        <v>272</v>
      </c>
      <c r="W20" s="207" t="s">
        <v>272</v>
      </c>
      <c r="X20" s="207" t="s">
        <v>448</v>
      </c>
      <c r="Y20" s="208"/>
      <c r="Z20" s="207" t="s">
        <v>272</v>
      </c>
      <c r="AA20" s="207" t="s">
        <v>272</v>
      </c>
      <c r="AB20" s="207" t="s">
        <v>437</v>
      </c>
      <c r="AC20" s="208"/>
      <c r="AD20" s="207" t="s">
        <v>272</v>
      </c>
      <c r="AE20" s="207" t="s">
        <v>272</v>
      </c>
      <c r="AF20" s="207" t="s">
        <v>437</v>
      </c>
      <c r="AG20" s="208"/>
      <c r="AH20" s="207" t="s">
        <v>272</v>
      </c>
      <c r="AI20" s="207" t="s">
        <v>272</v>
      </c>
      <c r="AJ20" s="206" t="s">
        <v>577</v>
      </c>
      <c r="AK20" s="213" t="b">
        <v>1</v>
      </c>
      <c r="AL20" s="207" cm="1">
        <f t="array" ref="AL20">IF($A20="","",SUMPRODUCT((CHOOSE({1,2,3,4,5},$R20,$V20,$Z20,$AD20,$AH20)="Yes")*(((CHOOSE({1,2,3,4,5},$S20,$W20,$AA20,$AE20,$AI20)="Yes")+(CHOOSE({1,2,3,4,5},$S20,$W20,$AA20,$AE20,$AI20)=TRUE))&gt;0)))</f>
        <v>0</v>
      </c>
      <c r="AM20" s="208">
        <v>46279</v>
      </c>
      <c r="AN20" s="207">
        <f ca="1">IF(OR($A20="",$AM20=""),"",TODAY()-$AM20)</f>
        <v>9</v>
      </c>
      <c r="AO20" s="209"/>
      <c r="AP20" s="214"/>
      <c r="AQ20" s="214"/>
      <c r="AR20" s="214"/>
      <c r="AS20" s="214"/>
      <c r="AT20" s="214"/>
      <c r="AU20" s="214"/>
      <c r="AV20" s="214"/>
      <c r="AW20" s="214"/>
      <c r="AX20" s="214"/>
      <c r="AY20" s="214"/>
      <c r="BA20" s="20">
        <v>16</v>
      </c>
    </row>
    <row r="21" spans="1:53" s="20" customFormat="1" ht="38.25">
      <c r="A21" s="196" t="s">
        <v>578</v>
      </c>
      <c r="B21" s="99" t="s">
        <v>579</v>
      </c>
      <c r="C21" s="99"/>
      <c r="D21" s="197" t="s">
        <v>580</v>
      </c>
      <c r="E21" s="88" t="s">
        <v>581</v>
      </c>
      <c r="F21" s="194" t="s">
        <v>582</v>
      </c>
      <c r="G21" s="100" t="s">
        <v>583</v>
      </c>
      <c r="H21" s="194" t="s">
        <v>584</v>
      </c>
      <c r="I21" s="99" t="s">
        <v>585</v>
      </c>
      <c r="J21" s="107"/>
      <c r="K21" s="85">
        <v>1</v>
      </c>
      <c r="L21" s="85" t="str" cm="1">
        <f t="array" ref="L21">IF($A21="","",_xlfn.LET(_xlpm.stat,CHOOSE({1,2,3,4,5},$P21,$T21,$X21,$AB21,$AF21),_xlpm.rate,CHOOSE({1,2,3,4,5},$R21,$V21,$Z21,$AD21,$AH21),_xlpm.trn,CHOOSE({1,2,3,4,5},$S21,$W21,$AA21,$AE21,$AI21),_xlpm.nsC,SUMPRODUCT(--(_xlpm.stat="Ready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DLR",IF(AND(_xlpm.actRS&gt;0,_xlpm.actDone&lt;_xlpm.actRS),"Training",IF(_xlpm.actRS&gt;0,"Active",IF(AND(_xlpm.decC&gt;0,_xlpm.inPlay+_xlpm.actC=0),"Dead",IF(AND($AJ21&lt;&gt;"",$AK21=FALSE),"Waiting on Dealer",IF(_xlpm.subC&gt;0,"Waiting on Lender",IF(AND(_xlpm.appC+_xlpm.actC&gt;0,_xlpm.nsC+_xlpm.wdC=0),"Rate Sheet","Application Submitted")))))))))</f>
        <v>Training</v>
      </c>
      <c r="M21" s="101">
        <v>46305</v>
      </c>
      <c r="N21" s="101">
        <v>46280</v>
      </c>
      <c r="O21" s="196" t="s">
        <v>586</v>
      </c>
      <c r="P21" s="85" t="s">
        <v>499</v>
      </c>
      <c r="Q21" s="101">
        <v>46274</v>
      </c>
      <c r="R21" s="85" t="s">
        <v>272</v>
      </c>
      <c r="S21" s="85" t="s">
        <v>272</v>
      </c>
      <c r="T21" s="85" t="s">
        <v>435</v>
      </c>
      <c r="U21" s="101">
        <v>46274</v>
      </c>
      <c r="V21" s="85" t="s">
        <v>436</v>
      </c>
      <c r="W21" s="85" t="s">
        <v>436</v>
      </c>
      <c r="X21" s="85" t="s">
        <v>435</v>
      </c>
      <c r="Y21" s="101">
        <v>46274</v>
      </c>
      <c r="Z21" s="85" t="s">
        <v>436</v>
      </c>
      <c r="AA21" s="85" t="s">
        <v>272</v>
      </c>
      <c r="AB21" s="85" t="s">
        <v>435</v>
      </c>
      <c r="AC21" s="101">
        <v>46274</v>
      </c>
      <c r="AD21" s="85" t="s">
        <v>436</v>
      </c>
      <c r="AE21" s="85" t="s">
        <v>436</v>
      </c>
      <c r="AF21" s="85" t="s">
        <v>437</v>
      </c>
      <c r="AG21" s="101"/>
      <c r="AH21" s="85" t="s">
        <v>272</v>
      </c>
      <c r="AI21" s="85" t="s">
        <v>272</v>
      </c>
      <c r="AJ21" s="196" t="s">
        <v>587</v>
      </c>
      <c r="AK21" s="102" t="b">
        <v>1</v>
      </c>
      <c r="AL21" s="85" cm="1">
        <f t="array" ref="AL21">IF($A21="","",SUMPRODUCT((CHOOSE({1,2,3,4,5},$R21,$V21,$Z21,$AD21,$AH21)="Yes")*(((CHOOSE({1,2,3,4,5},$S21,$W21,$AA21,$AE21,$AI21)="Yes")+(CHOOSE({1,2,3,4,5},$S21,$W21,$AA21,$AE21,$AI21)=TRUE))&gt;0)))</f>
        <v>2</v>
      </c>
      <c r="AM21" s="101"/>
      <c r="AN21" s="85" t="str">
        <f ca="1">IF(OR($A21="",$AM21=""),"",TODAY()-$AM21)</f>
        <v/>
      </c>
      <c r="AO21" s="87"/>
      <c r="AP21" s="166" t="s">
        <v>588</v>
      </c>
      <c r="AQ21" s="106"/>
      <c r="AR21" s="152" t="s">
        <v>589</v>
      </c>
      <c r="AS21" s="106"/>
      <c r="AT21" s="107" t="s">
        <v>590</v>
      </c>
      <c r="AU21" s="106"/>
      <c r="AV21" s="107" t="s">
        <v>591</v>
      </c>
      <c r="AW21" s="106"/>
      <c r="AX21" s="106"/>
      <c r="AY21" s="106"/>
      <c r="BA21" s="20">
        <v>17</v>
      </c>
    </row>
    <row r="22" spans="1:53" s="20" customFormat="1" ht="76.5">
      <c r="A22" s="196" t="s">
        <v>592</v>
      </c>
      <c r="B22" s="99" t="s">
        <v>592</v>
      </c>
      <c r="C22" s="99"/>
      <c r="D22" s="197" t="s">
        <v>593</v>
      </c>
      <c r="E22" s="88" t="s">
        <v>594</v>
      </c>
      <c r="F22" s="194" t="s">
        <v>595</v>
      </c>
      <c r="G22" s="100" t="s">
        <v>560</v>
      </c>
      <c r="H22" s="194" t="s">
        <v>561</v>
      </c>
      <c r="I22" s="99" t="s">
        <v>596</v>
      </c>
      <c r="J22" s="107"/>
      <c r="K22" s="85">
        <v>3</v>
      </c>
      <c r="L22" s="85" t="str" cm="1">
        <f t="array" ref="L22">IF($A22="","",_xlfn.LET(_xlpm.stat,CHOOSE({1,2,3,4,5},$P22,$T22,$X22,$AB22,$AF22),_xlpm.rate,CHOOSE({1,2,3,4,5},$R22,$V22,$Z22,$AD22,$AH22),_xlpm.trn,CHOOSE({1,2,3,4,5},$S22,$W22,$AA22,$AE22,$AI22),_xlpm.nsC,SUMPRODUCT(--(_xlpm.stat="Ready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DLR",IF(AND(_xlpm.actRS&gt;0,_xlpm.actDone&lt;_xlpm.actRS),"Training",IF(_xlpm.actRS&gt;0,"Active",IF(AND(_xlpm.decC&gt;0,_xlpm.inPlay+_xlpm.actC=0),"Dead",IF(AND($AJ22&lt;&gt;"",$AK22=FALSE),"Waiting on Dealer",IF(_xlpm.subC&gt;0,"Waiting on Lender",IF(AND(_xlpm.appC+_xlpm.actC&gt;0,_xlpm.nsC+_xlpm.wdC=0),"Rate Sheet","Application Submitted")))))))))</f>
        <v>Waiting on Lender</v>
      </c>
      <c r="M22" s="101">
        <v>46244</v>
      </c>
      <c r="N22" s="101">
        <v>46280</v>
      </c>
      <c r="O22" s="196" t="s">
        <v>563</v>
      </c>
      <c r="P22" s="85" t="s">
        <v>457</v>
      </c>
      <c r="Q22" s="101">
        <v>46274</v>
      </c>
      <c r="R22" s="85" t="s">
        <v>272</v>
      </c>
      <c r="S22" s="85" t="s">
        <v>272</v>
      </c>
      <c r="T22" s="85" t="s">
        <v>457</v>
      </c>
      <c r="U22" s="101">
        <v>46274</v>
      </c>
      <c r="V22" s="85" t="s">
        <v>272</v>
      </c>
      <c r="W22" s="85" t="s">
        <v>272</v>
      </c>
      <c r="X22" s="85" t="s">
        <v>457</v>
      </c>
      <c r="Y22" s="101">
        <v>46274</v>
      </c>
      <c r="Z22" s="85" t="s">
        <v>272</v>
      </c>
      <c r="AA22" s="85" t="s">
        <v>272</v>
      </c>
      <c r="AB22" s="85" t="s">
        <v>437</v>
      </c>
      <c r="AC22" s="101"/>
      <c r="AD22" s="85" t="s">
        <v>272</v>
      </c>
      <c r="AE22" s="85" t="s">
        <v>272</v>
      </c>
      <c r="AF22" s="85" t="s">
        <v>437</v>
      </c>
      <c r="AG22" s="101"/>
      <c r="AH22" s="85" t="s">
        <v>272</v>
      </c>
      <c r="AI22" s="85" t="s">
        <v>272</v>
      </c>
      <c r="AJ22" s="196" t="s">
        <v>597</v>
      </c>
      <c r="AK22" s="102" t="b">
        <v>1</v>
      </c>
      <c r="AL22" s="85" cm="1">
        <f t="array" ref="AL22">IF($A22="","",SUMPRODUCT((CHOOSE({1,2,3,4,5},$R22,$V22,$Z22,$AD22,$AH22)="Yes")*(((CHOOSE({1,2,3,4,5},$S22,$W22,$AA22,$AE22,$AI22)="Yes")+(CHOOSE({1,2,3,4,5},$S22,$W22,$AA22,$AE22,$AI22)=TRUE))&gt;0)))</f>
        <v>0</v>
      </c>
      <c r="AM22" s="101"/>
      <c r="AN22" s="85" t="str">
        <f ca="1">IF(OR($A22="",$AM22=""),"",TODAY()-$AM22)</f>
        <v/>
      </c>
      <c r="AO22" s="87"/>
      <c r="AP22" s="106"/>
      <c r="AQ22" s="106"/>
      <c r="AR22" s="106"/>
      <c r="AS22" s="106"/>
      <c r="AT22" s="106"/>
      <c r="AU22" s="106"/>
      <c r="AV22" s="106"/>
      <c r="AW22" s="106"/>
      <c r="AX22" s="106"/>
      <c r="AY22" s="106"/>
      <c r="BA22" s="20">
        <v>18</v>
      </c>
    </row>
    <row r="23" spans="1:53" s="20" customFormat="1" ht="38.25">
      <c r="A23" s="196" t="s">
        <v>598</v>
      </c>
      <c r="B23" s="99" t="s">
        <v>599</v>
      </c>
      <c r="C23" s="99"/>
      <c r="D23" s="197" t="s">
        <v>600</v>
      </c>
      <c r="E23" s="88" t="s">
        <v>601</v>
      </c>
      <c r="F23" s="194" t="s">
        <v>602</v>
      </c>
      <c r="G23" s="100" t="s">
        <v>603</v>
      </c>
      <c r="H23" s="194" t="s">
        <v>604</v>
      </c>
      <c r="I23" s="99" t="s">
        <v>537</v>
      </c>
      <c r="J23" s="107"/>
      <c r="K23" s="85">
        <v>3</v>
      </c>
      <c r="L23" s="85" t="str" cm="1">
        <f t="array" ref="L23">IF($A23="","",_xlfn.LET(_xlpm.stat,CHOOSE({1,2,3,4,5},$P23,$T23,$X23,$AB23,$AF23),_xlpm.rate,CHOOSE({1,2,3,4,5},$R23,$V23,$Z23,$AD23,$AH23),_xlpm.trn,CHOOSE({1,2,3,4,5},$S23,$W23,$AA23,$AE23,$AI23),_xlpm.nsC,SUMPRODUCT(--(_xlpm.stat="Ready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DLR",IF(AND(_xlpm.actRS&gt;0,_xlpm.actDone&lt;_xlpm.actRS),"Training",IF(_xlpm.actRS&gt;0,"Active",IF(AND(_xlpm.decC&gt;0,_xlpm.inPlay+_xlpm.actC=0),"Dead",IF(AND($AJ23&lt;&gt;"",$AK23=FALSE),"Waiting on Dealer",IF(_xlpm.subC&gt;0,"Waiting on Lender",IF(AND(_xlpm.appC+_xlpm.actC&gt;0,_xlpm.nsC+_xlpm.wdC=0),"Rate Sheet","Application Submitted")))))))))</f>
        <v>Waiting on Dealer</v>
      </c>
      <c r="M23" s="101">
        <v>46245</v>
      </c>
      <c r="N23" s="101">
        <v>46280</v>
      </c>
      <c r="O23" s="196" t="s">
        <v>553</v>
      </c>
      <c r="P23" s="85" t="str">
        <f>IF($A23="","",IF($AK23=TRUE,"Ready 2 Submit","Waiting on Dealer"))</f>
        <v>Waiting on Dealer</v>
      </c>
      <c r="Q23" s="101"/>
      <c r="R23" s="85" t="s">
        <v>272</v>
      </c>
      <c r="S23" s="85" t="s">
        <v>272</v>
      </c>
      <c r="T23" s="85" t="str">
        <f>IF($A23="","",IF($AK23=TRUE,"Ready 2 Submit","Waiting on Dealer"))</f>
        <v>Waiting on Dealer</v>
      </c>
      <c r="U23" s="101"/>
      <c r="V23" s="85" t="s">
        <v>272</v>
      </c>
      <c r="W23" s="85" t="s">
        <v>272</v>
      </c>
      <c r="X23" s="85" t="str">
        <f>IF($A23="","",IF($AK23=TRUE,"Ready 2 Submit","Waiting on Dealer"))</f>
        <v>Waiting on Dealer</v>
      </c>
      <c r="Y23" s="101"/>
      <c r="Z23" s="85" t="s">
        <v>272</v>
      </c>
      <c r="AA23" s="85" t="s">
        <v>272</v>
      </c>
      <c r="AB23" s="85" t="s">
        <v>437</v>
      </c>
      <c r="AC23" s="101"/>
      <c r="AD23" s="85" t="s">
        <v>272</v>
      </c>
      <c r="AE23" s="85" t="s">
        <v>272</v>
      </c>
      <c r="AF23" s="85" t="s">
        <v>437</v>
      </c>
      <c r="AG23" s="101"/>
      <c r="AH23" s="85" t="s">
        <v>272</v>
      </c>
      <c r="AI23" s="85" t="s">
        <v>272</v>
      </c>
      <c r="AJ23" s="196" t="s">
        <v>605</v>
      </c>
      <c r="AK23" s="102" t="b">
        <v>0</v>
      </c>
      <c r="AL23" s="85" cm="1">
        <f t="array" ref="AL23">IF($A23="","",SUMPRODUCT((CHOOSE({1,2,3,4,5},$R23,$V23,$Z23,$AD23,$AH23)="Yes")*(((CHOOSE({1,2,3,4,5},$S23,$W23,$AA23,$AE23,$AI23)="Yes")+(CHOOSE({1,2,3,4,5},$S23,$W23,$AA23,$AE23,$AI23)=TRUE))&gt;0)))</f>
        <v>0</v>
      </c>
      <c r="AM23" s="101">
        <v>46266</v>
      </c>
      <c r="AN23" s="85">
        <f ca="1">IF(OR($A23="",$AM23=""),"",TODAY()-$AM23)</f>
        <v>22</v>
      </c>
      <c r="AO23" s="87"/>
      <c r="AP23" s="106"/>
      <c r="AQ23" s="106"/>
      <c r="AR23" s="106"/>
      <c r="AS23" s="106"/>
      <c r="AT23" s="106"/>
      <c r="AU23" s="106"/>
      <c r="AV23" s="106"/>
      <c r="AW23" s="106"/>
      <c r="AX23" s="106"/>
      <c r="AY23" s="106"/>
      <c r="BA23" s="20">
        <v>19</v>
      </c>
    </row>
    <row r="24" spans="1:53" s="20" customFormat="1" ht="19.5">
      <c r="A24" s="196" t="s">
        <v>606</v>
      </c>
      <c r="B24" s="99" t="s">
        <v>607</v>
      </c>
      <c r="C24" s="99"/>
      <c r="D24" s="197" t="s">
        <v>608</v>
      </c>
      <c r="E24" s="88" t="s">
        <v>609</v>
      </c>
      <c r="F24" s="194" t="s">
        <v>610</v>
      </c>
      <c r="G24" s="100" t="s">
        <v>611</v>
      </c>
      <c r="H24" s="194" t="s">
        <v>612</v>
      </c>
      <c r="I24" s="99" t="s">
        <v>537</v>
      </c>
      <c r="J24" s="107"/>
      <c r="K24" s="85">
        <v>2</v>
      </c>
      <c r="L24" s="85" t="str" cm="1">
        <f t="array" ref="L24">IF($A24="","",_xlfn.LET(_xlpm.stat,CHOOSE({1,2,3,4,5},$P24,$T24,$X24,$AB24,$AF24),_xlpm.rate,CHOOSE({1,2,3,4,5},$R24,$V24,$Z24,$AD24,$AH24),_xlpm.trn,CHOOSE({1,2,3,4,5},$S24,$W24,$AA24,$AE24,$AI24),_xlpm.nsC,SUMPRODUCT(--(_xlpm.stat="Ready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DLR",IF(AND(_xlpm.actRS&gt;0,_xlpm.actDone&lt;_xlpm.actRS),"Training",IF(_xlpm.actRS&gt;0,"Active",IF(AND(_xlpm.decC&gt;0,_xlpm.inPlay+_xlpm.actC=0),"Dead",IF(AND($AJ24&lt;&gt;"",$AK24=FALSE),"Waiting on Dealer",IF(_xlpm.subC&gt;0,"Waiting on Lender",IF(AND(_xlpm.appC+_xlpm.actC&gt;0,_xlpm.nsC+_xlpm.wdC=0),"Rate Sheet","Application Submitted")))))))))</f>
        <v>Application Submitted</v>
      </c>
      <c r="M24" s="101">
        <v>46247</v>
      </c>
      <c r="N24" s="101">
        <v>46280</v>
      </c>
      <c r="O24" s="196" t="s">
        <v>613</v>
      </c>
      <c r="P24" s="85" t="str">
        <f>IF($A24="","",IF($AK24=TRUE,"Ready 2 Submit","Waiting on Dealer"))</f>
        <v>Ready 2 Submit</v>
      </c>
      <c r="Q24" s="101"/>
      <c r="R24" s="85" t="s">
        <v>272</v>
      </c>
      <c r="S24" s="85" t="s">
        <v>272</v>
      </c>
      <c r="T24" s="85" t="s">
        <v>448</v>
      </c>
      <c r="U24" s="101"/>
      <c r="V24" s="85" t="s">
        <v>272</v>
      </c>
      <c r="W24" s="85" t="s">
        <v>272</v>
      </c>
      <c r="X24" s="85" t="s">
        <v>448</v>
      </c>
      <c r="Y24" s="101">
        <v>46275</v>
      </c>
      <c r="Z24" s="85" t="s">
        <v>272</v>
      </c>
      <c r="AA24" s="85" t="s">
        <v>272</v>
      </c>
      <c r="AB24" s="85" t="s">
        <v>437</v>
      </c>
      <c r="AC24" s="101"/>
      <c r="AD24" s="85" t="s">
        <v>272</v>
      </c>
      <c r="AE24" s="85" t="s">
        <v>272</v>
      </c>
      <c r="AF24" s="85" t="s">
        <v>437</v>
      </c>
      <c r="AG24" s="101"/>
      <c r="AH24" s="85" t="s">
        <v>272</v>
      </c>
      <c r="AI24" s="85" t="s">
        <v>272</v>
      </c>
      <c r="AJ24" s="196" t="s">
        <v>3682</v>
      </c>
      <c r="AK24" s="102" t="b">
        <v>1</v>
      </c>
      <c r="AL24" s="85" cm="1">
        <f t="array" ref="AL24">IF($A24="","",SUMPRODUCT((CHOOSE({1,2,3,4,5},$R24,$V24,$Z24,$AD24,$AH24)="Yes")*(((CHOOSE({1,2,3,4,5},$S24,$W24,$AA24,$AE24,$AI24)="Yes")+(CHOOSE({1,2,3,4,5},$S24,$W24,$AA24,$AE24,$AI24)=TRUE))&gt;0)))</f>
        <v>0</v>
      </c>
      <c r="AM24" s="101"/>
      <c r="AN24" s="85" t="str">
        <f ca="1">IF(OR($A24="",$AM24=""),"",TODAY()-$AM24)</f>
        <v/>
      </c>
      <c r="AO24" s="87"/>
      <c r="AP24" s="106"/>
      <c r="AQ24" s="106"/>
      <c r="AR24" s="106"/>
      <c r="AS24" s="106"/>
      <c r="AT24" s="106"/>
      <c r="AU24" s="106"/>
      <c r="AV24" s="106"/>
      <c r="AW24" s="106"/>
      <c r="AX24" s="106"/>
      <c r="AY24" s="106"/>
      <c r="BA24" s="20">
        <v>20</v>
      </c>
    </row>
    <row r="25" spans="1:53" s="20" customFormat="1" ht="38.25">
      <c r="A25" s="196" t="s">
        <v>615</v>
      </c>
      <c r="B25" s="99" t="s">
        <v>616</v>
      </c>
      <c r="C25" s="99"/>
      <c r="D25" s="197" t="s">
        <v>617</v>
      </c>
      <c r="E25" s="108" t="s">
        <v>618</v>
      </c>
      <c r="F25" s="194" t="s">
        <v>619</v>
      </c>
      <c r="G25" s="100" t="s">
        <v>620</v>
      </c>
      <c r="H25" s="194" t="s">
        <v>621</v>
      </c>
      <c r="I25" s="99"/>
      <c r="J25" s="107"/>
      <c r="K25" s="85">
        <v>3</v>
      </c>
      <c r="L25" s="85" t="str" cm="1">
        <f t="array" ref="L25">IF($A25="","",_xlfn.LET(_xlpm.stat,CHOOSE({1,2,3,4,5},$P25,$T25,$X25,$AB25,$AF25),_xlpm.rate,CHOOSE({1,2,3,4,5},$R25,$V25,$Z25,$AD25,$AH25),_xlpm.trn,CHOOSE({1,2,3,4,5},$S25,$W25,$AA25,$AE25,$AI25),_xlpm.nsC,SUMPRODUCT(--(_xlpm.stat="Ready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DLR",IF(AND(_xlpm.actRS&gt;0,_xlpm.actDone&lt;_xlpm.actRS),"Training",IF(_xlpm.actRS&gt;0,"Active",IF(AND(_xlpm.decC&gt;0,_xlpm.inPlay+_xlpm.actC=0),"Dead",IF(AND($AJ25&lt;&gt;"",$AK25=FALSE),"Waiting on Dealer",IF(_xlpm.subC&gt;0,"Waiting on Lender",IF(AND(_xlpm.appC+_xlpm.actC&gt;0,_xlpm.nsC+_xlpm.wdC=0),"Rate Sheet","Application Submitted")))))))))</f>
        <v>Waiting on Dealer</v>
      </c>
      <c r="M25" s="101">
        <v>46247</v>
      </c>
      <c r="N25" s="101">
        <v>46280</v>
      </c>
      <c r="O25" s="196" t="s">
        <v>553</v>
      </c>
      <c r="P25" s="85" t="str">
        <f>IF($A25="","",IF($AK25=TRUE,"Ready 2 Submit","Waiting on Dealer"))</f>
        <v>Waiting on Dealer</v>
      </c>
      <c r="Q25" s="101"/>
      <c r="R25" s="85" t="s">
        <v>272</v>
      </c>
      <c r="S25" s="85" t="s">
        <v>272</v>
      </c>
      <c r="T25" s="85" t="str">
        <f>IF($A25="","",IF($AK25=TRUE,"Ready 2 Submit","Waiting on Dealer"))</f>
        <v>Waiting on Dealer</v>
      </c>
      <c r="U25" s="101"/>
      <c r="V25" s="85" t="s">
        <v>272</v>
      </c>
      <c r="W25" s="85" t="s">
        <v>272</v>
      </c>
      <c r="X25" s="85" t="str">
        <f>IF($A25="","",IF($AK25=TRUE,"Ready 2 Submit","Waiting on Dealer"))</f>
        <v>Waiting on Dealer</v>
      </c>
      <c r="Y25" s="101"/>
      <c r="Z25" s="85" t="s">
        <v>272</v>
      </c>
      <c r="AA25" s="85" t="s">
        <v>272</v>
      </c>
      <c r="AB25" s="85" t="s">
        <v>437</v>
      </c>
      <c r="AC25" s="101"/>
      <c r="AD25" s="85" t="s">
        <v>272</v>
      </c>
      <c r="AE25" s="85" t="s">
        <v>272</v>
      </c>
      <c r="AF25" s="85" t="s">
        <v>437</v>
      </c>
      <c r="AG25" s="101"/>
      <c r="AH25" s="85" t="s">
        <v>272</v>
      </c>
      <c r="AI25" s="85" t="s">
        <v>272</v>
      </c>
      <c r="AJ25" s="196" t="s">
        <v>622</v>
      </c>
      <c r="AK25" s="102" t="b">
        <v>0</v>
      </c>
      <c r="AL25" s="85" cm="1">
        <f t="array" ref="AL25">IF($A25="","",SUMPRODUCT((CHOOSE({1,2,3,4,5},$R25,$V25,$Z25,$AD25,$AH25)="Yes")*(((CHOOSE({1,2,3,4,5},$S25,$W25,$AA25,$AE25,$AI25)="Yes")+(CHOOSE({1,2,3,4,5},$S25,$W25,$AA25,$AE25,$AI25)=TRUE))&gt;0)))</f>
        <v>0</v>
      </c>
      <c r="AM25" s="101"/>
      <c r="AN25" s="85" t="str">
        <f ca="1">IF(OR($A25="",$AM25=""),"",TODAY()-$AM25)</f>
        <v/>
      </c>
      <c r="AO25" s="87"/>
      <c r="AP25" s="106"/>
      <c r="AQ25" s="106"/>
      <c r="AR25" s="106"/>
      <c r="AS25" s="106"/>
      <c r="AT25" s="106"/>
      <c r="AU25" s="106"/>
      <c r="AV25" s="106"/>
      <c r="AW25" s="106"/>
      <c r="AX25" s="106"/>
      <c r="AY25" s="106"/>
      <c r="BA25" s="20">
        <v>21</v>
      </c>
    </row>
    <row r="26" spans="1:53" s="20" customFormat="1" ht="57">
      <c r="A26" s="196" t="s">
        <v>623</v>
      </c>
      <c r="B26" s="99" t="s">
        <v>624</v>
      </c>
      <c r="C26" s="99"/>
      <c r="D26" s="197" t="s">
        <v>623</v>
      </c>
      <c r="E26" s="88" t="s">
        <v>625</v>
      </c>
      <c r="F26" s="194" t="s">
        <v>626</v>
      </c>
      <c r="G26" s="100" t="s">
        <v>535</v>
      </c>
      <c r="H26" s="194" t="s">
        <v>627</v>
      </c>
      <c r="I26" s="99" t="s">
        <v>628</v>
      </c>
      <c r="J26" s="107"/>
      <c r="K26" s="85">
        <v>2</v>
      </c>
      <c r="L26" s="85" t="str" cm="1">
        <f t="array" ref="L26">IF($A26="","",_xlfn.LET(_xlpm.stat,CHOOSE({1,2,3,4,5},$P26,$T26,$X26,$AB26,$AF26),_xlpm.rate,CHOOSE({1,2,3,4,5},$R26,$V26,$Z26,$AD26,$AH26),_xlpm.trn,CHOOSE({1,2,3,4,5},$S26,$W26,$AA26,$AE26,$AI26),_xlpm.nsC,SUMPRODUCT(--(_xlpm.stat="Ready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DLR",IF(AND(_xlpm.actRS&gt;0,_xlpm.actDone&lt;_xlpm.actRS),"Training",IF(_xlpm.actRS&gt;0,"Active",IF(AND(_xlpm.decC&gt;0,_xlpm.inPlay+_xlpm.actC=0),"Dead",IF(AND($AJ26&lt;&gt;"",$AK26=FALSE),"Waiting on Dealer",IF(_xlpm.subC&gt;0,"Waiting on Lender",IF(AND(_xlpm.appC+_xlpm.actC&gt;0,_xlpm.nsC+_xlpm.wdC=0),"Rate Sheet","Application Submitted")))))))))</f>
        <v>Waiting on Dealer</v>
      </c>
      <c r="M26" s="101">
        <v>46247</v>
      </c>
      <c r="N26" s="101">
        <v>46280</v>
      </c>
      <c r="O26" s="196" t="s">
        <v>563</v>
      </c>
      <c r="P26" s="85" t="str">
        <f>IF($A26="","",IF($AK26=TRUE,"Ready 2 Submit","Waiting on Dealer"))</f>
        <v>Waiting on Dealer</v>
      </c>
      <c r="Q26" s="101"/>
      <c r="R26" s="85" t="s">
        <v>272</v>
      </c>
      <c r="S26" s="85" t="s">
        <v>272</v>
      </c>
      <c r="T26" s="85" t="str">
        <f>IF($A26="","",IF($AK26=TRUE,"Ready 2 Submit","Waiting on Dealer"))</f>
        <v>Waiting on Dealer</v>
      </c>
      <c r="U26" s="101"/>
      <c r="V26" s="85" t="s">
        <v>272</v>
      </c>
      <c r="W26" s="85" t="s">
        <v>272</v>
      </c>
      <c r="X26" s="85" t="str">
        <f>IF($A26="","",IF($AK26=TRUE,"Ready 2 Submit","Waiting on Dealer"))</f>
        <v>Waiting on Dealer</v>
      </c>
      <c r="Y26" s="101"/>
      <c r="Z26" s="85" t="s">
        <v>272</v>
      </c>
      <c r="AA26" s="85" t="s">
        <v>272</v>
      </c>
      <c r="AB26" s="85" t="s">
        <v>437</v>
      </c>
      <c r="AC26" s="101"/>
      <c r="AD26" s="85" t="s">
        <v>272</v>
      </c>
      <c r="AE26" s="85" t="s">
        <v>272</v>
      </c>
      <c r="AF26" s="85" t="s">
        <v>437</v>
      </c>
      <c r="AG26" s="101"/>
      <c r="AH26" s="85" t="s">
        <v>272</v>
      </c>
      <c r="AI26" s="85" t="s">
        <v>272</v>
      </c>
      <c r="AJ26" s="196" t="s">
        <v>629</v>
      </c>
      <c r="AK26" s="102" t="b">
        <v>0</v>
      </c>
      <c r="AL26" s="85" cm="1">
        <f t="array" ref="AL26">IF($A26="","",SUMPRODUCT((CHOOSE({1,2,3,4,5},$R26,$V26,$Z26,$AD26,$AH26)="Yes")*(((CHOOSE({1,2,3,4,5},$S26,$W26,$AA26,$AE26,$AI26)="Yes")+(CHOOSE({1,2,3,4,5},$S26,$W26,$AA26,$AE26,$AI26)=TRUE))&gt;0)))</f>
        <v>0</v>
      </c>
      <c r="AM26" s="101">
        <v>46267</v>
      </c>
      <c r="AN26" s="85">
        <f ca="1">IF(OR($A26="",$AM26=""),"",TODAY()-$AM26)</f>
        <v>21</v>
      </c>
      <c r="AO26" s="87"/>
      <c r="AP26" s="106"/>
      <c r="AQ26" s="106"/>
      <c r="AR26" s="106"/>
      <c r="AS26" s="106"/>
      <c r="AT26" s="106"/>
      <c r="AU26" s="106"/>
      <c r="AV26" s="106"/>
      <c r="AW26" s="106"/>
      <c r="AX26" s="106"/>
      <c r="AY26" s="106"/>
      <c r="BA26" s="20">
        <v>22</v>
      </c>
    </row>
    <row r="27" spans="1:53" s="20" customFormat="1" ht="95.25">
      <c r="A27" s="196" t="s">
        <v>630</v>
      </c>
      <c r="B27" s="99" t="s">
        <v>631</v>
      </c>
      <c r="C27" s="99"/>
      <c r="D27" s="197" t="s">
        <v>632</v>
      </c>
      <c r="E27" s="88" t="s">
        <v>633</v>
      </c>
      <c r="F27" s="194" t="s">
        <v>634</v>
      </c>
      <c r="G27" s="100" t="s">
        <v>635</v>
      </c>
      <c r="H27" s="194" t="s">
        <v>636</v>
      </c>
      <c r="I27" s="99" t="s">
        <v>537</v>
      </c>
      <c r="J27" s="107"/>
      <c r="K27" s="85">
        <v>3</v>
      </c>
      <c r="L27" s="85" t="str" cm="1">
        <f t="array" ref="L27">IF($A27="","",_xlfn.LET(_xlpm.stat,CHOOSE({1,2,3,4,5},$P27,$T27,$X27,$AB27,$AF27),_xlpm.rate,CHOOSE({1,2,3,4,5},$R27,$V27,$Z27,$AD27,$AH27),_xlpm.trn,CHOOSE({1,2,3,4,5},$S27,$W27,$AA27,$AE27,$AI27),_xlpm.nsC,SUMPRODUCT(--(_xlpm.stat="Ready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DLR",IF(AND(_xlpm.actRS&gt;0,_xlpm.actDone&lt;_xlpm.actRS),"Training",IF(_xlpm.actRS&gt;0,"Active",IF(AND(_xlpm.decC&gt;0,_xlpm.inPlay+_xlpm.actC=0),"Dead",IF(AND($AJ27&lt;&gt;"",$AK27=FALSE),"Waiting on Dealer",IF(_xlpm.subC&gt;0,"Waiting on Lender",IF(AND(_xlpm.appC+_xlpm.actC&gt;0,_xlpm.nsC+_xlpm.wdC=0),"Rate Sheet","Application Submitted")))))))))</f>
        <v>Waiting on Dealer</v>
      </c>
      <c r="M27" s="101">
        <v>46248</v>
      </c>
      <c r="N27" s="101">
        <v>46280</v>
      </c>
      <c r="O27" s="196" t="s">
        <v>538</v>
      </c>
      <c r="P27" s="85" t="str">
        <f>IF($A27="","",IF($AK27=TRUE,"Ready 2 Submit","Waiting on Dealer"))</f>
        <v>Waiting on Dealer</v>
      </c>
      <c r="Q27" s="101"/>
      <c r="R27" s="85" t="s">
        <v>272</v>
      </c>
      <c r="S27" s="85" t="s">
        <v>272</v>
      </c>
      <c r="T27" s="85" t="s">
        <v>437</v>
      </c>
      <c r="U27" s="101"/>
      <c r="V27" s="85" t="s">
        <v>272</v>
      </c>
      <c r="W27" s="85" t="s">
        <v>272</v>
      </c>
      <c r="X27" s="85" t="str">
        <f>IF($A27="","",IF($AK27=TRUE,"Ready 2 Submit","Waiting on Dealer"))</f>
        <v>Waiting on Dealer</v>
      </c>
      <c r="Y27" s="101"/>
      <c r="Z27" s="85" t="s">
        <v>272</v>
      </c>
      <c r="AA27" s="85" t="s">
        <v>272</v>
      </c>
      <c r="AB27" s="85" t="s">
        <v>437</v>
      </c>
      <c r="AC27" s="101"/>
      <c r="AD27" s="85" t="s">
        <v>272</v>
      </c>
      <c r="AE27" s="85" t="s">
        <v>272</v>
      </c>
      <c r="AF27" s="85" t="s">
        <v>437</v>
      </c>
      <c r="AG27" s="101"/>
      <c r="AH27" s="85" t="s">
        <v>272</v>
      </c>
      <c r="AI27" s="85" t="s">
        <v>272</v>
      </c>
      <c r="AJ27" s="199" t="s">
        <v>637</v>
      </c>
      <c r="AK27" s="165" t="b">
        <v>0</v>
      </c>
      <c r="AL27" s="85" cm="1">
        <f t="array" ref="AL27">IF($A27="","",SUMPRODUCT((CHOOSE({1,2,3,4,5},$R27,$V27,$Z27,$AD27,$AH27)="Yes")*(((CHOOSE({1,2,3,4,5},$S27,$W27,$AA27,$AE27,$AI27)="Yes")+(CHOOSE({1,2,3,4,5},$S27,$W27,$AA27,$AE27,$AI27)=TRUE))&gt;0)))</f>
        <v>0</v>
      </c>
      <c r="AM27" s="101">
        <v>46266</v>
      </c>
      <c r="AN27" s="85">
        <f ca="1">IF(OR($A27="",$AM27=""),"",TODAY()-$AM27)</f>
        <v>22</v>
      </c>
      <c r="AO27" s="87"/>
      <c r="AP27" s="106"/>
      <c r="AQ27" s="106"/>
      <c r="AR27" s="106"/>
      <c r="AS27" s="106"/>
      <c r="AT27" s="106"/>
      <c r="AU27" s="106"/>
      <c r="AV27" s="106"/>
      <c r="AW27" s="106"/>
      <c r="AX27" s="106"/>
      <c r="AY27" s="106"/>
      <c r="BA27" s="20">
        <v>23</v>
      </c>
    </row>
    <row r="28" spans="1:53" s="20" customFormat="1" ht="57">
      <c r="A28" s="196" t="s">
        <v>638</v>
      </c>
      <c r="B28" s="99" t="s">
        <v>638</v>
      </c>
      <c r="C28" s="99"/>
      <c r="D28" s="197" t="s">
        <v>639</v>
      </c>
      <c r="E28" s="109" t="s">
        <v>640</v>
      </c>
      <c r="F28" s="194" t="s">
        <v>641</v>
      </c>
      <c r="G28" s="100" t="s">
        <v>465</v>
      </c>
      <c r="H28" s="194" t="s">
        <v>466</v>
      </c>
      <c r="I28" s="99" t="s">
        <v>642</v>
      </c>
      <c r="J28" s="107"/>
      <c r="K28" s="85">
        <v>1</v>
      </c>
      <c r="L28" s="85" t="str" cm="1">
        <f t="array" ref="L28">IF($A28="","",_xlfn.LET(_xlpm.stat,CHOOSE({1,2,3,4,5},$P28,$T28,$X28,$AB28,$AF28),_xlpm.rate,CHOOSE({1,2,3,4,5},$R28,$V28,$Z28,$AD28,$AH28),_xlpm.trn,CHOOSE({1,2,3,4,5},$S28,$W28,$AA28,$AE28,$AI28),_xlpm.nsC,SUMPRODUCT(--(_xlpm.stat="Ready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DLR",IF(AND(_xlpm.actRS&gt;0,_xlpm.actDone&lt;_xlpm.actRS),"Training",IF(_xlpm.actRS&gt;0,"Active",IF(AND(_xlpm.decC&gt;0,_xlpm.inPlay+_xlpm.actC=0),"Dead",IF(AND($AJ28&lt;&gt;"",$AK28=FALSE),"Waiting on Dealer",IF(_xlpm.subC&gt;0,"Waiting on Lender",IF(AND(_xlpm.appC+_xlpm.actC&gt;0,_xlpm.nsC+_xlpm.wdC=0),"Rate Sheet","Application Submitted")))))))))</f>
        <v>Waiting on Lender</v>
      </c>
      <c r="M28" s="101">
        <v>46249</v>
      </c>
      <c r="N28" s="101">
        <v>46280</v>
      </c>
      <c r="O28" s="196" t="s">
        <v>563</v>
      </c>
      <c r="P28" s="85" t="s">
        <v>457</v>
      </c>
      <c r="Q28" s="101">
        <v>46280</v>
      </c>
      <c r="R28" s="85" t="s">
        <v>272</v>
      </c>
      <c r="S28" s="85" t="s">
        <v>272</v>
      </c>
      <c r="T28" s="85" t="str">
        <f>IF($A28="","",IF($AK28=TRUE,"Ready 2 Submit","Waiting on Dealer"))</f>
        <v>Ready 2 Submit</v>
      </c>
      <c r="U28" s="101"/>
      <c r="V28" s="85" t="s">
        <v>272</v>
      </c>
      <c r="W28" s="85" t="s">
        <v>272</v>
      </c>
      <c r="X28" s="85" t="s">
        <v>457</v>
      </c>
      <c r="Y28" s="101">
        <v>46274</v>
      </c>
      <c r="Z28" s="85" t="s">
        <v>272</v>
      </c>
      <c r="AA28" s="85" t="s">
        <v>272</v>
      </c>
      <c r="AB28" s="85" t="s">
        <v>437</v>
      </c>
      <c r="AC28" s="101"/>
      <c r="AD28" s="85" t="s">
        <v>272</v>
      </c>
      <c r="AE28" s="85" t="s">
        <v>272</v>
      </c>
      <c r="AF28" s="85" t="s">
        <v>437</v>
      </c>
      <c r="AG28" s="101"/>
      <c r="AH28" s="85" t="s">
        <v>272</v>
      </c>
      <c r="AI28" s="85" t="s">
        <v>272</v>
      </c>
      <c r="AJ28" s="196" t="s">
        <v>643</v>
      </c>
      <c r="AK28" s="102" t="b">
        <v>1</v>
      </c>
      <c r="AL28" s="85" cm="1">
        <f t="array" ref="AL28">IF($A28="","",SUMPRODUCT((CHOOSE({1,2,3,4,5},$R28,$V28,$Z28,$AD28,$AH28)="Yes")*(((CHOOSE({1,2,3,4,5},$S28,$W28,$AA28,$AE28,$AI28)="Yes")+(CHOOSE({1,2,3,4,5},$S28,$W28,$AA28,$AE28,$AI28)=TRUE))&gt;0)))</f>
        <v>0</v>
      </c>
      <c r="AM28" s="101">
        <v>46268</v>
      </c>
      <c r="AN28" s="85">
        <f ca="1">IF(OR($A28="",$AM28=""),"",TODAY()-$AM28)</f>
        <v>20</v>
      </c>
      <c r="AO28" s="87"/>
      <c r="AP28" s="106"/>
      <c r="AQ28" s="106"/>
      <c r="AR28" s="106"/>
      <c r="AS28" s="106"/>
      <c r="AT28" s="106"/>
      <c r="AU28" s="106"/>
      <c r="AV28" s="106"/>
      <c r="AW28" s="106"/>
      <c r="AX28" s="106"/>
      <c r="AY28" s="106"/>
      <c r="BA28" s="20">
        <v>24</v>
      </c>
    </row>
    <row r="29" spans="1:53" s="20" customFormat="1" ht="57">
      <c r="A29" s="196" t="s">
        <v>644</v>
      </c>
      <c r="B29" s="99" t="s">
        <v>645</v>
      </c>
      <c r="C29" s="99"/>
      <c r="D29" s="197" t="s">
        <v>494</v>
      </c>
      <c r="E29" s="88" t="s">
        <v>495</v>
      </c>
      <c r="F29" s="194" t="s">
        <v>496</v>
      </c>
      <c r="G29" s="100" t="s">
        <v>646</v>
      </c>
      <c r="H29" s="194" t="s">
        <v>647</v>
      </c>
      <c r="I29" s="99" t="s">
        <v>537</v>
      </c>
      <c r="J29" s="107"/>
      <c r="K29" s="85"/>
      <c r="L29" s="85" t="str" cm="1">
        <f t="array" ref="L29">IF($A29="","",_xlfn.LET(_xlpm.stat,CHOOSE({1,2,3,4,5},$P29,$T29,$X29,$AB29,$AF29),_xlpm.rate,CHOOSE({1,2,3,4,5},$R29,$V29,$Z29,$AD29,$AH29),_xlpm.trn,CHOOSE({1,2,3,4,5},$S29,$W29,$AA29,$AE29,$AI29),_xlpm.nsC,SUMPRODUCT(--(_xlpm.stat="Ready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DLR",IF(AND(_xlpm.actRS&gt;0,_xlpm.actDone&lt;_xlpm.actRS),"Training",IF(_xlpm.actRS&gt;0,"Active",IF(AND(_xlpm.decC&gt;0,_xlpm.inPlay+_xlpm.actC=0),"Dead",IF(AND($AJ29&lt;&gt;"",$AK29=FALSE),"Waiting on Dealer",IF(_xlpm.subC&gt;0,"Waiting on Lender",IF(AND(_xlpm.appC+_xlpm.actC&gt;0,_xlpm.nsC+_xlpm.wdC=0),"Rate Sheet","Application Submitted")))))))))</f>
        <v>Waiting on Dealer</v>
      </c>
      <c r="M29" s="101">
        <v>46252</v>
      </c>
      <c r="N29" s="101">
        <v>46255</v>
      </c>
      <c r="O29" s="196"/>
      <c r="P29" s="85" t="s">
        <v>457</v>
      </c>
      <c r="Q29" s="101">
        <v>46274</v>
      </c>
      <c r="R29" s="85" t="s">
        <v>272</v>
      </c>
      <c r="S29" s="85" t="s">
        <v>272</v>
      </c>
      <c r="T29" s="85" t="s">
        <v>499</v>
      </c>
      <c r="U29" s="101">
        <v>46274</v>
      </c>
      <c r="V29" s="85" t="s">
        <v>272</v>
      </c>
      <c r="W29" s="85" t="s">
        <v>272</v>
      </c>
      <c r="X29" s="85" t="s">
        <v>457</v>
      </c>
      <c r="Y29" s="101">
        <v>46274</v>
      </c>
      <c r="Z29" s="85" t="s">
        <v>272</v>
      </c>
      <c r="AA29" s="85" t="s">
        <v>272</v>
      </c>
      <c r="AB29" s="85" t="s">
        <v>437</v>
      </c>
      <c r="AC29" s="101"/>
      <c r="AD29" s="85" t="s">
        <v>272</v>
      </c>
      <c r="AE29" s="85" t="s">
        <v>272</v>
      </c>
      <c r="AF29" s="85" t="s">
        <v>437</v>
      </c>
      <c r="AG29" s="101"/>
      <c r="AH29" s="85" t="s">
        <v>272</v>
      </c>
      <c r="AI29" s="85" t="s">
        <v>272</v>
      </c>
      <c r="AJ29" s="196" t="s">
        <v>3683</v>
      </c>
      <c r="AK29" s="102" t="b">
        <v>0</v>
      </c>
      <c r="AL29" s="85" cm="1">
        <f t="array" ref="AL29">IF($A29="","",SUMPRODUCT((CHOOSE({1,2,3,4,5},$R29,$V29,$Z29,$AD29,$AH29)="Yes")*(((CHOOSE({1,2,3,4,5},$S29,$W29,$AA29,$AE29,$AI29)="Yes")+(CHOOSE({1,2,3,4,5},$S29,$W29,$AA29,$AE29,$AI29)=TRUE))&gt;0)))</f>
        <v>0</v>
      </c>
      <c r="AM29" s="101">
        <v>46269</v>
      </c>
      <c r="AN29" s="85">
        <f ca="1">IF(OR($A29="",$AM29=""),"",TODAY()-$AM29)</f>
        <v>19</v>
      </c>
      <c r="AO29" s="87"/>
      <c r="AP29" s="106"/>
      <c r="AQ29" s="106"/>
      <c r="AR29" s="106"/>
      <c r="AS29" s="106"/>
      <c r="AT29" s="106"/>
      <c r="AU29" s="106"/>
      <c r="AV29" s="106"/>
      <c r="AW29" s="106"/>
      <c r="AX29" s="106"/>
      <c r="AY29" s="106"/>
      <c r="BA29" s="20">
        <v>25</v>
      </c>
    </row>
    <row r="30" spans="1:53" s="20" customFormat="1" ht="76.5">
      <c r="A30" s="196" t="s">
        <v>649</v>
      </c>
      <c r="B30" s="99" t="s">
        <v>650</v>
      </c>
      <c r="C30" s="99"/>
      <c r="D30" s="197" t="s">
        <v>651</v>
      </c>
      <c r="E30" s="88" t="s">
        <v>652</v>
      </c>
      <c r="F30" s="194" t="s">
        <v>653</v>
      </c>
      <c r="G30" s="100" t="s">
        <v>651</v>
      </c>
      <c r="H30" s="194" t="s">
        <v>654</v>
      </c>
      <c r="I30" s="99" t="s">
        <v>655</v>
      </c>
      <c r="J30" s="107"/>
      <c r="K30" s="85">
        <v>2</v>
      </c>
      <c r="L30" s="85" t="str" cm="1">
        <f t="array" ref="L30">IF($A30="","",_xlfn.LET(_xlpm.stat,CHOOSE({1,2,3,4,5},$P30,$T30,$X30,$AB30,$AF30),_xlpm.rate,CHOOSE({1,2,3,4,5},$R30,$V30,$Z30,$AD30,$AH30),_xlpm.trn,CHOOSE({1,2,3,4,5},$S30,$W30,$AA30,$AE30,$AI30),_xlpm.nsC,SUMPRODUCT(--(_xlpm.stat="Ready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DLR",IF(AND(_xlpm.actRS&gt;0,_xlpm.actDone&lt;_xlpm.actRS),"Training",IF(_xlpm.actRS&gt;0,"Active",IF(AND(_xlpm.decC&gt;0,_xlpm.inPlay+_xlpm.actC=0),"Dead",IF(AND($AJ30&lt;&gt;"",$AK30=FALSE),"Waiting on Dealer",IF(_xlpm.subC&gt;0,"Waiting on Lender",IF(AND(_xlpm.appC+_xlpm.actC&gt;0,_xlpm.nsC+_xlpm.wdC=0),"Rate Sheet","Application Submitted")))))))))</f>
        <v>Waiting on Lender</v>
      </c>
      <c r="M30" s="101">
        <v>46258</v>
      </c>
      <c r="N30" s="101">
        <v>46258</v>
      </c>
      <c r="O30" s="196" t="s">
        <v>656</v>
      </c>
      <c r="P30" s="85" t="s">
        <v>457</v>
      </c>
      <c r="Q30" s="101">
        <v>46274</v>
      </c>
      <c r="R30" s="85" t="s">
        <v>272</v>
      </c>
      <c r="S30" s="85" t="s">
        <v>272</v>
      </c>
      <c r="T30" s="85" t="s">
        <v>437</v>
      </c>
      <c r="U30" s="101"/>
      <c r="V30" s="85" t="s">
        <v>272</v>
      </c>
      <c r="W30" s="85" t="s">
        <v>272</v>
      </c>
      <c r="X30" s="85" t="s">
        <v>435</v>
      </c>
      <c r="Y30" s="101">
        <v>46274</v>
      </c>
      <c r="Z30" s="85" t="s">
        <v>272</v>
      </c>
      <c r="AA30" s="85" t="s">
        <v>272</v>
      </c>
      <c r="AB30" s="85" t="str">
        <f>IF($A30="","",IF($AK30=TRUE,"Ready 2 Submit","Waiting on Dealer"))</f>
        <v>Ready 2 Submit</v>
      </c>
      <c r="AC30" s="101"/>
      <c r="AD30" s="85" t="s">
        <v>272</v>
      </c>
      <c r="AE30" s="85" t="s">
        <v>272</v>
      </c>
      <c r="AF30" s="85" t="s">
        <v>437</v>
      </c>
      <c r="AG30" s="101"/>
      <c r="AH30" s="85" t="s">
        <v>272</v>
      </c>
      <c r="AI30" s="85" t="s">
        <v>272</v>
      </c>
      <c r="AJ30" s="196" t="s">
        <v>657</v>
      </c>
      <c r="AK30" s="102" t="b">
        <v>1</v>
      </c>
      <c r="AL30" s="85" cm="1">
        <f t="array" ref="AL30">IF($A30="","",SUMPRODUCT((CHOOSE({1,2,3,4,5},$R30,$V30,$Z30,$AD30,$AH30)="Yes")*(((CHOOSE({1,2,3,4,5},$S30,$W30,$AA30,$AE30,$AI30)="Yes")+(CHOOSE({1,2,3,4,5},$S30,$W30,$AA30,$AE30,$AI30)=TRUE))&gt;0)))</f>
        <v>0</v>
      </c>
      <c r="AM30" s="101">
        <v>46279</v>
      </c>
      <c r="AN30" s="85">
        <f ca="1">IF(OR($A30="",$AM30=""),"",TODAY()-$AM30)</f>
        <v>9</v>
      </c>
      <c r="AO30" s="87"/>
      <c r="AP30" s="106"/>
      <c r="AQ30" s="106"/>
      <c r="AR30" s="106"/>
      <c r="AS30" s="106"/>
      <c r="AT30" s="107" t="s">
        <v>658</v>
      </c>
      <c r="AU30" s="106"/>
      <c r="AV30" s="106"/>
      <c r="AW30" s="106"/>
      <c r="AX30" s="106"/>
      <c r="AY30" s="106"/>
      <c r="BA30" s="20">
        <v>26</v>
      </c>
    </row>
    <row r="31" spans="1:53" s="23" customFormat="1" ht="12.75" customHeight="1">
      <c r="A31" s="219" t="s">
        <v>659</v>
      </c>
      <c r="B31" s="216" t="s">
        <v>437</v>
      </c>
      <c r="C31" s="216"/>
      <c r="D31" s="216"/>
      <c r="E31" s="220"/>
      <c r="F31" s="216"/>
      <c r="G31" s="216" t="s">
        <v>509</v>
      </c>
      <c r="H31" s="210" t="s">
        <v>660</v>
      </c>
      <c r="I31" s="216" t="s">
        <v>661</v>
      </c>
      <c r="J31" s="221"/>
      <c r="K31" s="217"/>
      <c r="L31" s="217" t="str" cm="1">
        <f t="array" ref="L31">IF($A31="","",_xlfn.LET(_xlpm.stat,CHOOSE({1,2,3,4,5},$P31,$T31,$X31,$AB31,$AF31),_xlpm.rate,CHOOSE({1,2,3,4,5},$R31,$V31,$Z31,$AD31,$AH31),_xlpm.trn,CHOOSE({1,2,3,4,5},$S31,$W31,$AA31,$AE31,$AI31),_xlpm.nsC,SUMPRODUCT(--(_xlpm.stat="Ready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DLR",IF(AND(_xlpm.actRS&gt;0,_xlpm.actDone&lt;_xlpm.actRS),"Training",IF(_xlpm.actRS&gt;0,"Active",IF(AND(_xlpm.decC&gt;0,_xlpm.inPlay+_xlpm.actC=0),"Dead",IF(AND($AJ31&lt;&gt;"",$AK31=FALSE),"Waiting on Dealer",IF(_xlpm.subC&gt;0,"Waiting on Lender",IF(AND(_xlpm.appC+_xlpm.actC&gt;0,_xlpm.nsC+_xlpm.wdC=0),"Rate Sheet","Application Submitted")))))))))</f>
        <v>Dead</v>
      </c>
      <c r="M31" s="218">
        <v>46216</v>
      </c>
      <c r="N31" s="218">
        <v>46216</v>
      </c>
      <c r="O31" s="216" t="s">
        <v>662</v>
      </c>
      <c r="P31" s="217" t="s">
        <v>448</v>
      </c>
      <c r="Q31" s="218"/>
      <c r="R31" s="217" t="s">
        <v>436</v>
      </c>
      <c r="S31" s="217" t="s">
        <v>436</v>
      </c>
      <c r="T31" s="217" t="s">
        <v>448</v>
      </c>
      <c r="U31" s="218"/>
      <c r="V31" s="217" t="s">
        <v>272</v>
      </c>
      <c r="W31" s="217" t="s">
        <v>272</v>
      </c>
      <c r="X31" s="217" t="s">
        <v>448</v>
      </c>
      <c r="Y31" s="218"/>
      <c r="Z31" s="217" t="s">
        <v>272</v>
      </c>
      <c r="AA31" s="217" t="s">
        <v>272</v>
      </c>
      <c r="AB31" s="217" t="s">
        <v>437</v>
      </c>
      <c r="AC31" s="218"/>
      <c r="AD31" s="217" t="s">
        <v>272</v>
      </c>
      <c r="AE31" s="217" t="s">
        <v>272</v>
      </c>
      <c r="AF31" s="217" t="s">
        <v>437</v>
      </c>
      <c r="AG31" s="218"/>
      <c r="AH31" s="217" t="s">
        <v>272</v>
      </c>
      <c r="AI31" s="217" t="s">
        <v>272</v>
      </c>
      <c r="AJ31" s="216" t="s">
        <v>490</v>
      </c>
      <c r="AK31" s="222" t="b">
        <v>1</v>
      </c>
      <c r="AL31" s="217" cm="1">
        <f t="array" ref="AL31">IF($A31="","",SUMPRODUCT((CHOOSE({1,2,3,4,5},$R31,$V31,$Z31,$AD31,$AH31)="Yes")*(((CHOOSE({1,2,3,4,5},$S31,$W31,$AA31,$AE31,$AI31)="Yes")+(CHOOSE({1,2,3,4,5},$S31,$W31,$AA31,$AE31,$AI31)=TRUE))&gt;0)))</f>
        <v>1</v>
      </c>
      <c r="AM31" s="218"/>
      <c r="AN31" s="217" t="str">
        <f ca="1">IF(OR($A31="",$AM31=""),"",TODAY()-$AM31)</f>
        <v/>
      </c>
      <c r="AO31" s="216"/>
      <c r="AP31" s="214"/>
      <c r="AQ31" s="214"/>
      <c r="AR31" s="214"/>
      <c r="AS31" s="214"/>
      <c r="AT31" s="214"/>
      <c r="AU31" s="214"/>
      <c r="AV31" s="214"/>
      <c r="AW31" s="214"/>
      <c r="AX31" s="214"/>
      <c r="AY31" s="214"/>
      <c r="BA31" s="23">
        <v>27</v>
      </c>
    </row>
    <row r="32" spans="1:53" s="20" customFormat="1" ht="38.25">
      <c r="A32" s="196" t="s">
        <v>663</v>
      </c>
      <c r="B32" s="99" t="s">
        <v>664</v>
      </c>
      <c r="C32" s="99"/>
      <c r="D32" s="197" t="s">
        <v>665</v>
      </c>
      <c r="E32" s="88" t="s">
        <v>666</v>
      </c>
      <c r="F32" s="194" t="s">
        <v>667</v>
      </c>
      <c r="G32" s="100" t="s">
        <v>465</v>
      </c>
      <c r="H32" s="194" t="s">
        <v>466</v>
      </c>
      <c r="I32" s="99" t="s">
        <v>497</v>
      </c>
      <c r="J32" s="107"/>
      <c r="K32" s="85"/>
      <c r="L32" s="85" t="str" cm="1">
        <f t="array" ref="L32">IF($A32="","",_xlfn.LET(_xlpm.stat,CHOOSE({1,2,3,4,5},$P32,$T32,$X32,$AB32,$AF32),_xlpm.rate,CHOOSE({1,2,3,4,5},$R32,$V32,$Z32,$AD32,$AH32),_xlpm.trn,CHOOSE({1,2,3,4,5},$S32,$W32,$AA32,$AE32,$AI32),_xlpm.nsC,SUMPRODUCT(--(_xlpm.stat="Ready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DLR",IF(AND(_xlpm.actRS&gt;0,_xlpm.actDone&lt;_xlpm.actRS),"Training",IF(_xlpm.actRS&gt;0,"Active",IF(AND(_xlpm.decC&gt;0,_xlpm.inPlay+_xlpm.actC=0),"Dead",IF(AND($AJ32&lt;&gt;"",$AK32=FALSE),"Waiting on Dealer",IF(_xlpm.subC&gt;0,"Waiting on Lender",IF(AND(_xlpm.appC+_xlpm.actC&gt;0,_xlpm.nsC+_xlpm.wdC=0),"Rate Sheet","Application Submitted")))))))))</f>
        <v>Active</v>
      </c>
      <c r="M32" s="101">
        <v>46153</v>
      </c>
      <c r="N32" s="101">
        <v>46280</v>
      </c>
      <c r="O32" s="196" t="s">
        <v>668</v>
      </c>
      <c r="P32" s="85" t="s">
        <v>437</v>
      </c>
      <c r="Q32" s="101"/>
      <c r="R32" s="85" t="s">
        <v>272</v>
      </c>
      <c r="S32" s="85" t="s">
        <v>272</v>
      </c>
      <c r="T32" s="85" t="s">
        <v>437</v>
      </c>
      <c r="U32" s="101"/>
      <c r="V32" s="85" t="s">
        <v>272</v>
      </c>
      <c r="W32" s="85" t="s">
        <v>272</v>
      </c>
      <c r="X32" s="85" t="s">
        <v>435</v>
      </c>
      <c r="Y32" s="101">
        <v>46274</v>
      </c>
      <c r="Z32" s="85" t="s">
        <v>436</v>
      </c>
      <c r="AA32" s="85" t="s">
        <v>436</v>
      </c>
      <c r="AB32" s="85" t="str">
        <f>IF($A32="","",IF($AK32=TRUE,"Ready 2 Submit","Waiting on Dealer"))</f>
        <v>Waiting on Dealer</v>
      </c>
      <c r="AC32" s="101"/>
      <c r="AD32" s="85" t="s">
        <v>272</v>
      </c>
      <c r="AE32" s="85" t="s">
        <v>272</v>
      </c>
      <c r="AF32" s="85" t="s">
        <v>437</v>
      </c>
      <c r="AG32" s="101"/>
      <c r="AH32" s="85" t="s">
        <v>272</v>
      </c>
      <c r="AI32" s="85" t="s">
        <v>272</v>
      </c>
      <c r="AJ32" s="196" t="s">
        <v>669</v>
      </c>
      <c r="AK32" s="102" t="b">
        <v>0</v>
      </c>
      <c r="AL32" s="85" cm="1">
        <f t="array" ref="AL32">IF($A32="","",SUMPRODUCT((CHOOSE({1,2,3,4,5},$R32,$V32,$Z32,$AD32,$AH32)="Yes")*(((CHOOSE({1,2,3,4,5},$S32,$W32,$AA32,$AE32,$AI32)="Yes")+(CHOOSE({1,2,3,4,5},$S32,$W32,$AA32,$AE32,$AI32)=TRUE))&gt;0)))</f>
        <v>1</v>
      </c>
      <c r="AM32" s="101">
        <v>46281</v>
      </c>
      <c r="AN32" s="85">
        <f ca="1">IF(OR($A32="",$AM32=""),"",TODAY()-$AM32)</f>
        <v>7</v>
      </c>
      <c r="AO32" s="87"/>
      <c r="AP32" s="106"/>
      <c r="AQ32" s="106"/>
      <c r="AR32" s="106"/>
      <c r="AS32" s="106"/>
      <c r="AT32" s="107" t="s">
        <v>670</v>
      </c>
      <c r="AU32" s="106"/>
      <c r="AV32" s="106"/>
      <c r="AW32" s="106"/>
      <c r="AX32" s="106"/>
      <c r="AY32" s="106"/>
      <c r="BA32" s="20">
        <v>28</v>
      </c>
    </row>
    <row r="33" spans="1:53" s="20" customFormat="1" ht="95.25">
      <c r="A33" s="197" t="s">
        <v>671</v>
      </c>
      <c r="B33" s="87" t="s">
        <v>671</v>
      </c>
      <c r="C33" s="87"/>
      <c r="D33" s="197" t="s">
        <v>672</v>
      </c>
      <c r="E33" s="88" t="s">
        <v>673</v>
      </c>
      <c r="F33" s="194" t="s">
        <v>674</v>
      </c>
      <c r="G33" s="87" t="s">
        <v>675</v>
      </c>
      <c r="H33" s="194" t="s">
        <v>676</v>
      </c>
      <c r="I33" s="99" t="s">
        <v>537</v>
      </c>
      <c r="J33" s="107"/>
      <c r="K33" s="85">
        <v>1</v>
      </c>
      <c r="L33" s="85" t="str" cm="1">
        <f t="array" ref="L33">IF($A33="","",_xlfn.LET(_xlpm.stat,CHOOSE({1,2,3,4,5},$P33,$T33,$X33,$AB33,$AF33),_xlpm.rate,CHOOSE({1,2,3,4,5},$R33,$V33,$Z33,$AD33,$AH33),_xlpm.trn,CHOOSE({1,2,3,4,5},$S33,$W33,$AA33,$AE33,$AI33),_xlpm.nsC,SUMPRODUCT(--(_xlpm.stat="Ready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DLR",IF(AND(_xlpm.actRS&gt;0,_xlpm.actDone&lt;_xlpm.actRS),"Training",IF(_xlpm.actRS&gt;0,"Active",IF(AND(_xlpm.decC&gt;0,_xlpm.inPlay+_xlpm.actC=0),"Dead",IF(AND($AJ33&lt;&gt;"",$AK33=FALSE),"Waiting on Dealer",IF(_xlpm.subC&gt;0,"Waiting on Lender",IF(AND(_xlpm.appC+_xlpm.actC&gt;0,_xlpm.nsC+_xlpm.wdC=0),"Rate Sheet","Application Submitted")))))))))</f>
        <v>Waiting on Dealer</v>
      </c>
      <c r="M33" s="101">
        <v>46262</v>
      </c>
      <c r="N33" s="101">
        <v>46280</v>
      </c>
      <c r="O33" s="196" t="s">
        <v>553</v>
      </c>
      <c r="P33" s="85" t="s">
        <v>499</v>
      </c>
      <c r="Q33" s="101">
        <v>46274</v>
      </c>
      <c r="R33" s="85" t="s">
        <v>272</v>
      </c>
      <c r="S33" s="85" t="s">
        <v>272</v>
      </c>
      <c r="T33" s="85" t="s">
        <v>435</v>
      </c>
      <c r="U33" s="101">
        <v>46274</v>
      </c>
      <c r="V33" s="85" t="s">
        <v>272</v>
      </c>
      <c r="W33" s="85" t="s">
        <v>272</v>
      </c>
      <c r="X33" s="85" t="s">
        <v>457</v>
      </c>
      <c r="Y33" s="101">
        <v>46274</v>
      </c>
      <c r="Z33" s="85" t="s">
        <v>272</v>
      </c>
      <c r="AA33" s="85" t="s">
        <v>272</v>
      </c>
      <c r="AB33" s="85" t="s">
        <v>437</v>
      </c>
      <c r="AC33" s="101"/>
      <c r="AD33" s="85" t="s">
        <v>272</v>
      </c>
      <c r="AE33" s="85" t="s">
        <v>272</v>
      </c>
      <c r="AF33" s="85" t="s">
        <v>437</v>
      </c>
      <c r="AG33" s="101"/>
      <c r="AH33" s="85" t="s">
        <v>272</v>
      </c>
      <c r="AI33" s="85" t="s">
        <v>272</v>
      </c>
      <c r="AJ33" s="196" t="s">
        <v>3684</v>
      </c>
      <c r="AK33" s="102" t="b">
        <v>0</v>
      </c>
      <c r="AL33" s="85" cm="1">
        <f t="array" ref="AL33">IF($A33="","",SUMPRODUCT((CHOOSE({1,2,3,4,5},$R33,$V33,$Z33,$AD33,$AH33)="Yes")*(((CHOOSE({1,2,3,4,5},$S33,$W33,$AA33,$AE33,$AI33)="Yes")+(CHOOSE({1,2,3,4,5},$S33,$W33,$AA33,$AE33,$AI33)=TRUE))&gt;0)))</f>
        <v>0</v>
      </c>
      <c r="AM33" s="101">
        <v>46266</v>
      </c>
      <c r="AN33" s="85">
        <f ca="1">IF(OR($A33="",$AM33=""),"",TODAY()-$AM33)</f>
        <v>22</v>
      </c>
      <c r="AO33" s="87"/>
      <c r="AP33" s="168">
        <v>815134282</v>
      </c>
      <c r="AQ33" s="106"/>
      <c r="AR33" s="106" t="s">
        <v>679</v>
      </c>
      <c r="AS33" s="106"/>
      <c r="AT33" s="106"/>
      <c r="AU33" s="106"/>
      <c r="AV33" s="106"/>
      <c r="AW33" s="106"/>
      <c r="AX33" s="106"/>
      <c r="AY33" s="106"/>
      <c r="BA33" s="20">
        <v>29</v>
      </c>
    </row>
    <row r="34" spans="1:53" s="20" customFormat="1" ht="38.25">
      <c r="A34" s="196" t="s">
        <v>680</v>
      </c>
      <c r="B34" s="99" t="s">
        <v>680</v>
      </c>
      <c r="C34" s="99"/>
      <c r="D34" s="197" t="s">
        <v>681</v>
      </c>
      <c r="E34" s="88" t="s">
        <v>682</v>
      </c>
      <c r="F34" s="194" t="s">
        <v>683</v>
      </c>
      <c r="G34" s="100" t="s">
        <v>684</v>
      </c>
      <c r="H34" s="194" t="s">
        <v>685</v>
      </c>
      <c r="I34" s="99" t="s">
        <v>497</v>
      </c>
      <c r="J34" s="107"/>
      <c r="K34" s="85">
        <v>3</v>
      </c>
      <c r="L34" s="85" t="str" cm="1">
        <f t="array" ref="L34">IF($A34="","",_xlfn.LET(_xlpm.stat,CHOOSE({1,2,3,4,5},$P34,$T34,$X34,$AB34,$AF34),_xlpm.rate,CHOOSE({1,2,3,4,5},$R34,$V34,$Z34,$AD34,$AH34),_xlpm.trn,CHOOSE({1,2,3,4,5},$S34,$W34,$AA34,$AE34,$AI34),_xlpm.nsC,SUMPRODUCT(--(_xlpm.stat="Ready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DLR",IF(AND(_xlpm.actRS&gt;0,_xlpm.actDone&lt;_xlpm.actRS),"Training",IF(_xlpm.actRS&gt;0,"Active",IF(AND(_xlpm.decC&gt;0,_xlpm.inPlay+_xlpm.actC=0),"Dead",IF(AND($AJ34&lt;&gt;"",$AK34=FALSE),"Waiting on Dealer",IF(_xlpm.subC&gt;0,"Waiting on Lender",IF(AND(_xlpm.appC+_xlpm.actC&gt;0,_xlpm.nsC+_xlpm.wdC=0),"Rate Sheet","Application Submitted")))))))))</f>
        <v>Active</v>
      </c>
      <c r="M34" s="101">
        <v>46266</v>
      </c>
      <c r="N34" s="101">
        <v>46280</v>
      </c>
      <c r="O34" s="196" t="s">
        <v>686</v>
      </c>
      <c r="P34" s="85" t="s">
        <v>448</v>
      </c>
      <c r="Q34" s="101">
        <v>46274</v>
      </c>
      <c r="R34" s="85" t="s">
        <v>272</v>
      </c>
      <c r="S34" s="85" t="s">
        <v>272</v>
      </c>
      <c r="T34" s="85" t="s">
        <v>448</v>
      </c>
      <c r="U34" s="101">
        <v>46279</v>
      </c>
      <c r="V34" s="85" t="s">
        <v>272</v>
      </c>
      <c r="W34" s="85" t="s">
        <v>272</v>
      </c>
      <c r="X34" s="85" t="s">
        <v>457</v>
      </c>
      <c r="Y34" s="101">
        <v>46274</v>
      </c>
      <c r="Z34" s="85" t="s">
        <v>272</v>
      </c>
      <c r="AA34" s="85" t="s">
        <v>272</v>
      </c>
      <c r="AB34" s="85" t="s">
        <v>435</v>
      </c>
      <c r="AC34" s="101">
        <v>46274</v>
      </c>
      <c r="AD34" s="85" t="s">
        <v>436</v>
      </c>
      <c r="AE34" s="85" t="s">
        <v>436</v>
      </c>
      <c r="AF34" s="85" t="s">
        <v>437</v>
      </c>
      <c r="AG34" s="101"/>
      <c r="AH34" s="85" t="s">
        <v>272</v>
      </c>
      <c r="AI34" s="85" t="s">
        <v>272</v>
      </c>
      <c r="AJ34" s="196" t="s">
        <v>3685</v>
      </c>
      <c r="AK34" s="102" t="b">
        <v>1</v>
      </c>
      <c r="AL34" s="85" cm="1">
        <f t="array" ref="AL34">IF($A34="","",SUMPRODUCT((CHOOSE({1,2,3,4,5},$R34,$V34,$Z34,$AD34,$AH34)="Yes")*(((CHOOSE({1,2,3,4,5},$S34,$W34,$AA34,$AE34,$AI34)="Yes")+(CHOOSE({1,2,3,4,5},$S34,$W34,$AA34,$AE34,$AI34)=TRUE))&gt;0)))</f>
        <v>1</v>
      </c>
      <c r="AM34" s="101">
        <v>46276</v>
      </c>
      <c r="AN34" s="85">
        <f ca="1">IF(OR($A34="",$AM34=""),"",TODAY()-$AM34)</f>
        <v>12</v>
      </c>
      <c r="AO34" s="103"/>
      <c r="AP34" s="104"/>
      <c r="AQ34" s="105"/>
      <c r="AR34" s="104"/>
      <c r="AS34" s="105"/>
      <c r="AT34" s="104"/>
      <c r="AU34" s="105"/>
      <c r="AV34" s="105"/>
      <c r="AW34" s="105"/>
      <c r="AX34" s="105"/>
      <c r="AY34" s="105"/>
      <c r="BA34" s="20">
        <v>30</v>
      </c>
    </row>
    <row r="35" spans="1:53" s="20" customFormat="1" ht="38.25">
      <c r="A35" s="196" t="s">
        <v>688</v>
      </c>
      <c r="B35" s="99" t="s">
        <v>688</v>
      </c>
      <c r="C35" s="99"/>
      <c r="D35" s="197" t="s">
        <v>689</v>
      </c>
      <c r="E35" s="88" t="s">
        <v>690</v>
      </c>
      <c r="F35" s="194" t="s">
        <v>691</v>
      </c>
      <c r="G35" s="100" t="s">
        <v>675</v>
      </c>
      <c r="H35" s="194" t="s">
        <v>692</v>
      </c>
      <c r="I35" s="99" t="s">
        <v>497</v>
      </c>
      <c r="J35" s="107"/>
      <c r="K35" s="85">
        <v>2</v>
      </c>
      <c r="L35" s="85" t="str" cm="1">
        <f t="array" ref="L35">IF($A35="","",_xlfn.LET(_xlpm.stat,CHOOSE({1,2,3,4,5},$P35,$T35,$X35,$AB35,$AF35),_xlpm.rate,CHOOSE({1,2,3,4,5},$R35,$V35,$Z35,$AD35,$AH35),_xlpm.trn,CHOOSE({1,2,3,4,5},$S35,$W35,$AA35,$AE35,$AI35),_xlpm.nsC,SUMPRODUCT(--(_xlpm.stat="Ready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DLR",IF(AND(_xlpm.actRS&gt;0,_xlpm.actDone&lt;_xlpm.actRS),"Training",IF(_xlpm.actRS&gt;0,"Active",IF(AND(_xlpm.decC&gt;0,_xlpm.inPlay+_xlpm.actC=0),"Dead",IF(AND($AJ35&lt;&gt;"",$AK35=FALSE),"Waiting on Dealer",IF(_xlpm.subC&gt;0,"Waiting on Lender",IF(AND(_xlpm.appC+_xlpm.actC&gt;0,_xlpm.nsC+_xlpm.wdC=0),"Rate Sheet","Application Submitted")))))))))</f>
        <v>Waiting on Dealer</v>
      </c>
      <c r="M35" s="101">
        <v>46268</v>
      </c>
      <c r="N35" s="101">
        <v>46280</v>
      </c>
      <c r="O35" s="196" t="s">
        <v>693</v>
      </c>
      <c r="P35" s="85" t="str">
        <f>IF($A35="","",IF($AK35=TRUE,"Ready 2 Submit","Waiting on Dealer"))</f>
        <v>Waiting on Dealer</v>
      </c>
      <c r="Q35" s="101"/>
      <c r="R35" s="85" t="s">
        <v>272</v>
      </c>
      <c r="S35" s="85" t="s">
        <v>272</v>
      </c>
      <c r="T35" s="85" t="str">
        <f>IF($A35="","",IF($AK35=TRUE,"Ready 2 Submit","Waiting on Dealer"))</f>
        <v>Waiting on Dealer</v>
      </c>
      <c r="U35" s="101"/>
      <c r="V35" s="85" t="s">
        <v>272</v>
      </c>
      <c r="W35" s="85" t="s">
        <v>272</v>
      </c>
      <c r="X35" s="85" t="str">
        <f>IF($A35="","",IF($AK35=TRUE,"Ready 2 Submit","Waiting on Dealer"))</f>
        <v>Waiting on Dealer</v>
      </c>
      <c r="Y35" s="101"/>
      <c r="Z35" s="85" t="s">
        <v>272</v>
      </c>
      <c r="AA35" s="85" t="s">
        <v>272</v>
      </c>
      <c r="AB35" s="85" t="str">
        <f>IF($A35="","",IF($AK35=TRUE,"Ready 2 Submit","Waiting on Dealer"))</f>
        <v>Waiting on Dealer</v>
      </c>
      <c r="AC35" s="101"/>
      <c r="AD35" s="85" t="s">
        <v>272</v>
      </c>
      <c r="AE35" s="85" t="s">
        <v>272</v>
      </c>
      <c r="AF35" s="85" t="s">
        <v>437</v>
      </c>
      <c r="AG35" s="101"/>
      <c r="AH35" s="85" t="s">
        <v>272</v>
      </c>
      <c r="AI35" s="85" t="s">
        <v>272</v>
      </c>
      <c r="AJ35" s="196" t="s">
        <v>694</v>
      </c>
      <c r="AK35" s="102" t="b">
        <v>0</v>
      </c>
      <c r="AL35" s="85" cm="1">
        <f t="array" ref="AL35">IF($A35="","",SUMPRODUCT((CHOOSE({1,2,3,4,5},$R35,$V35,$Z35,$AD35,$AH35)="Yes")*(((CHOOSE({1,2,3,4,5},$S35,$W35,$AA35,$AE35,$AI35)="Yes")+(CHOOSE({1,2,3,4,5},$S35,$W35,$AA35,$AE35,$AI35)=TRUE))&gt;0)))</f>
        <v>0</v>
      </c>
      <c r="AM35" s="101">
        <v>46268</v>
      </c>
      <c r="AN35" s="85">
        <f ca="1">IF(OR($A35="",$AM35=""),"",TODAY()-$AM35)</f>
        <v>20</v>
      </c>
      <c r="AO35" s="103"/>
      <c r="AP35" s="104"/>
      <c r="AQ35" s="105"/>
      <c r="AR35" s="104"/>
      <c r="AS35" s="105"/>
      <c r="AT35" s="104"/>
      <c r="AU35" s="105"/>
      <c r="AV35" s="106"/>
      <c r="AW35" s="106"/>
      <c r="AX35" s="106"/>
      <c r="AY35" s="106"/>
      <c r="BA35" s="20">
        <v>31</v>
      </c>
    </row>
    <row r="36" spans="1:53" s="20" customFormat="1" ht="19.5">
      <c r="A36" s="196" t="s">
        <v>695</v>
      </c>
      <c r="B36" s="99" t="s">
        <v>695</v>
      </c>
      <c r="C36" s="99"/>
      <c r="D36" s="197" t="s">
        <v>696</v>
      </c>
      <c r="E36" s="88">
        <v>8016953085</v>
      </c>
      <c r="F36" s="194" t="s">
        <v>697</v>
      </c>
      <c r="G36" s="100" t="s">
        <v>611</v>
      </c>
      <c r="H36" s="194" t="s">
        <v>612</v>
      </c>
      <c r="I36" s="99" t="s">
        <v>537</v>
      </c>
      <c r="J36" s="107"/>
      <c r="K36" s="85">
        <v>3</v>
      </c>
      <c r="L36" s="85" t="str" cm="1">
        <f t="array" ref="L36">IF($A36="","",_xlfn.LET(_xlpm.stat,CHOOSE({1,2,3,4,5},$P36,$T36,$X36,$AB36,$AF36),_xlpm.rate,CHOOSE({1,2,3,4,5},$R36,$V36,$Z36,$AD36,$AH36),_xlpm.trn,CHOOSE({1,2,3,4,5},$S36,$W36,$AA36,$AE36,$AI36),_xlpm.nsC,SUMPRODUCT(--(_xlpm.stat="Ready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DLR",IF(AND(_xlpm.actRS&gt;0,_xlpm.actDone&lt;_xlpm.actRS),"Training",IF(_xlpm.actRS&gt;0,"Active",IF(AND(_xlpm.decC&gt;0,_xlpm.inPlay+_xlpm.actC=0),"Dead",IF(AND($AJ36&lt;&gt;"",$AK36=FALSE),"Waiting on Dealer",IF(_xlpm.subC&gt;0,"Waiting on Lender",IF(AND(_xlpm.appC+_xlpm.actC&gt;0,_xlpm.nsC+_xlpm.wdC=0),"Rate Sheet","Application Submitted")))))))))</f>
        <v>Waiting on Dealer</v>
      </c>
      <c r="M36" s="101">
        <v>46272</v>
      </c>
      <c r="N36" s="101">
        <v>46280</v>
      </c>
      <c r="O36" s="196" t="s">
        <v>538</v>
      </c>
      <c r="P36" s="85" t="s">
        <v>457</v>
      </c>
      <c r="Q36" s="101">
        <v>46274</v>
      </c>
      <c r="R36" s="85" t="s">
        <v>272</v>
      </c>
      <c r="S36" s="85" t="s">
        <v>272</v>
      </c>
      <c r="T36" s="85" t="s">
        <v>513</v>
      </c>
      <c r="U36" s="101"/>
      <c r="V36" s="85" t="s">
        <v>272</v>
      </c>
      <c r="W36" s="85" t="s">
        <v>272</v>
      </c>
      <c r="X36" s="85" t="s">
        <v>457</v>
      </c>
      <c r="Y36" s="101">
        <v>46274</v>
      </c>
      <c r="Z36" s="85" t="s">
        <v>272</v>
      </c>
      <c r="AA36" s="85" t="s">
        <v>272</v>
      </c>
      <c r="AB36" s="85" t="s">
        <v>437</v>
      </c>
      <c r="AC36" s="101"/>
      <c r="AD36" s="85" t="s">
        <v>272</v>
      </c>
      <c r="AE36" s="85" t="s">
        <v>272</v>
      </c>
      <c r="AF36" s="85" t="s">
        <v>437</v>
      </c>
      <c r="AG36" s="101"/>
      <c r="AH36" s="85" t="s">
        <v>272</v>
      </c>
      <c r="AI36" s="85" t="s">
        <v>272</v>
      </c>
      <c r="AJ36" s="196" t="s">
        <v>698</v>
      </c>
      <c r="AK36" s="102" t="b">
        <v>0</v>
      </c>
      <c r="AL36" s="85" cm="1">
        <f t="array" ref="AL36">IF($A36="","",SUMPRODUCT((CHOOSE({1,2,3,4,5},$R36,$V36,$Z36,$AD36,$AH36)="Yes")*(((CHOOSE({1,2,3,4,5},$S36,$W36,$AA36,$AE36,$AI36)="Yes")+(CHOOSE({1,2,3,4,5},$S36,$W36,$AA36,$AE36,$AI36)=TRUE))&gt;0)))</f>
        <v>0</v>
      </c>
      <c r="AM36" s="101"/>
      <c r="AN36" s="85" t="str">
        <f ca="1">IF(OR($A36="",$AM36=""),"",TODAY()-$AM36)</f>
        <v/>
      </c>
      <c r="AO36" s="103"/>
      <c r="AP36" s="104"/>
      <c r="AQ36" s="105"/>
      <c r="AR36" s="104"/>
      <c r="AS36" s="105"/>
      <c r="AT36" s="104"/>
      <c r="AU36" s="106"/>
      <c r="AV36" s="106"/>
      <c r="AW36" s="106"/>
      <c r="AX36" s="106"/>
      <c r="AY36" s="106"/>
      <c r="BA36" s="20">
        <v>32</v>
      </c>
    </row>
    <row r="37" spans="1:53" s="20" customFormat="1" ht="38.25">
      <c r="A37" s="196" t="s">
        <v>700</v>
      </c>
      <c r="B37" s="99" t="s">
        <v>700</v>
      </c>
      <c r="C37" s="99" t="s">
        <v>485</v>
      </c>
      <c r="D37" s="197" t="s">
        <v>701</v>
      </c>
      <c r="E37" s="88" t="s">
        <v>702</v>
      </c>
      <c r="F37" s="203" t="s">
        <v>703</v>
      </c>
      <c r="G37" s="100" t="s">
        <v>248</v>
      </c>
      <c r="H37" s="194" t="s">
        <v>249</v>
      </c>
      <c r="I37" s="99" t="s">
        <v>537</v>
      </c>
      <c r="J37" s="107" t="s">
        <v>704</v>
      </c>
      <c r="K37" s="85">
        <v>1</v>
      </c>
      <c r="L37" s="85" t="str" cm="1">
        <f t="array" ref="L37">IF($A37="","",_xlfn.LET(_xlpm.stat,CHOOSE({1,2,3,4,5},$P37,$T37,$X37,$AB37,$AF37),_xlpm.rate,CHOOSE({1,2,3,4,5},$R37,$V37,$Z37,$AD37,$AH37),_xlpm.trn,CHOOSE({1,2,3,4,5},$S37,$W37,$AA37,$AE37,$AI37),_xlpm.nsC,SUMPRODUCT(--(_xlpm.stat="Ready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DLR",IF(AND(_xlpm.actRS&gt;0,_xlpm.actDone&lt;_xlpm.actRS),"Training",IF(_xlpm.actRS&gt;0,"Active",IF(AND(_xlpm.decC&gt;0,_xlpm.inPlay+_xlpm.actC=0),"Dead",IF(AND($AJ37&lt;&gt;"",$AK37=FALSE),"Waiting on Dealer",IF(_xlpm.subC&gt;0,"Waiting on Lender",IF(AND(_xlpm.appC+_xlpm.actC&gt;0,_xlpm.nsC+_xlpm.wdC=0),"Rate Sheet","Application Submitted")))))))))</f>
        <v>Waiting on Dealer</v>
      </c>
      <c r="M37" s="101">
        <v>46274</v>
      </c>
      <c r="N37" s="101">
        <v>46280</v>
      </c>
      <c r="O37" s="196" t="s">
        <v>563</v>
      </c>
      <c r="P37" s="85" t="str">
        <f>IF($A37="","",IF($AK37=TRUE,"Ready 2 Submit","Waiting on Dealer"))</f>
        <v>Waiting on Dealer</v>
      </c>
      <c r="Q37" s="101"/>
      <c r="R37" s="85" t="s">
        <v>272</v>
      </c>
      <c r="S37" s="85" t="s">
        <v>272</v>
      </c>
      <c r="T37" s="85" t="str">
        <f>IF($A37="","",IF($AK37=TRUE,"Ready 2 Submit","Waiting on Dealer"))</f>
        <v>Waiting on Dealer</v>
      </c>
      <c r="U37" s="101"/>
      <c r="V37" s="85" t="s">
        <v>272</v>
      </c>
      <c r="W37" s="85" t="s">
        <v>272</v>
      </c>
      <c r="X37" s="85" t="str">
        <f>IF($A37="","",IF($AK37=TRUE,"Ready 2 Submit","Waiting on Dealer"))</f>
        <v>Waiting on Dealer</v>
      </c>
      <c r="Y37" s="101"/>
      <c r="Z37" s="85" t="s">
        <v>272</v>
      </c>
      <c r="AA37" s="85" t="s">
        <v>272</v>
      </c>
      <c r="AB37" s="85" t="s">
        <v>437</v>
      </c>
      <c r="AC37" s="101"/>
      <c r="AD37" s="85" t="s">
        <v>272</v>
      </c>
      <c r="AE37" s="85" t="s">
        <v>272</v>
      </c>
      <c r="AF37" s="85" t="s">
        <v>437</v>
      </c>
      <c r="AG37" s="101"/>
      <c r="AH37" s="85" t="s">
        <v>272</v>
      </c>
      <c r="AI37" s="85" t="s">
        <v>272</v>
      </c>
      <c r="AJ37" s="196" t="s">
        <v>705</v>
      </c>
      <c r="AK37" s="102" t="b">
        <v>0</v>
      </c>
      <c r="AL37" s="85" cm="1">
        <f t="array" ref="AL37">IF($A37="","",SUMPRODUCT((CHOOSE({1,2,3,4,5},$R37,$V37,$Z37,$AD37,$AH37)="Yes")*(((CHOOSE({1,2,3,4,5},$S37,$W37,$AA37,$AE37,$AI37)="Yes")+(CHOOSE({1,2,3,4,5},$S37,$W37,$AA37,$AE37,$AI37)=TRUE))&gt;0)))</f>
        <v>0</v>
      </c>
      <c r="AM37" s="101">
        <v>46280</v>
      </c>
      <c r="AN37" s="85">
        <f ca="1">IF(OR($A37="",$AM37=""),"",TODAY()-$AM37)</f>
        <v>8</v>
      </c>
      <c r="AO37" s="103"/>
      <c r="AP37" s="104"/>
      <c r="AQ37" s="105"/>
      <c r="AR37" s="104"/>
      <c r="AS37" s="105"/>
      <c r="AT37" s="106"/>
      <c r="AU37" s="106"/>
      <c r="AV37" s="106"/>
      <c r="AW37" s="106"/>
      <c r="AX37" s="106"/>
      <c r="AY37" s="106"/>
      <c r="BA37" s="20">
        <v>33</v>
      </c>
    </row>
    <row r="38" spans="1:53" s="20" customFormat="1" ht="57">
      <c r="A38" s="196" t="s">
        <v>706</v>
      </c>
      <c r="B38" s="99" t="s">
        <v>706</v>
      </c>
      <c r="C38" s="99"/>
      <c r="D38" s="197" t="s">
        <v>707</v>
      </c>
      <c r="E38" s="88" t="s">
        <v>708</v>
      </c>
      <c r="F38" s="194" t="s">
        <v>709</v>
      </c>
      <c r="G38" s="100" t="s">
        <v>239</v>
      </c>
      <c r="H38" s="194" t="s">
        <v>710</v>
      </c>
      <c r="I38" s="99" t="s">
        <v>711</v>
      </c>
      <c r="J38" s="107"/>
      <c r="K38" s="85">
        <v>2</v>
      </c>
      <c r="L38" s="85" t="str" cm="1">
        <f t="array" ref="L38">IF($A38="","",_xlfn.LET(_xlpm.stat,CHOOSE({1,2,3,4,5},$P38,$T38,$X38,$AB38,$AF38),_xlpm.rate,CHOOSE({1,2,3,4,5},$R38,$V38,$Z38,$AD38,$AH38),_xlpm.trn,CHOOSE({1,2,3,4,5},$S38,$W38,$AA38,$AE38,$AI38),_xlpm.nsC,SUMPRODUCT(--(_xlpm.stat="Ready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DLR",IF(AND(_xlpm.actRS&gt;0,_xlpm.actDone&lt;_xlpm.actRS),"Training",IF(_xlpm.actRS&gt;0,"Active",IF(AND(_xlpm.decC&gt;0,_xlpm.inPlay+_xlpm.actC=0),"Dead",IF(AND($AJ38&lt;&gt;"",$AK38=FALSE),"Waiting on Dealer",IF(_xlpm.subC&gt;0,"Waiting on Lender",IF(AND(_xlpm.appC+_xlpm.actC&gt;0,_xlpm.nsC+_xlpm.wdC=0),"Rate Sheet","Application Submitted")))))))))</f>
        <v>Waiting on Dealer</v>
      </c>
      <c r="M38" s="101">
        <v>46274</v>
      </c>
      <c r="N38" s="101">
        <v>46280</v>
      </c>
      <c r="O38" s="196" t="s">
        <v>563</v>
      </c>
      <c r="P38" s="85" t="str">
        <f>IF($A38="","",IF($AK38=TRUE,"Ready 2 Submit","Waiting on Dealer"))</f>
        <v>Waiting on Dealer</v>
      </c>
      <c r="Q38" s="101"/>
      <c r="R38" s="85" t="s">
        <v>272</v>
      </c>
      <c r="S38" s="85" t="s">
        <v>272</v>
      </c>
      <c r="T38" s="85" t="str">
        <f>IF($A38="","",IF($AK38=TRUE,"Ready 2 Submit","Waiting on Dealer"))</f>
        <v>Waiting on Dealer</v>
      </c>
      <c r="U38" s="101"/>
      <c r="V38" s="85" t="s">
        <v>272</v>
      </c>
      <c r="W38" s="85" t="s">
        <v>272</v>
      </c>
      <c r="X38" s="85" t="str">
        <f>IF($A38="","",IF($AK38=TRUE,"Ready 2 Submit","Waiting on Dealer"))</f>
        <v>Waiting on Dealer</v>
      </c>
      <c r="Y38" s="101"/>
      <c r="Z38" s="85" t="s">
        <v>272</v>
      </c>
      <c r="AA38" s="85" t="s">
        <v>272</v>
      </c>
      <c r="AB38" s="85" t="s">
        <v>437</v>
      </c>
      <c r="AC38" s="101"/>
      <c r="AD38" s="85" t="s">
        <v>272</v>
      </c>
      <c r="AE38" s="85" t="s">
        <v>272</v>
      </c>
      <c r="AF38" s="85" t="s">
        <v>437</v>
      </c>
      <c r="AG38" s="101"/>
      <c r="AH38" s="85" t="s">
        <v>272</v>
      </c>
      <c r="AI38" s="85" t="s">
        <v>272</v>
      </c>
      <c r="AJ38" s="196" t="s">
        <v>712</v>
      </c>
      <c r="AK38" s="102" t="b">
        <v>0</v>
      </c>
      <c r="AL38" s="85" cm="1">
        <f t="array" ref="AL38">IF($A38="","",SUMPRODUCT((CHOOSE({1,2,3,4,5},$R38,$V38,$Z38,$AD38,$AH38)="Yes")*(((CHOOSE({1,2,3,4,5},$S38,$W38,$AA38,$AE38,$AI38)="Yes")+(CHOOSE({1,2,3,4,5},$S38,$W38,$AA38,$AE38,$AI38)=TRUE))&gt;0)))</f>
        <v>0</v>
      </c>
      <c r="AM38" s="101"/>
      <c r="AN38" s="85" t="str">
        <f ca="1">IF(OR($A38="",$AM38=""),"",TODAY()-$AM38)</f>
        <v/>
      </c>
      <c r="AO38" s="103"/>
      <c r="AP38" s="104"/>
      <c r="AQ38" s="105"/>
      <c r="AR38" s="104"/>
      <c r="AS38" s="105"/>
      <c r="AT38" s="106"/>
      <c r="AU38" s="106"/>
      <c r="AV38" s="106"/>
      <c r="AW38" s="106"/>
      <c r="AX38" s="106"/>
      <c r="AY38" s="106"/>
      <c r="BA38" s="20">
        <v>34</v>
      </c>
    </row>
    <row r="39" spans="1:53" s="20" customFormat="1" ht="38.25">
      <c r="A39" s="196" t="s">
        <v>713</v>
      </c>
      <c r="B39" s="99" t="s">
        <v>713</v>
      </c>
      <c r="C39" s="99"/>
      <c r="D39" s="197" t="s">
        <v>714</v>
      </c>
      <c r="E39" s="88" t="s">
        <v>715</v>
      </c>
      <c r="F39" s="203" t="s">
        <v>716</v>
      </c>
      <c r="G39" s="100" t="s">
        <v>611</v>
      </c>
      <c r="H39" s="194" t="s">
        <v>612</v>
      </c>
      <c r="I39" s="99" t="s">
        <v>717</v>
      </c>
      <c r="J39" s="107" t="s">
        <v>269</v>
      </c>
      <c r="K39" s="85">
        <v>1</v>
      </c>
      <c r="L39" s="85" t="str" cm="1">
        <f t="array" ref="L39">IF($A39="","",_xlfn.LET(_xlpm.stat,CHOOSE({1,2,3,4,5},$P39,$T39,$X39,$AB39,$AF39),_xlpm.rate,CHOOSE({1,2,3,4,5},$R39,$V39,$Z39,$AD39,$AH39),_xlpm.trn,CHOOSE({1,2,3,4,5},$S39,$W39,$AA39,$AE39,$AI39),_xlpm.nsC,SUMPRODUCT(--(_xlpm.stat="Ready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DLR",IF(AND(_xlpm.actRS&gt;0,_xlpm.actDone&lt;_xlpm.actRS),"Training",IF(_xlpm.actRS&gt;0,"Active",IF(AND(_xlpm.decC&gt;0,_xlpm.inPlay+_xlpm.actC=0),"Dead",IF(AND($AJ39&lt;&gt;"",$AK39=FALSE),"Waiting on Dealer",IF(_xlpm.subC&gt;0,"Waiting on Lender",IF(AND(_xlpm.appC+_xlpm.actC&gt;0,_xlpm.nsC+_xlpm.wdC=0),"Rate Sheet","Application Submitted")))))))))</f>
        <v>Waiting on Dealer</v>
      </c>
      <c r="M39" s="101">
        <v>46274</v>
      </c>
      <c r="N39" s="101">
        <v>46280</v>
      </c>
      <c r="O39" s="196" t="s">
        <v>563</v>
      </c>
      <c r="P39" s="85" t="str">
        <f>IF($A39="","",IF($AK39=TRUE,"Ready 2 Submit","Waiting on Dealer"))</f>
        <v>Waiting on Dealer</v>
      </c>
      <c r="Q39" s="101"/>
      <c r="R39" s="85" t="s">
        <v>272</v>
      </c>
      <c r="S39" s="85" t="s">
        <v>272</v>
      </c>
      <c r="T39" s="85" t="str">
        <f>IF($A39="","",IF($AK39=TRUE,"Ready 2 Submit","Waiting on Dealer"))</f>
        <v>Waiting on Dealer</v>
      </c>
      <c r="U39" s="101"/>
      <c r="V39" s="85" t="s">
        <v>272</v>
      </c>
      <c r="W39" s="85" t="s">
        <v>272</v>
      </c>
      <c r="X39" s="85" t="str">
        <f>IF($A39="","",IF($AK39=TRUE,"Ready 2 Submit","Waiting on Dealer"))</f>
        <v>Waiting on Dealer</v>
      </c>
      <c r="Y39" s="101"/>
      <c r="Z39" s="85" t="s">
        <v>272</v>
      </c>
      <c r="AA39" s="85" t="s">
        <v>272</v>
      </c>
      <c r="AB39" s="85" t="s">
        <v>437</v>
      </c>
      <c r="AC39" s="101"/>
      <c r="AD39" s="85" t="s">
        <v>272</v>
      </c>
      <c r="AE39" s="85" t="s">
        <v>272</v>
      </c>
      <c r="AF39" s="85" t="s">
        <v>437</v>
      </c>
      <c r="AG39" s="101"/>
      <c r="AH39" s="85" t="s">
        <v>272</v>
      </c>
      <c r="AI39" s="85" t="s">
        <v>272</v>
      </c>
      <c r="AJ39" s="196" t="s">
        <v>718</v>
      </c>
      <c r="AK39" s="102" t="b">
        <v>0</v>
      </c>
      <c r="AL39" s="85" cm="1">
        <f t="array" ref="AL39">IF($A39="","",SUMPRODUCT((CHOOSE({1,2,3,4,5},$R39,$V39,$Z39,$AD39,$AH39)="Yes")*(((CHOOSE({1,2,3,4,5},$S39,$W39,$AA39,$AE39,$AI39)="Yes")+(CHOOSE({1,2,3,4,5},$S39,$W39,$AA39,$AE39,$AI39)=TRUE))&gt;0)))</f>
        <v>0</v>
      </c>
      <c r="AM39" s="101"/>
      <c r="AN39" s="85" t="str">
        <f ca="1">IF(OR($A39="",$AM39=""),"",TODAY()-$AM39)</f>
        <v/>
      </c>
      <c r="AO39" s="87"/>
      <c r="AP39" s="106"/>
      <c r="AQ39" s="106"/>
      <c r="AR39" s="106"/>
      <c r="AS39" s="106"/>
      <c r="AT39" s="106"/>
      <c r="AU39" s="106"/>
      <c r="AV39" s="106"/>
      <c r="AW39" s="106"/>
      <c r="AX39" s="106"/>
      <c r="AY39" s="106"/>
      <c r="BA39" s="20">
        <v>35</v>
      </c>
    </row>
    <row r="40" spans="1:53" s="20" customFormat="1" ht="38.25">
      <c r="A40" s="196" t="s">
        <v>719</v>
      </c>
      <c r="B40" s="99"/>
      <c r="C40" s="99"/>
      <c r="D40" s="197" t="s">
        <v>720</v>
      </c>
      <c r="E40" s="88">
        <v>4808620353</v>
      </c>
      <c r="F40" s="194" t="s">
        <v>721</v>
      </c>
      <c r="G40" s="100" t="s">
        <v>611</v>
      </c>
      <c r="H40" s="194" t="s">
        <v>612</v>
      </c>
      <c r="I40" s="99" t="s">
        <v>722</v>
      </c>
      <c r="J40" s="107" t="s">
        <v>207</v>
      </c>
      <c r="K40" s="85">
        <v>2</v>
      </c>
      <c r="L40" s="85" t="str" cm="1">
        <f t="array" ref="L40">IF($A40="","",_xlfn.LET(_xlpm.stat,CHOOSE({1,2,3,4,5},$P40,$T40,$X40,$AB40,$AF40),_xlpm.rate,CHOOSE({1,2,3,4,5},$R40,$V40,$Z40,$AD40,$AH40),_xlpm.trn,CHOOSE({1,2,3,4,5},$S40,$W40,$AA40,$AE40,$AI40),_xlpm.nsC,SUMPRODUCT(--(_xlpm.stat="Ready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DLR",IF(AND(_xlpm.actRS&gt;0,_xlpm.actDone&lt;_xlpm.actRS),"Training",IF(_xlpm.actRS&gt;0,"Active",IF(AND(_xlpm.decC&gt;0,_xlpm.inPlay+_xlpm.actC=0),"Dead",IF(AND($AJ40&lt;&gt;"",$AK40=FALSE),"Waiting on Dealer",IF(_xlpm.subC&gt;0,"Waiting on Lender",IF(AND(_xlpm.appC+_xlpm.actC&gt;0,_xlpm.nsC+_xlpm.wdC=0),"Rate Sheet","Application Submitted")))))))))</f>
        <v>Waiting on Dealer</v>
      </c>
      <c r="M40" s="151">
        <v>46276</v>
      </c>
      <c r="N40" s="101">
        <v>46280</v>
      </c>
      <c r="O40" s="196" t="s">
        <v>563</v>
      </c>
      <c r="P40" s="85" t="str">
        <f>IF($A40="","",IF($AK40=TRUE,"Ready 2 Submit","Waiting on Dealer"))</f>
        <v>Waiting on Dealer</v>
      </c>
      <c r="Q40" s="101"/>
      <c r="R40" s="85" t="s">
        <v>272</v>
      </c>
      <c r="S40" s="85" t="s">
        <v>272</v>
      </c>
      <c r="T40" s="85" t="str">
        <f>IF($A40="","",IF($AK40=TRUE,"Ready 2 Submit","Waiting on Dealer"))</f>
        <v>Waiting on Dealer</v>
      </c>
      <c r="U40" s="101"/>
      <c r="V40" s="85" t="s">
        <v>272</v>
      </c>
      <c r="W40" s="85" t="s">
        <v>272</v>
      </c>
      <c r="X40" s="85" t="str">
        <f>IF($A40="","",IF($AK40=TRUE,"Ready 2 Submit","Waiting on Dealer"))</f>
        <v>Waiting on Dealer</v>
      </c>
      <c r="Y40" s="101"/>
      <c r="Z40" s="85" t="s">
        <v>272</v>
      </c>
      <c r="AA40" s="85" t="s">
        <v>272</v>
      </c>
      <c r="AB40" s="85" t="s">
        <v>437</v>
      </c>
      <c r="AC40" s="101"/>
      <c r="AD40" s="85" t="s">
        <v>272</v>
      </c>
      <c r="AE40" s="85" t="s">
        <v>272</v>
      </c>
      <c r="AF40" s="85" t="s">
        <v>437</v>
      </c>
      <c r="AG40" s="101"/>
      <c r="AH40" s="85" t="s">
        <v>272</v>
      </c>
      <c r="AI40" s="85" t="s">
        <v>272</v>
      </c>
      <c r="AJ40" s="196" t="s">
        <v>3686</v>
      </c>
      <c r="AK40" s="102" t="b">
        <v>0</v>
      </c>
      <c r="AL40" s="85" cm="1">
        <f t="array" ref="AL40">IF($A40="","",SUMPRODUCT((CHOOSE({1,2,3,4,5},$R40,$V40,$Z40,$AD40,$AH40)="Yes")*(((CHOOSE({1,2,3,4,5},$S40,$W40,$AA40,$AE40,$AI40)="Yes")+(CHOOSE({1,2,3,4,5},$S40,$W40,$AA40,$AE40,$AI40)=TRUE))&gt;0)))</f>
        <v>0</v>
      </c>
      <c r="AM40" s="101"/>
      <c r="AN40" s="85" t="str">
        <f ca="1">IF(OR($A40="",$AM40=""),"",TODAY()-$AM40)</f>
        <v/>
      </c>
      <c r="AO40" s="87"/>
      <c r="AP40" s="106"/>
      <c r="AQ40" s="106"/>
      <c r="AR40" s="106"/>
      <c r="AS40" s="106"/>
      <c r="AT40" s="106"/>
      <c r="AU40" s="106"/>
      <c r="AV40" s="106"/>
      <c r="AW40" s="106"/>
      <c r="AX40" s="106"/>
      <c r="AY40" s="106"/>
      <c r="BA40" s="20">
        <v>36</v>
      </c>
    </row>
    <row r="41" spans="1:53" s="20" customFormat="1" ht="38.25">
      <c r="A41" s="196" t="s">
        <v>724</v>
      </c>
      <c r="B41" s="99"/>
      <c r="C41" s="99"/>
      <c r="D41" s="197" t="s">
        <v>725</v>
      </c>
      <c r="E41" s="88">
        <v>9012198862</v>
      </c>
      <c r="F41" s="194" t="s">
        <v>726</v>
      </c>
      <c r="G41" s="100" t="s">
        <v>611</v>
      </c>
      <c r="H41" s="194" t="s">
        <v>612</v>
      </c>
      <c r="I41" s="99" t="s">
        <v>727</v>
      </c>
      <c r="J41" s="107"/>
      <c r="K41" s="85">
        <v>2</v>
      </c>
      <c r="L41" s="85" t="str" cm="1">
        <f t="array" ref="L41">IF($A41="","",_xlfn.LET(_xlpm.stat,CHOOSE({1,2,3,4,5},$P41,$T41,$X41,$AB41,$AF41),_xlpm.rate,CHOOSE({1,2,3,4,5},$R41,$V41,$Z41,$AD41,$AH41),_xlpm.trn,CHOOSE({1,2,3,4,5},$S41,$W41,$AA41,$AE41,$AI41),_xlpm.nsC,SUMPRODUCT(--(_xlpm.stat="Ready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DLR",IF(AND(_xlpm.actRS&gt;0,_xlpm.actDone&lt;_xlpm.actRS),"Training",IF(_xlpm.actRS&gt;0,"Active",IF(AND(_xlpm.decC&gt;0,_xlpm.inPlay+_xlpm.actC=0),"Dead",IF(AND($AJ41&lt;&gt;"",$AK41=FALSE),"Waiting on Dealer",IF(_xlpm.subC&gt;0,"Waiting on Lender",IF(AND(_xlpm.appC+_xlpm.actC&gt;0,_xlpm.nsC+_xlpm.wdC=0),"Rate Sheet","Application Submitted")))))))))</f>
        <v>Waiting on Dealer</v>
      </c>
      <c r="M41" s="151">
        <v>46279</v>
      </c>
      <c r="N41" s="101">
        <v>46280</v>
      </c>
      <c r="O41" s="196" t="s">
        <v>693</v>
      </c>
      <c r="P41" s="85" t="str">
        <f>IF($A41="","",IF($AK41=TRUE,"Ready 2 Submit","Waiting on Dealer"))</f>
        <v>Waiting on Dealer</v>
      </c>
      <c r="Q41" s="101"/>
      <c r="R41" s="85" t="s">
        <v>272</v>
      </c>
      <c r="S41" s="85" t="s">
        <v>272</v>
      </c>
      <c r="T41" s="85" t="str">
        <f>IF($A41="","",IF($AK41=TRUE,"Ready 2 Submit","Waiting on Dealer"))</f>
        <v>Waiting on Dealer</v>
      </c>
      <c r="U41" s="101"/>
      <c r="V41" s="85" t="s">
        <v>272</v>
      </c>
      <c r="W41" s="85" t="s">
        <v>272</v>
      </c>
      <c r="X41" s="85" t="str">
        <f>IF($A41="","",IF($AK41=TRUE,"Ready 2 Submit","Waiting on Dealer"))</f>
        <v>Waiting on Dealer</v>
      </c>
      <c r="Y41" s="101"/>
      <c r="Z41" s="85" t="s">
        <v>272</v>
      </c>
      <c r="AA41" s="85" t="s">
        <v>272</v>
      </c>
      <c r="AB41" s="85" t="str">
        <f>IF($A41="","",IF($AK41=TRUE,"Ready 2 Submit","Waiting on Dealer"))</f>
        <v>Waiting on Dealer</v>
      </c>
      <c r="AC41" s="101"/>
      <c r="AD41" s="85" t="s">
        <v>272</v>
      </c>
      <c r="AE41" s="85" t="s">
        <v>272</v>
      </c>
      <c r="AF41" s="85" t="str">
        <f>IF($A41="","",IF($AK41=TRUE,"Ready 2 Submit","Waiting on Dealer"))</f>
        <v>Waiting on Dealer</v>
      </c>
      <c r="AG41" s="101"/>
      <c r="AH41" s="85" t="s">
        <v>272</v>
      </c>
      <c r="AI41" s="85" t="s">
        <v>272</v>
      </c>
      <c r="AJ41" s="196" t="s">
        <v>728</v>
      </c>
      <c r="AK41" s="102" t="b">
        <v>0</v>
      </c>
      <c r="AL41" s="85" cm="1">
        <f t="array" ref="AL41">IF($A41="","",SUMPRODUCT((CHOOSE({1,2,3,4,5},$R41,$V41,$Z41,$AD41,$AH41)="Yes")*(((CHOOSE({1,2,3,4,5},$S41,$W41,$AA41,$AE41,$AI41)="Yes")+(CHOOSE({1,2,3,4,5},$S41,$W41,$AA41,$AE41,$AI41)=TRUE))&gt;0)))</f>
        <v>0</v>
      </c>
      <c r="AM41" s="101">
        <v>46281</v>
      </c>
      <c r="AN41" s="85">
        <f ca="1">IF(OR($A41="",$AM41=""),"",TODAY()-$AM41)</f>
        <v>7</v>
      </c>
      <c r="AO41" s="87"/>
      <c r="AP41" s="106"/>
      <c r="AQ41" s="106"/>
      <c r="AR41" s="106"/>
      <c r="AS41" s="106"/>
      <c r="AT41" s="106"/>
      <c r="AU41" s="106"/>
      <c r="AV41" s="106"/>
      <c r="AW41" s="106"/>
      <c r="AX41" s="106"/>
      <c r="AY41" s="106"/>
      <c r="BA41" s="20">
        <v>37</v>
      </c>
    </row>
    <row r="42" spans="1:53" s="20" customFormat="1" ht="38.25">
      <c r="A42" s="196" t="s">
        <v>729</v>
      </c>
      <c r="B42" s="99" t="s">
        <v>729</v>
      </c>
      <c r="C42" s="99"/>
      <c r="D42" s="197" t="s">
        <v>730</v>
      </c>
      <c r="E42" s="88">
        <v>8632066995</v>
      </c>
      <c r="F42" s="194" t="s">
        <v>731</v>
      </c>
      <c r="G42" s="100" t="s">
        <v>620</v>
      </c>
      <c r="H42" s="194" t="s">
        <v>621</v>
      </c>
      <c r="I42" s="99" t="s">
        <v>732</v>
      </c>
      <c r="J42" s="107"/>
      <c r="K42" s="85">
        <v>3</v>
      </c>
      <c r="L42" s="85" t="str" cm="1">
        <f t="array" ref="L42">IF($A42="","",_xlfn.LET(_xlpm.stat,CHOOSE({1,2,3,4,5},$P42,$T42,$X42,$AB42,$AF42),_xlpm.rate,CHOOSE({1,2,3,4,5},$R42,$V42,$Z42,$AD42,$AH42),_xlpm.trn,CHOOSE({1,2,3,4,5},$S42,$W42,$AA42,$AE42,$AI42),_xlpm.nsC,SUMPRODUCT(--(_xlpm.stat="Ready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DLR",IF(AND(_xlpm.actRS&gt;0,_xlpm.actDone&lt;_xlpm.actRS),"Training",IF(_xlpm.actRS&gt;0,"Active",IF(AND(_xlpm.decC&gt;0,_xlpm.inPlay+_xlpm.actC=0),"Dead",IF(AND($AJ42&lt;&gt;"",$AK42=FALSE),"Waiting on Dealer",IF(_xlpm.subC&gt;0,"Waiting on Lender",IF(AND(_xlpm.appC+_xlpm.actC&gt;0,_xlpm.nsC+_xlpm.wdC=0),"Rate Sheet","Application Submitted")))))))))</f>
        <v>Waiting on Dealer</v>
      </c>
      <c r="M42" s="151">
        <v>46279</v>
      </c>
      <c r="N42" s="101">
        <v>46280</v>
      </c>
      <c r="O42" s="196" t="s">
        <v>553</v>
      </c>
      <c r="P42" s="85" t="s">
        <v>437</v>
      </c>
      <c r="Q42" s="101"/>
      <c r="R42" s="85" t="s">
        <v>272</v>
      </c>
      <c r="S42" s="85" t="s">
        <v>272</v>
      </c>
      <c r="T42" s="85" t="s">
        <v>437</v>
      </c>
      <c r="U42" s="101"/>
      <c r="V42" s="85" t="s">
        <v>272</v>
      </c>
      <c r="W42" s="85" t="s">
        <v>272</v>
      </c>
      <c r="X42" s="85" t="str">
        <f>IF($A42="","",IF($AK42=TRUE,"Ready 2 Submit","Waiting on Dealer"))</f>
        <v>Waiting on Dealer</v>
      </c>
      <c r="Y42" s="101"/>
      <c r="Z42" s="85" t="s">
        <v>272</v>
      </c>
      <c r="AA42" s="85" t="s">
        <v>272</v>
      </c>
      <c r="AB42" s="85" t="s">
        <v>437</v>
      </c>
      <c r="AC42" s="101"/>
      <c r="AD42" s="85" t="s">
        <v>272</v>
      </c>
      <c r="AE42" s="85" t="s">
        <v>272</v>
      </c>
      <c r="AF42" s="85" t="s">
        <v>437</v>
      </c>
      <c r="AG42" s="101"/>
      <c r="AH42" s="85" t="s">
        <v>272</v>
      </c>
      <c r="AI42" s="85" t="s">
        <v>272</v>
      </c>
      <c r="AJ42" s="196" t="s">
        <v>733</v>
      </c>
      <c r="AK42" s="102" t="b">
        <v>0</v>
      </c>
      <c r="AL42" s="85" cm="1">
        <f t="array" ref="AL42">IF($A42="","",SUMPRODUCT((CHOOSE({1,2,3,4,5},$R42,$V42,$Z42,$AD42,$AH42)="Yes")*(((CHOOSE({1,2,3,4,5},$S42,$W42,$AA42,$AE42,$AI42)="Yes")+(CHOOSE({1,2,3,4,5},$S42,$W42,$AA42,$AE42,$AI42)=TRUE))&gt;0)))</f>
        <v>0</v>
      </c>
      <c r="AM42" s="101"/>
      <c r="AN42" s="85" t="str">
        <f ca="1">IF(OR($A42="",$AM42=""),"",TODAY()-$AM42)</f>
        <v/>
      </c>
      <c r="AO42" s="87"/>
      <c r="AP42" s="106"/>
      <c r="AQ42" s="106"/>
      <c r="AR42" s="106"/>
      <c r="AS42" s="106"/>
      <c r="AT42" s="106"/>
      <c r="AU42" s="106"/>
      <c r="AV42" s="106"/>
      <c r="AW42" s="106"/>
      <c r="AX42" s="106"/>
      <c r="AY42" s="106"/>
      <c r="BA42" s="20">
        <v>38</v>
      </c>
    </row>
    <row r="43" spans="1:53" s="20" customFormat="1" ht="38.25">
      <c r="A43" s="196" t="s">
        <v>734</v>
      </c>
      <c r="B43" s="99" t="s">
        <v>734</v>
      </c>
      <c r="C43" s="99"/>
      <c r="D43" s="197" t="s">
        <v>735</v>
      </c>
      <c r="E43" s="88" t="s">
        <v>736</v>
      </c>
      <c r="F43" s="194" t="s">
        <v>737</v>
      </c>
      <c r="G43" s="100" t="s">
        <v>230</v>
      </c>
      <c r="H43" s="194" t="s">
        <v>738</v>
      </c>
      <c r="I43" s="99" t="s">
        <v>497</v>
      </c>
      <c r="J43" s="107"/>
      <c r="K43" s="85">
        <v>1</v>
      </c>
      <c r="L43" s="85" t="str" cm="1">
        <f t="array" ref="L43">IF($A43="","",_xlfn.LET(_xlpm.stat,CHOOSE({1,2,3,4,5},$P43,$T43,$X43,$AB43,$AF43),_xlpm.rate,CHOOSE({1,2,3,4,5},$R43,$V43,$Z43,$AD43,$AH43),_xlpm.trn,CHOOSE({1,2,3,4,5},$S43,$W43,$AA43,$AE43,$AI43),_xlpm.nsC,SUMPRODUCT(--(_xlpm.stat="Ready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DLR",IF(AND(_xlpm.actRS&gt;0,_xlpm.actDone&lt;_xlpm.actRS),"Training",IF(_xlpm.actRS&gt;0,"Active",IF(AND(_xlpm.decC&gt;0,_xlpm.inPlay+_xlpm.actC=0),"Dead",IF(AND($AJ43&lt;&gt;"",$AK43=FALSE),"Waiting on Dealer",IF(_xlpm.subC&gt;0,"Waiting on Lender",IF(AND(_xlpm.appC+_xlpm.actC&gt;0,_xlpm.nsC+_xlpm.wdC=0),"Rate Sheet","Application Submitted")))))))))</f>
        <v>Waiting on Dealer</v>
      </c>
      <c r="M43" s="151">
        <v>46279</v>
      </c>
      <c r="N43" s="101">
        <v>46280</v>
      </c>
      <c r="O43" s="196" t="s">
        <v>693</v>
      </c>
      <c r="P43" s="85" t="str">
        <f>IF($A43="","",IF($AK43=TRUE,"Ready 2 Submit","Waiting on Dealer"))</f>
        <v>Waiting on Dealer</v>
      </c>
      <c r="Q43" s="101"/>
      <c r="R43" s="85" t="s">
        <v>272</v>
      </c>
      <c r="S43" s="85" t="s">
        <v>272</v>
      </c>
      <c r="T43" s="85" t="str">
        <f>IF($A43="","",IF($AK43=TRUE,"Ready 2 Submit","Waiting on Dealer"))</f>
        <v>Waiting on Dealer</v>
      </c>
      <c r="U43" s="101"/>
      <c r="V43" s="85" t="s">
        <v>272</v>
      </c>
      <c r="W43" s="85" t="s">
        <v>272</v>
      </c>
      <c r="X43" s="85" t="str">
        <f>IF($A43="","",IF($AK43=TRUE,"Ready 2 Submit","Waiting on Dealer"))</f>
        <v>Waiting on Dealer</v>
      </c>
      <c r="Y43" s="101"/>
      <c r="Z43" s="85" t="s">
        <v>272</v>
      </c>
      <c r="AA43" s="85" t="s">
        <v>272</v>
      </c>
      <c r="AB43" s="85" t="str">
        <f>IF($A43="","",IF($AK43=TRUE,"Ready 2 Submit","Waiting on Dealer"))</f>
        <v>Waiting on Dealer</v>
      </c>
      <c r="AC43" s="101"/>
      <c r="AD43" s="85" t="s">
        <v>272</v>
      </c>
      <c r="AE43" s="85" t="s">
        <v>272</v>
      </c>
      <c r="AF43" s="85" t="s">
        <v>437</v>
      </c>
      <c r="AG43" s="101"/>
      <c r="AH43" s="85" t="s">
        <v>272</v>
      </c>
      <c r="AI43" s="85" t="s">
        <v>272</v>
      </c>
      <c r="AJ43" s="196" t="s">
        <v>739</v>
      </c>
      <c r="AK43" s="102" t="b">
        <v>0</v>
      </c>
      <c r="AL43" s="85" cm="1">
        <f t="array" ref="AL43">IF($A43="","",SUMPRODUCT((CHOOSE({1,2,3,4,5},$R43,$V43,$Z43,$AD43,$AH43)="Yes")*(((CHOOSE({1,2,3,4,5},$S43,$W43,$AA43,$AE43,$AI43)="Yes")+(CHOOSE({1,2,3,4,5},$S43,$W43,$AA43,$AE43,$AI43)=TRUE))&gt;0)))</f>
        <v>0</v>
      </c>
      <c r="AM43" s="101">
        <v>46281</v>
      </c>
      <c r="AN43" s="85">
        <f ca="1">IF(OR($A43="",$AM43=""),"",TODAY()-$AM43)</f>
        <v>7</v>
      </c>
      <c r="AO43" s="87"/>
      <c r="AP43" s="106"/>
      <c r="AQ43" s="106"/>
      <c r="AR43" s="106"/>
      <c r="AS43" s="106"/>
      <c r="AT43" s="106"/>
      <c r="AU43" s="106"/>
      <c r="AV43" s="106"/>
      <c r="AW43" s="106"/>
      <c r="AX43" s="106"/>
      <c r="AY43" s="106"/>
      <c r="BA43" s="20">
        <v>39</v>
      </c>
    </row>
    <row r="44" spans="1:53" s="20" customFormat="1" ht="30.75">
      <c r="A44" s="196" t="s">
        <v>740</v>
      </c>
      <c r="B44" s="99" t="s">
        <v>741</v>
      </c>
      <c r="C44" s="99"/>
      <c r="D44" s="197" t="s">
        <v>742</v>
      </c>
      <c r="E44" s="88" t="s">
        <v>743</v>
      </c>
      <c r="F44" s="194" t="s">
        <v>744</v>
      </c>
      <c r="G44" s="100" t="s">
        <v>465</v>
      </c>
      <c r="H44" s="194" t="s">
        <v>466</v>
      </c>
      <c r="I44" s="99" t="s">
        <v>497</v>
      </c>
      <c r="J44" s="107"/>
      <c r="K44" s="85">
        <v>1</v>
      </c>
      <c r="L44" s="85" t="str" cm="1">
        <f t="array" ref="L44">IF($A44="","",_xlfn.LET(_xlpm.stat,CHOOSE({1,2,3,4,5},$P44,$T44,$X44,$AB44,$AF44),_xlpm.rate,CHOOSE({1,2,3,4,5},$R44,$V44,$Z44,$AD44,$AH44),_xlpm.trn,CHOOSE({1,2,3,4,5},$S44,$W44,$AA44,$AE44,$AI44),_xlpm.nsC,SUMPRODUCT(--(_xlpm.stat="Ready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DLR",IF(AND(_xlpm.actRS&gt;0,_xlpm.actDone&lt;_xlpm.actRS),"Training",IF(_xlpm.actRS&gt;0,"Active",IF(AND(_xlpm.decC&gt;0,_xlpm.inPlay+_xlpm.actC=0),"Dead",IF(AND($AJ44&lt;&gt;"",$AK44=FALSE),"Waiting on Dealer",IF(_xlpm.subC&gt;0,"Waiting on Lender",IF(AND(_xlpm.appC+_xlpm.actC&gt;0,_xlpm.nsC+_xlpm.wdC=0),"Rate Sheet","Application Submitted")))))))))</f>
        <v>Waiting on Dealer</v>
      </c>
      <c r="M44" s="151">
        <v>46280</v>
      </c>
      <c r="N44" s="101">
        <v>46280</v>
      </c>
      <c r="O44" s="196" t="s">
        <v>686</v>
      </c>
      <c r="P44" s="85" t="s">
        <v>457</v>
      </c>
      <c r="Q44" s="101">
        <v>46281</v>
      </c>
      <c r="R44" s="85" t="s">
        <v>272</v>
      </c>
      <c r="S44" s="85" t="s">
        <v>272</v>
      </c>
      <c r="T44" s="85" t="s">
        <v>437</v>
      </c>
      <c r="U44" s="101"/>
      <c r="V44" s="85" t="s">
        <v>272</v>
      </c>
      <c r="W44" s="85" t="s">
        <v>272</v>
      </c>
      <c r="X44" s="85" t="s">
        <v>457</v>
      </c>
      <c r="Y44" s="101">
        <v>46280</v>
      </c>
      <c r="Z44" s="85" t="s">
        <v>272</v>
      </c>
      <c r="AA44" s="85" t="s">
        <v>272</v>
      </c>
      <c r="AB44" s="85" t="s">
        <v>499</v>
      </c>
      <c r="AC44" s="101">
        <v>46280</v>
      </c>
      <c r="AD44" s="85" t="s">
        <v>272</v>
      </c>
      <c r="AE44" s="85" t="s">
        <v>272</v>
      </c>
      <c r="AF44" s="85" t="s">
        <v>437</v>
      </c>
      <c r="AG44" s="101"/>
      <c r="AH44" s="85" t="s">
        <v>272</v>
      </c>
      <c r="AI44" s="85" t="s">
        <v>272</v>
      </c>
      <c r="AJ44" s="200" t="s">
        <v>745</v>
      </c>
      <c r="AK44" s="102" t="b">
        <v>0</v>
      </c>
      <c r="AL44" s="85" cm="1">
        <f t="array" ref="AL44">IF($A44="","",SUMPRODUCT((CHOOSE({1,2,3,4,5},$R44,$V44,$Z44,$AD44,$AH44)="Yes")*(((CHOOSE({1,2,3,4,5},$S44,$W44,$AA44,$AE44,$AI44)="Yes")+(CHOOSE({1,2,3,4,5},$S44,$W44,$AA44,$AE44,$AI44)=TRUE))&gt;0)))</f>
        <v>0</v>
      </c>
      <c r="AM44" s="101"/>
      <c r="AN44" s="85" t="str">
        <f ca="1">IF(OR($A44="",$AM44=""),"",TODAY()-$AM44)</f>
        <v/>
      </c>
      <c r="AO44" s="87"/>
      <c r="AP44" s="106"/>
      <c r="AQ44" s="106"/>
      <c r="AR44" s="106"/>
      <c r="AS44" s="106"/>
      <c r="AT44" s="106"/>
      <c r="AU44" s="106"/>
      <c r="AV44" s="106"/>
      <c r="AW44" s="106"/>
      <c r="AX44" s="106"/>
      <c r="AY44" s="106"/>
    </row>
    <row r="45" spans="1:53" s="20" customFormat="1" ht="19.5">
      <c r="A45" s="196" t="s">
        <v>746</v>
      </c>
      <c r="B45" s="99"/>
      <c r="C45" s="99"/>
      <c r="D45" s="197" t="s">
        <v>747</v>
      </c>
      <c r="E45" s="88" t="s">
        <v>748</v>
      </c>
      <c r="F45" s="194" t="s">
        <v>749</v>
      </c>
      <c r="G45" s="100" t="s">
        <v>195</v>
      </c>
      <c r="H45" s="194" t="s">
        <v>196</v>
      </c>
      <c r="I45" s="99" t="s">
        <v>537</v>
      </c>
      <c r="J45" s="107"/>
      <c r="K45" s="85">
        <v>2</v>
      </c>
      <c r="L45" s="85" t="str" cm="1">
        <f t="array" ref="L45">IF($A45="","",_xlfn.LET(_xlpm.stat,CHOOSE({1,2,3,4,5},$P45,$T45,$X45,$AB45,$AF45),_xlpm.rate,CHOOSE({1,2,3,4,5},$R45,$V45,$Z45,$AD45,$AH45),_xlpm.trn,CHOOSE({1,2,3,4,5},$S45,$W45,$AA45,$AE45,$AI45),_xlpm.nsC,SUMPRODUCT(--(_xlpm.stat="Ready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DLR",IF(AND(_xlpm.actRS&gt;0,_xlpm.actDone&lt;_xlpm.actRS),"Training",IF(_xlpm.actRS&gt;0,"Active",IF(AND(_xlpm.decC&gt;0,_xlpm.inPlay+_xlpm.actC=0),"Dead",IF(AND($AJ45&lt;&gt;"",$AK45=FALSE),"Waiting on Dealer",IF(_xlpm.subC&gt;0,"Waiting on Lender",IF(AND(_xlpm.appC+_xlpm.actC&gt;0,_xlpm.nsC+_xlpm.wdC=0),"Rate Sheet","Application Submitted")))))))))</f>
        <v>Waiting on Lender</v>
      </c>
      <c r="M45" s="151">
        <v>46280</v>
      </c>
      <c r="N45" s="101">
        <v>46280</v>
      </c>
      <c r="O45" s="196" t="s">
        <v>563</v>
      </c>
      <c r="P45" s="85" t="s">
        <v>457</v>
      </c>
      <c r="Q45" s="101">
        <v>46280</v>
      </c>
      <c r="R45" s="85" t="s">
        <v>272</v>
      </c>
      <c r="S45" s="85" t="s">
        <v>272</v>
      </c>
      <c r="T45" s="85" t="s">
        <v>457</v>
      </c>
      <c r="U45" s="101">
        <v>46281</v>
      </c>
      <c r="V45" s="85" t="s">
        <v>272</v>
      </c>
      <c r="W45" s="85" t="s">
        <v>272</v>
      </c>
      <c r="X45" s="85" t="s">
        <v>457</v>
      </c>
      <c r="Y45" s="101">
        <v>46280</v>
      </c>
      <c r="Z45" s="85" t="s">
        <v>272</v>
      </c>
      <c r="AA45" s="85" t="s">
        <v>272</v>
      </c>
      <c r="AB45" s="85" t="s">
        <v>437</v>
      </c>
      <c r="AC45" s="101"/>
      <c r="AD45" s="85" t="s">
        <v>272</v>
      </c>
      <c r="AE45" s="85" t="s">
        <v>272</v>
      </c>
      <c r="AF45" s="85" t="s">
        <v>437</v>
      </c>
      <c r="AG45" s="101"/>
      <c r="AH45" s="85" t="s">
        <v>272</v>
      </c>
      <c r="AI45" s="85" t="s">
        <v>272</v>
      </c>
      <c r="AJ45" s="196" t="s">
        <v>750</v>
      </c>
      <c r="AK45" s="102" t="b">
        <v>1</v>
      </c>
      <c r="AL45" s="85" cm="1">
        <f t="array" ref="AL45">IF($A45="","",SUMPRODUCT((CHOOSE({1,2,3,4,5},$R45,$V45,$Z45,$AD45,$AH45)="Yes")*(((CHOOSE({1,2,3,4,5},$S45,$W45,$AA45,$AE45,$AI45)="Yes")+(CHOOSE({1,2,3,4,5},$S45,$W45,$AA45,$AE45,$AI45)=TRUE))&gt;0)))</f>
        <v>0</v>
      </c>
      <c r="AM45" s="101">
        <v>46280</v>
      </c>
      <c r="AN45" s="85">
        <f ca="1">IF(OR($A45="",$AM45=""),"",TODAY()-$AM45)</f>
        <v>8</v>
      </c>
      <c r="AO45" s="87"/>
      <c r="AP45" s="106"/>
      <c r="AQ45" s="106"/>
      <c r="AR45" s="106"/>
      <c r="AS45" s="106"/>
      <c r="AT45" s="106"/>
      <c r="AU45" s="106"/>
      <c r="AV45" s="106"/>
      <c r="AW45" s="106"/>
      <c r="AX45" s="106"/>
      <c r="AY45" s="106"/>
    </row>
    <row r="46" spans="1:53" s="20" customFormat="1" ht="38.25">
      <c r="A46" s="196" t="s">
        <v>751</v>
      </c>
      <c r="B46" s="99" t="s">
        <v>752</v>
      </c>
      <c r="C46" s="99"/>
      <c r="D46" s="197" t="s">
        <v>753</v>
      </c>
      <c r="E46" s="88" t="s">
        <v>754</v>
      </c>
      <c r="F46" s="194" t="s">
        <v>755</v>
      </c>
      <c r="G46" s="100" t="s">
        <v>756</v>
      </c>
      <c r="H46" s="194" t="s">
        <v>757</v>
      </c>
      <c r="I46" s="99" t="s">
        <v>497</v>
      </c>
      <c r="J46" s="107"/>
      <c r="K46" s="85">
        <v>2</v>
      </c>
      <c r="L46" s="85" t="str" cm="1">
        <f t="array" ref="L46">IF($A46="","",_xlfn.LET(_xlpm.stat,CHOOSE({1,2,3,4,5},$P46,$T46,$X46,$AB46,$AF46),_xlpm.rate,CHOOSE({1,2,3,4,5},$R46,$V46,$Z46,$AD46,$AH46),_xlpm.trn,CHOOSE({1,2,3,4,5},$S46,$W46,$AA46,$AE46,$AI46),_xlpm.nsC,SUMPRODUCT(--(_xlpm.stat="Ready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DLR",IF(AND(_xlpm.actRS&gt;0,_xlpm.actDone&lt;_xlpm.actRS),"Training",IF(_xlpm.actRS&gt;0,"Active",IF(AND(_xlpm.decC&gt;0,_xlpm.inPlay+_xlpm.actC=0),"Dead",IF(AND($AJ46&lt;&gt;"",$AK46=FALSE),"Waiting on Dealer",IF(_xlpm.subC&gt;0,"Waiting on Lender",IF(AND(_xlpm.appC+_xlpm.actC&gt;0,_xlpm.nsC+_xlpm.wdC=0),"Rate Sheet","Application Submitted")))))))))</f>
        <v>Waiting on Dealer</v>
      </c>
      <c r="M46" s="151">
        <v>46281</v>
      </c>
      <c r="N46" s="101"/>
      <c r="O46" s="196" t="s">
        <v>693</v>
      </c>
      <c r="P46" s="85" t="str">
        <f>IF($A46="","",IF($AK46=TRUE,"Ready 2 Submit","Waiting on Dealer"))</f>
        <v>Waiting on Dealer</v>
      </c>
      <c r="Q46" s="101"/>
      <c r="R46" s="85" t="s">
        <v>272</v>
      </c>
      <c r="S46" s="85" t="s">
        <v>272</v>
      </c>
      <c r="T46" s="85" t="str">
        <f>IF($A46="","",IF($AK46=TRUE,"Ready 2 Submit","Waiting on Dealer"))</f>
        <v>Waiting on Dealer</v>
      </c>
      <c r="U46" s="101"/>
      <c r="V46" s="85" t="s">
        <v>272</v>
      </c>
      <c r="W46" s="85" t="s">
        <v>272</v>
      </c>
      <c r="X46" s="85" t="str">
        <f>IF($A46="","",IF($AK46=TRUE,"Ready 2 Submit","Waiting on Dealer"))</f>
        <v>Waiting on Dealer</v>
      </c>
      <c r="Y46" s="101"/>
      <c r="Z46" s="85" t="s">
        <v>272</v>
      </c>
      <c r="AA46" s="85" t="s">
        <v>272</v>
      </c>
      <c r="AB46" s="85" t="str">
        <f>IF($A46="","",IF($AK46=TRUE,"Ready 2 Submit","Waiting on Dealer"))</f>
        <v>Waiting on Dealer</v>
      </c>
      <c r="AC46" s="101"/>
      <c r="AD46" s="85" t="s">
        <v>272</v>
      </c>
      <c r="AE46" s="85" t="s">
        <v>272</v>
      </c>
      <c r="AF46" s="85" t="s">
        <v>437</v>
      </c>
      <c r="AG46" s="101"/>
      <c r="AH46" s="85" t="s">
        <v>272</v>
      </c>
      <c r="AI46" s="85" t="s">
        <v>272</v>
      </c>
      <c r="AJ46" s="196" t="s">
        <v>758</v>
      </c>
      <c r="AK46" s="102" t="b">
        <v>0</v>
      </c>
      <c r="AL46" s="85" cm="1">
        <f t="array" ref="AL46">IF($A46="","",SUMPRODUCT((CHOOSE({1,2,3,4,5},$R46,$V46,$Z46,$AD46,$AH46)="Yes")*(((CHOOSE({1,2,3,4,5},$S46,$W46,$AA46,$AE46,$AI46)="Yes")+(CHOOSE({1,2,3,4,5},$S46,$W46,$AA46,$AE46,$AI46)=TRUE))&gt;0)))</f>
        <v>0</v>
      </c>
      <c r="AM46" s="101"/>
      <c r="AN46" s="85" t="str">
        <f ca="1">IF(OR($A46="",$AM46=""),"",TODAY()-$AM46)</f>
        <v/>
      </c>
      <c r="AO46" s="87"/>
      <c r="AP46" s="106"/>
      <c r="AQ46" s="106"/>
      <c r="AR46" s="106"/>
      <c r="AS46" s="106"/>
      <c r="AT46" s="106"/>
      <c r="AU46" s="106"/>
      <c r="AV46" s="106"/>
      <c r="AW46" s="106"/>
      <c r="AX46" s="106"/>
      <c r="AY46" s="106"/>
    </row>
    <row r="47" spans="1:53" s="20" customFormat="1" ht="38.25">
      <c r="A47" s="196" t="s">
        <v>759</v>
      </c>
      <c r="B47" s="99" t="s">
        <v>760</v>
      </c>
      <c r="C47" s="99" t="s">
        <v>485</v>
      </c>
      <c r="D47" s="197" t="s">
        <v>761</v>
      </c>
      <c r="E47" s="88" t="s">
        <v>762</v>
      </c>
      <c r="F47" s="194" t="s">
        <v>763</v>
      </c>
      <c r="G47" s="100" t="s">
        <v>485</v>
      </c>
      <c r="H47" s="194"/>
      <c r="I47" s="99" t="s">
        <v>537</v>
      </c>
      <c r="J47" s="107"/>
      <c r="K47" s="85">
        <v>1</v>
      </c>
      <c r="L47" s="85" t="str" cm="1">
        <f t="array" ref="L47">IF($A47="","",_xlfn.LET(_xlpm.stat,CHOOSE({1,2,3,4,5},$P47,$T47,$X47,$AB47,$AF47),_xlpm.rate,CHOOSE({1,2,3,4,5},$R47,$V47,$Z47,$AD47,$AH47),_xlpm.trn,CHOOSE({1,2,3,4,5},$S47,$W47,$AA47,$AE47,$AI47),_xlpm.nsC,SUMPRODUCT(--(_xlpm.stat="Ready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DLR",IF(AND(_xlpm.actRS&gt;0,_xlpm.actDone&lt;_xlpm.actRS),"Training",IF(_xlpm.actRS&gt;0,"Active",IF(AND(_xlpm.decC&gt;0,_xlpm.inPlay+_xlpm.actC=0),"Dead",IF(AND($AJ47&lt;&gt;"",$AK47=FALSE),"Waiting on Dealer",IF(_xlpm.subC&gt;0,"Waiting on Lender",IF(AND(_xlpm.appC+_xlpm.actC&gt;0,_xlpm.nsC+_xlpm.wdC=0),"Rate Sheet","Application Submitted")))))))))</f>
        <v>Waiting on Dealer</v>
      </c>
      <c r="M47" s="151">
        <v>46281</v>
      </c>
      <c r="N47" s="101">
        <v>46282</v>
      </c>
      <c r="O47" s="196" t="s">
        <v>538</v>
      </c>
      <c r="P47" s="85" t="str">
        <f>IF($A47="","",IF($AK47=TRUE,"Ready 2 Submit","Waiting on Dealer"))</f>
        <v>Waiting on Dealer</v>
      </c>
      <c r="Q47" s="101"/>
      <c r="R47" s="85" t="s">
        <v>272</v>
      </c>
      <c r="S47" s="85" t="s">
        <v>272</v>
      </c>
      <c r="T47" s="85" t="s">
        <v>437</v>
      </c>
      <c r="U47" s="101"/>
      <c r="V47" s="85" t="s">
        <v>272</v>
      </c>
      <c r="W47" s="85" t="s">
        <v>272</v>
      </c>
      <c r="X47" s="85" t="str">
        <f>IF($A47="","",IF($AK47=TRUE,"Ready 2 Submit","Waiting on Dealer"))</f>
        <v>Waiting on Dealer</v>
      </c>
      <c r="Y47" s="101"/>
      <c r="Z47" s="85" t="s">
        <v>272</v>
      </c>
      <c r="AA47" s="85" t="s">
        <v>272</v>
      </c>
      <c r="AB47" s="85" t="s">
        <v>437</v>
      </c>
      <c r="AC47" s="101"/>
      <c r="AD47" s="85" t="s">
        <v>272</v>
      </c>
      <c r="AE47" s="85" t="s">
        <v>272</v>
      </c>
      <c r="AF47" s="85" t="s">
        <v>437</v>
      </c>
      <c r="AG47" s="101"/>
      <c r="AH47" s="85" t="s">
        <v>272</v>
      </c>
      <c r="AI47" s="85" t="s">
        <v>272</v>
      </c>
      <c r="AJ47" s="196" t="s">
        <v>3687</v>
      </c>
      <c r="AK47" s="102" t="b">
        <v>0</v>
      </c>
      <c r="AL47" s="85" cm="1">
        <f t="array" ref="AL47">IF($A47="","",SUMPRODUCT((CHOOSE({1,2,3,4,5},$R47,$V47,$Z47,$AD47,$AH47)="Yes")*(((CHOOSE({1,2,3,4,5},$S47,$W47,$AA47,$AE47,$AI47)="Yes")+(CHOOSE({1,2,3,4,5},$S47,$W47,$AA47,$AE47,$AI47)=TRUE))&gt;0)))</f>
        <v>0</v>
      </c>
      <c r="AM47" s="101">
        <v>46282</v>
      </c>
      <c r="AN47" s="85">
        <f ca="1">IF(OR($A47="",$AM47=""),"",TODAY()-$AM47)</f>
        <v>6</v>
      </c>
      <c r="AO47" s="87"/>
      <c r="AP47" s="106"/>
      <c r="AQ47" s="106"/>
      <c r="AR47" s="106"/>
      <c r="AS47" s="106"/>
      <c r="AT47" s="106"/>
      <c r="AU47" s="106"/>
      <c r="AV47" s="106"/>
      <c r="AW47" s="106"/>
      <c r="AX47" s="106"/>
      <c r="AY47" s="106"/>
    </row>
    <row r="48" spans="1:53" s="20" customFormat="1" ht="19.5">
      <c r="A48" s="196" t="s">
        <v>765</v>
      </c>
      <c r="B48" s="99" t="s">
        <v>766</v>
      </c>
      <c r="C48" s="99"/>
      <c r="D48" s="197" t="s">
        <v>767</v>
      </c>
      <c r="E48" s="88" t="s">
        <v>768</v>
      </c>
      <c r="F48" s="194" t="s">
        <v>769</v>
      </c>
      <c r="G48" s="100" t="s">
        <v>465</v>
      </c>
      <c r="H48" s="194" t="s">
        <v>466</v>
      </c>
      <c r="I48" s="99" t="s">
        <v>3007</v>
      </c>
      <c r="J48" s="107"/>
      <c r="K48" s="85">
        <v>2</v>
      </c>
      <c r="L48" s="85" t="str" cm="1">
        <f t="array" ref="L48">IF($A48="","",_xlfn.LET(_xlpm.stat,CHOOSE({1,2,3,4,5},$P48,$T48,$X48,$AB48,$AF48),_xlpm.rate,CHOOSE({1,2,3,4,5},$R48,$V48,$Z48,$AD48,$AH48),_xlpm.trn,CHOOSE({1,2,3,4,5},$S48,$W48,$AA48,$AE48,$AI48),_xlpm.nsC,SUMPRODUCT(--(_xlpm.stat="Ready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DLR",IF(AND(_xlpm.actRS&gt;0,_xlpm.actDone&lt;_xlpm.actRS),"Training",IF(_xlpm.actRS&gt;0,"Active",IF(AND(_xlpm.decC&gt;0,_xlpm.inPlay+_xlpm.actC=0),"Dead",IF(AND($AJ48&lt;&gt;"",$AK48=FALSE),"Waiting on Dealer",IF(_xlpm.subC&gt;0,"Waiting on Lender",IF(AND(_xlpm.appC+_xlpm.actC&gt;0,_xlpm.nsC+_xlpm.wdC=0),"Rate Sheet","Application Submitted")))))))))</f>
        <v>Waiting on Lender</v>
      </c>
      <c r="M48" s="151">
        <v>46281</v>
      </c>
      <c r="N48" s="101">
        <v>46282</v>
      </c>
      <c r="O48" s="196" t="s">
        <v>771</v>
      </c>
      <c r="P48" s="85" t="s">
        <v>437</v>
      </c>
      <c r="Q48" s="101"/>
      <c r="R48" s="85" t="s">
        <v>272</v>
      </c>
      <c r="S48" s="85" t="s">
        <v>272</v>
      </c>
      <c r="T48" s="85" t="s">
        <v>457</v>
      </c>
      <c r="U48" s="101">
        <v>46283</v>
      </c>
      <c r="V48" s="85" t="s">
        <v>272</v>
      </c>
      <c r="W48" s="85" t="s">
        <v>272</v>
      </c>
      <c r="X48" s="85" t="s">
        <v>457</v>
      </c>
      <c r="Y48" s="101">
        <v>46283</v>
      </c>
      <c r="Z48" s="85" t="s">
        <v>272</v>
      </c>
      <c r="AA48" s="85" t="s">
        <v>272</v>
      </c>
      <c r="AB48" s="85" t="s">
        <v>437</v>
      </c>
      <c r="AC48" s="101"/>
      <c r="AD48" s="85" t="s">
        <v>272</v>
      </c>
      <c r="AE48" s="85" t="s">
        <v>272</v>
      </c>
      <c r="AF48" s="85" t="s">
        <v>437</v>
      </c>
      <c r="AG48" s="101"/>
      <c r="AH48" s="85" t="s">
        <v>272</v>
      </c>
      <c r="AI48" s="85" t="s">
        <v>272</v>
      </c>
      <c r="AJ48" s="196" t="s">
        <v>772</v>
      </c>
      <c r="AK48" s="102" t="b">
        <v>1</v>
      </c>
      <c r="AL48" s="85" cm="1">
        <f t="array" ref="AL48">IF($A48="","",SUMPRODUCT((CHOOSE({1,2,3,4,5},$R48,$V48,$Z48,$AD48,$AH48)="Yes")*(((CHOOSE({1,2,3,4,5},$S48,$W48,$AA48,$AE48,$AI48)="Yes")+(CHOOSE({1,2,3,4,5},$S48,$W48,$AA48,$AE48,$AI48)=TRUE))&gt;0)))</f>
        <v>0</v>
      </c>
      <c r="AM48" s="101">
        <v>46282</v>
      </c>
      <c r="AN48" s="85">
        <f ca="1">IF(OR($A48="",$AM48=""),"",TODAY()-$AM48)</f>
        <v>6</v>
      </c>
      <c r="AO48" s="87"/>
      <c r="AP48" s="106"/>
      <c r="AQ48" s="106"/>
      <c r="AR48" s="106"/>
      <c r="AS48" s="106"/>
      <c r="AT48" s="106"/>
      <c r="AU48" s="106"/>
      <c r="AV48" s="106"/>
      <c r="AW48" s="106"/>
      <c r="AX48" s="106"/>
      <c r="AY48" s="106"/>
    </row>
    <row r="49" spans="1:51" s="20" customFormat="1" ht="57">
      <c r="A49" s="196" t="s">
        <v>773</v>
      </c>
      <c r="B49" s="99" t="s">
        <v>773</v>
      </c>
      <c r="C49" s="99"/>
      <c r="D49" s="197" t="s">
        <v>774</v>
      </c>
      <c r="E49" s="88" t="s">
        <v>775</v>
      </c>
      <c r="F49" s="194" t="s">
        <v>776</v>
      </c>
      <c r="G49" s="100" t="s">
        <v>611</v>
      </c>
      <c r="H49" s="194" t="s">
        <v>612</v>
      </c>
      <c r="I49" s="99" t="s">
        <v>777</v>
      </c>
      <c r="J49" s="107"/>
      <c r="K49" s="85">
        <v>3</v>
      </c>
      <c r="L49" s="85" t="str" cm="1">
        <f t="array" ref="L49">IF($A49="","",_xlfn.LET(_xlpm.stat,CHOOSE({1,2,3,4,5},$P49,$T49,$X49,$AB49,$AF49),_xlpm.rate,CHOOSE({1,2,3,4,5},$R49,$V49,$Z49,$AD49,$AH49),_xlpm.trn,CHOOSE({1,2,3,4,5},$S49,$W49,$AA49,$AE49,$AI49),_xlpm.nsC,SUMPRODUCT(--(_xlpm.stat="Ready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DLR",IF(AND(_xlpm.actRS&gt;0,_xlpm.actDone&lt;_xlpm.actRS),"Training",IF(_xlpm.actRS&gt;0,"Active",IF(AND(_xlpm.decC&gt;0,_xlpm.inPlay+_xlpm.actC=0),"Dead",IF(AND($AJ49&lt;&gt;"",$AK49=FALSE),"Waiting on Dealer",IF(_xlpm.subC&gt;0,"Waiting on Lender",IF(AND(_xlpm.appC+_xlpm.actC&gt;0,_xlpm.nsC+_xlpm.wdC=0),"Rate Sheet","Application Submitted")))))))))</f>
        <v>Waiting on Dealer</v>
      </c>
      <c r="M49" s="151">
        <v>46282</v>
      </c>
      <c r="N49" s="101"/>
      <c r="O49" s="196" t="s">
        <v>538</v>
      </c>
      <c r="P49" s="85" t="str">
        <f>IF($A49="","",IF($AK49=TRUE,"Ready 2 Submit","Waiting on Dealer"))</f>
        <v>Waiting on Dealer</v>
      </c>
      <c r="Q49" s="101"/>
      <c r="R49" s="85" t="s">
        <v>272</v>
      </c>
      <c r="S49" s="85" t="s">
        <v>272</v>
      </c>
      <c r="T49" s="85" t="s">
        <v>437</v>
      </c>
      <c r="U49" s="101"/>
      <c r="V49" s="85" t="s">
        <v>272</v>
      </c>
      <c r="W49" s="85" t="s">
        <v>272</v>
      </c>
      <c r="X49" s="85" t="str">
        <f>IF($A49="","",IF($AK49=TRUE,"Ready 2 Submit","Waiting on Dealer"))</f>
        <v>Waiting on Dealer</v>
      </c>
      <c r="Y49" s="101"/>
      <c r="Z49" s="85" t="s">
        <v>272</v>
      </c>
      <c r="AA49" s="85" t="s">
        <v>272</v>
      </c>
      <c r="AB49" s="85" t="s">
        <v>437</v>
      </c>
      <c r="AC49" s="101"/>
      <c r="AD49" s="85" t="s">
        <v>272</v>
      </c>
      <c r="AE49" s="85" t="s">
        <v>272</v>
      </c>
      <c r="AF49" s="85" t="s">
        <v>437</v>
      </c>
      <c r="AG49" s="101"/>
      <c r="AH49" s="85" t="s">
        <v>272</v>
      </c>
      <c r="AI49" s="85" t="s">
        <v>272</v>
      </c>
      <c r="AJ49" s="196" t="s">
        <v>778</v>
      </c>
      <c r="AK49" s="102" t="b">
        <v>0</v>
      </c>
      <c r="AL49" s="85" cm="1">
        <f t="array" ref="AL49">IF($A49="","",SUMPRODUCT((CHOOSE({1,2,3,4,5},$R49,$V49,$Z49,$AD49,$AH49)="Yes")*(((CHOOSE({1,2,3,4,5},$S49,$W49,$AA49,$AE49,$AI49)="Yes")+(CHOOSE({1,2,3,4,5},$S49,$W49,$AA49,$AE49,$AI49)=TRUE))&gt;0)))</f>
        <v>0</v>
      </c>
      <c r="AM49" s="101">
        <v>46282</v>
      </c>
      <c r="AN49" s="85">
        <f ca="1">IF(OR($A49="",$AM49=""),"",TODAY()-$AM49)</f>
        <v>6</v>
      </c>
      <c r="AO49" s="87"/>
      <c r="AP49" s="106"/>
      <c r="AQ49" s="106"/>
      <c r="AR49" s="106"/>
      <c r="AS49" s="106"/>
      <c r="AT49" s="106"/>
      <c r="AU49" s="106"/>
      <c r="AV49" s="106"/>
      <c r="AW49" s="106"/>
      <c r="AX49" s="106"/>
      <c r="AY49" s="106"/>
    </row>
    <row r="50" spans="1:51" s="20" customFormat="1" ht="19.5">
      <c r="A50" s="197"/>
      <c r="B50" s="87"/>
      <c r="C50" s="87"/>
      <c r="D50" s="196"/>
      <c r="E50" s="108"/>
      <c r="F50" s="196"/>
      <c r="G50" s="87"/>
      <c r="H50" s="197"/>
      <c r="I50" s="89"/>
      <c r="J50" s="204"/>
      <c r="K50" s="87"/>
      <c r="L50" s="87" t="str" cm="1">
        <f t="array" ref="L50">IF($A50="","",_xlfn.LET(_xlpm.stat,CHOOSE({1,2,3,4,5},$P50,$T50,$X50,$AB50,$AF50),_xlpm.rate,CHOOSE({1,2,3,4,5},$R50,$V50,$Z50,$AD50,$AH50),_xlpm.trn,CHOOSE({1,2,3,4,5},$S50,$W50,$AA50,$AE50,$AI50),_xlpm.nsC,SUMPRODUCT(--(_xlpm.stat="Ready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DLR",IF(AND(_xlpm.actRS&gt;0,_xlpm.actDone&lt;_xlpm.actRS),"Training",IF(_xlpm.actRS&gt;0,"Active",IF(AND(_xlpm.decC&gt;0,_xlpm.inPlay+_xlpm.actC=0),"Dead",IF(AND($AJ50&lt;&gt;"",$AK50=FALSE),"Waiting on Dealer",IF(_xlpm.subC&gt;0,"Waiting on Lender",IF(AND(_xlpm.appC+_xlpm.actC&gt;0,_xlpm.nsC+_xlpm.wdC=0),"Rate Sheet","Application Submitted")))))))))</f>
        <v/>
      </c>
      <c r="M50" s="87"/>
      <c r="N50" s="87"/>
      <c r="O50" s="197"/>
      <c r="P50" s="87" t="str">
        <f>IF($A50="","",IF($AK50=TRUE,"Ready 2 Submit","Waiting on Dealer"))</f>
        <v/>
      </c>
      <c r="Q50" s="148"/>
      <c r="R50" s="87"/>
      <c r="S50" s="87"/>
      <c r="T50" s="87" t="str">
        <f>IF($A50="","",IF($AK50=TRUE,"Ready 2 Submit","Waiting on Dealer"))</f>
        <v/>
      </c>
      <c r="U50" s="148"/>
      <c r="V50" s="87"/>
      <c r="W50" s="87"/>
      <c r="X50" s="87" t="str">
        <f>IF($A50="","",IF($AK50=TRUE,"Ready 2 Submit","Waiting on Dealer"))</f>
        <v/>
      </c>
      <c r="Y50" s="148"/>
      <c r="Z50" s="87"/>
      <c r="AA50" s="87"/>
      <c r="AB50" s="87" t="str">
        <f>IF($A50="","",IF($AK50=TRUE,"Ready 2 Submit","Waiting on Dealer"))</f>
        <v/>
      </c>
      <c r="AC50" s="148"/>
      <c r="AD50" s="87"/>
      <c r="AE50" s="87"/>
      <c r="AF50" s="87" t="str">
        <f>IF($A50="","",IF($AK50=TRUE,"Ready 2 Submit","Waiting on Dealer"))</f>
        <v/>
      </c>
      <c r="AG50" s="148"/>
      <c r="AH50" s="87"/>
      <c r="AI50" s="87"/>
      <c r="AJ50" s="197"/>
      <c r="AK50" s="110" t="b">
        <v>0</v>
      </c>
      <c r="AL50" s="87" t="str" cm="1">
        <f t="array" ref="AL50">IF($A50="","",SUMPRODUCT((CHOOSE({1,2,3,4,5},$R50,$V50,$Z50,$AD50,$AH50)="Yes")*(((CHOOSE({1,2,3,4,5},$S50,$W50,$AA50,$AE50,$AI50)="Yes")+(CHOOSE({1,2,3,4,5},$S50,$W50,$AA50,$AE50,$AI50)=TRUE))&gt;0)))</f>
        <v/>
      </c>
      <c r="AM50" s="87"/>
      <c r="AN50" s="87" t="str">
        <f ca="1">IF(OR($A50="",$AM50=""),"",TODAY()-$AM50)</f>
        <v/>
      </c>
      <c r="AO50" s="87"/>
      <c r="AP50" s="106"/>
      <c r="AQ50" s="106"/>
      <c r="AR50" s="106"/>
      <c r="AS50" s="106"/>
      <c r="AT50" s="106"/>
      <c r="AU50" s="106"/>
      <c r="AV50" s="106"/>
      <c r="AW50" s="106"/>
      <c r="AX50" s="106"/>
      <c r="AY50" s="106"/>
    </row>
    <row r="51" spans="1:51" s="20" customFormat="1" ht="19.5">
      <c r="A51" s="197"/>
      <c r="B51" s="87"/>
      <c r="C51" s="87"/>
      <c r="D51" s="196"/>
      <c r="E51" s="108"/>
      <c r="F51" s="196"/>
      <c r="G51" s="87"/>
      <c r="H51" s="197"/>
      <c r="I51" s="89"/>
      <c r="J51" s="204"/>
      <c r="K51" s="87"/>
      <c r="L51" s="87" t="str" cm="1">
        <f t="array" ref="L51">IF($A51="","",_xlfn.LET(_xlpm.stat,CHOOSE({1,2,3,4,5},$P51,$T51,$X51,$AB51,$AF51),_xlpm.rate,CHOOSE({1,2,3,4,5},$R51,$V51,$Z51,$AD51,$AH51),_xlpm.trn,CHOOSE({1,2,3,4,5},$S51,$W51,$AA51,$AE51,$AI51),_xlpm.nsC,SUMPRODUCT(--(_xlpm.stat="Ready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DLR",IF(AND(_xlpm.actRS&gt;0,_xlpm.actDone&lt;_xlpm.actRS),"Training",IF(_xlpm.actRS&gt;0,"Active",IF(AND(_xlpm.decC&gt;0,_xlpm.inPlay+_xlpm.actC=0),"Dead",IF(AND($AJ51&lt;&gt;"",$AK51=FALSE),"Waiting on Dealer",IF(_xlpm.subC&gt;0,"Waiting on Lender",IF(AND(_xlpm.appC+_xlpm.actC&gt;0,_xlpm.nsC+_xlpm.wdC=0),"Rate Sheet","Application Submitted")))))))))</f>
        <v/>
      </c>
      <c r="M51" s="87"/>
      <c r="N51" s="87"/>
      <c r="O51" s="197"/>
      <c r="P51" s="87" t="str">
        <f>IF($A51="","",IF($AK51=TRUE,"Ready 2 Submit","Waiting on Dealer"))</f>
        <v/>
      </c>
      <c r="Q51" s="148"/>
      <c r="R51" s="87"/>
      <c r="S51" s="87"/>
      <c r="T51" s="87" t="str">
        <f>IF($A51="","",IF($AK51=TRUE,"Ready 2 Submit","Waiting on Dealer"))</f>
        <v/>
      </c>
      <c r="U51" s="148"/>
      <c r="V51" s="87"/>
      <c r="W51" s="87"/>
      <c r="X51" s="87" t="str">
        <f>IF($A51="","",IF($AK51=TRUE,"Ready 2 Submit","Waiting on Dealer"))</f>
        <v/>
      </c>
      <c r="Y51" s="148"/>
      <c r="Z51" s="87"/>
      <c r="AA51" s="87"/>
      <c r="AB51" s="87" t="str">
        <f>IF($A51="","",IF($AK51=TRUE,"Ready 2 Submit","Waiting on Dealer"))</f>
        <v/>
      </c>
      <c r="AC51" s="148"/>
      <c r="AD51" s="87"/>
      <c r="AE51" s="87"/>
      <c r="AF51" s="87" t="str">
        <f>IF($A51="","",IF($AK51=TRUE,"Ready 2 Submit","Waiting on Dealer"))</f>
        <v/>
      </c>
      <c r="AG51" s="148"/>
      <c r="AH51" s="87"/>
      <c r="AI51" s="87"/>
      <c r="AJ51" s="197"/>
      <c r="AK51" s="110" t="b">
        <v>0</v>
      </c>
      <c r="AL51" s="87" t="str" cm="1">
        <f t="array" ref="AL51">IF($A51="","",SUMPRODUCT((CHOOSE({1,2,3,4,5},$R51,$V51,$Z51,$AD51,$AH51)="Yes")*(((CHOOSE({1,2,3,4,5},$S51,$W51,$AA51,$AE51,$AI51)="Yes")+(CHOOSE({1,2,3,4,5},$S51,$W51,$AA51,$AE51,$AI51)=TRUE))&gt;0)))</f>
        <v/>
      </c>
      <c r="AM51" s="87"/>
      <c r="AN51" s="87" t="str">
        <f ca="1">IF(OR($A51="",$AM51=""),"",TODAY()-$AM51)</f>
        <v/>
      </c>
      <c r="AO51" s="87"/>
      <c r="AP51" s="106"/>
      <c r="AQ51" s="106"/>
      <c r="AR51" s="106"/>
      <c r="AS51" s="106"/>
      <c r="AT51" s="106"/>
      <c r="AU51" s="106"/>
      <c r="AV51" s="106"/>
      <c r="AW51" s="106"/>
      <c r="AX51" s="106"/>
      <c r="AY51" s="106"/>
    </row>
    <row r="52" spans="1:51" s="20" customFormat="1" ht="19.5">
      <c r="A52" s="197"/>
      <c r="B52" s="87"/>
      <c r="C52" s="87"/>
      <c r="D52" s="196"/>
      <c r="E52" s="108"/>
      <c r="F52" s="196"/>
      <c r="G52" s="87"/>
      <c r="H52" s="197"/>
      <c r="I52" s="89"/>
      <c r="J52" s="204"/>
      <c r="K52" s="87"/>
      <c r="L52" s="87" t="str" cm="1">
        <f t="array" ref="L52">IF($A52="","",_xlfn.LET(_xlpm.stat,CHOOSE({1,2,3,4,5},$P52,$T52,$X52,$AB52,$AF52),_xlpm.rate,CHOOSE({1,2,3,4,5},$R52,$V52,$Z52,$AD52,$AH52),_xlpm.trn,CHOOSE({1,2,3,4,5},$S52,$W52,$AA52,$AE52,$AI52),_xlpm.nsC,SUMPRODUCT(--(_xlpm.stat="Ready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DLR",IF(AND(_xlpm.actRS&gt;0,_xlpm.actDone&lt;_xlpm.actRS),"Training",IF(_xlpm.actRS&gt;0,"Active",IF(AND(_xlpm.decC&gt;0,_xlpm.inPlay+_xlpm.actC=0),"Dead",IF(AND($AJ52&lt;&gt;"",$AK52=FALSE),"Waiting on Dealer",IF(_xlpm.subC&gt;0,"Waiting on Lender",IF(AND(_xlpm.appC+_xlpm.actC&gt;0,_xlpm.nsC+_xlpm.wdC=0),"Rate Sheet","Application Submitted")))))))))</f>
        <v/>
      </c>
      <c r="M52" s="87"/>
      <c r="N52" s="87"/>
      <c r="O52" s="197"/>
      <c r="P52" s="87" t="str">
        <f>IF($A52="","",IF($AK52=TRUE,"Ready 2 Submit","Waiting on Dealer"))</f>
        <v/>
      </c>
      <c r="Q52" s="148"/>
      <c r="R52" s="87"/>
      <c r="S52" s="87"/>
      <c r="T52" s="87" t="str">
        <f>IF($A52="","",IF($AK52=TRUE,"Ready 2 Submit","Waiting on Dealer"))</f>
        <v/>
      </c>
      <c r="U52" s="148"/>
      <c r="V52" s="87"/>
      <c r="W52" s="87"/>
      <c r="X52" s="87" t="str">
        <f>IF($A52="","",IF($AK52=TRUE,"Ready 2 Submit","Waiting on Dealer"))</f>
        <v/>
      </c>
      <c r="Y52" s="148"/>
      <c r="Z52" s="87"/>
      <c r="AA52" s="87"/>
      <c r="AB52" s="87" t="str">
        <f>IF($A52="","",IF($AK52=TRUE,"Ready 2 Submit","Waiting on Dealer"))</f>
        <v/>
      </c>
      <c r="AC52" s="148"/>
      <c r="AD52" s="87"/>
      <c r="AE52" s="87"/>
      <c r="AF52" s="87" t="str">
        <f>IF($A52="","",IF($AK52=TRUE,"Ready 2 Submit","Waiting on Dealer"))</f>
        <v/>
      </c>
      <c r="AG52" s="148"/>
      <c r="AH52" s="87"/>
      <c r="AI52" s="87"/>
      <c r="AJ52" s="197"/>
      <c r="AK52" s="110" t="b">
        <v>0</v>
      </c>
      <c r="AL52" s="87" t="str" cm="1">
        <f t="array" ref="AL52">IF($A52="","",SUMPRODUCT((CHOOSE({1,2,3,4,5},$R52,$V52,$Z52,$AD52,$AH52)="Yes")*(((CHOOSE({1,2,3,4,5},$S52,$W52,$AA52,$AE52,$AI52)="Yes")+(CHOOSE({1,2,3,4,5},$S52,$W52,$AA52,$AE52,$AI52)=TRUE))&gt;0)))</f>
        <v/>
      </c>
      <c r="AM52" s="87"/>
      <c r="AN52" s="87" t="str">
        <f ca="1">IF(OR($A52="",$AM52=""),"",TODAY()-$AM52)</f>
        <v/>
      </c>
      <c r="AO52" s="87"/>
      <c r="AP52" s="106"/>
      <c r="AQ52" s="106"/>
      <c r="AR52" s="106"/>
      <c r="AS52" s="106"/>
      <c r="AT52" s="106"/>
      <c r="AU52" s="106"/>
      <c r="AV52" s="106"/>
      <c r="AW52" s="106"/>
      <c r="AX52" s="106"/>
      <c r="AY52" s="106"/>
    </row>
    <row r="53" spans="1:51" s="20" customFormat="1" ht="19.5">
      <c r="A53" s="197"/>
      <c r="B53" s="87"/>
      <c r="C53" s="87"/>
      <c r="D53" s="196"/>
      <c r="E53" s="108"/>
      <c r="F53" s="196"/>
      <c r="G53" s="87"/>
      <c r="H53" s="197"/>
      <c r="I53" s="89"/>
      <c r="J53" s="204"/>
      <c r="K53" s="87"/>
      <c r="L53" s="87" t="str" cm="1">
        <f t="array" ref="L53">IF($A53="","",_xlfn.LET(_xlpm.stat,CHOOSE({1,2,3,4,5},$P53,$T53,$X53,$AB53,$AF53),_xlpm.rate,CHOOSE({1,2,3,4,5},$R53,$V53,$Z53,$AD53,$AH53),_xlpm.trn,CHOOSE({1,2,3,4,5},$S53,$W53,$AA53,$AE53,$AI53),_xlpm.nsC,SUMPRODUCT(--(_xlpm.stat="Ready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DLR",IF(AND(_xlpm.actRS&gt;0,_xlpm.actDone&lt;_xlpm.actRS),"Training",IF(_xlpm.actRS&gt;0,"Active",IF(AND(_xlpm.decC&gt;0,_xlpm.inPlay+_xlpm.actC=0),"Dead",IF(AND($AJ53&lt;&gt;"",$AK53=FALSE),"Waiting on Dealer",IF(_xlpm.subC&gt;0,"Waiting on Lender",IF(AND(_xlpm.appC+_xlpm.actC&gt;0,_xlpm.nsC+_xlpm.wdC=0),"Rate Sheet","Application Submitted")))))))))</f>
        <v/>
      </c>
      <c r="M53" s="87"/>
      <c r="N53" s="87"/>
      <c r="O53" s="197"/>
      <c r="P53" s="87" t="str">
        <f>IF($A53="","",IF($AK53=TRUE,"Ready 2 Submit","Waiting on Dealer"))</f>
        <v/>
      </c>
      <c r="Q53" s="148"/>
      <c r="R53" s="87"/>
      <c r="S53" s="87"/>
      <c r="T53" s="87" t="str">
        <f>IF($A53="","",IF($AK53=TRUE,"Ready 2 Submit","Waiting on Dealer"))</f>
        <v/>
      </c>
      <c r="U53" s="148"/>
      <c r="V53" s="87"/>
      <c r="W53" s="87"/>
      <c r="X53" s="87" t="str">
        <f>IF($A53="","",IF($AK53=TRUE,"Ready 2 Submit","Waiting on Dealer"))</f>
        <v/>
      </c>
      <c r="Y53" s="148"/>
      <c r="Z53" s="87"/>
      <c r="AA53" s="87"/>
      <c r="AB53" s="87" t="str">
        <f>IF($A53="","",IF($AK53=TRUE,"Ready 2 Submit","Waiting on Dealer"))</f>
        <v/>
      </c>
      <c r="AC53" s="148"/>
      <c r="AD53" s="87"/>
      <c r="AE53" s="87"/>
      <c r="AF53" s="87" t="str">
        <f>IF($A53="","",IF($AK53=TRUE,"Ready 2 Submit","Waiting on Dealer"))</f>
        <v/>
      </c>
      <c r="AG53" s="148"/>
      <c r="AH53" s="87"/>
      <c r="AI53" s="87"/>
      <c r="AJ53" s="197"/>
      <c r="AK53" s="110" t="b">
        <v>0</v>
      </c>
      <c r="AL53" s="87" t="str" cm="1">
        <f t="array" ref="AL53">IF($A53="","",SUMPRODUCT((CHOOSE({1,2,3,4,5},$R53,$V53,$Z53,$AD53,$AH53)="Yes")*(((CHOOSE({1,2,3,4,5},$S53,$W53,$AA53,$AE53,$AI53)="Yes")+(CHOOSE({1,2,3,4,5},$S53,$W53,$AA53,$AE53,$AI53)=TRUE))&gt;0)))</f>
        <v/>
      </c>
      <c r="AM53" s="87"/>
      <c r="AN53" s="87" t="str">
        <f ca="1">IF(OR($A53="",$AM53=""),"",TODAY()-$AM53)</f>
        <v/>
      </c>
      <c r="AO53" s="87"/>
      <c r="AP53" s="106"/>
      <c r="AQ53" s="106"/>
      <c r="AR53" s="106"/>
      <c r="AS53" s="106"/>
      <c r="AT53" s="106"/>
      <c r="AU53" s="106"/>
      <c r="AV53" s="106"/>
      <c r="AW53" s="106"/>
      <c r="AX53" s="106"/>
      <c r="AY53" s="106"/>
    </row>
    <row r="54" spans="1:51" s="20" customFormat="1" ht="19.5">
      <c r="A54" s="197"/>
      <c r="B54" s="87"/>
      <c r="C54" s="87"/>
      <c r="D54" s="196"/>
      <c r="E54" s="108"/>
      <c r="F54" s="196"/>
      <c r="G54" s="87"/>
      <c r="H54" s="197"/>
      <c r="I54" s="89"/>
      <c r="J54" s="204"/>
      <c r="K54" s="87"/>
      <c r="L54" s="87" t="str" cm="1">
        <f t="array" ref="L54">IF($A54="","",_xlfn.LET(_xlpm.stat,CHOOSE({1,2,3,4,5},$P54,$T54,$X54,$AB54,$AF54),_xlpm.rate,CHOOSE({1,2,3,4,5},$R54,$V54,$Z54,$AD54,$AH54),_xlpm.trn,CHOOSE({1,2,3,4,5},$S54,$W54,$AA54,$AE54,$AI54),_xlpm.nsC,SUMPRODUCT(--(_xlpm.stat="Ready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DLR",IF(AND(_xlpm.actRS&gt;0,_xlpm.actDone&lt;_xlpm.actRS),"Training",IF(_xlpm.actRS&gt;0,"Active",IF(AND(_xlpm.decC&gt;0,_xlpm.inPlay+_xlpm.actC=0),"Dead",IF(AND($AJ54&lt;&gt;"",$AK54=FALSE),"Waiting on Dealer",IF(_xlpm.subC&gt;0,"Waiting on Lender",IF(AND(_xlpm.appC+_xlpm.actC&gt;0,_xlpm.nsC+_xlpm.wdC=0),"Rate Sheet","Application Submitted")))))))))</f>
        <v/>
      </c>
      <c r="M54" s="87"/>
      <c r="N54" s="87"/>
      <c r="O54" s="197"/>
      <c r="P54" s="87" t="str">
        <f>IF($A54="","",IF($AK54=TRUE,"Ready 2 Submit","Waiting on Dealer"))</f>
        <v/>
      </c>
      <c r="Q54" s="148"/>
      <c r="R54" s="87"/>
      <c r="S54" s="87"/>
      <c r="T54" s="87" t="str">
        <f>IF($A54="","",IF($AK54=TRUE,"Ready 2 Submit","Waiting on Dealer"))</f>
        <v/>
      </c>
      <c r="U54" s="148"/>
      <c r="V54" s="87"/>
      <c r="W54" s="87"/>
      <c r="X54" s="87" t="str">
        <f>IF($A54="","",IF($AK54=TRUE,"Ready 2 Submit","Waiting on Dealer"))</f>
        <v/>
      </c>
      <c r="Y54" s="148"/>
      <c r="Z54" s="87"/>
      <c r="AA54" s="87"/>
      <c r="AB54" s="87" t="str">
        <f>IF($A54="","",IF($AK54=TRUE,"Ready 2 Submit","Waiting on Dealer"))</f>
        <v/>
      </c>
      <c r="AC54" s="148"/>
      <c r="AD54" s="87"/>
      <c r="AE54" s="87"/>
      <c r="AF54" s="87" t="str">
        <f>IF($A54="","",IF($AK54=TRUE,"Ready 2 Submit","Waiting on Dealer"))</f>
        <v/>
      </c>
      <c r="AG54" s="148"/>
      <c r="AH54" s="87"/>
      <c r="AI54" s="87"/>
      <c r="AJ54" s="197"/>
      <c r="AK54" s="110" t="b">
        <v>0</v>
      </c>
      <c r="AL54" s="87" t="str" cm="1">
        <f t="array" ref="AL54">IF($A54="","",SUMPRODUCT((CHOOSE({1,2,3,4,5},$R54,$V54,$Z54,$AD54,$AH54)="Yes")*(((CHOOSE({1,2,3,4,5},$S54,$W54,$AA54,$AE54,$AI54)="Yes")+(CHOOSE({1,2,3,4,5},$S54,$W54,$AA54,$AE54,$AI54)=TRUE))&gt;0)))</f>
        <v/>
      </c>
      <c r="AM54" s="87"/>
      <c r="AN54" s="87" t="str">
        <f ca="1">IF(OR($A54="",$AM54=""),"",TODAY()-$AM54)</f>
        <v/>
      </c>
      <c r="AO54" s="87"/>
      <c r="AP54" s="106"/>
      <c r="AQ54" s="106"/>
      <c r="AR54" s="106"/>
      <c r="AS54" s="106"/>
      <c r="AT54" s="106"/>
      <c r="AU54" s="106"/>
      <c r="AV54" s="106"/>
      <c r="AW54" s="106"/>
      <c r="AX54" s="106"/>
      <c r="AY54" s="106"/>
    </row>
    <row r="55" spans="1:51" s="20" customFormat="1" ht="19.5">
      <c r="A55" s="197"/>
      <c r="B55" s="87"/>
      <c r="C55" s="87"/>
      <c r="D55" s="196"/>
      <c r="E55" s="108"/>
      <c r="F55" s="196"/>
      <c r="G55" s="87"/>
      <c r="H55" s="197"/>
      <c r="I55" s="89"/>
      <c r="J55" s="204"/>
      <c r="K55" s="87"/>
      <c r="L55" s="87" t="str" cm="1">
        <f t="array" ref="L55">IF($A55="","",_xlfn.LET(_xlpm.stat,CHOOSE({1,2,3,4,5},$P55,$T55,$X55,$AB55,$AF55),_xlpm.rate,CHOOSE({1,2,3,4,5},$R55,$V55,$Z55,$AD55,$AH55),_xlpm.trn,CHOOSE({1,2,3,4,5},$S55,$W55,$AA55,$AE55,$AI55),_xlpm.nsC,SUMPRODUCT(--(_xlpm.stat="Ready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DLR",IF(AND(_xlpm.actRS&gt;0,_xlpm.actDone&lt;_xlpm.actRS),"Training",IF(_xlpm.actRS&gt;0,"Active",IF(AND(_xlpm.decC&gt;0,_xlpm.inPlay+_xlpm.actC=0),"Dead",IF(AND($AJ55&lt;&gt;"",$AK55=FALSE),"Waiting on Dealer",IF(_xlpm.subC&gt;0,"Waiting on Lender",IF(AND(_xlpm.appC+_xlpm.actC&gt;0,_xlpm.nsC+_xlpm.wdC=0),"Rate Sheet","Application Submitted")))))))))</f>
        <v/>
      </c>
      <c r="M55" s="87"/>
      <c r="N55" s="87"/>
      <c r="O55" s="197"/>
      <c r="P55" s="87" t="str">
        <f>IF($A55="","",IF($AK55=TRUE,"Ready 2 Submit","Waiting on Dealer"))</f>
        <v/>
      </c>
      <c r="Q55" s="148"/>
      <c r="R55" s="87"/>
      <c r="S55" s="87"/>
      <c r="T55" s="87" t="str">
        <f>IF($A55="","",IF($AK55=TRUE,"Ready 2 Submit","Waiting on Dealer"))</f>
        <v/>
      </c>
      <c r="U55" s="148"/>
      <c r="V55" s="87"/>
      <c r="W55" s="87"/>
      <c r="X55" s="87" t="str">
        <f>IF($A55="","",IF($AK55=TRUE,"Ready 2 Submit","Waiting on Dealer"))</f>
        <v/>
      </c>
      <c r="Y55" s="148"/>
      <c r="Z55" s="87"/>
      <c r="AA55" s="87"/>
      <c r="AB55" s="87" t="str">
        <f>IF($A55="","",IF($AK55=TRUE,"Ready 2 Submit","Waiting on Dealer"))</f>
        <v/>
      </c>
      <c r="AC55" s="148"/>
      <c r="AD55" s="87"/>
      <c r="AE55" s="87"/>
      <c r="AF55" s="87" t="str">
        <f>IF($A55="","",IF($AK55=TRUE,"Ready 2 Submit","Waiting on Dealer"))</f>
        <v/>
      </c>
      <c r="AG55" s="148"/>
      <c r="AH55" s="87"/>
      <c r="AI55" s="87"/>
      <c r="AJ55" s="197"/>
      <c r="AK55" s="110" t="b">
        <v>0</v>
      </c>
      <c r="AL55" s="87" t="str" cm="1">
        <f t="array" ref="AL55">IF($A55="","",SUMPRODUCT((CHOOSE({1,2,3,4,5},$R55,$V55,$Z55,$AD55,$AH55)="Yes")*(((CHOOSE({1,2,3,4,5},$S55,$W55,$AA55,$AE55,$AI55)="Yes")+(CHOOSE({1,2,3,4,5},$S55,$W55,$AA55,$AE55,$AI55)=TRUE))&gt;0)))</f>
        <v/>
      </c>
      <c r="AM55" s="87"/>
      <c r="AN55" s="87" t="str">
        <f ca="1">IF(OR($A55="",$AM55=""),"",TODAY()-$AM55)</f>
        <v/>
      </c>
      <c r="AO55" s="87"/>
      <c r="AP55" s="106"/>
      <c r="AQ55" s="106"/>
      <c r="AR55" s="106"/>
      <c r="AS55" s="106"/>
      <c r="AT55" s="106"/>
      <c r="AU55" s="106"/>
      <c r="AV55" s="106"/>
      <c r="AW55" s="106"/>
      <c r="AX55" s="106"/>
      <c r="AY55" s="106"/>
    </row>
    <row r="56" spans="1:51" s="20" customFormat="1" ht="19.5">
      <c r="A56" s="197"/>
      <c r="B56" s="87"/>
      <c r="C56" s="87"/>
      <c r="D56" s="196"/>
      <c r="E56" s="108"/>
      <c r="F56" s="196"/>
      <c r="G56" s="87"/>
      <c r="H56" s="197"/>
      <c r="I56" s="89"/>
      <c r="J56" s="204"/>
      <c r="K56" s="87"/>
      <c r="L56" s="87" t="str" cm="1">
        <f t="array" ref="L56">IF($A56="","",_xlfn.LET(_xlpm.stat,CHOOSE({1,2,3,4,5},$P56,$T56,$X56,$AB56,$AF56),_xlpm.rate,CHOOSE({1,2,3,4,5},$R56,$V56,$Z56,$AD56,$AH56),_xlpm.trn,CHOOSE({1,2,3,4,5},$S56,$W56,$AA56,$AE56,$AI56),_xlpm.nsC,SUMPRODUCT(--(_xlpm.stat="Ready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DLR",IF(AND(_xlpm.actRS&gt;0,_xlpm.actDone&lt;_xlpm.actRS),"Training",IF(_xlpm.actRS&gt;0,"Active",IF(AND(_xlpm.decC&gt;0,_xlpm.inPlay+_xlpm.actC=0),"Dead",IF(AND($AJ56&lt;&gt;"",$AK56=FALSE),"Waiting on Dealer",IF(_xlpm.subC&gt;0,"Waiting on Lender",IF(AND(_xlpm.appC+_xlpm.actC&gt;0,_xlpm.nsC+_xlpm.wdC=0),"Rate Sheet","Application Submitted")))))))))</f>
        <v/>
      </c>
      <c r="M56" s="87"/>
      <c r="N56" s="87"/>
      <c r="O56" s="197"/>
      <c r="P56" s="87" t="str">
        <f>IF($A56="","",IF($AK56=TRUE,"Ready 2 Submit","Waiting on Dealer"))</f>
        <v/>
      </c>
      <c r="Q56" s="148"/>
      <c r="R56" s="87"/>
      <c r="S56" s="87"/>
      <c r="T56" s="87" t="str">
        <f>IF($A56="","",IF($AK56=TRUE,"Ready 2 Submit","Waiting on Dealer"))</f>
        <v/>
      </c>
      <c r="U56" s="148"/>
      <c r="V56" s="87"/>
      <c r="W56" s="87"/>
      <c r="X56" s="87" t="str">
        <f>IF($A56="","",IF($AK56=TRUE,"Ready 2 Submit","Waiting on Dealer"))</f>
        <v/>
      </c>
      <c r="Y56" s="148"/>
      <c r="Z56" s="87"/>
      <c r="AA56" s="87"/>
      <c r="AB56" s="87" t="str">
        <f>IF($A56="","",IF($AK56=TRUE,"Ready 2 Submit","Waiting on Dealer"))</f>
        <v/>
      </c>
      <c r="AC56" s="148"/>
      <c r="AD56" s="87"/>
      <c r="AE56" s="87"/>
      <c r="AF56" s="87" t="str">
        <f>IF($A56="","",IF($AK56=TRUE,"Ready 2 Submit","Waiting on Dealer"))</f>
        <v/>
      </c>
      <c r="AG56" s="148"/>
      <c r="AH56" s="87"/>
      <c r="AI56" s="87"/>
      <c r="AJ56" s="197"/>
      <c r="AK56" s="110" t="b">
        <v>0</v>
      </c>
      <c r="AL56" s="87" t="str" cm="1">
        <f t="array" ref="AL56">IF($A56="","",SUMPRODUCT((CHOOSE({1,2,3,4,5},$R56,$V56,$Z56,$AD56,$AH56)="Yes")*(((CHOOSE({1,2,3,4,5},$S56,$W56,$AA56,$AE56,$AI56)="Yes")+(CHOOSE({1,2,3,4,5},$S56,$W56,$AA56,$AE56,$AI56)=TRUE))&gt;0)))</f>
        <v/>
      </c>
      <c r="AM56" s="87"/>
      <c r="AN56" s="87" t="str">
        <f ca="1">IF(OR($A56="",$AM56=""),"",TODAY()-$AM56)</f>
        <v/>
      </c>
      <c r="AO56" s="87"/>
      <c r="AP56" s="106"/>
      <c r="AQ56" s="106"/>
      <c r="AR56" s="106"/>
      <c r="AS56" s="106"/>
      <c r="AT56" s="106"/>
      <c r="AU56" s="106"/>
      <c r="AV56" s="106"/>
      <c r="AW56" s="106"/>
      <c r="AX56" s="106"/>
      <c r="AY56" s="106"/>
    </row>
    <row r="57" spans="1:51" s="20" customFormat="1" ht="19.5">
      <c r="A57" s="197"/>
      <c r="B57" s="87"/>
      <c r="C57" s="87"/>
      <c r="D57" s="196"/>
      <c r="E57" s="108"/>
      <c r="F57" s="196"/>
      <c r="G57" s="87"/>
      <c r="H57" s="197"/>
      <c r="I57" s="89"/>
      <c r="J57" s="204"/>
      <c r="K57" s="87"/>
      <c r="L57" s="87" t="str" cm="1">
        <f t="array" ref="L57">IF($A57="","",_xlfn.LET(_xlpm.stat,CHOOSE({1,2,3,4,5},$P57,$T57,$X57,$AB57,$AF57),_xlpm.rate,CHOOSE({1,2,3,4,5},$R57,$V57,$Z57,$AD57,$AH57),_xlpm.trn,CHOOSE({1,2,3,4,5},$S57,$W57,$AA57,$AE57,$AI57),_xlpm.nsC,SUMPRODUCT(--(_xlpm.stat="Ready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DLR",IF(AND(_xlpm.actRS&gt;0,_xlpm.actDone&lt;_xlpm.actRS),"Training",IF(_xlpm.actRS&gt;0,"Active",IF(AND(_xlpm.decC&gt;0,_xlpm.inPlay+_xlpm.actC=0),"Dead",IF(AND($AJ57&lt;&gt;"",$AK57=FALSE),"Waiting on Dealer",IF(_xlpm.subC&gt;0,"Waiting on Lender",IF(AND(_xlpm.appC+_xlpm.actC&gt;0,_xlpm.nsC+_xlpm.wdC=0),"Rate Sheet","Application Submitted")))))))))</f>
        <v/>
      </c>
      <c r="M57" s="87"/>
      <c r="N57" s="87"/>
      <c r="O57" s="197"/>
      <c r="P57" s="87" t="str">
        <f>IF($A57="","",IF($AK57=TRUE,"Ready 2 Submit","Waiting on Dealer"))</f>
        <v/>
      </c>
      <c r="Q57" s="148"/>
      <c r="R57" s="87"/>
      <c r="S57" s="87"/>
      <c r="T57" s="87" t="str">
        <f>IF($A57="","",IF($AK57=TRUE,"Ready 2 Submit","Waiting on Dealer"))</f>
        <v/>
      </c>
      <c r="U57" s="148"/>
      <c r="V57" s="87"/>
      <c r="W57" s="87"/>
      <c r="X57" s="87" t="str">
        <f>IF($A57="","",IF($AK57=TRUE,"Ready 2 Submit","Waiting on Dealer"))</f>
        <v/>
      </c>
      <c r="Y57" s="148"/>
      <c r="Z57" s="87"/>
      <c r="AA57" s="87"/>
      <c r="AB57" s="87" t="str">
        <f>IF($A57="","",IF($AK57=TRUE,"Ready 2 Submit","Waiting on Dealer"))</f>
        <v/>
      </c>
      <c r="AC57" s="148"/>
      <c r="AD57" s="87"/>
      <c r="AE57" s="87"/>
      <c r="AF57" s="87" t="str">
        <f>IF($A57="","",IF($AK57=TRUE,"Ready 2 Submit","Waiting on Dealer"))</f>
        <v/>
      </c>
      <c r="AG57" s="148"/>
      <c r="AH57" s="87"/>
      <c r="AI57" s="87"/>
      <c r="AJ57" s="197"/>
      <c r="AK57" s="110" t="b">
        <v>0</v>
      </c>
      <c r="AL57" s="87" t="str" cm="1">
        <f t="array" ref="AL57">IF($A57="","",SUMPRODUCT((CHOOSE({1,2,3,4,5},$R57,$V57,$Z57,$AD57,$AH57)="Yes")*(((CHOOSE({1,2,3,4,5},$S57,$W57,$AA57,$AE57,$AI57)="Yes")+(CHOOSE({1,2,3,4,5},$S57,$W57,$AA57,$AE57,$AI57)=TRUE))&gt;0)))</f>
        <v/>
      </c>
      <c r="AM57" s="87"/>
      <c r="AN57" s="87" t="str">
        <f ca="1">IF(OR($A57="",$AM57=""),"",TODAY()-$AM57)</f>
        <v/>
      </c>
      <c r="AO57" s="87"/>
      <c r="AP57" s="106"/>
      <c r="AQ57" s="106"/>
      <c r="AR57" s="106"/>
      <c r="AS57" s="106"/>
      <c r="AT57" s="106"/>
      <c r="AU57" s="106"/>
      <c r="AV57" s="106"/>
      <c r="AW57" s="106"/>
      <c r="AX57" s="106"/>
      <c r="AY57" s="106"/>
    </row>
    <row r="58" spans="1:51" s="20" customFormat="1" ht="19.5">
      <c r="A58" s="197"/>
      <c r="B58" s="87"/>
      <c r="C58" s="87"/>
      <c r="D58" s="196"/>
      <c r="E58" s="108"/>
      <c r="F58" s="196"/>
      <c r="G58" s="87"/>
      <c r="H58" s="197"/>
      <c r="I58" s="89"/>
      <c r="J58" s="204"/>
      <c r="K58" s="87"/>
      <c r="L58" s="87" t="str" cm="1">
        <f t="array" ref="L58">IF($A58="","",_xlfn.LET(_xlpm.stat,CHOOSE({1,2,3,4,5},$P58,$T58,$X58,$AB58,$AF58),_xlpm.rate,CHOOSE({1,2,3,4,5},$R58,$V58,$Z58,$AD58,$AH58),_xlpm.trn,CHOOSE({1,2,3,4,5},$S58,$W58,$AA58,$AE58,$AI58),_xlpm.nsC,SUMPRODUCT(--(_xlpm.stat="Ready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DLR",IF(AND(_xlpm.actRS&gt;0,_xlpm.actDone&lt;_xlpm.actRS),"Training",IF(_xlpm.actRS&gt;0,"Active",IF(AND(_xlpm.decC&gt;0,_xlpm.inPlay+_xlpm.actC=0),"Dead",IF(AND($AJ58&lt;&gt;"",$AK58=FALSE),"Waiting on Dealer",IF(_xlpm.subC&gt;0,"Waiting on Lender",IF(AND(_xlpm.appC+_xlpm.actC&gt;0,_xlpm.nsC+_xlpm.wdC=0),"Rate Sheet","Application Submitted")))))))))</f>
        <v/>
      </c>
      <c r="M58" s="87"/>
      <c r="N58" s="87"/>
      <c r="O58" s="197"/>
      <c r="P58" s="87" t="str">
        <f>IF($A58="","",IF($AK58=TRUE,"Ready 2 Submit","Waiting on Dealer"))</f>
        <v/>
      </c>
      <c r="Q58" s="148"/>
      <c r="R58" s="87"/>
      <c r="S58" s="87"/>
      <c r="T58" s="87" t="str">
        <f>IF($A58="","",IF($AK58=TRUE,"Ready 2 Submit","Waiting on Dealer"))</f>
        <v/>
      </c>
      <c r="U58" s="148"/>
      <c r="V58" s="87"/>
      <c r="W58" s="87"/>
      <c r="X58" s="87" t="str">
        <f>IF($A58="","",IF($AK58=TRUE,"Ready 2 Submit","Waiting on Dealer"))</f>
        <v/>
      </c>
      <c r="Y58" s="148"/>
      <c r="Z58" s="87"/>
      <c r="AA58" s="87"/>
      <c r="AB58" s="87" t="str">
        <f>IF($A58="","",IF($AK58=TRUE,"Ready 2 Submit","Waiting on Dealer"))</f>
        <v/>
      </c>
      <c r="AC58" s="148"/>
      <c r="AD58" s="87"/>
      <c r="AE58" s="87"/>
      <c r="AF58" s="87" t="str">
        <f>IF($A58="","",IF($AK58=TRUE,"Ready 2 Submit","Waiting on Dealer"))</f>
        <v/>
      </c>
      <c r="AG58" s="148"/>
      <c r="AH58" s="87"/>
      <c r="AI58" s="87"/>
      <c r="AJ58" s="197"/>
      <c r="AK58" s="110" t="b">
        <v>0</v>
      </c>
      <c r="AL58" s="87" t="str" cm="1">
        <f t="array" ref="AL58">IF($A58="","",SUMPRODUCT((CHOOSE({1,2,3,4,5},$R58,$V58,$Z58,$AD58,$AH58)="Yes")*(((CHOOSE({1,2,3,4,5},$S58,$W58,$AA58,$AE58,$AI58)="Yes")+(CHOOSE({1,2,3,4,5},$S58,$W58,$AA58,$AE58,$AI58)=TRUE))&gt;0)))</f>
        <v/>
      </c>
      <c r="AM58" s="87"/>
      <c r="AN58" s="87" t="str">
        <f ca="1">IF(OR($A58="",$AM58=""),"",TODAY()-$AM58)</f>
        <v/>
      </c>
      <c r="AO58" s="87"/>
      <c r="AP58" s="106"/>
      <c r="AQ58" s="106"/>
      <c r="AR58" s="106"/>
      <c r="AS58" s="106"/>
      <c r="AT58" s="106"/>
      <c r="AU58" s="106"/>
      <c r="AV58" s="106"/>
      <c r="AW58" s="106"/>
      <c r="AX58" s="106"/>
      <c r="AY58" s="106"/>
    </row>
    <row r="59" spans="1:51" s="20" customFormat="1" ht="19.5">
      <c r="A59" s="197"/>
      <c r="B59" s="87"/>
      <c r="C59" s="87"/>
      <c r="D59" s="196"/>
      <c r="E59" s="108"/>
      <c r="F59" s="196"/>
      <c r="G59" s="87"/>
      <c r="H59" s="197"/>
      <c r="I59" s="89"/>
      <c r="J59" s="204"/>
      <c r="K59" s="87"/>
      <c r="L59" s="87" t="str" cm="1">
        <f t="array" ref="L59">IF($A59="","",_xlfn.LET(_xlpm.stat,CHOOSE({1,2,3,4,5},$P59,$T59,$X59,$AB59,$AF59),_xlpm.rate,CHOOSE({1,2,3,4,5},$R59,$V59,$Z59,$AD59,$AH59),_xlpm.trn,CHOOSE({1,2,3,4,5},$S59,$W59,$AA59,$AE59,$AI59),_xlpm.nsC,SUMPRODUCT(--(_xlpm.stat="Ready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DLR",IF(AND(_xlpm.actRS&gt;0,_xlpm.actDone&lt;_xlpm.actRS),"Training",IF(_xlpm.actRS&gt;0,"Active",IF(AND(_xlpm.decC&gt;0,_xlpm.inPlay+_xlpm.actC=0),"Dead",IF(AND($AJ59&lt;&gt;"",$AK59=FALSE),"Waiting on Dealer",IF(_xlpm.subC&gt;0,"Waiting on Lender",IF(AND(_xlpm.appC+_xlpm.actC&gt;0,_xlpm.nsC+_xlpm.wdC=0),"Rate Sheet","Application Submitted")))))))))</f>
        <v/>
      </c>
      <c r="M59" s="87"/>
      <c r="N59" s="87"/>
      <c r="O59" s="197"/>
      <c r="P59" s="87" t="str">
        <f>IF($A59="","",IF($AK59=TRUE,"Ready 2 Submit","Waiting on Dealer"))</f>
        <v/>
      </c>
      <c r="Q59" s="148"/>
      <c r="R59" s="87"/>
      <c r="S59" s="87"/>
      <c r="T59" s="87" t="str">
        <f>IF($A59="","",IF($AK59=TRUE,"Ready 2 Submit","Waiting on Dealer"))</f>
        <v/>
      </c>
      <c r="U59" s="148"/>
      <c r="V59" s="87"/>
      <c r="W59" s="87"/>
      <c r="X59" s="87" t="str">
        <f>IF($A59="","",IF($AK59=TRUE,"Ready 2 Submit","Waiting on Dealer"))</f>
        <v/>
      </c>
      <c r="Y59" s="148"/>
      <c r="Z59" s="87"/>
      <c r="AA59" s="87"/>
      <c r="AB59" s="87" t="str">
        <f>IF($A59="","",IF($AK59=TRUE,"Ready 2 Submit","Waiting on Dealer"))</f>
        <v/>
      </c>
      <c r="AC59" s="148"/>
      <c r="AD59" s="87"/>
      <c r="AE59" s="87"/>
      <c r="AF59" s="87" t="str">
        <f>IF($A59="","",IF($AK59=TRUE,"Ready 2 Submit","Waiting on Dealer"))</f>
        <v/>
      </c>
      <c r="AG59" s="148"/>
      <c r="AH59" s="87"/>
      <c r="AI59" s="87"/>
      <c r="AJ59" s="197"/>
      <c r="AK59" s="110" t="b">
        <v>0</v>
      </c>
      <c r="AL59" s="87" t="str" cm="1">
        <f t="array" ref="AL59">IF($A59="","",SUMPRODUCT((CHOOSE({1,2,3,4,5},$R59,$V59,$Z59,$AD59,$AH59)="Yes")*(((CHOOSE({1,2,3,4,5},$S59,$W59,$AA59,$AE59,$AI59)="Yes")+(CHOOSE({1,2,3,4,5},$S59,$W59,$AA59,$AE59,$AI59)=TRUE))&gt;0)))</f>
        <v/>
      </c>
      <c r="AM59" s="87"/>
      <c r="AN59" s="87" t="str">
        <f ca="1">IF(OR($A59="",$AM59=""),"",TODAY()-$AM59)</f>
        <v/>
      </c>
      <c r="AO59" s="87"/>
      <c r="AP59" s="106"/>
      <c r="AQ59" s="106"/>
      <c r="AR59" s="106"/>
      <c r="AS59" s="106"/>
      <c r="AT59" s="106"/>
      <c r="AU59" s="106"/>
      <c r="AV59" s="106"/>
      <c r="AW59" s="106"/>
      <c r="AX59" s="106"/>
      <c r="AY59" s="106"/>
    </row>
    <row r="60" spans="1:51" s="20" customFormat="1" ht="19.5">
      <c r="A60" s="197"/>
      <c r="B60" s="87"/>
      <c r="C60" s="87"/>
      <c r="D60" s="196"/>
      <c r="E60" s="108"/>
      <c r="F60" s="196"/>
      <c r="G60" s="87"/>
      <c r="H60" s="197"/>
      <c r="I60" s="89"/>
      <c r="J60" s="204"/>
      <c r="K60" s="87"/>
      <c r="L60" s="87" t="str" cm="1">
        <f t="array" ref="L60">IF($A60="","",_xlfn.LET(_xlpm.stat,CHOOSE({1,2,3,4,5},$P60,$T60,$X60,$AB60,$AF60),_xlpm.rate,CHOOSE({1,2,3,4,5},$R60,$V60,$Z60,$AD60,$AH60),_xlpm.trn,CHOOSE({1,2,3,4,5},$S60,$W60,$AA60,$AE60,$AI60),_xlpm.nsC,SUMPRODUCT(--(_xlpm.stat="Ready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DLR",IF(AND(_xlpm.actRS&gt;0,_xlpm.actDone&lt;_xlpm.actRS),"Training",IF(_xlpm.actRS&gt;0,"Active",IF(AND(_xlpm.decC&gt;0,_xlpm.inPlay+_xlpm.actC=0),"Dead",IF(AND($AJ60&lt;&gt;"",$AK60=FALSE),"Waiting on Dealer",IF(_xlpm.subC&gt;0,"Waiting on Lender",IF(AND(_xlpm.appC+_xlpm.actC&gt;0,_xlpm.nsC+_xlpm.wdC=0),"Rate Sheet","Application Submitted")))))))))</f>
        <v/>
      </c>
      <c r="M60" s="87"/>
      <c r="N60" s="87"/>
      <c r="O60" s="197"/>
      <c r="P60" s="87" t="str">
        <f>IF($A60="","",IF($AK60=TRUE,"Ready 2 Submit","Waiting on Dealer"))</f>
        <v/>
      </c>
      <c r="Q60" s="148"/>
      <c r="R60" s="87"/>
      <c r="S60" s="87"/>
      <c r="T60" s="87" t="str">
        <f>IF($A60="","",IF($AK60=TRUE,"Ready 2 Submit","Waiting on Dealer"))</f>
        <v/>
      </c>
      <c r="U60" s="148"/>
      <c r="V60" s="87"/>
      <c r="W60" s="87"/>
      <c r="X60" s="87" t="str">
        <f>IF($A60="","",IF($AK60=TRUE,"Ready 2 Submit","Waiting on Dealer"))</f>
        <v/>
      </c>
      <c r="Y60" s="148"/>
      <c r="Z60" s="87"/>
      <c r="AA60" s="87"/>
      <c r="AB60" s="87" t="str">
        <f>IF($A60="","",IF($AK60=TRUE,"Ready 2 Submit","Waiting on Dealer"))</f>
        <v/>
      </c>
      <c r="AC60" s="148"/>
      <c r="AD60" s="87"/>
      <c r="AE60" s="87"/>
      <c r="AF60" s="87" t="str">
        <f>IF($A60="","",IF($AK60=TRUE,"Ready 2 Submit","Waiting on Dealer"))</f>
        <v/>
      </c>
      <c r="AG60" s="148"/>
      <c r="AH60" s="87"/>
      <c r="AI60" s="87"/>
      <c r="AJ60" s="197"/>
      <c r="AK60" s="110" t="b">
        <v>0</v>
      </c>
      <c r="AL60" s="87" t="str" cm="1">
        <f t="array" ref="AL60">IF($A60="","",SUMPRODUCT((CHOOSE({1,2,3,4,5},$R60,$V60,$Z60,$AD60,$AH60)="Yes")*(((CHOOSE({1,2,3,4,5},$S60,$W60,$AA60,$AE60,$AI60)="Yes")+(CHOOSE({1,2,3,4,5},$S60,$W60,$AA60,$AE60,$AI60)=TRUE))&gt;0)))</f>
        <v/>
      </c>
      <c r="AM60" s="87"/>
      <c r="AN60" s="87" t="str">
        <f ca="1">IF(OR($A60="",$AM60=""),"",TODAY()-$AM60)</f>
        <v/>
      </c>
      <c r="AO60" s="87"/>
      <c r="AP60" s="106"/>
      <c r="AQ60" s="106"/>
      <c r="AR60" s="106"/>
      <c r="AS60" s="106"/>
      <c r="AT60" s="106"/>
      <c r="AU60" s="106"/>
      <c r="AV60" s="106"/>
      <c r="AW60" s="106"/>
      <c r="AX60" s="106"/>
      <c r="AY60" s="106"/>
    </row>
    <row r="61" spans="1:51" s="20" customFormat="1" ht="21" customHeight="1">
      <c r="A61" s="197"/>
      <c r="B61" s="87"/>
      <c r="C61" s="87"/>
      <c r="D61" s="196"/>
      <c r="E61" s="108"/>
      <c r="F61" s="196"/>
      <c r="G61" s="87"/>
      <c r="H61" s="197"/>
      <c r="I61" s="89"/>
      <c r="J61" s="204"/>
      <c r="K61" s="87"/>
      <c r="L61" s="87" t="str" cm="1">
        <f t="array" ref="L61">IF($A61="","",_xlfn.LET(_xlpm.stat,CHOOSE({1,2,3,4,5},$P61,$T61,$X61,$AB61,$AF61),_xlpm.rate,CHOOSE({1,2,3,4,5},$R61,$V61,$Z61,$AD61,$AH61),_xlpm.trn,CHOOSE({1,2,3,4,5},$S61,$W61,$AA61,$AE61,$AI61),_xlpm.nsC,SUMPRODUCT(--(_xlpm.stat="Ready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DLR",IF(AND(_xlpm.actRS&gt;0,_xlpm.actDone&lt;_xlpm.actRS),"Training",IF(_xlpm.actRS&gt;0,"Active",IF(AND(_xlpm.decC&gt;0,_xlpm.inPlay+_xlpm.actC=0),"Dead",IF(AND($AJ61&lt;&gt;"",$AK61=FALSE),"Waiting on Dealer",IF(_xlpm.subC&gt;0,"Waiting on Lender",IF(AND(_xlpm.appC+_xlpm.actC&gt;0,_xlpm.nsC+_xlpm.wdC=0),"Rate Sheet","Application Submitted")))))))))</f>
        <v/>
      </c>
      <c r="M61" s="87"/>
      <c r="N61" s="87"/>
      <c r="O61" s="197"/>
      <c r="P61" s="87" t="str">
        <f>IF($A61="","",IF($AK61=TRUE,"Ready 2 Submit","Waiting on Dealer"))</f>
        <v/>
      </c>
      <c r="Q61" s="148"/>
      <c r="R61" s="87"/>
      <c r="S61" s="87"/>
      <c r="T61" s="87" t="str">
        <f>IF($A61="","",IF($AK61=TRUE,"Ready 2 Submit","Waiting on Dealer"))</f>
        <v/>
      </c>
      <c r="U61" s="148"/>
      <c r="V61" s="87"/>
      <c r="W61" s="87"/>
      <c r="X61" s="87" t="str">
        <f>IF($A61="","",IF($AK61=TRUE,"Ready 2 Submit","Waiting on Dealer"))</f>
        <v/>
      </c>
      <c r="Y61" s="148"/>
      <c r="Z61" s="87"/>
      <c r="AA61" s="87"/>
      <c r="AB61" s="87" t="str">
        <f>IF($A61="","",IF($AK61=TRUE,"Ready 2 Submit","Waiting on Dealer"))</f>
        <v/>
      </c>
      <c r="AC61" s="148"/>
      <c r="AD61" s="87"/>
      <c r="AE61" s="87"/>
      <c r="AF61" s="87" t="str">
        <f>IF($A61="","",IF($AK61=TRUE,"Ready 2 Submit","Waiting on Dealer"))</f>
        <v/>
      </c>
      <c r="AG61" s="148"/>
      <c r="AH61" s="87"/>
      <c r="AI61" s="87"/>
      <c r="AJ61" s="197"/>
      <c r="AK61" s="110" t="b">
        <v>0</v>
      </c>
      <c r="AL61" s="87" t="str" cm="1">
        <f t="array" ref="AL61">IF($A61="","",SUMPRODUCT((CHOOSE({1,2,3,4,5},$R61,$V61,$Z61,$AD61,$AH61)="Yes")*(((CHOOSE({1,2,3,4,5},$S61,$W61,$AA61,$AE61,$AI61)="Yes")+(CHOOSE({1,2,3,4,5},$S61,$W61,$AA61,$AE61,$AI61)=TRUE))&gt;0)))</f>
        <v/>
      </c>
      <c r="AM61" s="87"/>
      <c r="AN61" s="87" t="str">
        <f ca="1">IF(OR($A61="",$AM61=""),"",TODAY()-$AM61)</f>
        <v/>
      </c>
      <c r="AO61" s="87"/>
      <c r="AP61" s="106"/>
      <c r="AQ61" s="106"/>
      <c r="AR61" s="106"/>
      <c r="AS61" s="106"/>
      <c r="AT61" s="106"/>
      <c r="AU61" s="106"/>
      <c r="AV61" s="106"/>
      <c r="AW61" s="106"/>
      <c r="AX61" s="106"/>
      <c r="AY61" s="106"/>
    </row>
    <row r="62" spans="1:51" s="20" customFormat="1" ht="21" customHeight="1">
      <c r="A62" s="197"/>
      <c r="B62" s="87"/>
      <c r="C62" s="87"/>
      <c r="D62" s="196"/>
      <c r="E62" s="108"/>
      <c r="F62" s="196"/>
      <c r="G62" s="87"/>
      <c r="H62" s="197"/>
      <c r="I62" s="89"/>
      <c r="J62" s="204"/>
      <c r="K62" s="87"/>
      <c r="L62" s="87" t="str" cm="1">
        <f t="array" ref="L62">IF($A62="","",_xlfn.LET(_xlpm.stat,CHOOSE({1,2,3,4,5},$P62,$T62,$X62,$AB62,$AF62),_xlpm.rate,CHOOSE({1,2,3,4,5},$R62,$V62,$Z62,$AD62,$AH62),_xlpm.trn,CHOOSE({1,2,3,4,5},$S62,$W62,$AA62,$AE62,$AI62),_xlpm.nsC,SUMPRODUCT(--(_xlpm.stat="Ready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DLR",IF(AND(_xlpm.actRS&gt;0,_xlpm.actDone&lt;_xlpm.actRS),"Training",IF(_xlpm.actRS&gt;0,"Active",IF(AND(_xlpm.decC&gt;0,_xlpm.inPlay+_xlpm.actC=0),"Dead",IF(AND($AJ62&lt;&gt;"",$AK62=FALSE),"Waiting on Dealer",IF(_xlpm.subC&gt;0,"Waiting on Lender",IF(AND(_xlpm.appC+_xlpm.actC&gt;0,_xlpm.nsC+_xlpm.wdC=0),"Rate Sheet","Application Submitted")))))))))</f>
        <v/>
      </c>
      <c r="M62" s="87"/>
      <c r="N62" s="87"/>
      <c r="O62" s="197"/>
      <c r="P62" s="87" t="str">
        <f>IF($A62="","",IF($AK62=TRUE,"Ready 2 Submit","Waiting on Dealer"))</f>
        <v/>
      </c>
      <c r="Q62" s="148"/>
      <c r="R62" s="87"/>
      <c r="S62" s="87"/>
      <c r="T62" s="87" t="str">
        <f>IF($A62="","",IF($AK62=TRUE,"Ready 2 Submit","Waiting on Dealer"))</f>
        <v/>
      </c>
      <c r="U62" s="148"/>
      <c r="V62" s="87"/>
      <c r="W62" s="87"/>
      <c r="X62" s="87" t="str">
        <f>IF($A62="","",IF($AK62=TRUE,"Ready 2 Submit","Waiting on Dealer"))</f>
        <v/>
      </c>
      <c r="Y62" s="148"/>
      <c r="Z62" s="87"/>
      <c r="AA62" s="87"/>
      <c r="AB62" s="87" t="str">
        <f>IF($A62="","",IF($AK62=TRUE,"Ready 2 Submit","Waiting on Dealer"))</f>
        <v/>
      </c>
      <c r="AC62" s="148"/>
      <c r="AD62" s="87"/>
      <c r="AE62" s="87"/>
      <c r="AF62" s="87" t="str">
        <f>IF($A62="","",IF($AK62=TRUE,"Ready 2 Submit","Waiting on Dealer"))</f>
        <v/>
      </c>
      <c r="AG62" s="148"/>
      <c r="AH62" s="87"/>
      <c r="AI62" s="87"/>
      <c r="AJ62" s="197"/>
      <c r="AK62" s="110" t="b">
        <v>0</v>
      </c>
      <c r="AL62" s="87" t="str" cm="1">
        <f t="array" ref="AL62">IF($A62="","",SUMPRODUCT((CHOOSE({1,2,3,4,5},$R62,$V62,$Z62,$AD62,$AH62)="Yes")*(((CHOOSE({1,2,3,4,5},$S62,$W62,$AA62,$AE62,$AI62)="Yes")+(CHOOSE({1,2,3,4,5},$S62,$W62,$AA62,$AE62,$AI62)=TRUE))&gt;0)))</f>
        <v/>
      </c>
      <c r="AM62" s="87"/>
      <c r="AN62" s="87" t="str">
        <f ca="1">IF(OR($A62="",$AM62=""),"",TODAY()-$AM62)</f>
        <v/>
      </c>
      <c r="AO62" s="87"/>
      <c r="AP62" s="106"/>
      <c r="AQ62" s="106"/>
      <c r="AR62" s="106"/>
      <c r="AS62" s="106"/>
      <c r="AT62" s="106"/>
      <c r="AU62" s="106"/>
      <c r="AV62" s="106"/>
      <c r="AW62" s="106"/>
      <c r="AX62" s="106"/>
      <c r="AY62" s="106"/>
    </row>
    <row r="63" spans="1:51" s="20" customFormat="1" ht="21" customHeight="1">
      <c r="A63" s="197"/>
      <c r="B63" s="87"/>
      <c r="C63" s="87"/>
      <c r="D63" s="196"/>
      <c r="E63" s="108"/>
      <c r="F63" s="196"/>
      <c r="G63" s="87"/>
      <c r="H63" s="197"/>
      <c r="I63" s="89"/>
      <c r="J63" s="204"/>
      <c r="K63" s="87"/>
      <c r="L63" s="87" t="str" cm="1">
        <f t="array" ref="L63">IF($A63="","",_xlfn.LET(_xlpm.stat,CHOOSE({1,2,3,4,5},$P63,$T63,$X63,$AB63,$AF63),_xlpm.rate,CHOOSE({1,2,3,4,5},$R63,$V63,$Z63,$AD63,$AH63),_xlpm.trn,CHOOSE({1,2,3,4,5},$S63,$W63,$AA63,$AE63,$AI63),_xlpm.nsC,SUMPRODUCT(--(_xlpm.stat="Ready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DLR",IF(AND(_xlpm.actRS&gt;0,_xlpm.actDone&lt;_xlpm.actRS),"Training",IF(_xlpm.actRS&gt;0,"Active",IF(AND(_xlpm.decC&gt;0,_xlpm.inPlay+_xlpm.actC=0),"Dead",IF(AND($AJ63&lt;&gt;"",$AK63=FALSE),"Waiting on Dealer",IF(_xlpm.subC&gt;0,"Waiting on Lender",IF(AND(_xlpm.appC+_xlpm.actC&gt;0,_xlpm.nsC+_xlpm.wdC=0),"Rate Sheet","Application Submitted")))))))))</f>
        <v/>
      </c>
      <c r="M63" s="87"/>
      <c r="N63" s="87"/>
      <c r="O63" s="197"/>
      <c r="P63" s="87" t="str">
        <f>IF($A63="","",IF($AK63=TRUE,"Ready 2 Submit","Waiting on Dealer"))</f>
        <v/>
      </c>
      <c r="Q63" s="148"/>
      <c r="R63" s="87"/>
      <c r="S63" s="87"/>
      <c r="T63" s="87" t="str">
        <f>IF($A63="","",IF($AK63=TRUE,"Ready 2 Submit","Waiting on Dealer"))</f>
        <v/>
      </c>
      <c r="U63" s="148"/>
      <c r="V63" s="87"/>
      <c r="W63" s="87"/>
      <c r="X63" s="87" t="str">
        <f>IF($A63="","",IF($AK63=TRUE,"Ready 2 Submit","Waiting on Dealer"))</f>
        <v/>
      </c>
      <c r="Y63" s="148"/>
      <c r="Z63" s="87"/>
      <c r="AA63" s="87"/>
      <c r="AB63" s="87" t="str">
        <f>IF($A63="","",IF($AK63=TRUE,"Ready 2 Submit","Waiting on Dealer"))</f>
        <v/>
      </c>
      <c r="AC63" s="148"/>
      <c r="AD63" s="87"/>
      <c r="AE63" s="87"/>
      <c r="AF63" s="87" t="str">
        <f>IF($A63="","",IF($AK63=TRUE,"Ready 2 Submit","Waiting on Dealer"))</f>
        <v/>
      </c>
      <c r="AG63" s="148"/>
      <c r="AH63" s="87"/>
      <c r="AI63" s="87"/>
      <c r="AJ63" s="197"/>
      <c r="AK63" s="110" t="b">
        <v>0</v>
      </c>
      <c r="AL63" s="87" t="str" cm="1">
        <f t="array" ref="AL63">IF($A63="","",SUMPRODUCT((CHOOSE({1,2,3,4,5},$R63,$V63,$Z63,$AD63,$AH63)="Yes")*(((CHOOSE({1,2,3,4,5},$S63,$W63,$AA63,$AE63,$AI63)="Yes")+(CHOOSE({1,2,3,4,5},$S63,$W63,$AA63,$AE63,$AI63)=TRUE))&gt;0)))</f>
        <v/>
      </c>
      <c r="AM63" s="87"/>
      <c r="AN63" s="87" t="str">
        <f ca="1">IF(OR($A63="",$AM63=""),"",TODAY()-$AM63)</f>
        <v/>
      </c>
      <c r="AO63" s="87"/>
      <c r="AP63" s="106"/>
      <c r="AQ63" s="106"/>
      <c r="AR63" s="106"/>
      <c r="AS63" s="106"/>
      <c r="AT63" s="106"/>
      <c r="AU63" s="106"/>
      <c r="AV63" s="106"/>
      <c r="AW63" s="106"/>
      <c r="AX63" s="106"/>
      <c r="AY63" s="106"/>
    </row>
    <row r="64" spans="1:51" s="20" customFormat="1" ht="21" customHeight="1">
      <c r="A64" s="197"/>
      <c r="B64" s="87"/>
      <c r="C64" s="87"/>
      <c r="D64" s="196"/>
      <c r="E64" s="108"/>
      <c r="F64" s="196"/>
      <c r="G64" s="87"/>
      <c r="H64" s="197"/>
      <c r="I64" s="89"/>
      <c r="J64" s="204"/>
      <c r="K64" s="87"/>
      <c r="L64" s="87" t="str" cm="1">
        <f t="array" ref="L64">IF($A64="","",_xlfn.LET(_xlpm.stat,CHOOSE({1,2,3,4,5},$P64,$T64,$X64,$AB64,$AF64),_xlpm.rate,CHOOSE({1,2,3,4,5},$R64,$V64,$Z64,$AD64,$AH64),_xlpm.trn,CHOOSE({1,2,3,4,5},$S64,$W64,$AA64,$AE64,$AI64),_xlpm.nsC,SUMPRODUCT(--(_xlpm.stat="Ready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DLR",IF(AND(_xlpm.actRS&gt;0,_xlpm.actDone&lt;_xlpm.actRS),"Training",IF(_xlpm.actRS&gt;0,"Active",IF(AND(_xlpm.decC&gt;0,_xlpm.inPlay+_xlpm.actC=0),"Dead",IF(AND($AJ64&lt;&gt;"",$AK64=FALSE),"Waiting on Dealer",IF(_xlpm.subC&gt;0,"Waiting on Lender",IF(AND(_xlpm.appC+_xlpm.actC&gt;0,_xlpm.nsC+_xlpm.wdC=0),"Rate Sheet","Application Submitted")))))))))</f>
        <v/>
      </c>
      <c r="M64" s="87"/>
      <c r="N64" s="87"/>
      <c r="O64" s="197"/>
      <c r="P64" s="87" t="str">
        <f>IF($A64="","",IF($AK64=TRUE,"Ready 2 Submit","Waiting on Dealer"))</f>
        <v/>
      </c>
      <c r="Q64" s="148"/>
      <c r="R64" s="87"/>
      <c r="S64" s="87"/>
      <c r="T64" s="87" t="str">
        <f>IF($A64="","",IF($AK64=TRUE,"Ready 2 Submit","Waiting on Dealer"))</f>
        <v/>
      </c>
      <c r="U64" s="148"/>
      <c r="V64" s="87"/>
      <c r="W64" s="87"/>
      <c r="X64" s="87" t="str">
        <f>IF($A64="","",IF($AK64=TRUE,"Ready 2 Submit","Waiting on Dealer"))</f>
        <v/>
      </c>
      <c r="Y64" s="148"/>
      <c r="Z64" s="87"/>
      <c r="AA64" s="87"/>
      <c r="AB64" s="87" t="str">
        <f>IF($A64="","",IF($AK64=TRUE,"Ready 2 Submit","Waiting on Dealer"))</f>
        <v/>
      </c>
      <c r="AC64" s="148"/>
      <c r="AD64" s="87"/>
      <c r="AE64" s="87"/>
      <c r="AF64" s="87" t="str">
        <f>IF($A64="","",IF($AK64=TRUE,"Ready 2 Submit","Waiting on Dealer"))</f>
        <v/>
      </c>
      <c r="AG64" s="148"/>
      <c r="AH64" s="87"/>
      <c r="AI64" s="87"/>
      <c r="AJ64" s="197"/>
      <c r="AK64" s="110" t="b">
        <v>0</v>
      </c>
      <c r="AL64" s="87" t="str" cm="1">
        <f t="array" ref="AL64">IF($A64="","",SUMPRODUCT((CHOOSE({1,2,3,4,5},$R64,$V64,$Z64,$AD64,$AH64)="Yes")*(((CHOOSE({1,2,3,4,5},$S64,$W64,$AA64,$AE64,$AI64)="Yes")+(CHOOSE({1,2,3,4,5},$S64,$W64,$AA64,$AE64,$AI64)=TRUE))&gt;0)))</f>
        <v/>
      </c>
      <c r="AM64" s="87"/>
      <c r="AN64" s="87" t="str">
        <f ca="1">IF(OR($A64="",$AM64=""),"",TODAY()-$AM64)</f>
        <v/>
      </c>
      <c r="AO64" s="87"/>
      <c r="AP64" s="106"/>
      <c r="AQ64" s="106"/>
      <c r="AR64" s="106"/>
      <c r="AS64" s="106"/>
      <c r="AT64" s="106"/>
      <c r="AU64" s="106"/>
      <c r="AV64" s="106"/>
      <c r="AW64" s="106"/>
      <c r="AX64" s="106"/>
      <c r="AY64" s="106"/>
    </row>
    <row r="65" spans="1:51" s="20" customFormat="1" ht="21" customHeight="1">
      <c r="A65" s="197"/>
      <c r="B65" s="87"/>
      <c r="C65" s="87"/>
      <c r="D65" s="196"/>
      <c r="E65" s="108"/>
      <c r="F65" s="196"/>
      <c r="G65" s="87"/>
      <c r="H65" s="197"/>
      <c r="I65" s="89"/>
      <c r="J65" s="204"/>
      <c r="K65" s="87"/>
      <c r="L65" s="87" t="str" cm="1">
        <f t="array" ref="L65">IF($A65="","",_xlfn.LET(_xlpm.stat,CHOOSE({1,2,3,4,5},$P65,$T65,$X65,$AB65,$AF65),_xlpm.rate,CHOOSE({1,2,3,4,5},$R65,$V65,$Z65,$AD65,$AH65),_xlpm.trn,CHOOSE({1,2,3,4,5},$S65,$W65,$AA65,$AE65,$AI65),_xlpm.nsC,SUMPRODUCT(--(_xlpm.stat="Ready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DLR",IF(AND(_xlpm.actRS&gt;0,_xlpm.actDone&lt;_xlpm.actRS),"Training",IF(_xlpm.actRS&gt;0,"Active",IF(AND(_xlpm.decC&gt;0,_xlpm.inPlay+_xlpm.actC=0),"Dead",IF(AND($AJ65&lt;&gt;"",$AK65=FALSE),"Waiting on Dealer",IF(_xlpm.subC&gt;0,"Waiting on Lender",IF(AND(_xlpm.appC+_xlpm.actC&gt;0,_xlpm.nsC+_xlpm.wdC=0),"Rate Sheet","Application Submitted")))))))))</f>
        <v/>
      </c>
      <c r="M65" s="87"/>
      <c r="N65" s="87"/>
      <c r="O65" s="197"/>
      <c r="P65" s="87" t="str">
        <f>IF($A65="","",IF($AK65=TRUE,"Ready 2 Submit","Waiting on Dealer"))</f>
        <v/>
      </c>
      <c r="Q65" s="148"/>
      <c r="R65" s="87"/>
      <c r="S65" s="87"/>
      <c r="T65" s="87" t="str">
        <f>IF($A65="","",IF($AK65=TRUE,"Ready 2 Submit","Waiting on Dealer"))</f>
        <v/>
      </c>
      <c r="U65" s="148"/>
      <c r="V65" s="87"/>
      <c r="W65" s="87"/>
      <c r="X65" s="87" t="str">
        <f>IF($A65="","",IF($AK65=TRUE,"Ready 2 Submit","Waiting on Dealer"))</f>
        <v/>
      </c>
      <c r="Y65" s="148"/>
      <c r="Z65" s="87"/>
      <c r="AA65" s="87"/>
      <c r="AB65" s="87" t="str">
        <f>IF($A65="","",IF($AK65=TRUE,"Ready 2 Submit","Waiting on Dealer"))</f>
        <v/>
      </c>
      <c r="AC65" s="148"/>
      <c r="AD65" s="87"/>
      <c r="AE65" s="87"/>
      <c r="AF65" s="87" t="str">
        <f>IF($A65="","",IF($AK65=TRUE,"Ready 2 Submit","Waiting on Dealer"))</f>
        <v/>
      </c>
      <c r="AG65" s="148"/>
      <c r="AH65" s="87"/>
      <c r="AI65" s="87"/>
      <c r="AJ65" s="197"/>
      <c r="AK65" s="110" t="b">
        <v>0</v>
      </c>
      <c r="AL65" s="87" t="str" cm="1">
        <f t="array" ref="AL65">IF($A65="","",SUMPRODUCT((CHOOSE({1,2,3,4,5},$R65,$V65,$Z65,$AD65,$AH65)="Yes")*(((CHOOSE({1,2,3,4,5},$S65,$W65,$AA65,$AE65,$AI65)="Yes")+(CHOOSE({1,2,3,4,5},$S65,$W65,$AA65,$AE65,$AI65)=TRUE))&gt;0)))</f>
        <v/>
      </c>
      <c r="AM65" s="87"/>
      <c r="AN65" s="87" t="str">
        <f ca="1">IF(OR($A65="",$AM65=""),"",TODAY()-$AM65)</f>
        <v/>
      </c>
      <c r="AO65" s="87"/>
      <c r="AP65" s="106"/>
      <c r="AQ65" s="106"/>
      <c r="AR65" s="106"/>
      <c r="AS65" s="106"/>
      <c r="AT65" s="106"/>
      <c r="AU65" s="106"/>
      <c r="AV65" s="106"/>
      <c r="AW65" s="106"/>
      <c r="AX65" s="106"/>
      <c r="AY65" s="106"/>
    </row>
    <row r="66" spans="1:51" s="20" customFormat="1" ht="21" customHeight="1">
      <c r="A66" s="197"/>
      <c r="B66" s="87"/>
      <c r="C66" s="87"/>
      <c r="D66" s="196"/>
      <c r="E66" s="108"/>
      <c r="F66" s="196"/>
      <c r="G66" s="87"/>
      <c r="H66" s="197"/>
      <c r="I66" s="89"/>
      <c r="J66" s="204"/>
      <c r="K66" s="87"/>
      <c r="L66" s="87" t="str" cm="1">
        <f t="array" ref="L66">IF($A66="","",_xlfn.LET(_xlpm.stat,CHOOSE({1,2,3,4,5},$P66,$T66,$X66,$AB66,$AF66),_xlpm.rate,CHOOSE({1,2,3,4,5},$R66,$V66,$Z66,$AD66,$AH66),_xlpm.trn,CHOOSE({1,2,3,4,5},$S66,$W66,$AA66,$AE66,$AI66),_xlpm.nsC,SUMPRODUCT(--(_xlpm.stat="Ready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DLR",IF(AND(_xlpm.actRS&gt;0,_xlpm.actDone&lt;_xlpm.actRS),"Training",IF(_xlpm.actRS&gt;0,"Active",IF(AND(_xlpm.decC&gt;0,_xlpm.inPlay+_xlpm.actC=0),"Dead",IF(AND($AJ66&lt;&gt;"",$AK66=FALSE),"Waiting on Dealer",IF(_xlpm.subC&gt;0,"Waiting on Lender",IF(AND(_xlpm.appC+_xlpm.actC&gt;0,_xlpm.nsC+_xlpm.wdC=0),"Rate Sheet","Application Submitted")))))))))</f>
        <v/>
      </c>
      <c r="M66" s="87"/>
      <c r="N66" s="87"/>
      <c r="O66" s="197"/>
      <c r="P66" s="87" t="str">
        <f>IF($A66="","",IF($AK66=TRUE,"Ready 2 Submit","Waiting on Dealer"))</f>
        <v/>
      </c>
      <c r="Q66" s="148"/>
      <c r="R66" s="87"/>
      <c r="S66" s="87"/>
      <c r="T66" s="87" t="str">
        <f>IF($A66="","",IF($AK66=TRUE,"Ready 2 Submit","Waiting on Dealer"))</f>
        <v/>
      </c>
      <c r="U66" s="148"/>
      <c r="V66" s="87"/>
      <c r="W66" s="87"/>
      <c r="X66" s="87" t="str">
        <f>IF($A66="","",IF($AK66=TRUE,"Ready 2 Submit","Waiting on Dealer"))</f>
        <v/>
      </c>
      <c r="Y66" s="148"/>
      <c r="Z66" s="87"/>
      <c r="AA66" s="87"/>
      <c r="AB66" s="87" t="str">
        <f>IF($A66="","",IF($AK66=TRUE,"Ready 2 Submit","Waiting on Dealer"))</f>
        <v/>
      </c>
      <c r="AC66" s="148"/>
      <c r="AD66" s="87"/>
      <c r="AE66" s="87"/>
      <c r="AF66" s="87" t="str">
        <f>IF($A66="","",IF($AK66=TRUE,"Ready 2 Submit","Waiting on Dealer"))</f>
        <v/>
      </c>
      <c r="AG66" s="148"/>
      <c r="AH66" s="87"/>
      <c r="AI66" s="87"/>
      <c r="AJ66" s="197"/>
      <c r="AK66" s="110" t="b">
        <v>0</v>
      </c>
      <c r="AL66" s="87" t="str" cm="1">
        <f t="array" ref="AL66">IF($A66="","",SUMPRODUCT((CHOOSE({1,2,3,4,5},$R66,$V66,$Z66,$AD66,$AH66)="Yes")*(((CHOOSE({1,2,3,4,5},$S66,$W66,$AA66,$AE66,$AI66)="Yes")+(CHOOSE({1,2,3,4,5},$S66,$W66,$AA66,$AE66,$AI66)=TRUE))&gt;0)))</f>
        <v/>
      </c>
      <c r="AM66" s="87"/>
      <c r="AN66" s="87" t="str">
        <f ca="1">IF(OR($A66="",$AM66=""),"",TODAY()-$AM66)</f>
        <v/>
      </c>
      <c r="AO66" s="87"/>
      <c r="AP66" s="106"/>
      <c r="AQ66" s="106"/>
      <c r="AR66" s="106"/>
      <c r="AS66" s="106"/>
      <c r="AT66" s="106"/>
      <c r="AU66" s="106"/>
      <c r="AV66" s="106"/>
      <c r="AW66" s="106"/>
      <c r="AX66" s="106"/>
      <c r="AY66" s="106"/>
    </row>
    <row r="67" spans="1:51" s="20" customFormat="1" ht="21" customHeight="1">
      <c r="A67" s="197"/>
      <c r="B67" s="87"/>
      <c r="C67" s="87"/>
      <c r="D67" s="196"/>
      <c r="E67" s="108"/>
      <c r="F67" s="196"/>
      <c r="G67" s="87"/>
      <c r="H67" s="197"/>
      <c r="I67" s="89"/>
      <c r="J67" s="204"/>
      <c r="K67" s="87"/>
      <c r="L67" s="87" t="str" cm="1">
        <f t="array" ref="L67">IF($A67="","",_xlfn.LET(_xlpm.stat,CHOOSE({1,2,3,4,5},$P67,$T67,$X67,$AB67,$AF67),_xlpm.rate,CHOOSE({1,2,3,4,5},$R67,$V67,$Z67,$AD67,$AH67),_xlpm.trn,CHOOSE({1,2,3,4,5},$S67,$W67,$AA67,$AE67,$AI67),_xlpm.nsC,SUMPRODUCT(--(_xlpm.stat="Ready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DLR",IF(AND(_xlpm.actRS&gt;0,_xlpm.actDone&lt;_xlpm.actRS),"Training",IF(_xlpm.actRS&gt;0,"Active",IF(AND(_xlpm.decC&gt;0,_xlpm.inPlay+_xlpm.actC=0),"Dead",IF(AND($AJ67&lt;&gt;"",$AK67=FALSE),"Waiting on Dealer",IF(_xlpm.subC&gt;0,"Waiting on Lender",IF(AND(_xlpm.appC+_xlpm.actC&gt;0,_xlpm.nsC+_xlpm.wdC=0),"Rate Sheet","Application Submitted")))))))))</f>
        <v/>
      </c>
      <c r="M67" s="87"/>
      <c r="N67" s="87"/>
      <c r="O67" s="197"/>
      <c r="P67" s="87" t="str">
        <f>IF($A67="","",IF($AK67=TRUE,"Ready 2 Submit","Waiting on Dealer"))</f>
        <v/>
      </c>
      <c r="Q67" s="148"/>
      <c r="R67" s="87"/>
      <c r="S67" s="87"/>
      <c r="T67" s="87" t="str">
        <f>IF($A67="","",IF($AK67=TRUE,"Ready 2 Submit","Waiting on Dealer"))</f>
        <v/>
      </c>
      <c r="U67" s="148"/>
      <c r="V67" s="87"/>
      <c r="W67" s="87"/>
      <c r="X67" s="87" t="str">
        <f>IF($A67="","",IF($AK67=TRUE,"Ready 2 Submit","Waiting on Dealer"))</f>
        <v/>
      </c>
      <c r="Y67" s="148"/>
      <c r="Z67" s="87"/>
      <c r="AA67" s="87"/>
      <c r="AB67" s="87" t="str">
        <f>IF($A67="","",IF($AK67=TRUE,"Ready 2 Submit","Waiting on Dealer"))</f>
        <v/>
      </c>
      <c r="AC67" s="148"/>
      <c r="AD67" s="87"/>
      <c r="AE67" s="87"/>
      <c r="AF67" s="87" t="str">
        <f>IF($A67="","",IF($AK67=TRUE,"Ready 2 Submit","Waiting on Dealer"))</f>
        <v/>
      </c>
      <c r="AG67" s="148"/>
      <c r="AH67" s="87"/>
      <c r="AI67" s="87"/>
      <c r="AJ67" s="197"/>
      <c r="AK67" s="110" t="b">
        <v>0</v>
      </c>
      <c r="AL67" s="87" t="str" cm="1">
        <f t="array" ref="AL67">IF($A67="","",SUMPRODUCT((CHOOSE({1,2,3,4,5},$R67,$V67,$Z67,$AD67,$AH67)="Yes")*(((CHOOSE({1,2,3,4,5},$S67,$W67,$AA67,$AE67,$AI67)="Yes")+(CHOOSE({1,2,3,4,5},$S67,$W67,$AA67,$AE67,$AI67)=TRUE))&gt;0)))</f>
        <v/>
      </c>
      <c r="AM67" s="87"/>
      <c r="AN67" s="87" t="str">
        <f ca="1">IF(OR($A67="",$AM67=""),"",TODAY()-$AM67)</f>
        <v/>
      </c>
      <c r="AO67" s="87"/>
      <c r="AP67" s="106"/>
      <c r="AQ67" s="106"/>
      <c r="AR67" s="106"/>
      <c r="AS67" s="106"/>
      <c r="AT67" s="106"/>
      <c r="AU67" s="106"/>
      <c r="AV67" s="106"/>
      <c r="AW67" s="106"/>
      <c r="AX67" s="106"/>
      <c r="AY67" s="106"/>
    </row>
    <row r="68" spans="1:51" s="20" customFormat="1" ht="21" customHeight="1">
      <c r="A68" s="197"/>
      <c r="B68" s="87"/>
      <c r="C68" s="87"/>
      <c r="D68" s="196"/>
      <c r="E68" s="108"/>
      <c r="F68" s="196"/>
      <c r="G68" s="87"/>
      <c r="H68" s="197"/>
      <c r="I68" s="89"/>
      <c r="J68" s="204"/>
      <c r="K68" s="87"/>
      <c r="L68" s="87" t="str" cm="1">
        <f t="array" ref="L68">IF($A68="","",_xlfn.LET(_xlpm.stat,CHOOSE({1,2,3,4,5},$P68,$T68,$X68,$AB68,$AF68),_xlpm.rate,CHOOSE({1,2,3,4,5},$R68,$V68,$Z68,$AD68,$AH68),_xlpm.trn,CHOOSE({1,2,3,4,5},$S68,$W68,$AA68,$AE68,$AI68),_xlpm.nsC,SUMPRODUCT(--(_xlpm.stat="Ready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DLR",IF(AND(_xlpm.actRS&gt;0,_xlpm.actDone&lt;_xlpm.actRS),"Training",IF(_xlpm.actRS&gt;0,"Active",IF(AND(_xlpm.decC&gt;0,_xlpm.inPlay+_xlpm.actC=0),"Dead",IF(AND($AJ68&lt;&gt;"",$AK68=FALSE),"Waiting on Dealer",IF(_xlpm.subC&gt;0,"Waiting on Lender",IF(AND(_xlpm.appC+_xlpm.actC&gt;0,_xlpm.nsC+_xlpm.wdC=0),"Rate Sheet","Application Submitted")))))))))</f>
        <v/>
      </c>
      <c r="M68" s="87"/>
      <c r="N68" s="87"/>
      <c r="O68" s="197"/>
      <c r="P68" s="87" t="str">
        <f>IF($A68="","",IF($AK68=TRUE,"Ready 2 Submit","Waiting on Dealer"))</f>
        <v/>
      </c>
      <c r="Q68" s="148"/>
      <c r="R68" s="87"/>
      <c r="S68" s="87"/>
      <c r="T68" s="87" t="str">
        <f>IF($A68="","",IF($AK68=TRUE,"Ready 2 Submit","Waiting on Dealer"))</f>
        <v/>
      </c>
      <c r="U68" s="148"/>
      <c r="V68" s="87"/>
      <c r="W68" s="87"/>
      <c r="X68" s="87" t="str">
        <f>IF($A68="","",IF($AK68=TRUE,"Ready 2 Submit","Waiting on Dealer"))</f>
        <v/>
      </c>
      <c r="Y68" s="148"/>
      <c r="Z68" s="87"/>
      <c r="AA68" s="87"/>
      <c r="AB68" s="87" t="str">
        <f>IF($A68="","",IF($AK68=TRUE,"Ready 2 Submit","Waiting on Dealer"))</f>
        <v/>
      </c>
      <c r="AC68" s="148"/>
      <c r="AD68" s="87"/>
      <c r="AE68" s="87"/>
      <c r="AF68" s="87" t="str">
        <f>IF($A68="","",IF($AK68=TRUE,"Ready 2 Submit","Waiting on Dealer"))</f>
        <v/>
      </c>
      <c r="AG68" s="148"/>
      <c r="AH68" s="87"/>
      <c r="AI68" s="87"/>
      <c r="AJ68" s="197"/>
      <c r="AK68" s="110" t="b">
        <v>0</v>
      </c>
      <c r="AL68" s="87" t="str" cm="1">
        <f t="array" ref="AL68">IF($A68="","",SUMPRODUCT((CHOOSE({1,2,3,4,5},$R68,$V68,$Z68,$AD68,$AH68)="Yes")*(((CHOOSE({1,2,3,4,5},$S68,$W68,$AA68,$AE68,$AI68)="Yes")+(CHOOSE({1,2,3,4,5},$S68,$W68,$AA68,$AE68,$AI68)=TRUE))&gt;0)))</f>
        <v/>
      </c>
      <c r="AM68" s="87"/>
      <c r="AN68" s="87" t="str">
        <f ca="1">IF(OR($A68="",$AM68=""),"",TODAY()-$AM68)</f>
        <v/>
      </c>
      <c r="AO68" s="87"/>
      <c r="AP68" s="106"/>
      <c r="AQ68" s="106"/>
      <c r="AR68" s="106"/>
      <c r="AS68" s="106"/>
      <c r="AT68" s="106"/>
      <c r="AU68" s="106"/>
      <c r="AV68" s="106"/>
      <c r="AW68" s="106"/>
      <c r="AX68" s="106"/>
      <c r="AY68" s="106"/>
    </row>
    <row r="69" spans="1:51" s="20" customFormat="1" ht="21" customHeight="1">
      <c r="A69" s="197"/>
      <c r="B69" s="87"/>
      <c r="C69" s="87"/>
      <c r="D69" s="196"/>
      <c r="E69" s="108"/>
      <c r="F69" s="196"/>
      <c r="G69" s="87"/>
      <c r="H69" s="197"/>
      <c r="I69" s="89"/>
      <c r="J69" s="204"/>
      <c r="K69" s="87"/>
      <c r="L69" s="87" t="str" cm="1">
        <f t="array" ref="L69">IF($A69="","",_xlfn.LET(_xlpm.stat,CHOOSE({1,2,3,4,5},$P69,$T69,$X69,$AB69,$AF69),_xlpm.rate,CHOOSE({1,2,3,4,5},$R69,$V69,$Z69,$AD69,$AH69),_xlpm.trn,CHOOSE({1,2,3,4,5},$S69,$W69,$AA69,$AE69,$AI69),_xlpm.nsC,SUMPRODUCT(--(_xlpm.stat="Ready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DLR",IF(AND(_xlpm.actRS&gt;0,_xlpm.actDone&lt;_xlpm.actRS),"Training",IF(_xlpm.actRS&gt;0,"Active",IF(AND(_xlpm.decC&gt;0,_xlpm.inPlay+_xlpm.actC=0),"Dead",IF(AND($AJ69&lt;&gt;"",$AK69=FALSE),"Waiting on Dealer",IF(_xlpm.subC&gt;0,"Waiting on Lender",IF(AND(_xlpm.appC+_xlpm.actC&gt;0,_xlpm.nsC+_xlpm.wdC=0),"Rate Sheet","Application Submitted")))))))))</f>
        <v/>
      </c>
      <c r="M69" s="87"/>
      <c r="N69" s="87"/>
      <c r="O69" s="197"/>
      <c r="P69" s="87" t="str">
        <f>IF($A69="","",IF($AK69=TRUE,"Ready 2 Submit","Waiting on Dealer"))</f>
        <v/>
      </c>
      <c r="Q69" s="148"/>
      <c r="R69" s="87"/>
      <c r="S69" s="87"/>
      <c r="T69" s="87" t="str">
        <f>IF($A69="","",IF($AK69=TRUE,"Ready 2 Submit","Waiting on Dealer"))</f>
        <v/>
      </c>
      <c r="U69" s="148"/>
      <c r="V69" s="87"/>
      <c r="W69" s="87"/>
      <c r="X69" s="87" t="str">
        <f>IF($A69="","",IF($AK69=TRUE,"Ready 2 Submit","Waiting on Dealer"))</f>
        <v/>
      </c>
      <c r="Y69" s="148"/>
      <c r="Z69" s="87"/>
      <c r="AA69" s="87"/>
      <c r="AB69" s="87" t="str">
        <f>IF($A69="","",IF($AK69=TRUE,"Ready 2 Submit","Waiting on Dealer"))</f>
        <v/>
      </c>
      <c r="AC69" s="148"/>
      <c r="AD69" s="87"/>
      <c r="AE69" s="87"/>
      <c r="AF69" s="87" t="str">
        <f>IF($A69="","",IF($AK69=TRUE,"Ready 2 Submit","Waiting on Dealer"))</f>
        <v/>
      </c>
      <c r="AG69" s="148"/>
      <c r="AH69" s="87"/>
      <c r="AI69" s="87"/>
      <c r="AJ69" s="197"/>
      <c r="AK69" s="110" t="b">
        <v>0</v>
      </c>
      <c r="AL69" s="87" t="str" cm="1">
        <f t="array" ref="AL69">IF($A69="","",SUMPRODUCT((CHOOSE({1,2,3,4,5},$R69,$V69,$Z69,$AD69,$AH69)="Yes")*(((CHOOSE({1,2,3,4,5},$S69,$W69,$AA69,$AE69,$AI69)="Yes")+(CHOOSE({1,2,3,4,5},$S69,$W69,$AA69,$AE69,$AI69)=TRUE))&gt;0)))</f>
        <v/>
      </c>
      <c r="AM69" s="87"/>
      <c r="AN69" s="87" t="str">
        <f ca="1">IF(OR($A69="",$AM69=""),"",TODAY()-$AM69)</f>
        <v/>
      </c>
      <c r="AO69" s="87"/>
      <c r="AP69" s="106"/>
      <c r="AQ69" s="106"/>
      <c r="AR69" s="106"/>
      <c r="AS69" s="106"/>
      <c r="AT69" s="106"/>
      <c r="AU69" s="106"/>
      <c r="AV69" s="106"/>
      <c r="AW69" s="106"/>
      <c r="AX69" s="106"/>
      <c r="AY69" s="106"/>
    </row>
    <row r="70" spans="1:51" s="20" customFormat="1" ht="21" customHeight="1">
      <c r="A70" s="197"/>
      <c r="B70" s="87"/>
      <c r="C70" s="87"/>
      <c r="D70" s="196"/>
      <c r="E70" s="108"/>
      <c r="F70" s="196"/>
      <c r="G70" s="87"/>
      <c r="H70" s="197"/>
      <c r="I70" s="89"/>
      <c r="J70" s="204"/>
      <c r="K70" s="87"/>
      <c r="L70" s="87" t="str" cm="1">
        <f t="array" ref="L70">IF($A70="","",_xlfn.LET(_xlpm.stat,CHOOSE({1,2,3,4,5},$P70,$T70,$X70,$AB70,$AF70),_xlpm.rate,CHOOSE({1,2,3,4,5},$R70,$V70,$Z70,$AD70,$AH70),_xlpm.trn,CHOOSE({1,2,3,4,5},$S70,$W70,$AA70,$AE70,$AI70),_xlpm.nsC,SUMPRODUCT(--(_xlpm.stat="Ready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DLR",IF(AND(_xlpm.actRS&gt;0,_xlpm.actDone&lt;_xlpm.actRS),"Training",IF(_xlpm.actRS&gt;0,"Active",IF(AND(_xlpm.decC&gt;0,_xlpm.inPlay+_xlpm.actC=0),"Dead",IF(AND($AJ70&lt;&gt;"",$AK70=FALSE),"Waiting on Dealer",IF(_xlpm.subC&gt;0,"Waiting on Lender",IF(AND(_xlpm.appC+_xlpm.actC&gt;0,_xlpm.nsC+_xlpm.wdC=0),"Rate Sheet","Application Submitted")))))))))</f>
        <v/>
      </c>
      <c r="M70" s="87"/>
      <c r="N70" s="87"/>
      <c r="O70" s="197"/>
      <c r="P70" s="87" t="str">
        <f>IF($A70="","",IF($AK70=TRUE,"Ready 2 Submit","Waiting on Dealer"))</f>
        <v/>
      </c>
      <c r="Q70" s="148"/>
      <c r="R70" s="87"/>
      <c r="S70" s="87"/>
      <c r="T70" s="87" t="str">
        <f>IF($A70="","",IF($AK70=TRUE,"Ready 2 Submit","Waiting on Dealer"))</f>
        <v/>
      </c>
      <c r="U70" s="148"/>
      <c r="V70" s="87"/>
      <c r="W70" s="87"/>
      <c r="X70" s="87" t="str">
        <f>IF($A70="","",IF($AK70=TRUE,"Ready 2 Submit","Waiting on Dealer"))</f>
        <v/>
      </c>
      <c r="Y70" s="148"/>
      <c r="Z70" s="87"/>
      <c r="AA70" s="87"/>
      <c r="AB70" s="87" t="str">
        <f>IF($A70="","",IF($AK70=TRUE,"Ready 2 Submit","Waiting on Dealer"))</f>
        <v/>
      </c>
      <c r="AC70" s="148"/>
      <c r="AD70" s="87"/>
      <c r="AE70" s="87"/>
      <c r="AF70" s="87" t="str">
        <f>IF($A70="","",IF($AK70=TRUE,"Ready 2 Submit","Waiting on Dealer"))</f>
        <v/>
      </c>
      <c r="AG70" s="148"/>
      <c r="AH70" s="87"/>
      <c r="AI70" s="87"/>
      <c r="AJ70" s="197"/>
      <c r="AK70" s="110" t="b">
        <v>0</v>
      </c>
      <c r="AL70" s="87" t="str" cm="1">
        <f t="array" ref="AL70">IF($A70="","",SUMPRODUCT((CHOOSE({1,2,3,4,5},$R70,$V70,$Z70,$AD70,$AH70)="Yes")*(((CHOOSE({1,2,3,4,5},$S70,$W70,$AA70,$AE70,$AI70)="Yes")+(CHOOSE({1,2,3,4,5},$S70,$W70,$AA70,$AE70,$AI70)=TRUE))&gt;0)))</f>
        <v/>
      </c>
      <c r="AM70" s="87"/>
      <c r="AN70" s="87" t="str">
        <f ca="1">IF(OR($A70="",$AM70=""),"",TODAY()-$AM70)</f>
        <v/>
      </c>
      <c r="AO70" s="87"/>
      <c r="AP70" s="106"/>
      <c r="AQ70" s="106"/>
      <c r="AR70" s="106"/>
      <c r="AS70" s="106"/>
      <c r="AT70" s="106"/>
      <c r="AU70" s="106"/>
      <c r="AV70" s="106"/>
      <c r="AW70" s="106"/>
      <c r="AX70" s="106"/>
      <c r="AY70" s="106"/>
    </row>
    <row r="71" spans="1:51" s="20" customFormat="1" ht="21" customHeight="1">
      <c r="A71" s="197"/>
      <c r="B71" s="87"/>
      <c r="C71" s="87"/>
      <c r="D71" s="196"/>
      <c r="E71" s="108"/>
      <c r="F71" s="196"/>
      <c r="G71" s="87"/>
      <c r="H71" s="197"/>
      <c r="I71" s="89"/>
      <c r="J71" s="204"/>
      <c r="K71" s="87"/>
      <c r="L71" s="87" t="str" cm="1">
        <f t="array" ref="L71">IF($A71="","",_xlfn.LET(_xlpm.stat,CHOOSE({1,2,3,4,5},$P71,$T71,$X71,$AB71,$AF71),_xlpm.rate,CHOOSE({1,2,3,4,5},$R71,$V71,$Z71,$AD71,$AH71),_xlpm.trn,CHOOSE({1,2,3,4,5},$S71,$W71,$AA71,$AE71,$AI71),_xlpm.nsC,SUMPRODUCT(--(_xlpm.stat="Ready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DLR",IF(AND(_xlpm.actRS&gt;0,_xlpm.actDone&lt;_xlpm.actRS),"Training",IF(_xlpm.actRS&gt;0,"Active",IF(AND(_xlpm.decC&gt;0,_xlpm.inPlay+_xlpm.actC=0),"Dead",IF(AND($AJ71&lt;&gt;"",$AK71=FALSE),"Waiting on Dealer",IF(_xlpm.subC&gt;0,"Waiting on Lender",IF(AND(_xlpm.appC+_xlpm.actC&gt;0,_xlpm.nsC+_xlpm.wdC=0),"Rate Sheet","Application Submitted")))))))))</f>
        <v/>
      </c>
      <c r="M71" s="87"/>
      <c r="N71" s="87"/>
      <c r="O71" s="197"/>
      <c r="P71" s="87" t="str">
        <f>IF($A71="","",IF($AK71=TRUE,"Ready 2 Submit","Waiting on Dealer"))</f>
        <v/>
      </c>
      <c r="Q71" s="148"/>
      <c r="R71" s="87"/>
      <c r="S71" s="87"/>
      <c r="T71" s="87" t="str">
        <f>IF($A71="","",IF($AK71=TRUE,"Ready 2 Submit","Waiting on Dealer"))</f>
        <v/>
      </c>
      <c r="U71" s="148"/>
      <c r="V71" s="87"/>
      <c r="W71" s="87"/>
      <c r="X71" s="87" t="str">
        <f>IF($A71="","",IF($AK71=TRUE,"Ready 2 Submit","Waiting on Dealer"))</f>
        <v/>
      </c>
      <c r="Y71" s="148"/>
      <c r="Z71" s="87"/>
      <c r="AA71" s="87"/>
      <c r="AB71" s="87" t="str">
        <f>IF($A71="","",IF($AK71=TRUE,"Ready 2 Submit","Waiting on Dealer"))</f>
        <v/>
      </c>
      <c r="AC71" s="148"/>
      <c r="AD71" s="87"/>
      <c r="AE71" s="87"/>
      <c r="AF71" s="87" t="str">
        <f>IF($A71="","",IF($AK71=TRUE,"Ready 2 Submit","Waiting on Dealer"))</f>
        <v/>
      </c>
      <c r="AG71" s="148"/>
      <c r="AH71" s="87"/>
      <c r="AI71" s="87"/>
      <c r="AJ71" s="197"/>
      <c r="AK71" s="110" t="b">
        <v>0</v>
      </c>
      <c r="AL71" s="87" t="str" cm="1">
        <f t="array" ref="AL71">IF($A71="","",SUMPRODUCT((CHOOSE({1,2,3,4,5},$R71,$V71,$Z71,$AD71,$AH71)="Yes")*(((CHOOSE({1,2,3,4,5},$S71,$W71,$AA71,$AE71,$AI71)="Yes")+(CHOOSE({1,2,3,4,5},$S71,$W71,$AA71,$AE71,$AI71)=TRUE))&gt;0)))</f>
        <v/>
      </c>
      <c r="AM71" s="87"/>
      <c r="AN71" s="87" t="str">
        <f ca="1">IF(OR($A71="",$AM71=""),"",TODAY()-$AM71)</f>
        <v/>
      </c>
      <c r="AO71" s="87"/>
      <c r="AP71" s="106"/>
      <c r="AQ71" s="106"/>
      <c r="AR71" s="106"/>
      <c r="AS71" s="106"/>
      <c r="AT71" s="106"/>
      <c r="AU71" s="106"/>
      <c r="AV71" s="106"/>
      <c r="AW71" s="106"/>
      <c r="AX71" s="106"/>
      <c r="AY71" s="106"/>
    </row>
    <row r="72" spans="1:51" s="20" customFormat="1" ht="21" customHeight="1">
      <c r="A72" s="197"/>
      <c r="B72" s="87"/>
      <c r="C72" s="87"/>
      <c r="D72" s="196"/>
      <c r="E72" s="108"/>
      <c r="F72" s="196"/>
      <c r="G72" s="87"/>
      <c r="H72" s="197"/>
      <c r="I72" s="89"/>
      <c r="J72" s="204"/>
      <c r="K72" s="87"/>
      <c r="L72" s="87" t="str" cm="1">
        <f t="array" ref="L72">IF($A72="","",_xlfn.LET(_xlpm.stat,CHOOSE({1,2,3,4,5},$P72,$T72,$X72,$AB72,$AF72),_xlpm.rate,CHOOSE({1,2,3,4,5},$R72,$V72,$Z72,$AD72,$AH72),_xlpm.trn,CHOOSE({1,2,3,4,5},$S72,$W72,$AA72,$AE72,$AI72),_xlpm.nsC,SUMPRODUCT(--(_xlpm.stat="Ready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DLR",IF(AND(_xlpm.actRS&gt;0,_xlpm.actDone&lt;_xlpm.actRS),"Training",IF(_xlpm.actRS&gt;0,"Active",IF(AND(_xlpm.decC&gt;0,_xlpm.inPlay+_xlpm.actC=0),"Dead",IF(AND($AJ72&lt;&gt;"",$AK72=FALSE),"Waiting on Dealer",IF(_xlpm.subC&gt;0,"Waiting on Lender",IF(AND(_xlpm.appC+_xlpm.actC&gt;0,_xlpm.nsC+_xlpm.wdC=0),"Rate Sheet","Application Submitted")))))))))</f>
        <v/>
      </c>
      <c r="M72" s="87"/>
      <c r="N72" s="87"/>
      <c r="O72" s="197"/>
      <c r="P72" s="87" t="str">
        <f>IF($A72="","",IF($AK72=TRUE,"Ready 2 Submit","Waiting on Dealer"))</f>
        <v/>
      </c>
      <c r="Q72" s="148"/>
      <c r="R72" s="87"/>
      <c r="S72" s="87"/>
      <c r="T72" s="87" t="str">
        <f>IF($A72="","",IF($AK72=TRUE,"Ready 2 Submit","Waiting on Dealer"))</f>
        <v/>
      </c>
      <c r="U72" s="148"/>
      <c r="V72" s="87"/>
      <c r="W72" s="87"/>
      <c r="X72" s="87" t="str">
        <f>IF($A72="","",IF($AK72=TRUE,"Ready 2 Submit","Waiting on Dealer"))</f>
        <v/>
      </c>
      <c r="Y72" s="148"/>
      <c r="Z72" s="87"/>
      <c r="AA72" s="87"/>
      <c r="AB72" s="87" t="str">
        <f>IF($A72="","",IF($AK72=TRUE,"Ready 2 Submit","Waiting on Dealer"))</f>
        <v/>
      </c>
      <c r="AC72" s="148"/>
      <c r="AD72" s="87"/>
      <c r="AE72" s="87"/>
      <c r="AF72" s="87" t="str">
        <f>IF($A72="","",IF($AK72=TRUE,"Ready 2 Submit","Waiting on Dealer"))</f>
        <v/>
      </c>
      <c r="AG72" s="148"/>
      <c r="AH72" s="87"/>
      <c r="AI72" s="87"/>
      <c r="AJ72" s="197"/>
      <c r="AK72" s="110" t="b">
        <v>0</v>
      </c>
      <c r="AL72" s="87" t="str" cm="1">
        <f t="array" ref="AL72">IF($A72="","",SUMPRODUCT((CHOOSE({1,2,3,4,5},$R72,$V72,$Z72,$AD72,$AH72)="Yes")*(((CHOOSE({1,2,3,4,5},$S72,$W72,$AA72,$AE72,$AI72)="Yes")+(CHOOSE({1,2,3,4,5},$S72,$W72,$AA72,$AE72,$AI72)=TRUE))&gt;0)))</f>
        <v/>
      </c>
      <c r="AM72" s="87"/>
      <c r="AN72" s="87" t="str">
        <f ca="1">IF(OR($A72="",$AM72=""),"",TODAY()-$AM72)</f>
        <v/>
      </c>
      <c r="AO72" s="87"/>
      <c r="AP72" s="106"/>
      <c r="AQ72" s="106"/>
      <c r="AR72" s="106"/>
      <c r="AS72" s="106"/>
      <c r="AT72" s="106"/>
      <c r="AU72" s="106"/>
      <c r="AV72" s="106"/>
      <c r="AW72" s="106"/>
      <c r="AX72" s="106"/>
      <c r="AY72" s="106"/>
    </row>
    <row r="73" spans="1:51" s="20" customFormat="1" ht="21" customHeight="1">
      <c r="A73" s="197"/>
      <c r="B73" s="87"/>
      <c r="C73" s="87"/>
      <c r="D73" s="196"/>
      <c r="E73" s="108"/>
      <c r="F73" s="196"/>
      <c r="G73" s="87"/>
      <c r="H73" s="197"/>
      <c r="I73" s="89"/>
      <c r="J73" s="204"/>
      <c r="K73" s="87"/>
      <c r="L73" s="87" t="str" cm="1">
        <f t="array" ref="L73">IF($A73="","",_xlfn.LET(_xlpm.stat,CHOOSE({1,2,3,4,5},$P73,$T73,$X73,$AB73,$AF73),_xlpm.rate,CHOOSE({1,2,3,4,5},$R73,$V73,$Z73,$AD73,$AH73),_xlpm.trn,CHOOSE({1,2,3,4,5},$S73,$W73,$AA73,$AE73,$AI73),_xlpm.nsC,SUMPRODUCT(--(_xlpm.stat="Ready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DLR",IF(AND(_xlpm.actRS&gt;0,_xlpm.actDone&lt;_xlpm.actRS),"Training",IF(_xlpm.actRS&gt;0,"Active",IF(AND(_xlpm.decC&gt;0,_xlpm.inPlay+_xlpm.actC=0),"Dead",IF(AND($AJ73&lt;&gt;"",$AK73=FALSE),"Waiting on Dealer",IF(_xlpm.subC&gt;0,"Waiting on Lender",IF(AND(_xlpm.appC+_xlpm.actC&gt;0,_xlpm.nsC+_xlpm.wdC=0),"Rate Sheet","Application Submitted")))))))))</f>
        <v/>
      </c>
      <c r="M73" s="87"/>
      <c r="N73" s="87"/>
      <c r="O73" s="197"/>
      <c r="P73" s="87" t="str">
        <f>IF($A73="","",IF($AK73=TRUE,"Ready 2 Submit","Waiting on Dealer"))</f>
        <v/>
      </c>
      <c r="Q73" s="148"/>
      <c r="R73" s="87"/>
      <c r="S73" s="87"/>
      <c r="T73" s="87" t="str">
        <f>IF($A73="","",IF($AK73=TRUE,"Ready 2 Submit","Waiting on Dealer"))</f>
        <v/>
      </c>
      <c r="U73" s="148"/>
      <c r="V73" s="87"/>
      <c r="W73" s="87"/>
      <c r="X73" s="87" t="str">
        <f>IF($A73="","",IF($AK73=TRUE,"Ready 2 Submit","Waiting on Dealer"))</f>
        <v/>
      </c>
      <c r="Y73" s="148"/>
      <c r="Z73" s="87"/>
      <c r="AA73" s="87"/>
      <c r="AB73" s="87" t="str">
        <f>IF($A73="","",IF($AK73=TRUE,"Ready 2 Submit","Waiting on Dealer"))</f>
        <v/>
      </c>
      <c r="AC73" s="148"/>
      <c r="AD73" s="87"/>
      <c r="AE73" s="87"/>
      <c r="AF73" s="87" t="str">
        <f>IF($A73="","",IF($AK73=TRUE,"Ready 2 Submit","Waiting on Dealer"))</f>
        <v/>
      </c>
      <c r="AG73" s="148"/>
      <c r="AH73" s="87"/>
      <c r="AI73" s="87"/>
      <c r="AJ73" s="197"/>
      <c r="AK73" s="110" t="b">
        <v>0</v>
      </c>
      <c r="AL73" s="87" t="str" cm="1">
        <f t="array" ref="AL73">IF($A73="","",SUMPRODUCT((CHOOSE({1,2,3,4,5},$R73,$V73,$Z73,$AD73,$AH73)="Yes")*(((CHOOSE({1,2,3,4,5},$S73,$W73,$AA73,$AE73,$AI73)="Yes")+(CHOOSE({1,2,3,4,5},$S73,$W73,$AA73,$AE73,$AI73)=TRUE))&gt;0)))</f>
        <v/>
      </c>
      <c r="AM73" s="87"/>
      <c r="AN73" s="87" t="str">
        <f ca="1">IF(OR($A73="",$AM73=""),"",TODAY()-$AM73)</f>
        <v/>
      </c>
      <c r="AO73" s="87"/>
      <c r="AP73" s="106"/>
      <c r="AQ73" s="106"/>
      <c r="AR73" s="106"/>
      <c r="AS73" s="106"/>
      <c r="AT73" s="106"/>
      <c r="AU73" s="106"/>
      <c r="AV73" s="106"/>
      <c r="AW73" s="106"/>
      <c r="AX73" s="106"/>
      <c r="AY73" s="106"/>
    </row>
    <row r="74" spans="1:51" s="20" customFormat="1" ht="21" customHeight="1">
      <c r="A74" s="197"/>
      <c r="B74" s="87"/>
      <c r="C74" s="87"/>
      <c r="D74" s="196"/>
      <c r="E74" s="108"/>
      <c r="F74" s="196"/>
      <c r="G74" s="87"/>
      <c r="H74" s="197"/>
      <c r="I74" s="89"/>
      <c r="J74" s="204"/>
      <c r="K74" s="87"/>
      <c r="L74" s="87" t="str" cm="1">
        <f t="array" ref="L74">IF($A74="","",_xlfn.LET(_xlpm.stat,CHOOSE({1,2,3,4,5},$P74,$T74,$X74,$AB74,$AF74),_xlpm.rate,CHOOSE({1,2,3,4,5},$R74,$V74,$Z74,$AD74,$AH74),_xlpm.trn,CHOOSE({1,2,3,4,5},$S74,$W74,$AA74,$AE74,$AI74),_xlpm.nsC,SUMPRODUCT(--(_xlpm.stat="Ready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DLR",IF(AND(_xlpm.actRS&gt;0,_xlpm.actDone&lt;_xlpm.actRS),"Training",IF(_xlpm.actRS&gt;0,"Active",IF(AND(_xlpm.decC&gt;0,_xlpm.inPlay+_xlpm.actC=0),"Dead",IF(AND($AJ74&lt;&gt;"",$AK74=FALSE),"Waiting on Dealer",IF(_xlpm.subC&gt;0,"Waiting on Lender",IF(AND(_xlpm.appC+_xlpm.actC&gt;0,_xlpm.nsC+_xlpm.wdC=0),"Rate Sheet","Application Submitted")))))))))</f>
        <v/>
      </c>
      <c r="M74" s="87"/>
      <c r="N74" s="87"/>
      <c r="O74" s="197"/>
      <c r="P74" s="87" t="str">
        <f>IF($A74="","",IF($AK74=TRUE,"Ready 2 Submit","Waiting on Dealer"))</f>
        <v/>
      </c>
      <c r="Q74" s="148"/>
      <c r="R74" s="87"/>
      <c r="S74" s="87"/>
      <c r="T74" s="87" t="str">
        <f>IF($A74="","",IF($AK74=TRUE,"Ready 2 Submit","Waiting on Dealer"))</f>
        <v/>
      </c>
      <c r="U74" s="148"/>
      <c r="V74" s="87"/>
      <c r="W74" s="87"/>
      <c r="X74" s="87" t="str">
        <f>IF($A74="","",IF($AK74=TRUE,"Ready 2 Submit","Waiting on Dealer"))</f>
        <v/>
      </c>
      <c r="Y74" s="148"/>
      <c r="Z74" s="87"/>
      <c r="AA74" s="87"/>
      <c r="AB74" s="87" t="str">
        <f>IF($A74="","",IF($AK74=TRUE,"Ready 2 Submit","Waiting on Dealer"))</f>
        <v/>
      </c>
      <c r="AC74" s="148"/>
      <c r="AD74" s="87"/>
      <c r="AE74" s="87"/>
      <c r="AF74" s="87" t="str">
        <f>IF($A74="","",IF($AK74=TRUE,"Ready 2 Submit","Waiting on Dealer"))</f>
        <v/>
      </c>
      <c r="AG74" s="148"/>
      <c r="AH74" s="87"/>
      <c r="AI74" s="87"/>
      <c r="AJ74" s="197"/>
      <c r="AK74" s="110" t="b">
        <v>0</v>
      </c>
      <c r="AL74" s="87" t="str" cm="1">
        <f t="array" ref="AL74">IF($A74="","",SUMPRODUCT((CHOOSE({1,2,3,4,5},$R74,$V74,$Z74,$AD74,$AH74)="Yes")*(((CHOOSE({1,2,3,4,5},$S74,$W74,$AA74,$AE74,$AI74)="Yes")+(CHOOSE({1,2,3,4,5},$S74,$W74,$AA74,$AE74,$AI74)=TRUE))&gt;0)))</f>
        <v/>
      </c>
      <c r="AM74" s="87"/>
      <c r="AN74" s="87" t="str">
        <f ca="1">IF(OR($A74="",$AM74=""),"",TODAY()-$AM74)</f>
        <v/>
      </c>
      <c r="AO74" s="87"/>
      <c r="AP74" s="106"/>
      <c r="AQ74" s="106"/>
      <c r="AR74" s="106"/>
      <c r="AS74" s="106"/>
      <c r="AT74" s="106"/>
      <c r="AU74" s="106"/>
      <c r="AV74" s="106"/>
      <c r="AW74" s="106"/>
      <c r="AX74" s="106"/>
      <c r="AY74" s="106"/>
    </row>
    <row r="75" spans="1:51" s="20" customFormat="1" ht="21" customHeight="1">
      <c r="A75" s="197"/>
      <c r="B75" s="87"/>
      <c r="C75" s="87"/>
      <c r="D75" s="196"/>
      <c r="E75" s="108"/>
      <c r="F75" s="196"/>
      <c r="G75" s="87"/>
      <c r="H75" s="197"/>
      <c r="I75" s="89"/>
      <c r="J75" s="204"/>
      <c r="K75" s="87"/>
      <c r="L75" s="87" t="str" cm="1">
        <f t="array" ref="L75">IF($A75="","",_xlfn.LET(_xlpm.stat,CHOOSE({1,2,3,4,5},$P75,$T75,$X75,$AB75,$AF75),_xlpm.rate,CHOOSE({1,2,3,4,5},$R75,$V75,$Z75,$AD75,$AH75),_xlpm.trn,CHOOSE({1,2,3,4,5},$S75,$W75,$AA75,$AE75,$AI75),_xlpm.nsC,SUMPRODUCT(--(_xlpm.stat="Ready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DLR",IF(AND(_xlpm.actRS&gt;0,_xlpm.actDone&lt;_xlpm.actRS),"Training",IF(_xlpm.actRS&gt;0,"Active",IF(AND(_xlpm.decC&gt;0,_xlpm.inPlay+_xlpm.actC=0),"Dead",IF(AND($AJ75&lt;&gt;"",$AK75=FALSE),"Waiting on Dealer",IF(_xlpm.subC&gt;0,"Waiting on Lender",IF(AND(_xlpm.appC+_xlpm.actC&gt;0,_xlpm.nsC+_xlpm.wdC=0),"Rate Sheet","Application Submitted")))))))))</f>
        <v/>
      </c>
      <c r="M75" s="87"/>
      <c r="N75" s="87"/>
      <c r="O75" s="197"/>
      <c r="P75" s="87" t="str">
        <f>IF($A75="","",IF($AK75=TRUE,"Ready 2 Submit","Waiting on Dealer"))</f>
        <v/>
      </c>
      <c r="Q75" s="148"/>
      <c r="R75" s="87"/>
      <c r="S75" s="87"/>
      <c r="T75" s="87" t="str">
        <f>IF($A75="","",IF($AK75=TRUE,"Ready 2 Submit","Waiting on Dealer"))</f>
        <v/>
      </c>
      <c r="U75" s="148"/>
      <c r="V75" s="87"/>
      <c r="W75" s="87"/>
      <c r="X75" s="87" t="str">
        <f>IF($A75="","",IF($AK75=TRUE,"Ready 2 Submit","Waiting on Dealer"))</f>
        <v/>
      </c>
      <c r="Y75" s="148"/>
      <c r="Z75" s="87"/>
      <c r="AA75" s="87"/>
      <c r="AB75" s="87" t="str">
        <f>IF($A75="","",IF($AK75=TRUE,"Ready 2 Submit","Waiting on Dealer"))</f>
        <v/>
      </c>
      <c r="AC75" s="148"/>
      <c r="AD75" s="87"/>
      <c r="AE75" s="87"/>
      <c r="AF75" s="87" t="str">
        <f>IF($A75="","",IF($AK75=TRUE,"Ready 2 Submit","Waiting on Dealer"))</f>
        <v/>
      </c>
      <c r="AG75" s="148"/>
      <c r="AH75" s="87"/>
      <c r="AI75" s="87"/>
      <c r="AJ75" s="197"/>
      <c r="AK75" s="110" t="b">
        <v>0</v>
      </c>
      <c r="AL75" s="87" t="str" cm="1">
        <f t="array" ref="AL75">IF($A75="","",SUMPRODUCT((CHOOSE({1,2,3,4,5},$R75,$V75,$Z75,$AD75,$AH75)="Yes")*(((CHOOSE({1,2,3,4,5},$S75,$W75,$AA75,$AE75,$AI75)="Yes")+(CHOOSE({1,2,3,4,5},$S75,$W75,$AA75,$AE75,$AI75)=TRUE))&gt;0)))</f>
        <v/>
      </c>
      <c r="AM75" s="87"/>
      <c r="AN75" s="87" t="str">
        <f ca="1">IF(OR($A75="",$AM75=""),"",TODAY()-$AM75)</f>
        <v/>
      </c>
      <c r="AO75" s="87"/>
      <c r="AP75" s="106"/>
      <c r="AQ75" s="106"/>
      <c r="AR75" s="106"/>
      <c r="AS75" s="106"/>
      <c r="AT75" s="106"/>
      <c r="AU75" s="106"/>
      <c r="AV75" s="106"/>
      <c r="AW75" s="106"/>
      <c r="AX75" s="106"/>
      <c r="AY75" s="106"/>
    </row>
    <row r="76" spans="1:51" s="20" customFormat="1" ht="21" customHeight="1">
      <c r="A76" s="197"/>
      <c r="B76" s="87"/>
      <c r="C76" s="87"/>
      <c r="D76" s="196"/>
      <c r="E76" s="108"/>
      <c r="F76" s="196"/>
      <c r="G76" s="87"/>
      <c r="H76" s="197"/>
      <c r="I76" s="89"/>
      <c r="J76" s="204"/>
      <c r="K76" s="87"/>
      <c r="L76" s="87" t="str" cm="1">
        <f t="array" ref="L76">IF($A76="","",_xlfn.LET(_xlpm.stat,CHOOSE({1,2,3,4,5},$P76,$T76,$X76,$AB76,$AF76),_xlpm.rate,CHOOSE({1,2,3,4,5},$R76,$V76,$Z76,$AD76,$AH76),_xlpm.trn,CHOOSE({1,2,3,4,5},$S76,$W76,$AA76,$AE76,$AI76),_xlpm.nsC,SUMPRODUCT(--(_xlpm.stat="Ready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DLR",IF(AND(_xlpm.actRS&gt;0,_xlpm.actDone&lt;_xlpm.actRS),"Training",IF(_xlpm.actRS&gt;0,"Active",IF(AND(_xlpm.decC&gt;0,_xlpm.inPlay+_xlpm.actC=0),"Dead",IF(AND($AJ76&lt;&gt;"",$AK76=FALSE),"Waiting on Dealer",IF(_xlpm.subC&gt;0,"Waiting on Lender",IF(AND(_xlpm.appC+_xlpm.actC&gt;0,_xlpm.nsC+_xlpm.wdC=0),"Rate Sheet","Application Submitted")))))))))</f>
        <v/>
      </c>
      <c r="M76" s="87"/>
      <c r="N76" s="87"/>
      <c r="O76" s="197"/>
      <c r="P76" s="87" t="str">
        <f>IF($A76="","",IF($AK76=TRUE,"Ready 2 Submit","Waiting on Dealer"))</f>
        <v/>
      </c>
      <c r="Q76" s="148"/>
      <c r="R76" s="87"/>
      <c r="S76" s="87"/>
      <c r="T76" s="87" t="str">
        <f>IF($A76="","",IF($AK76=TRUE,"Ready 2 Submit","Waiting on Dealer"))</f>
        <v/>
      </c>
      <c r="U76" s="148"/>
      <c r="V76" s="87"/>
      <c r="W76" s="87"/>
      <c r="X76" s="87" t="str">
        <f>IF($A76="","",IF($AK76=TRUE,"Ready 2 Submit","Waiting on Dealer"))</f>
        <v/>
      </c>
      <c r="Y76" s="148"/>
      <c r="Z76" s="87"/>
      <c r="AA76" s="87"/>
      <c r="AB76" s="87" t="str">
        <f>IF($A76="","",IF($AK76=TRUE,"Ready 2 Submit","Waiting on Dealer"))</f>
        <v/>
      </c>
      <c r="AC76" s="148"/>
      <c r="AD76" s="87"/>
      <c r="AE76" s="87"/>
      <c r="AF76" s="87" t="str">
        <f>IF($A76="","",IF($AK76=TRUE,"Ready 2 Submit","Waiting on Dealer"))</f>
        <v/>
      </c>
      <c r="AG76" s="148"/>
      <c r="AH76" s="87"/>
      <c r="AI76" s="87"/>
      <c r="AJ76" s="197"/>
      <c r="AK76" s="110" t="b">
        <v>0</v>
      </c>
      <c r="AL76" s="87" t="str" cm="1">
        <f t="array" ref="AL76">IF($A76="","",SUMPRODUCT((CHOOSE({1,2,3,4,5},$R76,$V76,$Z76,$AD76,$AH76)="Yes")*(((CHOOSE({1,2,3,4,5},$S76,$W76,$AA76,$AE76,$AI76)="Yes")+(CHOOSE({1,2,3,4,5},$S76,$W76,$AA76,$AE76,$AI76)=TRUE))&gt;0)))</f>
        <v/>
      </c>
      <c r="AM76" s="87"/>
      <c r="AN76" s="87" t="str">
        <f ca="1">IF(OR($A76="",$AM76=""),"",TODAY()-$AM76)</f>
        <v/>
      </c>
      <c r="AO76" s="87"/>
      <c r="AP76" s="106"/>
      <c r="AQ76" s="106"/>
      <c r="AR76" s="106"/>
      <c r="AS76" s="106"/>
      <c r="AT76" s="106"/>
      <c r="AU76" s="106"/>
      <c r="AV76" s="106"/>
      <c r="AW76" s="106"/>
      <c r="AX76" s="106"/>
      <c r="AY76" s="106"/>
    </row>
    <row r="77" spans="1:51" s="20" customFormat="1" ht="21" customHeight="1">
      <c r="A77" s="197"/>
      <c r="B77" s="87"/>
      <c r="C77" s="87"/>
      <c r="D77" s="196"/>
      <c r="E77" s="108"/>
      <c r="F77" s="196"/>
      <c r="G77" s="87"/>
      <c r="H77" s="197"/>
      <c r="I77" s="89"/>
      <c r="J77" s="204"/>
      <c r="K77" s="87"/>
      <c r="L77" s="87" t="str" cm="1">
        <f t="array" ref="L77">IF($A77="","",_xlfn.LET(_xlpm.stat,CHOOSE({1,2,3,4,5},$P77,$T77,$X77,$AB77,$AF77),_xlpm.rate,CHOOSE({1,2,3,4,5},$R77,$V77,$Z77,$AD77,$AH77),_xlpm.trn,CHOOSE({1,2,3,4,5},$S77,$W77,$AA77,$AE77,$AI77),_xlpm.nsC,SUMPRODUCT(--(_xlpm.stat="Ready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DLR",IF(AND(_xlpm.actRS&gt;0,_xlpm.actDone&lt;_xlpm.actRS),"Training",IF(_xlpm.actRS&gt;0,"Active",IF(AND(_xlpm.decC&gt;0,_xlpm.inPlay+_xlpm.actC=0),"Dead",IF(AND($AJ77&lt;&gt;"",$AK77=FALSE),"Waiting on Dealer",IF(_xlpm.subC&gt;0,"Waiting on Lender",IF(AND(_xlpm.appC+_xlpm.actC&gt;0,_xlpm.nsC+_xlpm.wdC=0),"Rate Sheet","Application Submitted")))))))))</f>
        <v/>
      </c>
      <c r="M77" s="87"/>
      <c r="N77" s="87"/>
      <c r="O77" s="197"/>
      <c r="P77" s="87" t="str">
        <f>IF($A77="","",IF($AK77=TRUE,"Ready 2 Submit","Waiting on Dealer"))</f>
        <v/>
      </c>
      <c r="Q77" s="148"/>
      <c r="R77" s="87"/>
      <c r="S77" s="87"/>
      <c r="T77" s="87" t="str">
        <f>IF($A77="","",IF($AK77=TRUE,"Ready 2 Submit","Waiting on Dealer"))</f>
        <v/>
      </c>
      <c r="U77" s="148"/>
      <c r="V77" s="87"/>
      <c r="W77" s="87"/>
      <c r="X77" s="87" t="str">
        <f>IF($A77="","",IF($AK77=TRUE,"Ready 2 Submit","Waiting on Dealer"))</f>
        <v/>
      </c>
      <c r="Y77" s="148"/>
      <c r="Z77" s="87"/>
      <c r="AA77" s="87"/>
      <c r="AB77" s="87" t="str">
        <f>IF($A77="","",IF($AK77=TRUE,"Ready 2 Submit","Waiting on Dealer"))</f>
        <v/>
      </c>
      <c r="AC77" s="148"/>
      <c r="AD77" s="87"/>
      <c r="AE77" s="87"/>
      <c r="AF77" s="87" t="str">
        <f>IF($A77="","",IF($AK77=TRUE,"Ready 2 Submit","Waiting on Dealer"))</f>
        <v/>
      </c>
      <c r="AG77" s="148"/>
      <c r="AH77" s="87"/>
      <c r="AI77" s="87"/>
      <c r="AJ77" s="197"/>
      <c r="AK77" s="110" t="b">
        <v>0</v>
      </c>
      <c r="AL77" s="87" t="str" cm="1">
        <f t="array" ref="AL77">IF($A77="","",SUMPRODUCT((CHOOSE({1,2,3,4,5},$R77,$V77,$Z77,$AD77,$AH77)="Yes")*(((CHOOSE({1,2,3,4,5},$S77,$W77,$AA77,$AE77,$AI77)="Yes")+(CHOOSE({1,2,3,4,5},$S77,$W77,$AA77,$AE77,$AI77)=TRUE))&gt;0)))</f>
        <v/>
      </c>
      <c r="AM77" s="87"/>
      <c r="AN77" s="87" t="str">
        <f ca="1">IF(OR($A77="",$AM77=""),"",TODAY()-$AM77)</f>
        <v/>
      </c>
      <c r="AO77" s="87"/>
      <c r="AP77" s="106"/>
      <c r="AQ77" s="106"/>
      <c r="AR77" s="106"/>
      <c r="AS77" s="106"/>
      <c r="AT77" s="106"/>
      <c r="AU77" s="106"/>
      <c r="AV77" s="106"/>
      <c r="AW77" s="106"/>
      <c r="AX77" s="106"/>
      <c r="AY77" s="106"/>
    </row>
    <row r="78" spans="1:51" s="20" customFormat="1" ht="21" customHeight="1">
      <c r="A78" s="197"/>
      <c r="B78" s="87"/>
      <c r="C78" s="87"/>
      <c r="D78" s="196"/>
      <c r="E78" s="108"/>
      <c r="F78" s="196"/>
      <c r="G78" s="87"/>
      <c r="H78" s="197"/>
      <c r="I78" s="89"/>
      <c r="J78" s="204"/>
      <c r="K78" s="87"/>
      <c r="L78" s="87" t="str" cm="1">
        <f t="array" ref="L78">IF($A78="","",_xlfn.LET(_xlpm.stat,CHOOSE({1,2,3,4,5},$P78,$T78,$X78,$AB78,$AF78),_xlpm.rate,CHOOSE({1,2,3,4,5},$R78,$V78,$Z78,$AD78,$AH78),_xlpm.trn,CHOOSE({1,2,3,4,5},$S78,$W78,$AA78,$AE78,$AI78),_xlpm.nsC,SUMPRODUCT(--(_xlpm.stat="Ready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DLR",IF(AND(_xlpm.actRS&gt;0,_xlpm.actDone&lt;_xlpm.actRS),"Training",IF(_xlpm.actRS&gt;0,"Active",IF(AND(_xlpm.decC&gt;0,_xlpm.inPlay+_xlpm.actC=0),"Dead",IF(AND($AJ78&lt;&gt;"",$AK78=FALSE),"Waiting on Dealer",IF(_xlpm.subC&gt;0,"Waiting on Lender",IF(AND(_xlpm.appC+_xlpm.actC&gt;0,_xlpm.nsC+_xlpm.wdC=0),"Rate Sheet","Application Submitted")))))))))</f>
        <v/>
      </c>
      <c r="M78" s="87"/>
      <c r="N78" s="87"/>
      <c r="O78" s="197"/>
      <c r="P78" s="87" t="str">
        <f>IF($A78="","",IF($AK78=TRUE,"Ready 2 Submit","Waiting on Dealer"))</f>
        <v/>
      </c>
      <c r="Q78" s="148"/>
      <c r="R78" s="87"/>
      <c r="S78" s="87"/>
      <c r="T78" s="87" t="str">
        <f>IF($A78="","",IF($AK78=TRUE,"Ready 2 Submit","Waiting on Dealer"))</f>
        <v/>
      </c>
      <c r="U78" s="148"/>
      <c r="V78" s="87"/>
      <c r="W78" s="87"/>
      <c r="X78" s="87" t="str">
        <f>IF($A78="","",IF($AK78=TRUE,"Ready 2 Submit","Waiting on Dealer"))</f>
        <v/>
      </c>
      <c r="Y78" s="148"/>
      <c r="Z78" s="87"/>
      <c r="AA78" s="87"/>
      <c r="AB78" s="87" t="str">
        <f>IF($A78="","",IF($AK78=TRUE,"Ready 2 Submit","Waiting on Dealer"))</f>
        <v/>
      </c>
      <c r="AC78" s="148"/>
      <c r="AD78" s="87"/>
      <c r="AE78" s="87"/>
      <c r="AF78" s="87" t="str">
        <f>IF($A78="","",IF($AK78=TRUE,"Ready 2 Submit","Waiting on Dealer"))</f>
        <v/>
      </c>
      <c r="AG78" s="148"/>
      <c r="AH78" s="87"/>
      <c r="AI78" s="87"/>
      <c r="AJ78" s="197"/>
      <c r="AK78" s="110" t="b">
        <v>0</v>
      </c>
      <c r="AL78" s="87" t="str" cm="1">
        <f t="array" ref="AL78">IF($A78="","",SUMPRODUCT((CHOOSE({1,2,3,4,5},$R78,$V78,$Z78,$AD78,$AH78)="Yes")*(((CHOOSE({1,2,3,4,5},$S78,$W78,$AA78,$AE78,$AI78)="Yes")+(CHOOSE({1,2,3,4,5},$S78,$W78,$AA78,$AE78,$AI78)=TRUE))&gt;0)))</f>
        <v/>
      </c>
      <c r="AM78" s="87"/>
      <c r="AN78" s="87" t="str">
        <f ca="1">IF(OR($A78="",$AM78=""),"",TODAY()-$AM78)</f>
        <v/>
      </c>
      <c r="AO78" s="87"/>
      <c r="AP78" s="106"/>
      <c r="AQ78" s="106"/>
      <c r="AR78" s="106"/>
      <c r="AS78" s="106"/>
      <c r="AT78" s="106"/>
      <c r="AU78" s="106"/>
      <c r="AV78" s="106"/>
      <c r="AW78" s="106"/>
      <c r="AX78" s="106"/>
      <c r="AY78" s="106"/>
    </row>
    <row r="79" spans="1:51" s="20" customFormat="1" ht="21" customHeight="1">
      <c r="A79" s="197"/>
      <c r="B79" s="87"/>
      <c r="C79" s="87"/>
      <c r="D79" s="196"/>
      <c r="E79" s="108"/>
      <c r="F79" s="196"/>
      <c r="G79" s="87"/>
      <c r="H79" s="197"/>
      <c r="I79" s="89"/>
      <c r="J79" s="204"/>
      <c r="K79" s="87"/>
      <c r="L79" s="87" t="str" cm="1">
        <f t="array" ref="L79">IF($A79="","",_xlfn.LET(_xlpm.stat,CHOOSE({1,2,3,4,5},$P79,$T79,$X79,$AB79,$AF79),_xlpm.rate,CHOOSE({1,2,3,4,5},$R79,$V79,$Z79,$AD79,$AH79),_xlpm.trn,CHOOSE({1,2,3,4,5},$S79,$W79,$AA79,$AE79,$AI79),_xlpm.nsC,SUMPRODUCT(--(_xlpm.stat="Ready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DLR",IF(AND(_xlpm.actRS&gt;0,_xlpm.actDone&lt;_xlpm.actRS),"Training",IF(_xlpm.actRS&gt;0,"Active",IF(AND(_xlpm.decC&gt;0,_xlpm.inPlay+_xlpm.actC=0),"Dead",IF(AND($AJ79&lt;&gt;"",$AK79=FALSE),"Waiting on Dealer",IF(_xlpm.subC&gt;0,"Waiting on Lender",IF(AND(_xlpm.appC+_xlpm.actC&gt;0,_xlpm.nsC+_xlpm.wdC=0),"Rate Sheet","Application Submitted")))))))))</f>
        <v/>
      </c>
      <c r="M79" s="87"/>
      <c r="N79" s="87"/>
      <c r="O79" s="197"/>
      <c r="P79" s="87" t="str">
        <f>IF($A79="","",IF($AK79=TRUE,"Ready 2 Submit","Waiting on Dealer"))</f>
        <v/>
      </c>
      <c r="Q79" s="148"/>
      <c r="R79" s="87"/>
      <c r="S79" s="87"/>
      <c r="T79" s="87" t="str">
        <f>IF($A79="","",IF($AK79=TRUE,"Ready 2 Submit","Waiting on Dealer"))</f>
        <v/>
      </c>
      <c r="U79" s="148"/>
      <c r="V79" s="87"/>
      <c r="W79" s="87"/>
      <c r="X79" s="87" t="str">
        <f>IF($A79="","",IF($AK79=TRUE,"Ready 2 Submit","Waiting on Dealer"))</f>
        <v/>
      </c>
      <c r="Y79" s="148"/>
      <c r="Z79" s="87"/>
      <c r="AA79" s="87"/>
      <c r="AB79" s="87" t="str">
        <f>IF($A79="","",IF($AK79=TRUE,"Ready 2 Submit","Waiting on Dealer"))</f>
        <v/>
      </c>
      <c r="AC79" s="148"/>
      <c r="AD79" s="87"/>
      <c r="AE79" s="87"/>
      <c r="AF79" s="87" t="str">
        <f>IF($A79="","",IF($AK79=TRUE,"Ready 2 Submit","Waiting on Dealer"))</f>
        <v/>
      </c>
      <c r="AG79" s="148"/>
      <c r="AH79" s="87"/>
      <c r="AI79" s="87"/>
      <c r="AJ79" s="197"/>
      <c r="AK79" s="110" t="b">
        <v>0</v>
      </c>
      <c r="AL79" s="87" t="str" cm="1">
        <f t="array" ref="AL79">IF($A79="","",SUMPRODUCT((CHOOSE({1,2,3,4,5},$R79,$V79,$Z79,$AD79,$AH79)="Yes")*(((CHOOSE({1,2,3,4,5},$S79,$W79,$AA79,$AE79,$AI79)="Yes")+(CHOOSE({1,2,3,4,5},$S79,$W79,$AA79,$AE79,$AI79)=TRUE))&gt;0)))</f>
        <v/>
      </c>
      <c r="AM79" s="87"/>
      <c r="AN79" s="87" t="str">
        <f ca="1">IF(OR($A79="",$AM79=""),"",TODAY()-$AM79)</f>
        <v/>
      </c>
      <c r="AO79" s="87"/>
      <c r="AP79" s="106"/>
      <c r="AQ79" s="106"/>
      <c r="AR79" s="106"/>
      <c r="AS79" s="106"/>
      <c r="AT79" s="106"/>
      <c r="AU79" s="106"/>
      <c r="AV79" s="106"/>
      <c r="AW79" s="106"/>
      <c r="AX79" s="106"/>
      <c r="AY79" s="106"/>
    </row>
    <row r="80" spans="1:51" s="20" customFormat="1" ht="21" customHeight="1">
      <c r="A80" s="197"/>
      <c r="B80" s="87"/>
      <c r="C80" s="87"/>
      <c r="D80" s="196"/>
      <c r="E80" s="108"/>
      <c r="F80" s="196"/>
      <c r="G80" s="87"/>
      <c r="H80" s="197"/>
      <c r="I80" s="89"/>
      <c r="J80" s="204"/>
      <c r="K80" s="87"/>
      <c r="L80" s="87" t="str" cm="1">
        <f t="array" ref="L80">IF($A80="","",_xlfn.LET(_xlpm.stat,CHOOSE({1,2,3,4,5},$P80,$T80,$X80,$AB80,$AF80),_xlpm.rate,CHOOSE({1,2,3,4,5},$R80,$V80,$Z80,$AD80,$AH80),_xlpm.trn,CHOOSE({1,2,3,4,5},$S80,$W80,$AA80,$AE80,$AI80),_xlpm.nsC,SUMPRODUCT(--(_xlpm.stat="Ready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DLR",IF(AND(_xlpm.actRS&gt;0,_xlpm.actDone&lt;_xlpm.actRS),"Training",IF(_xlpm.actRS&gt;0,"Active",IF(AND(_xlpm.decC&gt;0,_xlpm.inPlay+_xlpm.actC=0),"Dead",IF(AND($AJ80&lt;&gt;"",$AK80=FALSE),"Waiting on Dealer",IF(_xlpm.subC&gt;0,"Waiting on Lender",IF(AND(_xlpm.appC+_xlpm.actC&gt;0,_xlpm.nsC+_xlpm.wdC=0),"Rate Sheet","Application Submitted")))))))))</f>
        <v/>
      </c>
      <c r="M80" s="87"/>
      <c r="N80" s="87"/>
      <c r="O80" s="197"/>
      <c r="P80" s="87" t="str">
        <f>IF($A80="","",IF($AK80=TRUE,"Ready 2 Submit","Waiting on Dealer"))</f>
        <v/>
      </c>
      <c r="Q80" s="148"/>
      <c r="R80" s="87"/>
      <c r="S80" s="87"/>
      <c r="T80" s="87" t="str">
        <f>IF($A80="","",IF($AK80=TRUE,"Ready 2 Submit","Waiting on Dealer"))</f>
        <v/>
      </c>
      <c r="U80" s="148"/>
      <c r="V80" s="87"/>
      <c r="W80" s="87"/>
      <c r="X80" s="87" t="str">
        <f>IF($A80="","",IF($AK80=TRUE,"Ready 2 Submit","Waiting on Dealer"))</f>
        <v/>
      </c>
      <c r="Y80" s="148"/>
      <c r="Z80" s="87"/>
      <c r="AA80" s="87"/>
      <c r="AB80" s="87" t="str">
        <f>IF($A80="","",IF($AK80=TRUE,"Ready 2 Submit","Waiting on Dealer"))</f>
        <v/>
      </c>
      <c r="AC80" s="148"/>
      <c r="AD80" s="87"/>
      <c r="AE80" s="87"/>
      <c r="AF80" s="87" t="str">
        <f>IF($A80="","",IF($AK80=TRUE,"Ready 2 Submit","Waiting on Dealer"))</f>
        <v/>
      </c>
      <c r="AG80" s="148"/>
      <c r="AH80" s="87"/>
      <c r="AI80" s="87"/>
      <c r="AJ80" s="197"/>
      <c r="AK80" s="110" t="b">
        <v>0</v>
      </c>
      <c r="AL80" s="87" t="str" cm="1">
        <f t="array" ref="AL80">IF($A80="","",SUMPRODUCT((CHOOSE({1,2,3,4,5},$R80,$V80,$Z80,$AD80,$AH80)="Yes")*(((CHOOSE({1,2,3,4,5},$S80,$W80,$AA80,$AE80,$AI80)="Yes")+(CHOOSE({1,2,3,4,5},$S80,$W80,$AA80,$AE80,$AI80)=TRUE))&gt;0)))</f>
        <v/>
      </c>
      <c r="AM80" s="87"/>
      <c r="AN80" s="87" t="str">
        <f ca="1">IF(OR($A80="",$AM80=""),"",TODAY()-$AM80)</f>
        <v/>
      </c>
      <c r="AO80" s="87"/>
      <c r="AP80" s="106"/>
      <c r="AQ80" s="106"/>
      <c r="AR80" s="106"/>
      <c r="AS80" s="106"/>
      <c r="AT80" s="106"/>
      <c r="AU80" s="106"/>
      <c r="AV80" s="106"/>
      <c r="AW80" s="106"/>
      <c r="AX80" s="106"/>
      <c r="AY80" s="106"/>
    </row>
    <row r="81" spans="1:51" s="20" customFormat="1" ht="21" customHeight="1">
      <c r="A81" s="197"/>
      <c r="B81" s="87"/>
      <c r="C81" s="87"/>
      <c r="D81" s="196"/>
      <c r="E81" s="108"/>
      <c r="F81" s="196"/>
      <c r="G81" s="87"/>
      <c r="H81" s="197"/>
      <c r="I81" s="89"/>
      <c r="J81" s="204"/>
      <c r="K81" s="87"/>
      <c r="L81" s="87" t="str" cm="1">
        <f t="array" ref="L81">IF($A81="","",_xlfn.LET(_xlpm.stat,CHOOSE({1,2,3,4,5},$P81,$T81,$X81,$AB81,$AF81),_xlpm.rate,CHOOSE({1,2,3,4,5},$R81,$V81,$Z81,$AD81,$AH81),_xlpm.trn,CHOOSE({1,2,3,4,5},$S81,$W81,$AA81,$AE81,$AI81),_xlpm.nsC,SUMPRODUCT(--(_xlpm.stat="Ready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DLR",IF(AND(_xlpm.actRS&gt;0,_xlpm.actDone&lt;_xlpm.actRS),"Training",IF(_xlpm.actRS&gt;0,"Active",IF(AND(_xlpm.decC&gt;0,_xlpm.inPlay+_xlpm.actC=0),"Dead",IF(AND($AJ81&lt;&gt;"",$AK81=FALSE),"Waiting on Dealer",IF(_xlpm.subC&gt;0,"Waiting on Lender",IF(AND(_xlpm.appC+_xlpm.actC&gt;0,_xlpm.nsC+_xlpm.wdC=0),"Rate Sheet","Application Submitted")))))))))</f>
        <v/>
      </c>
      <c r="M81" s="87"/>
      <c r="N81" s="87"/>
      <c r="O81" s="197"/>
      <c r="P81" s="87" t="str">
        <f>IF($A81="","",IF($AK81=TRUE,"Ready 2 Submit","Waiting on Dealer"))</f>
        <v/>
      </c>
      <c r="Q81" s="148"/>
      <c r="R81" s="87"/>
      <c r="S81" s="87"/>
      <c r="T81" s="87" t="str">
        <f>IF($A81="","",IF($AK81=TRUE,"Ready 2 Submit","Waiting on Dealer"))</f>
        <v/>
      </c>
      <c r="U81" s="148"/>
      <c r="V81" s="87"/>
      <c r="W81" s="87"/>
      <c r="X81" s="87" t="str">
        <f>IF($A81="","",IF($AK81=TRUE,"Ready 2 Submit","Waiting on Dealer"))</f>
        <v/>
      </c>
      <c r="Y81" s="148"/>
      <c r="Z81" s="87"/>
      <c r="AA81" s="87"/>
      <c r="AB81" s="87" t="str">
        <f>IF($A81="","",IF($AK81=TRUE,"Ready 2 Submit","Waiting on Dealer"))</f>
        <v/>
      </c>
      <c r="AC81" s="148"/>
      <c r="AD81" s="87"/>
      <c r="AE81" s="87"/>
      <c r="AF81" s="87" t="str">
        <f>IF($A81="","",IF($AK81=TRUE,"Ready 2 Submit","Waiting on Dealer"))</f>
        <v/>
      </c>
      <c r="AG81" s="148"/>
      <c r="AH81" s="87"/>
      <c r="AI81" s="87"/>
      <c r="AJ81" s="197"/>
      <c r="AK81" s="110" t="b">
        <v>0</v>
      </c>
      <c r="AL81" s="87" t="str" cm="1">
        <f t="array" ref="AL81">IF($A81="","",SUMPRODUCT((CHOOSE({1,2,3,4,5},$R81,$V81,$Z81,$AD81,$AH81)="Yes")*(((CHOOSE({1,2,3,4,5},$S81,$W81,$AA81,$AE81,$AI81)="Yes")+(CHOOSE({1,2,3,4,5},$S81,$W81,$AA81,$AE81,$AI81)=TRUE))&gt;0)))</f>
        <v/>
      </c>
      <c r="AM81" s="87"/>
      <c r="AN81" s="87" t="str">
        <f ca="1">IF(OR($A81="",$AM81=""),"",TODAY()-$AM81)</f>
        <v/>
      </c>
      <c r="AO81" s="87"/>
      <c r="AP81" s="106"/>
      <c r="AQ81" s="106"/>
      <c r="AR81" s="106"/>
      <c r="AS81" s="106"/>
      <c r="AT81" s="106"/>
      <c r="AU81" s="106"/>
      <c r="AV81" s="106"/>
      <c r="AW81" s="106"/>
      <c r="AX81" s="106"/>
      <c r="AY81" s="106"/>
    </row>
    <row r="82" spans="1:51" s="20" customFormat="1" ht="21" customHeight="1">
      <c r="A82" s="197"/>
      <c r="B82" s="87"/>
      <c r="C82" s="87"/>
      <c r="D82" s="196"/>
      <c r="E82" s="108"/>
      <c r="F82" s="196"/>
      <c r="G82" s="87"/>
      <c r="H82" s="197"/>
      <c r="I82" s="89"/>
      <c r="J82" s="204"/>
      <c r="K82" s="87"/>
      <c r="L82" s="87" t="str" cm="1">
        <f t="array" ref="L82">IF($A82="","",_xlfn.LET(_xlpm.stat,CHOOSE({1,2,3,4,5},$P82,$T82,$X82,$AB82,$AF82),_xlpm.rate,CHOOSE({1,2,3,4,5},$R82,$V82,$Z82,$AD82,$AH82),_xlpm.trn,CHOOSE({1,2,3,4,5},$S82,$W82,$AA82,$AE82,$AI82),_xlpm.nsC,SUMPRODUCT(--(_xlpm.stat="Ready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DLR",IF(AND(_xlpm.actRS&gt;0,_xlpm.actDone&lt;_xlpm.actRS),"Training",IF(_xlpm.actRS&gt;0,"Active",IF(AND(_xlpm.decC&gt;0,_xlpm.inPlay+_xlpm.actC=0),"Dead",IF(AND($AJ82&lt;&gt;"",$AK82=FALSE),"Waiting on Dealer",IF(_xlpm.subC&gt;0,"Waiting on Lender",IF(AND(_xlpm.appC+_xlpm.actC&gt;0,_xlpm.nsC+_xlpm.wdC=0),"Rate Sheet","Application Submitted")))))))))</f>
        <v/>
      </c>
      <c r="M82" s="87"/>
      <c r="N82" s="87"/>
      <c r="O82" s="197"/>
      <c r="P82" s="87" t="str">
        <f>IF($A82="","",IF($AK82=TRUE,"Ready 2 Submit","Waiting on Dealer"))</f>
        <v/>
      </c>
      <c r="Q82" s="148"/>
      <c r="R82" s="87"/>
      <c r="S82" s="87"/>
      <c r="T82" s="87" t="str">
        <f>IF($A82="","",IF($AK82=TRUE,"Ready 2 Submit","Waiting on Dealer"))</f>
        <v/>
      </c>
      <c r="U82" s="148"/>
      <c r="V82" s="87"/>
      <c r="W82" s="87"/>
      <c r="X82" s="87" t="str">
        <f>IF($A82="","",IF($AK82=TRUE,"Ready 2 Submit","Waiting on Dealer"))</f>
        <v/>
      </c>
      <c r="Y82" s="148"/>
      <c r="Z82" s="87"/>
      <c r="AA82" s="87"/>
      <c r="AB82" s="87" t="str">
        <f>IF($A82="","",IF($AK82=TRUE,"Ready 2 Submit","Waiting on Dealer"))</f>
        <v/>
      </c>
      <c r="AC82" s="148"/>
      <c r="AD82" s="87"/>
      <c r="AE82" s="87"/>
      <c r="AF82" s="87" t="str">
        <f>IF($A82="","",IF($AK82=TRUE,"Ready 2 Submit","Waiting on Dealer"))</f>
        <v/>
      </c>
      <c r="AG82" s="148"/>
      <c r="AH82" s="87"/>
      <c r="AI82" s="87"/>
      <c r="AJ82" s="197"/>
      <c r="AK82" s="110" t="b">
        <v>0</v>
      </c>
      <c r="AL82" s="87" t="str" cm="1">
        <f t="array" ref="AL82">IF($A82="","",SUMPRODUCT((CHOOSE({1,2,3,4,5},$R82,$V82,$Z82,$AD82,$AH82)="Yes")*(((CHOOSE({1,2,3,4,5},$S82,$W82,$AA82,$AE82,$AI82)="Yes")+(CHOOSE({1,2,3,4,5},$S82,$W82,$AA82,$AE82,$AI82)=TRUE))&gt;0)))</f>
        <v/>
      </c>
      <c r="AM82" s="87"/>
      <c r="AN82" s="87" t="str">
        <f ca="1">IF(OR($A82="",$AM82=""),"",TODAY()-$AM82)</f>
        <v/>
      </c>
      <c r="AO82" s="87"/>
      <c r="AP82" s="106"/>
      <c r="AQ82" s="106"/>
      <c r="AR82" s="106"/>
      <c r="AS82" s="106"/>
      <c r="AT82" s="106"/>
      <c r="AU82" s="106"/>
      <c r="AV82" s="106"/>
      <c r="AW82" s="106"/>
      <c r="AX82" s="106"/>
      <c r="AY82" s="106"/>
    </row>
    <row r="83" spans="1:51" s="20" customFormat="1" ht="21" customHeight="1">
      <c r="A83" s="197"/>
      <c r="B83" s="87"/>
      <c r="C83" s="87"/>
      <c r="D83" s="196"/>
      <c r="E83" s="108"/>
      <c r="F83" s="196"/>
      <c r="G83" s="87"/>
      <c r="H83" s="197"/>
      <c r="I83" s="89"/>
      <c r="J83" s="204"/>
      <c r="K83" s="87"/>
      <c r="L83" s="87" t="str" cm="1">
        <f t="array" ref="L83">IF($A83="","",_xlfn.LET(_xlpm.stat,CHOOSE({1,2,3,4,5},$P83,$T83,$X83,$AB83,$AF83),_xlpm.rate,CHOOSE({1,2,3,4,5},$R83,$V83,$Z83,$AD83,$AH83),_xlpm.trn,CHOOSE({1,2,3,4,5},$S83,$W83,$AA83,$AE83,$AI83),_xlpm.nsC,SUMPRODUCT(--(_xlpm.stat="Ready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DLR",IF(AND(_xlpm.actRS&gt;0,_xlpm.actDone&lt;_xlpm.actRS),"Training",IF(_xlpm.actRS&gt;0,"Active",IF(AND(_xlpm.decC&gt;0,_xlpm.inPlay+_xlpm.actC=0),"Dead",IF(AND($AJ83&lt;&gt;"",$AK83=FALSE),"Waiting on Dealer",IF(_xlpm.subC&gt;0,"Waiting on Lender",IF(AND(_xlpm.appC+_xlpm.actC&gt;0,_xlpm.nsC+_xlpm.wdC=0),"Rate Sheet","Application Submitted")))))))))</f>
        <v/>
      </c>
      <c r="M83" s="87"/>
      <c r="N83" s="87"/>
      <c r="O83" s="197"/>
      <c r="P83" s="87" t="str">
        <f>IF($A83="","",IF($AK83=TRUE,"Ready 2 Submit","Waiting on Dealer"))</f>
        <v/>
      </c>
      <c r="Q83" s="148"/>
      <c r="R83" s="87"/>
      <c r="S83" s="87"/>
      <c r="T83" s="87" t="str">
        <f>IF($A83="","",IF($AK83=TRUE,"Ready 2 Submit","Waiting on Dealer"))</f>
        <v/>
      </c>
      <c r="U83" s="148"/>
      <c r="V83" s="87"/>
      <c r="W83" s="87"/>
      <c r="X83" s="87" t="str">
        <f>IF($A83="","",IF($AK83=TRUE,"Ready 2 Submit","Waiting on Dealer"))</f>
        <v/>
      </c>
      <c r="Y83" s="148"/>
      <c r="Z83" s="87"/>
      <c r="AA83" s="87"/>
      <c r="AB83" s="87" t="str">
        <f>IF($A83="","",IF($AK83=TRUE,"Ready 2 Submit","Waiting on Dealer"))</f>
        <v/>
      </c>
      <c r="AC83" s="148"/>
      <c r="AD83" s="87"/>
      <c r="AE83" s="87"/>
      <c r="AF83" s="87" t="str">
        <f>IF($A83="","",IF($AK83=TRUE,"Ready 2 Submit","Waiting on Dealer"))</f>
        <v/>
      </c>
      <c r="AG83" s="148"/>
      <c r="AH83" s="87"/>
      <c r="AI83" s="87"/>
      <c r="AJ83" s="197"/>
      <c r="AK83" s="110" t="b">
        <v>0</v>
      </c>
      <c r="AL83" s="87" t="str" cm="1">
        <f t="array" ref="AL83">IF($A83="","",SUMPRODUCT((CHOOSE({1,2,3,4,5},$R83,$V83,$Z83,$AD83,$AH83)="Yes")*(((CHOOSE({1,2,3,4,5},$S83,$W83,$AA83,$AE83,$AI83)="Yes")+(CHOOSE({1,2,3,4,5},$S83,$W83,$AA83,$AE83,$AI83)=TRUE))&gt;0)))</f>
        <v/>
      </c>
      <c r="AM83" s="87"/>
      <c r="AN83" s="87" t="str">
        <f ca="1">IF(OR($A83="",$AM83=""),"",TODAY()-$AM83)</f>
        <v/>
      </c>
      <c r="AO83" s="87"/>
      <c r="AP83" s="106"/>
      <c r="AQ83" s="106"/>
      <c r="AR83" s="106"/>
      <c r="AS83" s="106"/>
      <c r="AT83" s="106"/>
      <c r="AU83" s="106"/>
      <c r="AV83" s="106"/>
      <c r="AW83" s="106"/>
      <c r="AX83" s="106"/>
      <c r="AY83" s="106"/>
    </row>
    <row r="84" spans="1:51" s="20" customFormat="1" ht="21" customHeight="1">
      <c r="A84" s="197"/>
      <c r="B84" s="87"/>
      <c r="C84" s="87"/>
      <c r="D84" s="196"/>
      <c r="E84" s="108"/>
      <c r="F84" s="196"/>
      <c r="G84" s="87"/>
      <c r="H84" s="197"/>
      <c r="I84" s="89"/>
      <c r="J84" s="204"/>
      <c r="K84" s="87"/>
      <c r="L84" s="87" t="str" cm="1">
        <f t="array" ref="L84">IF($A84="","",_xlfn.LET(_xlpm.stat,CHOOSE({1,2,3,4,5},$P84,$T84,$X84,$AB84,$AF84),_xlpm.rate,CHOOSE({1,2,3,4,5},$R84,$V84,$Z84,$AD84,$AH84),_xlpm.trn,CHOOSE({1,2,3,4,5},$S84,$W84,$AA84,$AE84,$AI84),_xlpm.nsC,SUMPRODUCT(--(_xlpm.stat="Ready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DLR",IF(AND(_xlpm.actRS&gt;0,_xlpm.actDone&lt;_xlpm.actRS),"Training",IF(_xlpm.actRS&gt;0,"Active",IF(AND(_xlpm.decC&gt;0,_xlpm.inPlay+_xlpm.actC=0),"Dead",IF(AND($AJ84&lt;&gt;"",$AK84=FALSE),"Waiting on Dealer",IF(_xlpm.subC&gt;0,"Waiting on Lender",IF(AND(_xlpm.appC+_xlpm.actC&gt;0,_xlpm.nsC+_xlpm.wdC=0),"Rate Sheet","Application Submitted")))))))))</f>
        <v/>
      </c>
      <c r="M84" s="87"/>
      <c r="N84" s="87"/>
      <c r="O84" s="197"/>
      <c r="P84" s="87" t="str">
        <f>IF($A84="","",IF($AK84=TRUE,"Ready 2 Submit","Waiting on Dealer"))</f>
        <v/>
      </c>
      <c r="Q84" s="148"/>
      <c r="R84" s="87"/>
      <c r="S84" s="87"/>
      <c r="T84" s="87" t="str">
        <f>IF($A84="","",IF($AK84=TRUE,"Ready 2 Submit","Waiting on Dealer"))</f>
        <v/>
      </c>
      <c r="U84" s="148"/>
      <c r="V84" s="87"/>
      <c r="W84" s="87"/>
      <c r="X84" s="87" t="str">
        <f>IF($A84="","",IF($AK84=TRUE,"Ready 2 Submit","Waiting on Dealer"))</f>
        <v/>
      </c>
      <c r="Y84" s="148"/>
      <c r="Z84" s="87"/>
      <c r="AA84" s="87"/>
      <c r="AB84" s="87" t="str">
        <f>IF($A84="","",IF($AK84=TRUE,"Ready 2 Submit","Waiting on Dealer"))</f>
        <v/>
      </c>
      <c r="AC84" s="148"/>
      <c r="AD84" s="87"/>
      <c r="AE84" s="87"/>
      <c r="AF84" s="87" t="str">
        <f>IF($A84="","",IF($AK84=TRUE,"Ready 2 Submit","Waiting on Dealer"))</f>
        <v/>
      </c>
      <c r="AG84" s="148"/>
      <c r="AH84" s="87"/>
      <c r="AI84" s="87"/>
      <c r="AJ84" s="197"/>
      <c r="AK84" s="110" t="b">
        <v>0</v>
      </c>
      <c r="AL84" s="87" t="str" cm="1">
        <f t="array" ref="AL84">IF($A84="","",SUMPRODUCT((CHOOSE({1,2,3,4,5},$R84,$V84,$Z84,$AD84,$AH84)="Yes")*(((CHOOSE({1,2,3,4,5},$S84,$W84,$AA84,$AE84,$AI84)="Yes")+(CHOOSE({1,2,3,4,5},$S84,$W84,$AA84,$AE84,$AI84)=TRUE))&gt;0)))</f>
        <v/>
      </c>
      <c r="AM84" s="87"/>
      <c r="AN84" s="87" t="str">
        <f ca="1">IF(OR($A84="",$AM84=""),"",TODAY()-$AM84)</f>
        <v/>
      </c>
      <c r="AO84" s="87"/>
      <c r="AP84" s="106"/>
      <c r="AQ84" s="106"/>
      <c r="AR84" s="106"/>
      <c r="AS84" s="106"/>
      <c r="AT84" s="106"/>
      <c r="AU84" s="106"/>
      <c r="AV84" s="106"/>
      <c r="AW84" s="106"/>
      <c r="AX84" s="106"/>
      <c r="AY84" s="106"/>
    </row>
    <row r="85" spans="1:51" s="20" customFormat="1" ht="21" customHeight="1">
      <c r="A85" s="197"/>
      <c r="B85" s="87"/>
      <c r="C85" s="87"/>
      <c r="D85" s="196"/>
      <c r="E85" s="108"/>
      <c r="F85" s="196"/>
      <c r="G85" s="87"/>
      <c r="H85" s="197"/>
      <c r="I85" s="89"/>
      <c r="J85" s="204"/>
      <c r="K85" s="87"/>
      <c r="L85" s="87" t="str" cm="1">
        <f t="array" ref="L85">IF($A85="","",_xlfn.LET(_xlpm.stat,CHOOSE({1,2,3,4,5},$P85,$T85,$X85,$AB85,$AF85),_xlpm.rate,CHOOSE({1,2,3,4,5},$R85,$V85,$Z85,$AD85,$AH85),_xlpm.trn,CHOOSE({1,2,3,4,5},$S85,$W85,$AA85,$AE85,$AI85),_xlpm.nsC,SUMPRODUCT(--(_xlpm.stat="Ready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DLR",IF(AND(_xlpm.actRS&gt;0,_xlpm.actDone&lt;_xlpm.actRS),"Training",IF(_xlpm.actRS&gt;0,"Active",IF(AND(_xlpm.decC&gt;0,_xlpm.inPlay+_xlpm.actC=0),"Dead",IF(AND($AJ85&lt;&gt;"",$AK85=FALSE),"Waiting on Dealer",IF(_xlpm.subC&gt;0,"Waiting on Lender",IF(AND(_xlpm.appC+_xlpm.actC&gt;0,_xlpm.nsC+_xlpm.wdC=0),"Rate Sheet","Application Submitted")))))))))</f>
        <v/>
      </c>
      <c r="M85" s="87"/>
      <c r="N85" s="87"/>
      <c r="O85" s="197"/>
      <c r="P85" s="87" t="str">
        <f>IF($A85="","",IF($AK85=TRUE,"Ready 2 Submit","Waiting on Dealer"))</f>
        <v/>
      </c>
      <c r="Q85" s="148"/>
      <c r="R85" s="87"/>
      <c r="S85" s="87"/>
      <c r="T85" s="87" t="str">
        <f>IF($A85="","",IF($AK85=TRUE,"Ready 2 Submit","Waiting on Dealer"))</f>
        <v/>
      </c>
      <c r="U85" s="148"/>
      <c r="V85" s="87"/>
      <c r="W85" s="87"/>
      <c r="X85" s="87" t="str">
        <f>IF($A85="","",IF($AK85=TRUE,"Ready 2 Submit","Waiting on Dealer"))</f>
        <v/>
      </c>
      <c r="Y85" s="148"/>
      <c r="Z85" s="87"/>
      <c r="AA85" s="87"/>
      <c r="AB85" s="87" t="str">
        <f>IF($A85="","",IF($AK85=TRUE,"Ready 2 Submit","Waiting on Dealer"))</f>
        <v/>
      </c>
      <c r="AC85" s="148"/>
      <c r="AD85" s="87"/>
      <c r="AE85" s="87"/>
      <c r="AF85" s="87" t="str">
        <f>IF($A85="","",IF($AK85=TRUE,"Ready 2 Submit","Waiting on Dealer"))</f>
        <v/>
      </c>
      <c r="AG85" s="148"/>
      <c r="AH85" s="87"/>
      <c r="AI85" s="87"/>
      <c r="AJ85" s="197"/>
      <c r="AK85" s="110" t="b">
        <v>0</v>
      </c>
      <c r="AL85" s="87" t="str" cm="1">
        <f t="array" ref="AL85">IF($A85="","",SUMPRODUCT((CHOOSE({1,2,3,4,5},$R85,$V85,$Z85,$AD85,$AH85)="Yes")*(((CHOOSE({1,2,3,4,5},$S85,$W85,$AA85,$AE85,$AI85)="Yes")+(CHOOSE({1,2,3,4,5},$S85,$W85,$AA85,$AE85,$AI85)=TRUE))&gt;0)))</f>
        <v/>
      </c>
      <c r="AM85" s="87"/>
      <c r="AN85" s="87" t="str">
        <f ca="1">IF(OR($A85="",$AM85=""),"",TODAY()-$AM85)</f>
        <v/>
      </c>
      <c r="AO85" s="87"/>
      <c r="AP85" s="106"/>
      <c r="AQ85" s="106"/>
      <c r="AR85" s="106"/>
      <c r="AS85" s="106"/>
      <c r="AT85" s="106"/>
      <c r="AU85" s="106"/>
      <c r="AV85" s="106"/>
      <c r="AW85" s="106"/>
      <c r="AX85" s="106"/>
      <c r="AY85" s="106"/>
    </row>
    <row r="86" spans="1:51" s="20" customFormat="1" ht="21" customHeight="1">
      <c r="A86" s="197"/>
      <c r="B86" s="87"/>
      <c r="C86" s="87"/>
      <c r="D86" s="196"/>
      <c r="E86" s="108"/>
      <c r="F86" s="196"/>
      <c r="G86" s="87"/>
      <c r="H86" s="197"/>
      <c r="I86" s="89"/>
      <c r="J86" s="204"/>
      <c r="K86" s="87"/>
      <c r="L86" s="87" t="str" cm="1">
        <f t="array" ref="L86">IF($A86="","",_xlfn.LET(_xlpm.stat,CHOOSE({1,2,3,4,5},$P86,$T86,$X86,$AB86,$AF86),_xlpm.rate,CHOOSE({1,2,3,4,5},$R86,$V86,$Z86,$AD86,$AH86),_xlpm.trn,CHOOSE({1,2,3,4,5},$S86,$W86,$AA86,$AE86,$AI86),_xlpm.nsC,SUMPRODUCT(--(_xlpm.stat="Ready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DLR",IF(AND(_xlpm.actRS&gt;0,_xlpm.actDone&lt;_xlpm.actRS),"Training",IF(_xlpm.actRS&gt;0,"Active",IF(AND(_xlpm.decC&gt;0,_xlpm.inPlay+_xlpm.actC=0),"Dead",IF(AND($AJ86&lt;&gt;"",$AK86=FALSE),"Waiting on Dealer",IF(_xlpm.subC&gt;0,"Waiting on Lender",IF(AND(_xlpm.appC+_xlpm.actC&gt;0,_xlpm.nsC+_xlpm.wdC=0),"Rate Sheet","Application Submitted")))))))))</f>
        <v/>
      </c>
      <c r="M86" s="87"/>
      <c r="N86" s="87"/>
      <c r="O86" s="197"/>
      <c r="P86" s="87" t="str">
        <f>IF($A86="","",IF($AK86=TRUE,"Ready 2 Submit","Waiting on Dealer"))</f>
        <v/>
      </c>
      <c r="Q86" s="148"/>
      <c r="R86" s="87"/>
      <c r="S86" s="87"/>
      <c r="T86" s="87" t="str">
        <f>IF($A86="","",IF($AK86=TRUE,"Ready 2 Submit","Waiting on Dealer"))</f>
        <v/>
      </c>
      <c r="U86" s="148"/>
      <c r="V86" s="87"/>
      <c r="W86" s="87"/>
      <c r="X86" s="87" t="str">
        <f>IF($A86="","",IF($AK86=TRUE,"Ready 2 Submit","Waiting on Dealer"))</f>
        <v/>
      </c>
      <c r="Y86" s="148"/>
      <c r="Z86" s="87"/>
      <c r="AA86" s="87"/>
      <c r="AB86" s="87" t="str">
        <f>IF($A86="","",IF($AK86=TRUE,"Ready 2 Submit","Waiting on Dealer"))</f>
        <v/>
      </c>
      <c r="AC86" s="148"/>
      <c r="AD86" s="87"/>
      <c r="AE86" s="87"/>
      <c r="AF86" s="87" t="str">
        <f>IF($A86="","",IF($AK86=TRUE,"Ready 2 Submit","Waiting on Dealer"))</f>
        <v/>
      </c>
      <c r="AG86" s="148"/>
      <c r="AH86" s="87"/>
      <c r="AI86" s="87"/>
      <c r="AJ86" s="197"/>
      <c r="AK86" s="110" t="b">
        <v>0</v>
      </c>
      <c r="AL86" s="87" t="str" cm="1">
        <f t="array" ref="AL86">IF($A86="","",SUMPRODUCT((CHOOSE({1,2,3,4,5},$R86,$V86,$Z86,$AD86,$AH86)="Yes")*(((CHOOSE({1,2,3,4,5},$S86,$W86,$AA86,$AE86,$AI86)="Yes")+(CHOOSE({1,2,3,4,5},$S86,$W86,$AA86,$AE86,$AI86)=TRUE))&gt;0)))</f>
        <v/>
      </c>
      <c r="AM86" s="87"/>
      <c r="AN86" s="87" t="str">
        <f ca="1">IF(OR($A86="",$AM86=""),"",TODAY()-$AM86)</f>
        <v/>
      </c>
      <c r="AO86" s="87"/>
      <c r="AP86" s="106"/>
      <c r="AQ86" s="106"/>
      <c r="AR86" s="106"/>
      <c r="AS86" s="106"/>
      <c r="AT86" s="106"/>
      <c r="AU86" s="106"/>
      <c r="AV86" s="106"/>
      <c r="AW86" s="106"/>
      <c r="AX86" s="106"/>
      <c r="AY86" s="106"/>
    </row>
    <row r="87" spans="1:51" s="20" customFormat="1" ht="21" customHeight="1">
      <c r="A87" s="197"/>
      <c r="B87" s="87"/>
      <c r="C87" s="87"/>
      <c r="D87" s="196"/>
      <c r="E87" s="108"/>
      <c r="F87" s="196"/>
      <c r="G87" s="87"/>
      <c r="H87" s="197"/>
      <c r="I87" s="89"/>
      <c r="J87" s="204"/>
      <c r="K87" s="87"/>
      <c r="L87" s="87" t="str" cm="1">
        <f t="array" ref="L87">IF($A87="","",_xlfn.LET(_xlpm.stat,CHOOSE({1,2,3,4,5},$P87,$T87,$X87,$AB87,$AF87),_xlpm.rate,CHOOSE({1,2,3,4,5},$R87,$V87,$Z87,$AD87,$AH87),_xlpm.trn,CHOOSE({1,2,3,4,5},$S87,$W87,$AA87,$AE87,$AI87),_xlpm.nsC,SUMPRODUCT(--(_xlpm.stat="Ready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DLR",IF(AND(_xlpm.actRS&gt;0,_xlpm.actDone&lt;_xlpm.actRS),"Training",IF(_xlpm.actRS&gt;0,"Active",IF(AND(_xlpm.decC&gt;0,_xlpm.inPlay+_xlpm.actC=0),"Dead",IF(AND($AJ87&lt;&gt;"",$AK87=FALSE),"Waiting on Dealer",IF(_xlpm.subC&gt;0,"Waiting on Lender",IF(AND(_xlpm.appC+_xlpm.actC&gt;0,_xlpm.nsC+_xlpm.wdC=0),"Rate Sheet","Application Submitted")))))))))</f>
        <v/>
      </c>
      <c r="M87" s="87"/>
      <c r="N87" s="87"/>
      <c r="O87" s="197"/>
      <c r="P87" s="87" t="str">
        <f>IF($A87="","",IF($AK87=TRUE,"Ready 2 Submit","Waiting on Dealer"))</f>
        <v/>
      </c>
      <c r="Q87" s="148"/>
      <c r="R87" s="87"/>
      <c r="S87" s="87"/>
      <c r="T87" s="87" t="str">
        <f>IF($A87="","",IF($AK87=TRUE,"Ready 2 Submit","Waiting on Dealer"))</f>
        <v/>
      </c>
      <c r="U87" s="148"/>
      <c r="V87" s="87"/>
      <c r="W87" s="87"/>
      <c r="X87" s="87" t="str">
        <f>IF($A87="","",IF($AK87=TRUE,"Ready 2 Submit","Waiting on Dealer"))</f>
        <v/>
      </c>
      <c r="Y87" s="148"/>
      <c r="Z87" s="87"/>
      <c r="AA87" s="87"/>
      <c r="AB87" s="87" t="str">
        <f>IF($A87="","",IF($AK87=TRUE,"Ready 2 Submit","Waiting on Dealer"))</f>
        <v/>
      </c>
      <c r="AC87" s="148"/>
      <c r="AD87" s="87"/>
      <c r="AE87" s="87"/>
      <c r="AF87" s="87" t="str">
        <f>IF($A87="","",IF($AK87=TRUE,"Ready 2 Submit","Waiting on Dealer"))</f>
        <v/>
      </c>
      <c r="AG87" s="148"/>
      <c r="AH87" s="87"/>
      <c r="AI87" s="87"/>
      <c r="AJ87" s="197"/>
      <c r="AK87" s="110" t="b">
        <v>0</v>
      </c>
      <c r="AL87" s="87" t="str" cm="1">
        <f t="array" ref="AL87">IF($A87="","",SUMPRODUCT((CHOOSE({1,2,3,4,5},$R87,$V87,$Z87,$AD87,$AH87)="Yes")*(((CHOOSE({1,2,3,4,5},$S87,$W87,$AA87,$AE87,$AI87)="Yes")+(CHOOSE({1,2,3,4,5},$S87,$W87,$AA87,$AE87,$AI87)=TRUE))&gt;0)))</f>
        <v/>
      </c>
      <c r="AM87" s="87"/>
      <c r="AN87" s="87" t="str">
        <f ca="1">IF(OR($A87="",$AM87=""),"",TODAY()-$AM87)</f>
        <v/>
      </c>
      <c r="AO87" s="87"/>
      <c r="AP87" s="106"/>
      <c r="AQ87" s="106"/>
      <c r="AR87" s="106"/>
      <c r="AS87" s="106"/>
      <c r="AT87" s="106"/>
      <c r="AU87" s="106"/>
      <c r="AV87" s="106"/>
      <c r="AW87" s="106"/>
      <c r="AX87" s="106"/>
      <c r="AY87" s="106"/>
    </row>
    <row r="88" spans="1:51" s="20" customFormat="1" ht="21" customHeight="1">
      <c r="A88" s="197"/>
      <c r="B88" s="87"/>
      <c r="C88" s="87"/>
      <c r="D88" s="196"/>
      <c r="E88" s="108"/>
      <c r="F88" s="196"/>
      <c r="G88" s="87"/>
      <c r="H88" s="197"/>
      <c r="I88" s="89"/>
      <c r="J88" s="204"/>
      <c r="K88" s="87"/>
      <c r="L88" s="87" t="str" cm="1">
        <f t="array" ref="L88">IF($A88="","",_xlfn.LET(_xlpm.stat,CHOOSE({1,2,3,4,5},$P88,$T88,$X88,$AB88,$AF88),_xlpm.rate,CHOOSE({1,2,3,4,5},$R88,$V88,$Z88,$AD88,$AH88),_xlpm.trn,CHOOSE({1,2,3,4,5},$S88,$W88,$AA88,$AE88,$AI88),_xlpm.nsC,SUMPRODUCT(--(_xlpm.stat="Ready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DLR",IF(AND(_xlpm.actRS&gt;0,_xlpm.actDone&lt;_xlpm.actRS),"Training",IF(_xlpm.actRS&gt;0,"Active",IF(AND(_xlpm.decC&gt;0,_xlpm.inPlay+_xlpm.actC=0),"Dead",IF(AND($AJ88&lt;&gt;"",$AK88=FALSE),"Waiting on Dealer",IF(_xlpm.subC&gt;0,"Waiting on Lender",IF(AND(_xlpm.appC+_xlpm.actC&gt;0,_xlpm.nsC+_xlpm.wdC=0),"Rate Sheet","Application Submitted")))))))))</f>
        <v/>
      </c>
      <c r="M88" s="87"/>
      <c r="N88" s="87"/>
      <c r="O88" s="197"/>
      <c r="P88" s="87" t="str">
        <f>IF($A88="","",IF($AK88=TRUE,"Ready 2 Submit","Waiting on Dealer"))</f>
        <v/>
      </c>
      <c r="Q88" s="148"/>
      <c r="R88" s="87"/>
      <c r="S88" s="87"/>
      <c r="T88" s="87" t="str">
        <f>IF($A88="","",IF($AK88=TRUE,"Ready 2 Submit","Waiting on Dealer"))</f>
        <v/>
      </c>
      <c r="U88" s="148"/>
      <c r="V88" s="87"/>
      <c r="W88" s="87"/>
      <c r="X88" s="87" t="str">
        <f>IF($A88="","",IF($AK88=TRUE,"Ready 2 Submit","Waiting on Dealer"))</f>
        <v/>
      </c>
      <c r="Y88" s="148"/>
      <c r="Z88" s="87"/>
      <c r="AA88" s="87"/>
      <c r="AB88" s="87" t="str">
        <f>IF($A88="","",IF($AK88=TRUE,"Ready 2 Submit","Waiting on Dealer"))</f>
        <v/>
      </c>
      <c r="AC88" s="148"/>
      <c r="AD88" s="87"/>
      <c r="AE88" s="87"/>
      <c r="AF88" s="87" t="str">
        <f>IF($A88="","",IF($AK88=TRUE,"Ready 2 Submit","Waiting on Dealer"))</f>
        <v/>
      </c>
      <c r="AG88" s="148"/>
      <c r="AH88" s="87"/>
      <c r="AI88" s="87"/>
      <c r="AJ88" s="197"/>
      <c r="AK88" s="110" t="b">
        <v>0</v>
      </c>
      <c r="AL88" s="87" t="str" cm="1">
        <f t="array" ref="AL88">IF($A88="","",SUMPRODUCT((CHOOSE({1,2,3,4,5},$R88,$V88,$Z88,$AD88,$AH88)="Yes")*(((CHOOSE({1,2,3,4,5},$S88,$W88,$AA88,$AE88,$AI88)="Yes")+(CHOOSE({1,2,3,4,5},$S88,$W88,$AA88,$AE88,$AI88)=TRUE))&gt;0)))</f>
        <v/>
      </c>
      <c r="AM88" s="87"/>
      <c r="AN88" s="87" t="str">
        <f ca="1">IF(OR($A88="",$AM88=""),"",TODAY()-$AM88)</f>
        <v/>
      </c>
      <c r="AO88" s="87"/>
      <c r="AP88" s="106"/>
      <c r="AQ88" s="106"/>
      <c r="AR88" s="106"/>
      <c r="AS88" s="106"/>
      <c r="AT88" s="106"/>
      <c r="AU88" s="106"/>
      <c r="AV88" s="106"/>
      <c r="AW88" s="106"/>
      <c r="AX88" s="106"/>
      <c r="AY88" s="106"/>
    </row>
    <row r="89" spans="1:51" s="20" customFormat="1" ht="21" customHeight="1">
      <c r="A89" s="197"/>
      <c r="B89" s="87"/>
      <c r="C89" s="87"/>
      <c r="D89" s="196"/>
      <c r="E89" s="108"/>
      <c r="F89" s="196"/>
      <c r="G89" s="87"/>
      <c r="H89" s="197"/>
      <c r="I89" s="89"/>
      <c r="J89" s="204"/>
      <c r="K89" s="87"/>
      <c r="L89" s="87" t="str" cm="1">
        <f t="array" ref="L89">IF($A89="","",_xlfn.LET(_xlpm.stat,CHOOSE({1,2,3,4,5},$P89,$T89,$X89,$AB89,$AF89),_xlpm.rate,CHOOSE({1,2,3,4,5},$R89,$V89,$Z89,$AD89,$AH89),_xlpm.trn,CHOOSE({1,2,3,4,5},$S89,$W89,$AA89,$AE89,$AI89),_xlpm.nsC,SUMPRODUCT(--(_xlpm.stat="Ready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DLR",IF(AND(_xlpm.actRS&gt;0,_xlpm.actDone&lt;_xlpm.actRS),"Training",IF(_xlpm.actRS&gt;0,"Active",IF(AND(_xlpm.decC&gt;0,_xlpm.inPlay+_xlpm.actC=0),"Dead",IF(AND($AJ89&lt;&gt;"",$AK89=FALSE),"Waiting on Dealer",IF(_xlpm.subC&gt;0,"Waiting on Lender",IF(AND(_xlpm.appC+_xlpm.actC&gt;0,_xlpm.nsC+_xlpm.wdC=0),"Rate Sheet","Application Submitted")))))))))</f>
        <v/>
      </c>
      <c r="M89" s="87"/>
      <c r="N89" s="87"/>
      <c r="O89" s="197"/>
      <c r="P89" s="87" t="str">
        <f>IF($A89="","",IF($AK89=TRUE,"Ready 2 Submit","Waiting on Dealer"))</f>
        <v/>
      </c>
      <c r="Q89" s="148"/>
      <c r="R89" s="87"/>
      <c r="S89" s="87"/>
      <c r="T89" s="87" t="str">
        <f>IF($A89="","",IF($AK89=TRUE,"Ready 2 Submit","Waiting on Dealer"))</f>
        <v/>
      </c>
      <c r="U89" s="148"/>
      <c r="V89" s="87"/>
      <c r="W89" s="87"/>
      <c r="X89" s="87" t="str">
        <f>IF($A89="","",IF($AK89=TRUE,"Ready 2 Submit","Waiting on Dealer"))</f>
        <v/>
      </c>
      <c r="Y89" s="148"/>
      <c r="Z89" s="87"/>
      <c r="AA89" s="87"/>
      <c r="AB89" s="87" t="str">
        <f>IF($A89="","",IF($AK89=TRUE,"Ready 2 Submit","Waiting on Dealer"))</f>
        <v/>
      </c>
      <c r="AC89" s="148"/>
      <c r="AD89" s="87"/>
      <c r="AE89" s="87"/>
      <c r="AF89" s="87" t="str">
        <f>IF($A89="","",IF($AK89=TRUE,"Ready 2 Submit","Waiting on Dealer"))</f>
        <v/>
      </c>
      <c r="AG89" s="148"/>
      <c r="AH89" s="87"/>
      <c r="AI89" s="87"/>
      <c r="AJ89" s="197"/>
      <c r="AK89" s="110" t="b">
        <v>0</v>
      </c>
      <c r="AL89" s="87" t="str" cm="1">
        <f t="array" ref="AL89">IF($A89="","",SUMPRODUCT((CHOOSE({1,2,3,4,5},$R89,$V89,$Z89,$AD89,$AH89)="Yes")*(((CHOOSE({1,2,3,4,5},$S89,$W89,$AA89,$AE89,$AI89)="Yes")+(CHOOSE({1,2,3,4,5},$S89,$W89,$AA89,$AE89,$AI89)=TRUE))&gt;0)))</f>
        <v/>
      </c>
      <c r="AM89" s="87"/>
      <c r="AN89" s="87" t="str">
        <f ca="1">IF(OR($A89="",$AM89=""),"",TODAY()-$AM89)</f>
        <v/>
      </c>
      <c r="AO89" s="87"/>
      <c r="AP89" s="106"/>
      <c r="AQ89" s="106"/>
      <c r="AR89" s="106"/>
      <c r="AS89" s="106"/>
      <c r="AT89" s="106"/>
      <c r="AU89" s="106"/>
      <c r="AV89" s="106"/>
      <c r="AW89" s="106"/>
      <c r="AX89" s="106"/>
      <c r="AY89" s="106"/>
    </row>
    <row r="90" spans="1:51" s="20" customFormat="1" ht="21" customHeight="1">
      <c r="A90" s="197"/>
      <c r="B90" s="87"/>
      <c r="C90" s="87"/>
      <c r="D90" s="196"/>
      <c r="E90" s="108"/>
      <c r="F90" s="196"/>
      <c r="G90" s="87"/>
      <c r="H90" s="197"/>
      <c r="I90" s="89"/>
      <c r="J90" s="204"/>
      <c r="K90" s="87"/>
      <c r="L90" s="87" t="str" cm="1">
        <f t="array" ref="L90">IF($A90="","",_xlfn.LET(_xlpm.stat,CHOOSE({1,2,3,4,5},$P90,$T90,$X90,$AB90,$AF90),_xlpm.rate,CHOOSE({1,2,3,4,5},$R90,$V90,$Z90,$AD90,$AH90),_xlpm.trn,CHOOSE({1,2,3,4,5},$S90,$W90,$AA90,$AE90,$AI90),_xlpm.nsC,SUMPRODUCT(--(_xlpm.stat="Ready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DLR",IF(AND(_xlpm.actRS&gt;0,_xlpm.actDone&lt;_xlpm.actRS),"Training",IF(_xlpm.actRS&gt;0,"Active",IF(AND(_xlpm.decC&gt;0,_xlpm.inPlay+_xlpm.actC=0),"Dead",IF(AND($AJ90&lt;&gt;"",$AK90=FALSE),"Waiting on Dealer",IF(_xlpm.subC&gt;0,"Waiting on Lender",IF(AND(_xlpm.appC+_xlpm.actC&gt;0,_xlpm.nsC+_xlpm.wdC=0),"Rate Sheet","Application Submitted")))))))))</f>
        <v/>
      </c>
      <c r="M90" s="87"/>
      <c r="N90" s="87"/>
      <c r="O90" s="197"/>
      <c r="P90" s="87" t="str">
        <f>IF($A90="","",IF($AK90=TRUE,"Ready 2 Submit","Waiting on Dealer"))</f>
        <v/>
      </c>
      <c r="Q90" s="148"/>
      <c r="R90" s="87"/>
      <c r="S90" s="87"/>
      <c r="T90" s="87" t="str">
        <f>IF($A90="","",IF($AK90=TRUE,"Ready 2 Submit","Waiting on Dealer"))</f>
        <v/>
      </c>
      <c r="U90" s="148"/>
      <c r="V90" s="87"/>
      <c r="W90" s="87"/>
      <c r="X90" s="87" t="str">
        <f>IF($A90="","",IF($AK90=TRUE,"Ready 2 Submit","Waiting on Dealer"))</f>
        <v/>
      </c>
      <c r="Y90" s="148"/>
      <c r="Z90" s="87"/>
      <c r="AA90" s="87"/>
      <c r="AB90" s="87" t="str">
        <f>IF($A90="","",IF($AK90=TRUE,"Ready 2 Submit","Waiting on Dealer"))</f>
        <v/>
      </c>
      <c r="AC90" s="148"/>
      <c r="AD90" s="87"/>
      <c r="AE90" s="87"/>
      <c r="AF90" s="87" t="str">
        <f>IF($A90="","",IF($AK90=TRUE,"Ready 2 Submit","Waiting on Dealer"))</f>
        <v/>
      </c>
      <c r="AG90" s="148"/>
      <c r="AH90" s="87"/>
      <c r="AI90" s="87"/>
      <c r="AJ90" s="197"/>
      <c r="AK90" s="110" t="b">
        <v>0</v>
      </c>
      <c r="AL90" s="87" t="str" cm="1">
        <f t="array" ref="AL90">IF($A90="","",SUMPRODUCT((CHOOSE({1,2,3,4,5},$R90,$V90,$Z90,$AD90,$AH90)="Yes")*(((CHOOSE({1,2,3,4,5},$S90,$W90,$AA90,$AE90,$AI90)="Yes")+(CHOOSE({1,2,3,4,5},$S90,$W90,$AA90,$AE90,$AI90)=TRUE))&gt;0)))</f>
        <v/>
      </c>
      <c r="AM90" s="87"/>
      <c r="AN90" s="87" t="str">
        <f ca="1">IF(OR($A90="",$AM90=""),"",TODAY()-$AM90)</f>
        <v/>
      </c>
      <c r="AO90" s="87"/>
      <c r="AP90" s="106"/>
      <c r="AQ90" s="106"/>
      <c r="AR90" s="106"/>
      <c r="AS90" s="106"/>
      <c r="AT90" s="106"/>
      <c r="AU90" s="106"/>
      <c r="AV90" s="106"/>
      <c r="AW90" s="106"/>
      <c r="AX90" s="106"/>
      <c r="AY90" s="106"/>
    </row>
    <row r="91" spans="1:51" s="20" customFormat="1" ht="21" customHeight="1">
      <c r="A91" s="197"/>
      <c r="B91" s="87"/>
      <c r="C91" s="87"/>
      <c r="D91" s="196"/>
      <c r="E91" s="108"/>
      <c r="F91" s="196"/>
      <c r="G91" s="87"/>
      <c r="H91" s="197"/>
      <c r="I91" s="89"/>
      <c r="J91" s="204"/>
      <c r="K91" s="87"/>
      <c r="L91" s="87" t="str" cm="1">
        <f t="array" ref="L91">IF($A91="","",_xlfn.LET(_xlpm.stat,CHOOSE({1,2,3,4,5},$P91,$T91,$X91,$AB91,$AF91),_xlpm.rate,CHOOSE({1,2,3,4,5},$R91,$V91,$Z91,$AD91,$AH91),_xlpm.trn,CHOOSE({1,2,3,4,5},$S91,$W91,$AA91,$AE91,$AI91),_xlpm.nsC,SUMPRODUCT(--(_xlpm.stat="Ready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DLR",IF(AND(_xlpm.actRS&gt;0,_xlpm.actDone&lt;_xlpm.actRS),"Training",IF(_xlpm.actRS&gt;0,"Active",IF(AND(_xlpm.decC&gt;0,_xlpm.inPlay+_xlpm.actC=0),"Dead",IF(AND($AJ91&lt;&gt;"",$AK91=FALSE),"Waiting on Dealer",IF(_xlpm.subC&gt;0,"Waiting on Lender",IF(AND(_xlpm.appC+_xlpm.actC&gt;0,_xlpm.nsC+_xlpm.wdC=0),"Rate Sheet","Application Submitted")))))))))</f>
        <v/>
      </c>
      <c r="M91" s="87"/>
      <c r="N91" s="87"/>
      <c r="O91" s="197"/>
      <c r="P91" s="87" t="str">
        <f>IF($A91="","",IF($AK91=TRUE,"Ready 2 Submit","Waiting on Dealer"))</f>
        <v/>
      </c>
      <c r="Q91" s="148"/>
      <c r="R91" s="87"/>
      <c r="S91" s="87"/>
      <c r="T91" s="87" t="str">
        <f>IF($A91="","",IF($AK91=TRUE,"Ready 2 Submit","Waiting on Dealer"))</f>
        <v/>
      </c>
      <c r="U91" s="148"/>
      <c r="V91" s="87"/>
      <c r="W91" s="87"/>
      <c r="X91" s="87" t="str">
        <f>IF($A91="","",IF($AK91=TRUE,"Ready 2 Submit","Waiting on Dealer"))</f>
        <v/>
      </c>
      <c r="Y91" s="148"/>
      <c r="Z91" s="87"/>
      <c r="AA91" s="87"/>
      <c r="AB91" s="87" t="str">
        <f>IF($A91="","",IF($AK91=TRUE,"Ready 2 Submit","Waiting on Dealer"))</f>
        <v/>
      </c>
      <c r="AC91" s="148"/>
      <c r="AD91" s="87"/>
      <c r="AE91" s="87"/>
      <c r="AF91" s="87" t="str">
        <f>IF($A91="","",IF($AK91=TRUE,"Ready 2 Submit","Waiting on Dealer"))</f>
        <v/>
      </c>
      <c r="AG91" s="148"/>
      <c r="AH91" s="87"/>
      <c r="AI91" s="87"/>
      <c r="AJ91" s="197"/>
      <c r="AK91" s="110" t="b">
        <v>0</v>
      </c>
      <c r="AL91" s="87" t="str" cm="1">
        <f t="array" ref="AL91">IF($A91="","",SUMPRODUCT((CHOOSE({1,2,3,4,5},$R91,$V91,$Z91,$AD91,$AH91)="Yes")*(((CHOOSE({1,2,3,4,5},$S91,$W91,$AA91,$AE91,$AI91)="Yes")+(CHOOSE({1,2,3,4,5},$S91,$W91,$AA91,$AE91,$AI91)=TRUE))&gt;0)))</f>
        <v/>
      </c>
      <c r="AM91" s="87"/>
      <c r="AN91" s="87" t="str">
        <f ca="1">IF(OR($A91="",$AM91=""),"",TODAY()-$AM91)</f>
        <v/>
      </c>
      <c r="AO91" s="87"/>
      <c r="AP91" s="106"/>
      <c r="AQ91" s="106"/>
      <c r="AR91" s="106"/>
      <c r="AS91" s="106"/>
      <c r="AT91" s="106"/>
      <c r="AU91" s="106"/>
      <c r="AV91" s="106"/>
      <c r="AW91" s="106"/>
      <c r="AX91" s="106"/>
      <c r="AY91" s="106"/>
    </row>
    <row r="92" spans="1:51" s="20" customFormat="1" ht="21" customHeight="1">
      <c r="A92" s="197"/>
      <c r="B92" s="87"/>
      <c r="C92" s="87"/>
      <c r="D92" s="196"/>
      <c r="E92" s="108"/>
      <c r="F92" s="196"/>
      <c r="G92" s="87"/>
      <c r="H92" s="197"/>
      <c r="I92" s="89"/>
      <c r="J92" s="204"/>
      <c r="K92" s="87"/>
      <c r="L92" s="87" t="str" cm="1">
        <f t="array" ref="L92">IF($A92="","",_xlfn.LET(_xlpm.stat,CHOOSE({1,2,3,4,5},$P92,$T92,$X92,$AB92,$AF92),_xlpm.rate,CHOOSE({1,2,3,4,5},$R92,$V92,$Z92,$AD92,$AH92),_xlpm.trn,CHOOSE({1,2,3,4,5},$S92,$W92,$AA92,$AE92,$AI92),_xlpm.nsC,SUMPRODUCT(--(_xlpm.stat="Ready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DLR",IF(AND(_xlpm.actRS&gt;0,_xlpm.actDone&lt;_xlpm.actRS),"Training",IF(_xlpm.actRS&gt;0,"Active",IF(AND(_xlpm.decC&gt;0,_xlpm.inPlay+_xlpm.actC=0),"Dead",IF(AND($AJ92&lt;&gt;"",$AK92=FALSE),"Waiting on Dealer",IF(_xlpm.subC&gt;0,"Waiting on Lender",IF(AND(_xlpm.appC+_xlpm.actC&gt;0,_xlpm.nsC+_xlpm.wdC=0),"Rate Sheet","Application Submitted")))))))))</f>
        <v/>
      </c>
      <c r="M92" s="87"/>
      <c r="N92" s="87"/>
      <c r="O92" s="197"/>
      <c r="P92" s="87" t="str">
        <f>IF($A92="","",IF($AK92=TRUE,"Ready 2 Submit","Waiting on Dealer"))</f>
        <v/>
      </c>
      <c r="Q92" s="148"/>
      <c r="R92" s="87"/>
      <c r="S92" s="87"/>
      <c r="T92" s="87" t="str">
        <f>IF($A92="","",IF($AK92=TRUE,"Ready 2 Submit","Waiting on Dealer"))</f>
        <v/>
      </c>
      <c r="U92" s="148"/>
      <c r="V92" s="87"/>
      <c r="W92" s="87"/>
      <c r="X92" s="87" t="str">
        <f>IF($A92="","",IF($AK92=TRUE,"Ready 2 Submit","Waiting on Dealer"))</f>
        <v/>
      </c>
      <c r="Y92" s="148"/>
      <c r="Z92" s="87"/>
      <c r="AA92" s="87"/>
      <c r="AB92" s="87" t="str">
        <f>IF($A92="","",IF($AK92=TRUE,"Ready 2 Submit","Waiting on Dealer"))</f>
        <v/>
      </c>
      <c r="AC92" s="148"/>
      <c r="AD92" s="87"/>
      <c r="AE92" s="87"/>
      <c r="AF92" s="87" t="str">
        <f>IF($A92="","",IF($AK92=TRUE,"Ready 2 Submit","Waiting on Dealer"))</f>
        <v/>
      </c>
      <c r="AG92" s="148"/>
      <c r="AH92" s="87"/>
      <c r="AI92" s="87"/>
      <c r="AJ92" s="197"/>
      <c r="AK92" s="110" t="b">
        <v>0</v>
      </c>
      <c r="AL92" s="87" t="str" cm="1">
        <f t="array" ref="AL92">IF($A92="","",SUMPRODUCT((CHOOSE({1,2,3,4,5},$R92,$V92,$Z92,$AD92,$AH92)="Yes")*(((CHOOSE({1,2,3,4,5},$S92,$W92,$AA92,$AE92,$AI92)="Yes")+(CHOOSE({1,2,3,4,5},$S92,$W92,$AA92,$AE92,$AI92)=TRUE))&gt;0)))</f>
        <v/>
      </c>
      <c r="AM92" s="87"/>
      <c r="AN92" s="87" t="str">
        <f ca="1">IF(OR($A92="",$AM92=""),"",TODAY()-$AM92)</f>
        <v/>
      </c>
      <c r="AO92" s="87"/>
      <c r="AP92" s="106"/>
      <c r="AQ92" s="106"/>
      <c r="AR92" s="106"/>
      <c r="AS92" s="106"/>
      <c r="AT92" s="106"/>
      <c r="AU92" s="106"/>
      <c r="AV92" s="106"/>
      <c r="AW92" s="106"/>
      <c r="AX92" s="106"/>
      <c r="AY92" s="106"/>
    </row>
    <row r="93" spans="1:51" s="20" customFormat="1" ht="21" customHeight="1">
      <c r="A93" s="197"/>
      <c r="B93" s="87"/>
      <c r="C93" s="87"/>
      <c r="D93" s="196"/>
      <c r="E93" s="108"/>
      <c r="F93" s="196"/>
      <c r="G93" s="87"/>
      <c r="H93" s="197"/>
      <c r="I93" s="89"/>
      <c r="J93" s="204"/>
      <c r="K93" s="87"/>
      <c r="L93" s="87" t="str" cm="1">
        <f t="array" ref="L93">IF($A93="","",_xlfn.LET(_xlpm.stat,CHOOSE({1,2,3,4,5},$P93,$T93,$X93,$AB93,$AF93),_xlpm.rate,CHOOSE({1,2,3,4,5},$R93,$V93,$Z93,$AD93,$AH93),_xlpm.trn,CHOOSE({1,2,3,4,5},$S93,$W93,$AA93,$AE93,$AI93),_xlpm.nsC,SUMPRODUCT(--(_xlpm.stat="Ready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DLR",IF(AND(_xlpm.actRS&gt;0,_xlpm.actDone&lt;_xlpm.actRS),"Training",IF(_xlpm.actRS&gt;0,"Active",IF(AND(_xlpm.decC&gt;0,_xlpm.inPlay+_xlpm.actC=0),"Dead",IF(AND($AJ93&lt;&gt;"",$AK93=FALSE),"Waiting on Dealer",IF(_xlpm.subC&gt;0,"Waiting on Lender",IF(AND(_xlpm.appC+_xlpm.actC&gt;0,_xlpm.nsC+_xlpm.wdC=0),"Rate Sheet","Application Submitted")))))))))</f>
        <v/>
      </c>
      <c r="M93" s="87"/>
      <c r="N93" s="87"/>
      <c r="O93" s="197"/>
      <c r="P93" s="87" t="str">
        <f>IF($A93="","",IF($AK93=TRUE,"Ready 2 Submit","Waiting on Dealer"))</f>
        <v/>
      </c>
      <c r="Q93" s="148"/>
      <c r="R93" s="87"/>
      <c r="S93" s="87"/>
      <c r="T93" s="87" t="str">
        <f>IF($A93="","",IF($AK93=TRUE,"Ready 2 Submit","Waiting on Dealer"))</f>
        <v/>
      </c>
      <c r="U93" s="148"/>
      <c r="V93" s="87"/>
      <c r="W93" s="87"/>
      <c r="X93" s="87" t="str">
        <f>IF($A93="","",IF($AK93=TRUE,"Ready 2 Submit","Waiting on Dealer"))</f>
        <v/>
      </c>
      <c r="Y93" s="148"/>
      <c r="Z93" s="87"/>
      <c r="AA93" s="87"/>
      <c r="AB93" s="87" t="str">
        <f>IF($A93="","",IF($AK93=TRUE,"Ready 2 Submit","Waiting on Dealer"))</f>
        <v/>
      </c>
      <c r="AC93" s="148"/>
      <c r="AD93" s="87"/>
      <c r="AE93" s="87"/>
      <c r="AF93" s="87" t="str">
        <f>IF($A93="","",IF($AK93=TRUE,"Ready 2 Submit","Waiting on Dealer"))</f>
        <v/>
      </c>
      <c r="AG93" s="148"/>
      <c r="AH93" s="87"/>
      <c r="AI93" s="87"/>
      <c r="AJ93" s="197"/>
      <c r="AK93" s="110" t="b">
        <v>0</v>
      </c>
      <c r="AL93" s="87" t="str" cm="1">
        <f t="array" ref="AL93">IF($A93="","",SUMPRODUCT((CHOOSE({1,2,3,4,5},$R93,$V93,$Z93,$AD93,$AH93)="Yes")*(((CHOOSE({1,2,3,4,5},$S93,$W93,$AA93,$AE93,$AI93)="Yes")+(CHOOSE({1,2,3,4,5},$S93,$W93,$AA93,$AE93,$AI93)=TRUE))&gt;0)))</f>
        <v/>
      </c>
      <c r="AM93" s="87"/>
      <c r="AN93" s="87" t="str">
        <f ca="1">IF(OR($A93="",$AM93=""),"",TODAY()-$AM93)</f>
        <v/>
      </c>
      <c r="AO93" s="87"/>
      <c r="AP93" s="106"/>
      <c r="AQ93" s="106"/>
      <c r="AR93" s="106"/>
      <c r="AS93" s="106"/>
      <c r="AT93" s="106"/>
      <c r="AU93" s="106"/>
      <c r="AV93" s="106"/>
      <c r="AW93" s="106"/>
      <c r="AX93" s="106"/>
      <c r="AY93" s="106"/>
    </row>
    <row r="94" spans="1:51" s="20" customFormat="1" ht="21" customHeight="1">
      <c r="A94" s="197"/>
      <c r="B94" s="87"/>
      <c r="C94" s="87"/>
      <c r="D94" s="196"/>
      <c r="E94" s="108"/>
      <c r="F94" s="196"/>
      <c r="G94" s="87"/>
      <c r="H94" s="197"/>
      <c r="I94" s="89"/>
      <c r="J94" s="204"/>
      <c r="K94" s="87"/>
      <c r="L94" s="87" t="str" cm="1">
        <f t="array" ref="L94">IF($A94="","",_xlfn.LET(_xlpm.stat,CHOOSE({1,2,3,4,5},$P94,$T94,$X94,$AB94,$AF94),_xlpm.rate,CHOOSE({1,2,3,4,5},$R94,$V94,$Z94,$AD94,$AH94),_xlpm.trn,CHOOSE({1,2,3,4,5},$S94,$W94,$AA94,$AE94,$AI94),_xlpm.nsC,SUMPRODUCT(--(_xlpm.stat="Ready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DLR",IF(AND(_xlpm.actRS&gt;0,_xlpm.actDone&lt;_xlpm.actRS),"Training",IF(_xlpm.actRS&gt;0,"Active",IF(AND(_xlpm.decC&gt;0,_xlpm.inPlay+_xlpm.actC=0),"Dead",IF(AND($AJ94&lt;&gt;"",$AK94=FALSE),"Waiting on Dealer",IF(_xlpm.subC&gt;0,"Waiting on Lender",IF(AND(_xlpm.appC+_xlpm.actC&gt;0,_xlpm.nsC+_xlpm.wdC=0),"Rate Sheet","Application Submitted")))))))))</f>
        <v/>
      </c>
      <c r="M94" s="87"/>
      <c r="N94" s="87"/>
      <c r="O94" s="197"/>
      <c r="P94" s="87" t="str">
        <f>IF($A94="","",IF($AK94=TRUE,"Ready 2 Submit","Waiting on Dealer"))</f>
        <v/>
      </c>
      <c r="Q94" s="148"/>
      <c r="R94" s="87"/>
      <c r="S94" s="87"/>
      <c r="T94" s="87" t="str">
        <f>IF($A94="","",IF($AK94=TRUE,"Ready 2 Submit","Waiting on Dealer"))</f>
        <v/>
      </c>
      <c r="U94" s="148"/>
      <c r="V94" s="87"/>
      <c r="W94" s="87"/>
      <c r="X94" s="87" t="str">
        <f>IF($A94="","",IF($AK94=TRUE,"Ready 2 Submit","Waiting on Dealer"))</f>
        <v/>
      </c>
      <c r="Y94" s="148"/>
      <c r="Z94" s="87"/>
      <c r="AA94" s="87"/>
      <c r="AB94" s="87" t="str">
        <f>IF($A94="","",IF($AK94=TRUE,"Ready 2 Submit","Waiting on Dealer"))</f>
        <v/>
      </c>
      <c r="AC94" s="148"/>
      <c r="AD94" s="87"/>
      <c r="AE94" s="87"/>
      <c r="AF94" s="87" t="str">
        <f>IF($A94="","",IF($AK94=TRUE,"Ready 2 Submit","Waiting on Dealer"))</f>
        <v/>
      </c>
      <c r="AG94" s="148"/>
      <c r="AH94" s="87"/>
      <c r="AI94" s="87"/>
      <c r="AJ94" s="197"/>
      <c r="AK94" s="110" t="b">
        <v>0</v>
      </c>
      <c r="AL94" s="87" t="str" cm="1">
        <f t="array" ref="AL94">IF($A94="","",SUMPRODUCT((CHOOSE({1,2,3,4,5},$R94,$V94,$Z94,$AD94,$AH94)="Yes")*(((CHOOSE({1,2,3,4,5},$S94,$W94,$AA94,$AE94,$AI94)="Yes")+(CHOOSE({1,2,3,4,5},$S94,$W94,$AA94,$AE94,$AI94)=TRUE))&gt;0)))</f>
        <v/>
      </c>
      <c r="AM94" s="87"/>
      <c r="AN94" s="87" t="str">
        <f ca="1">IF(OR($A94="",$AM94=""),"",TODAY()-$AM94)</f>
        <v/>
      </c>
      <c r="AO94" s="87"/>
      <c r="AP94" s="106"/>
      <c r="AQ94" s="106"/>
      <c r="AR94" s="106"/>
      <c r="AS94" s="106"/>
      <c r="AT94" s="106"/>
      <c r="AU94" s="106"/>
      <c r="AV94" s="106"/>
      <c r="AW94" s="106"/>
      <c r="AX94" s="106"/>
      <c r="AY94" s="106"/>
    </row>
    <row r="95" spans="1:51" s="20" customFormat="1" ht="21" customHeight="1">
      <c r="A95" s="197"/>
      <c r="B95" s="87"/>
      <c r="C95" s="87"/>
      <c r="D95" s="196"/>
      <c r="E95" s="108"/>
      <c r="F95" s="196"/>
      <c r="G95" s="87"/>
      <c r="H95" s="197"/>
      <c r="I95" s="89"/>
      <c r="J95" s="204"/>
      <c r="K95" s="87"/>
      <c r="L95" s="87" t="str" cm="1">
        <f t="array" ref="L95">IF($A95="","",_xlfn.LET(_xlpm.stat,CHOOSE({1,2,3,4,5},$P95,$T95,$X95,$AB95,$AF95),_xlpm.rate,CHOOSE({1,2,3,4,5},$R95,$V95,$Z95,$AD95,$AH95),_xlpm.trn,CHOOSE({1,2,3,4,5},$S95,$W95,$AA95,$AE95,$AI95),_xlpm.nsC,SUMPRODUCT(--(_xlpm.stat="Ready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DLR",IF(AND(_xlpm.actRS&gt;0,_xlpm.actDone&lt;_xlpm.actRS),"Training",IF(_xlpm.actRS&gt;0,"Active",IF(AND(_xlpm.decC&gt;0,_xlpm.inPlay+_xlpm.actC=0),"Dead",IF(AND($AJ95&lt;&gt;"",$AK95=FALSE),"Waiting on Dealer",IF(_xlpm.subC&gt;0,"Waiting on Lender",IF(AND(_xlpm.appC+_xlpm.actC&gt;0,_xlpm.nsC+_xlpm.wdC=0),"Rate Sheet","Application Submitted")))))))))</f>
        <v/>
      </c>
      <c r="M95" s="87"/>
      <c r="N95" s="87"/>
      <c r="O95" s="197"/>
      <c r="P95" s="87" t="str">
        <f>IF($A95="","",IF($AK95=TRUE,"Ready 2 Submit","Waiting on Dealer"))</f>
        <v/>
      </c>
      <c r="Q95" s="148"/>
      <c r="R95" s="87"/>
      <c r="S95" s="87"/>
      <c r="T95" s="87" t="str">
        <f>IF($A95="","",IF($AK95=TRUE,"Ready 2 Submit","Waiting on Dealer"))</f>
        <v/>
      </c>
      <c r="U95" s="148"/>
      <c r="V95" s="87"/>
      <c r="W95" s="87"/>
      <c r="X95" s="87" t="str">
        <f>IF($A95="","",IF($AK95=TRUE,"Ready 2 Submit","Waiting on Dealer"))</f>
        <v/>
      </c>
      <c r="Y95" s="148"/>
      <c r="Z95" s="87"/>
      <c r="AA95" s="87"/>
      <c r="AB95" s="87" t="str">
        <f>IF($A95="","",IF($AK95=TRUE,"Ready 2 Submit","Waiting on Dealer"))</f>
        <v/>
      </c>
      <c r="AC95" s="148"/>
      <c r="AD95" s="87"/>
      <c r="AE95" s="87"/>
      <c r="AF95" s="87" t="str">
        <f>IF($A95="","",IF($AK95=TRUE,"Ready 2 Submit","Waiting on Dealer"))</f>
        <v/>
      </c>
      <c r="AG95" s="148"/>
      <c r="AH95" s="87"/>
      <c r="AI95" s="87"/>
      <c r="AJ95" s="197"/>
      <c r="AK95" s="110" t="b">
        <v>0</v>
      </c>
      <c r="AL95" s="87" t="str" cm="1">
        <f t="array" ref="AL95">IF($A95="","",SUMPRODUCT((CHOOSE({1,2,3,4,5},$R95,$V95,$Z95,$AD95,$AH95)="Yes")*(((CHOOSE({1,2,3,4,5},$S95,$W95,$AA95,$AE95,$AI95)="Yes")+(CHOOSE({1,2,3,4,5},$S95,$W95,$AA95,$AE95,$AI95)=TRUE))&gt;0)))</f>
        <v/>
      </c>
      <c r="AM95" s="87"/>
      <c r="AN95" s="87" t="str">
        <f ca="1">IF(OR($A95="",$AM95=""),"",TODAY()-$AM95)</f>
        <v/>
      </c>
      <c r="AO95" s="87"/>
      <c r="AP95" s="106"/>
      <c r="AQ95" s="106"/>
      <c r="AR95" s="106"/>
      <c r="AS95" s="106"/>
      <c r="AT95" s="106"/>
      <c r="AU95" s="106"/>
      <c r="AV95" s="106"/>
      <c r="AW95" s="106"/>
      <c r="AX95" s="106"/>
      <c r="AY95" s="106"/>
    </row>
    <row r="96" spans="1:51" s="20" customFormat="1" ht="21" customHeight="1">
      <c r="A96" s="197"/>
      <c r="B96" s="87"/>
      <c r="C96" s="87"/>
      <c r="D96" s="196"/>
      <c r="E96" s="108"/>
      <c r="F96" s="196"/>
      <c r="G96" s="87"/>
      <c r="H96" s="197"/>
      <c r="I96" s="89"/>
      <c r="J96" s="204"/>
      <c r="K96" s="87"/>
      <c r="L96" s="87" t="str" cm="1">
        <f t="array" ref="L96">IF($A96="","",_xlfn.LET(_xlpm.stat,CHOOSE({1,2,3,4,5},$P96,$T96,$X96,$AB96,$AF96),_xlpm.rate,CHOOSE({1,2,3,4,5},$R96,$V96,$Z96,$AD96,$AH96),_xlpm.trn,CHOOSE({1,2,3,4,5},$S96,$W96,$AA96,$AE96,$AI96),_xlpm.nsC,SUMPRODUCT(--(_xlpm.stat="Ready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DLR",IF(AND(_xlpm.actRS&gt;0,_xlpm.actDone&lt;_xlpm.actRS),"Training",IF(_xlpm.actRS&gt;0,"Active",IF(AND(_xlpm.decC&gt;0,_xlpm.inPlay+_xlpm.actC=0),"Dead",IF(AND($AJ96&lt;&gt;"",$AK96=FALSE),"Waiting on Dealer",IF(_xlpm.subC&gt;0,"Waiting on Lender",IF(AND(_xlpm.appC+_xlpm.actC&gt;0,_xlpm.nsC+_xlpm.wdC=0),"Rate Sheet","Application Submitted")))))))))</f>
        <v/>
      </c>
      <c r="M96" s="87"/>
      <c r="N96" s="87"/>
      <c r="O96" s="197"/>
      <c r="P96" s="87" t="str">
        <f>IF($A96="","",IF($AK96=TRUE,"Ready 2 Submit","Waiting on Dealer"))</f>
        <v/>
      </c>
      <c r="Q96" s="148"/>
      <c r="R96" s="87"/>
      <c r="S96" s="87"/>
      <c r="T96" s="87" t="str">
        <f>IF($A96="","",IF($AK96=TRUE,"Ready 2 Submit","Waiting on Dealer"))</f>
        <v/>
      </c>
      <c r="U96" s="148"/>
      <c r="V96" s="87"/>
      <c r="W96" s="87"/>
      <c r="X96" s="87" t="str">
        <f>IF($A96="","",IF($AK96=TRUE,"Ready 2 Submit","Waiting on Dealer"))</f>
        <v/>
      </c>
      <c r="Y96" s="148"/>
      <c r="Z96" s="87"/>
      <c r="AA96" s="87"/>
      <c r="AB96" s="87" t="str">
        <f>IF($A96="","",IF($AK96=TRUE,"Ready 2 Submit","Waiting on Dealer"))</f>
        <v/>
      </c>
      <c r="AC96" s="148"/>
      <c r="AD96" s="87"/>
      <c r="AE96" s="87"/>
      <c r="AF96" s="87" t="str">
        <f>IF($A96="","",IF($AK96=TRUE,"Ready 2 Submit","Waiting on Dealer"))</f>
        <v/>
      </c>
      <c r="AG96" s="148"/>
      <c r="AH96" s="87"/>
      <c r="AI96" s="87"/>
      <c r="AJ96" s="197"/>
      <c r="AK96" s="110" t="b">
        <v>0</v>
      </c>
      <c r="AL96" s="87" t="str" cm="1">
        <f t="array" ref="AL96">IF($A96="","",SUMPRODUCT((CHOOSE({1,2,3,4,5},$R96,$V96,$Z96,$AD96,$AH96)="Yes")*(((CHOOSE({1,2,3,4,5},$S96,$W96,$AA96,$AE96,$AI96)="Yes")+(CHOOSE({1,2,3,4,5},$S96,$W96,$AA96,$AE96,$AI96)=TRUE))&gt;0)))</f>
        <v/>
      </c>
      <c r="AM96" s="87"/>
      <c r="AN96" s="87" t="str">
        <f ca="1">IF(OR($A96="",$AM96=""),"",TODAY()-$AM96)</f>
        <v/>
      </c>
      <c r="AO96" s="87"/>
      <c r="AP96" s="106"/>
      <c r="AQ96" s="106"/>
      <c r="AR96" s="106"/>
      <c r="AS96" s="106"/>
      <c r="AT96" s="106"/>
      <c r="AU96" s="106"/>
      <c r="AV96" s="106"/>
      <c r="AW96" s="106"/>
      <c r="AX96" s="106"/>
      <c r="AY96" s="106"/>
    </row>
    <row r="97" spans="1:51" s="20" customFormat="1" ht="21" customHeight="1">
      <c r="A97" s="197"/>
      <c r="B97" s="87"/>
      <c r="C97" s="87"/>
      <c r="D97" s="196"/>
      <c r="E97" s="108"/>
      <c r="F97" s="196"/>
      <c r="G97" s="87"/>
      <c r="H97" s="197"/>
      <c r="I97" s="89"/>
      <c r="J97" s="204"/>
      <c r="K97" s="87"/>
      <c r="L97" s="87" t="str" cm="1">
        <f t="array" ref="L97">IF($A97="","",_xlfn.LET(_xlpm.stat,CHOOSE({1,2,3,4,5},$P97,$T97,$X97,$AB97,$AF97),_xlpm.rate,CHOOSE({1,2,3,4,5},$R97,$V97,$Z97,$AD97,$AH97),_xlpm.trn,CHOOSE({1,2,3,4,5},$S97,$W97,$AA97,$AE97,$AI97),_xlpm.nsC,SUMPRODUCT(--(_xlpm.stat="Ready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DLR",IF(AND(_xlpm.actRS&gt;0,_xlpm.actDone&lt;_xlpm.actRS),"Training",IF(_xlpm.actRS&gt;0,"Active",IF(AND(_xlpm.decC&gt;0,_xlpm.inPlay+_xlpm.actC=0),"Dead",IF(AND($AJ97&lt;&gt;"",$AK97=FALSE),"Waiting on Dealer",IF(_xlpm.subC&gt;0,"Waiting on Lender",IF(AND(_xlpm.appC+_xlpm.actC&gt;0,_xlpm.nsC+_xlpm.wdC=0),"Rate Sheet","Application Submitted")))))))))</f>
        <v/>
      </c>
      <c r="M97" s="87"/>
      <c r="N97" s="87"/>
      <c r="O97" s="197"/>
      <c r="P97" s="87" t="str">
        <f>IF($A97="","",IF($AK97=TRUE,"Ready 2 Submit","Waiting on Dealer"))</f>
        <v/>
      </c>
      <c r="Q97" s="148"/>
      <c r="R97" s="87"/>
      <c r="S97" s="87"/>
      <c r="T97" s="87" t="str">
        <f>IF($A97="","",IF($AK97=TRUE,"Ready 2 Submit","Waiting on Dealer"))</f>
        <v/>
      </c>
      <c r="U97" s="148"/>
      <c r="V97" s="87"/>
      <c r="W97" s="87"/>
      <c r="X97" s="87" t="str">
        <f>IF($A97="","",IF($AK97=TRUE,"Ready 2 Submit","Waiting on Dealer"))</f>
        <v/>
      </c>
      <c r="Y97" s="148"/>
      <c r="Z97" s="87"/>
      <c r="AA97" s="87"/>
      <c r="AB97" s="87" t="str">
        <f>IF($A97="","",IF($AK97=TRUE,"Ready 2 Submit","Waiting on Dealer"))</f>
        <v/>
      </c>
      <c r="AC97" s="148"/>
      <c r="AD97" s="87"/>
      <c r="AE97" s="87"/>
      <c r="AF97" s="87" t="str">
        <f>IF($A97="","",IF($AK97=TRUE,"Ready 2 Submit","Waiting on Dealer"))</f>
        <v/>
      </c>
      <c r="AG97" s="148"/>
      <c r="AH97" s="87"/>
      <c r="AI97" s="87"/>
      <c r="AJ97" s="197"/>
      <c r="AK97" s="110" t="b">
        <v>0</v>
      </c>
      <c r="AL97" s="87" t="str" cm="1">
        <f t="array" ref="AL97">IF($A97="","",SUMPRODUCT((CHOOSE({1,2,3,4,5},$R97,$V97,$Z97,$AD97,$AH97)="Yes")*(((CHOOSE({1,2,3,4,5},$S97,$W97,$AA97,$AE97,$AI97)="Yes")+(CHOOSE({1,2,3,4,5},$S97,$W97,$AA97,$AE97,$AI97)=TRUE))&gt;0)))</f>
        <v/>
      </c>
      <c r="AM97" s="87"/>
      <c r="AN97" s="87" t="str">
        <f ca="1">IF(OR($A97="",$AM97=""),"",TODAY()-$AM97)</f>
        <v/>
      </c>
      <c r="AO97" s="87"/>
      <c r="AP97" s="106"/>
      <c r="AQ97" s="106"/>
      <c r="AR97" s="106"/>
      <c r="AS97" s="106"/>
      <c r="AT97" s="106"/>
      <c r="AU97" s="106"/>
      <c r="AV97" s="106"/>
      <c r="AW97" s="106"/>
      <c r="AX97" s="106"/>
      <c r="AY97" s="106"/>
    </row>
    <row r="98" spans="1:51" s="20" customFormat="1" ht="21" customHeight="1">
      <c r="A98" s="197"/>
      <c r="B98" s="87"/>
      <c r="C98" s="87"/>
      <c r="D98" s="196"/>
      <c r="E98" s="108"/>
      <c r="F98" s="196"/>
      <c r="G98" s="87"/>
      <c r="H98" s="197"/>
      <c r="I98" s="89"/>
      <c r="J98" s="204"/>
      <c r="K98" s="87"/>
      <c r="L98" s="87" t="str" cm="1">
        <f t="array" ref="L98">IF($A98="","",_xlfn.LET(_xlpm.stat,CHOOSE({1,2,3,4,5},$P98,$T98,$X98,$AB98,$AF98),_xlpm.rate,CHOOSE({1,2,3,4,5},$R98,$V98,$Z98,$AD98,$AH98),_xlpm.trn,CHOOSE({1,2,3,4,5},$S98,$W98,$AA98,$AE98,$AI98),_xlpm.nsC,SUMPRODUCT(--(_xlpm.stat="Ready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DLR",IF(AND(_xlpm.actRS&gt;0,_xlpm.actDone&lt;_xlpm.actRS),"Training",IF(_xlpm.actRS&gt;0,"Active",IF(AND(_xlpm.decC&gt;0,_xlpm.inPlay+_xlpm.actC=0),"Dead",IF(AND($AJ98&lt;&gt;"",$AK98=FALSE),"Waiting on Dealer",IF(_xlpm.subC&gt;0,"Waiting on Lender",IF(AND(_xlpm.appC+_xlpm.actC&gt;0,_xlpm.nsC+_xlpm.wdC=0),"Rate Sheet","Application Submitted")))))))))</f>
        <v/>
      </c>
      <c r="M98" s="87"/>
      <c r="N98" s="87"/>
      <c r="O98" s="197"/>
      <c r="P98" s="87" t="str">
        <f>IF($A98="","",IF($AK98=TRUE,"Ready 2 Submit","Waiting on Dealer"))</f>
        <v/>
      </c>
      <c r="Q98" s="148"/>
      <c r="R98" s="87"/>
      <c r="S98" s="87"/>
      <c r="T98" s="87" t="str">
        <f>IF($A98="","",IF($AK98=TRUE,"Ready 2 Submit","Waiting on Dealer"))</f>
        <v/>
      </c>
      <c r="U98" s="148"/>
      <c r="V98" s="87"/>
      <c r="W98" s="87"/>
      <c r="X98" s="87" t="str">
        <f>IF($A98="","",IF($AK98=TRUE,"Ready 2 Submit","Waiting on Dealer"))</f>
        <v/>
      </c>
      <c r="Y98" s="148"/>
      <c r="Z98" s="87"/>
      <c r="AA98" s="87"/>
      <c r="AB98" s="87" t="str">
        <f>IF($A98="","",IF($AK98=TRUE,"Ready 2 Submit","Waiting on Dealer"))</f>
        <v/>
      </c>
      <c r="AC98" s="148"/>
      <c r="AD98" s="87"/>
      <c r="AE98" s="87"/>
      <c r="AF98" s="87" t="str">
        <f>IF($A98="","",IF($AK98=TRUE,"Ready 2 Submit","Waiting on Dealer"))</f>
        <v/>
      </c>
      <c r="AG98" s="148"/>
      <c r="AH98" s="87"/>
      <c r="AI98" s="87"/>
      <c r="AJ98" s="197"/>
      <c r="AK98" s="110" t="b">
        <v>0</v>
      </c>
      <c r="AL98" s="87" t="str" cm="1">
        <f t="array" ref="AL98">IF($A98="","",SUMPRODUCT((CHOOSE({1,2,3,4,5},$R98,$V98,$Z98,$AD98,$AH98)="Yes")*(((CHOOSE({1,2,3,4,5},$S98,$W98,$AA98,$AE98,$AI98)="Yes")+(CHOOSE({1,2,3,4,5},$S98,$W98,$AA98,$AE98,$AI98)=TRUE))&gt;0)))</f>
        <v/>
      </c>
      <c r="AM98" s="87"/>
      <c r="AN98" s="87" t="str">
        <f ca="1">IF(OR($A98="",$AM98=""),"",TODAY()-$AM98)</f>
        <v/>
      </c>
      <c r="AO98" s="87"/>
      <c r="AP98" s="106"/>
      <c r="AQ98" s="106"/>
      <c r="AR98" s="106"/>
      <c r="AS98" s="106"/>
      <c r="AT98" s="106"/>
      <c r="AU98" s="106"/>
      <c r="AV98" s="106"/>
      <c r="AW98" s="106"/>
      <c r="AX98" s="106"/>
      <c r="AY98" s="106"/>
    </row>
    <row r="99" spans="1:51" s="20" customFormat="1" ht="21" customHeight="1">
      <c r="A99" s="197"/>
      <c r="B99" s="87"/>
      <c r="C99" s="87"/>
      <c r="D99" s="196"/>
      <c r="E99" s="108"/>
      <c r="F99" s="196"/>
      <c r="G99" s="87"/>
      <c r="H99" s="197"/>
      <c r="I99" s="89"/>
      <c r="J99" s="204"/>
      <c r="K99" s="87"/>
      <c r="L99" s="87" t="str" cm="1">
        <f t="array" ref="L99">IF($A99="","",_xlfn.LET(_xlpm.stat,CHOOSE({1,2,3,4,5},$P99,$T99,$X99,$AB99,$AF99),_xlpm.rate,CHOOSE({1,2,3,4,5},$R99,$V99,$Z99,$AD99,$AH99),_xlpm.trn,CHOOSE({1,2,3,4,5},$S99,$W99,$AA99,$AE99,$AI99),_xlpm.nsC,SUMPRODUCT(--(_xlpm.stat="Ready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DLR",IF(AND(_xlpm.actRS&gt;0,_xlpm.actDone&lt;_xlpm.actRS),"Training",IF(_xlpm.actRS&gt;0,"Active",IF(AND(_xlpm.decC&gt;0,_xlpm.inPlay+_xlpm.actC=0),"Dead",IF(AND($AJ99&lt;&gt;"",$AK99=FALSE),"Waiting on Dealer",IF(_xlpm.subC&gt;0,"Waiting on Lender",IF(AND(_xlpm.appC+_xlpm.actC&gt;0,_xlpm.nsC+_xlpm.wdC=0),"Rate Sheet","Application Submitted")))))))))</f>
        <v/>
      </c>
      <c r="M99" s="87"/>
      <c r="N99" s="87"/>
      <c r="O99" s="197"/>
      <c r="P99" s="87" t="str">
        <f>IF($A99="","",IF($AK99=TRUE,"Ready 2 Submit","Waiting on Dealer"))</f>
        <v/>
      </c>
      <c r="Q99" s="148"/>
      <c r="R99" s="87"/>
      <c r="S99" s="87"/>
      <c r="T99" s="87" t="str">
        <f>IF($A99="","",IF($AK99=TRUE,"Ready 2 Submit","Waiting on Dealer"))</f>
        <v/>
      </c>
      <c r="U99" s="148"/>
      <c r="V99" s="87"/>
      <c r="W99" s="87"/>
      <c r="X99" s="87" t="str">
        <f>IF($A99="","",IF($AK99=TRUE,"Ready 2 Submit","Waiting on Dealer"))</f>
        <v/>
      </c>
      <c r="Y99" s="148"/>
      <c r="Z99" s="87"/>
      <c r="AA99" s="87"/>
      <c r="AB99" s="87" t="str">
        <f>IF($A99="","",IF($AK99=TRUE,"Ready 2 Submit","Waiting on Dealer"))</f>
        <v/>
      </c>
      <c r="AC99" s="148"/>
      <c r="AD99" s="87"/>
      <c r="AE99" s="87"/>
      <c r="AF99" s="87" t="str">
        <f>IF($A99="","",IF($AK99=TRUE,"Ready 2 Submit","Waiting on Dealer"))</f>
        <v/>
      </c>
      <c r="AG99" s="148"/>
      <c r="AH99" s="87"/>
      <c r="AI99" s="87"/>
      <c r="AJ99" s="197"/>
      <c r="AK99" s="110" t="b">
        <v>0</v>
      </c>
      <c r="AL99" s="87" t="str" cm="1">
        <f t="array" ref="AL99">IF($A99="","",SUMPRODUCT((CHOOSE({1,2,3,4,5},$R99,$V99,$Z99,$AD99,$AH99)="Yes")*(((CHOOSE({1,2,3,4,5},$S99,$W99,$AA99,$AE99,$AI99)="Yes")+(CHOOSE({1,2,3,4,5},$S99,$W99,$AA99,$AE99,$AI99)=TRUE))&gt;0)))</f>
        <v/>
      </c>
      <c r="AM99" s="87"/>
      <c r="AN99" s="87" t="str">
        <f ca="1">IF(OR($A99="",$AM99=""),"",TODAY()-$AM99)</f>
        <v/>
      </c>
      <c r="AO99" s="87"/>
      <c r="AP99" s="106"/>
      <c r="AQ99" s="106"/>
      <c r="AR99" s="106"/>
      <c r="AS99" s="106"/>
      <c r="AT99" s="106"/>
      <c r="AU99" s="106"/>
      <c r="AV99" s="106"/>
      <c r="AW99" s="106"/>
      <c r="AX99" s="106"/>
      <c r="AY99" s="106"/>
    </row>
    <row r="100" spans="1:51" s="20" customFormat="1" ht="21" customHeight="1">
      <c r="A100" s="197"/>
      <c r="B100" s="87"/>
      <c r="C100" s="87"/>
      <c r="D100" s="196"/>
      <c r="E100" s="108"/>
      <c r="F100" s="196"/>
      <c r="G100" s="87"/>
      <c r="H100" s="197"/>
      <c r="I100" s="89"/>
      <c r="J100" s="204"/>
      <c r="K100" s="87"/>
      <c r="L100" s="87" t="str" cm="1">
        <f t="array" ref="L100">IF($A100="","",_xlfn.LET(_xlpm.stat,CHOOSE({1,2,3,4,5},$P100,$T100,$X100,$AB100,$AF100),_xlpm.rate,CHOOSE({1,2,3,4,5},$R100,$V100,$Z100,$AD100,$AH100),_xlpm.trn,CHOOSE({1,2,3,4,5},$S100,$W100,$AA100,$AE100,$AI100),_xlpm.nsC,SUMPRODUCT(--(_xlpm.stat="Ready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DLR",IF(AND(_xlpm.actRS&gt;0,_xlpm.actDone&lt;_xlpm.actRS),"Training",IF(_xlpm.actRS&gt;0,"Active",IF(AND(_xlpm.decC&gt;0,_xlpm.inPlay+_xlpm.actC=0),"Dead",IF(AND($AJ100&lt;&gt;"",$AK100=FALSE),"Waiting on Dealer",IF(_xlpm.subC&gt;0,"Waiting on Lender",IF(AND(_xlpm.appC+_xlpm.actC&gt;0,_xlpm.nsC+_xlpm.wdC=0),"Rate Sheet","Application Submitted")))))))))</f>
        <v/>
      </c>
      <c r="M100" s="87"/>
      <c r="N100" s="87"/>
      <c r="O100" s="197"/>
      <c r="P100" s="87" t="str">
        <f>IF($A100="","",IF($AK100=TRUE,"Ready 2 Submit","Waiting on Dealer"))</f>
        <v/>
      </c>
      <c r="Q100" s="148"/>
      <c r="R100" s="87"/>
      <c r="S100" s="87"/>
      <c r="T100" s="87" t="str">
        <f>IF($A100="","",IF($AK100=TRUE,"Ready 2 Submit","Waiting on Dealer"))</f>
        <v/>
      </c>
      <c r="U100" s="148"/>
      <c r="V100" s="87"/>
      <c r="W100" s="87"/>
      <c r="X100" s="87" t="str">
        <f>IF($A100="","",IF($AK100=TRUE,"Ready 2 Submit","Waiting on Dealer"))</f>
        <v/>
      </c>
      <c r="Y100" s="148"/>
      <c r="Z100" s="87"/>
      <c r="AA100" s="87"/>
      <c r="AB100" s="87" t="str">
        <f>IF($A100="","",IF($AK100=TRUE,"Ready 2 Submit","Waiting on Dealer"))</f>
        <v/>
      </c>
      <c r="AC100" s="148"/>
      <c r="AD100" s="87"/>
      <c r="AE100" s="87"/>
      <c r="AF100" s="87" t="str">
        <f>IF($A100="","",IF($AK100=TRUE,"Ready 2 Submit","Waiting on Dealer"))</f>
        <v/>
      </c>
      <c r="AG100" s="148"/>
      <c r="AH100" s="87"/>
      <c r="AI100" s="87"/>
      <c r="AJ100" s="197"/>
      <c r="AK100" s="110" t="b">
        <v>0</v>
      </c>
      <c r="AL100" s="87" t="str" cm="1">
        <f t="array" ref="AL100">IF($A100="","",SUMPRODUCT((CHOOSE({1,2,3,4,5},$R100,$V100,$Z100,$AD100,$AH100)="Yes")*(((CHOOSE({1,2,3,4,5},$S100,$W100,$AA100,$AE100,$AI100)="Yes")+(CHOOSE({1,2,3,4,5},$S100,$W100,$AA100,$AE100,$AI100)=TRUE))&gt;0)))</f>
        <v/>
      </c>
      <c r="AM100" s="87"/>
      <c r="AN100" s="87" t="str">
        <f ca="1">IF(OR($A100="",$AM100=""),"",TODAY()-$AM100)</f>
        <v/>
      </c>
      <c r="AO100" s="87"/>
      <c r="AP100" s="106"/>
      <c r="AQ100" s="106"/>
      <c r="AR100" s="106"/>
      <c r="AS100" s="106"/>
      <c r="AT100" s="106"/>
      <c r="AU100" s="106"/>
      <c r="AV100" s="106"/>
      <c r="AW100" s="106"/>
      <c r="AX100" s="106"/>
      <c r="AY100" s="106"/>
    </row>
    <row r="101" spans="1:51" s="20" customFormat="1" ht="21" customHeight="1">
      <c r="A101" s="197"/>
      <c r="B101" s="87"/>
      <c r="C101" s="87"/>
      <c r="D101" s="196"/>
      <c r="E101" s="108"/>
      <c r="F101" s="196"/>
      <c r="G101" s="87"/>
      <c r="H101" s="197"/>
      <c r="I101" s="89"/>
      <c r="J101" s="204"/>
      <c r="K101" s="87"/>
      <c r="L101" s="87" t="str" cm="1">
        <f t="array" ref="L101">IF($A101="","",_xlfn.LET(_xlpm.stat,CHOOSE({1,2,3,4,5},$P101,$T101,$X101,$AB101,$AF101),_xlpm.rate,CHOOSE({1,2,3,4,5},$R101,$V101,$Z101,$AD101,$AH101),_xlpm.trn,CHOOSE({1,2,3,4,5},$S101,$W101,$AA101,$AE101,$AI101),_xlpm.nsC,SUMPRODUCT(--(_xlpm.stat="Ready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DLR",IF(AND(_xlpm.actRS&gt;0,_xlpm.actDone&lt;_xlpm.actRS),"Training",IF(_xlpm.actRS&gt;0,"Active",IF(AND(_xlpm.decC&gt;0,_xlpm.inPlay+_xlpm.actC=0),"Dead",IF(AND($AJ101&lt;&gt;"",$AK101=FALSE),"Waiting on Dealer",IF(_xlpm.subC&gt;0,"Waiting on Lender",IF(AND(_xlpm.appC+_xlpm.actC&gt;0,_xlpm.nsC+_xlpm.wdC=0),"Rate Sheet","Application Submitted")))))))))</f>
        <v/>
      </c>
      <c r="M101" s="87"/>
      <c r="N101" s="87"/>
      <c r="O101" s="197"/>
      <c r="P101" s="87" t="str">
        <f>IF($A101="","",IF($AK101=TRUE,"Ready 2 Submit","Waiting on Dealer"))</f>
        <v/>
      </c>
      <c r="Q101" s="148"/>
      <c r="R101" s="87"/>
      <c r="S101" s="87"/>
      <c r="T101" s="87" t="str">
        <f>IF($A101="","",IF($AK101=TRUE,"Ready 2 Submit","Waiting on Dealer"))</f>
        <v/>
      </c>
      <c r="U101" s="148"/>
      <c r="V101" s="87"/>
      <c r="W101" s="87"/>
      <c r="X101" s="87" t="str">
        <f>IF($A101="","",IF($AK101=TRUE,"Ready 2 Submit","Waiting on Dealer"))</f>
        <v/>
      </c>
      <c r="Y101" s="148"/>
      <c r="Z101" s="87"/>
      <c r="AA101" s="87"/>
      <c r="AB101" s="87" t="str">
        <f>IF($A101="","",IF($AK101=TRUE,"Ready 2 Submit","Waiting on Dealer"))</f>
        <v/>
      </c>
      <c r="AC101" s="148"/>
      <c r="AD101" s="87"/>
      <c r="AE101" s="87"/>
      <c r="AF101" s="87" t="str">
        <f>IF($A101="","",IF($AK101=TRUE,"Ready 2 Submit","Waiting on Dealer"))</f>
        <v/>
      </c>
      <c r="AG101" s="148"/>
      <c r="AH101" s="87"/>
      <c r="AI101" s="87"/>
      <c r="AJ101" s="197"/>
      <c r="AK101" s="110" t="b">
        <v>0</v>
      </c>
      <c r="AL101" s="87" t="str" cm="1">
        <f t="array" ref="AL101">IF($A101="","",SUMPRODUCT((CHOOSE({1,2,3,4,5},$R101,$V101,$Z101,$AD101,$AH101)="Yes")*(((CHOOSE({1,2,3,4,5},$S101,$W101,$AA101,$AE101,$AI101)="Yes")+(CHOOSE({1,2,3,4,5},$S101,$W101,$AA101,$AE101,$AI101)=TRUE))&gt;0)))</f>
        <v/>
      </c>
      <c r="AM101" s="87"/>
      <c r="AN101" s="87" t="str">
        <f ca="1">IF(OR($A101="",$AM101=""),"",TODAY()-$AM101)</f>
        <v/>
      </c>
      <c r="AO101" s="87"/>
      <c r="AP101" s="106"/>
      <c r="AQ101" s="106"/>
      <c r="AR101" s="106"/>
      <c r="AS101" s="106"/>
      <c r="AT101" s="106"/>
      <c r="AU101" s="106"/>
      <c r="AV101" s="106"/>
      <c r="AW101" s="106"/>
      <c r="AX101" s="106"/>
      <c r="AY101" s="106"/>
    </row>
    <row r="102" spans="1:51" s="20" customFormat="1" ht="21" customHeight="1">
      <c r="A102" s="197"/>
      <c r="B102" s="87"/>
      <c r="C102" s="87"/>
      <c r="D102" s="196"/>
      <c r="E102" s="108"/>
      <c r="F102" s="196"/>
      <c r="G102" s="87"/>
      <c r="H102" s="197"/>
      <c r="I102" s="89"/>
      <c r="J102" s="204"/>
      <c r="K102" s="87"/>
      <c r="L102" s="87" t="str" cm="1">
        <f t="array" ref="L102">IF($A102="","",_xlfn.LET(_xlpm.stat,CHOOSE({1,2,3,4,5},$P102,$T102,$X102,$AB102,$AF102),_xlpm.rate,CHOOSE({1,2,3,4,5},$R102,$V102,$Z102,$AD102,$AH102),_xlpm.trn,CHOOSE({1,2,3,4,5},$S102,$W102,$AA102,$AE102,$AI102),_xlpm.nsC,SUMPRODUCT(--(_xlpm.stat="Ready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DLR",IF(AND(_xlpm.actRS&gt;0,_xlpm.actDone&lt;_xlpm.actRS),"Training",IF(_xlpm.actRS&gt;0,"Active",IF(AND(_xlpm.decC&gt;0,_xlpm.inPlay+_xlpm.actC=0),"Dead",IF(AND($AJ102&lt;&gt;"",$AK102=FALSE),"Waiting on Dealer",IF(_xlpm.subC&gt;0,"Waiting on Lender",IF(AND(_xlpm.appC+_xlpm.actC&gt;0,_xlpm.nsC+_xlpm.wdC=0),"Rate Sheet","Application Submitted")))))))))</f>
        <v/>
      </c>
      <c r="M102" s="87"/>
      <c r="N102" s="87"/>
      <c r="O102" s="197"/>
      <c r="P102" s="87" t="str">
        <f>IF($A102="","",IF($AK102=TRUE,"Ready 2 Submit","Waiting on Dealer"))</f>
        <v/>
      </c>
      <c r="Q102" s="148"/>
      <c r="R102" s="87"/>
      <c r="S102" s="87"/>
      <c r="T102" s="87" t="str">
        <f>IF($A102="","",IF($AK102=TRUE,"Ready 2 Submit","Waiting on Dealer"))</f>
        <v/>
      </c>
      <c r="U102" s="148"/>
      <c r="V102" s="87"/>
      <c r="W102" s="87"/>
      <c r="X102" s="87" t="str">
        <f>IF($A102="","",IF($AK102=TRUE,"Ready 2 Submit","Waiting on Dealer"))</f>
        <v/>
      </c>
      <c r="Y102" s="148"/>
      <c r="Z102" s="87"/>
      <c r="AA102" s="87"/>
      <c r="AB102" s="87" t="str">
        <f>IF($A102="","",IF($AK102=TRUE,"Ready 2 Submit","Waiting on Dealer"))</f>
        <v/>
      </c>
      <c r="AC102" s="148"/>
      <c r="AD102" s="87"/>
      <c r="AE102" s="87"/>
      <c r="AF102" s="87" t="str">
        <f>IF($A102="","",IF($AK102=TRUE,"Ready 2 Submit","Waiting on Dealer"))</f>
        <v/>
      </c>
      <c r="AG102" s="148"/>
      <c r="AH102" s="87"/>
      <c r="AI102" s="87"/>
      <c r="AJ102" s="197"/>
      <c r="AK102" s="110" t="b">
        <v>0</v>
      </c>
      <c r="AL102" s="87" t="str" cm="1">
        <f t="array" ref="AL102">IF($A102="","",SUMPRODUCT((CHOOSE({1,2,3,4,5},$R102,$V102,$Z102,$AD102,$AH102)="Yes")*(((CHOOSE({1,2,3,4,5},$S102,$W102,$AA102,$AE102,$AI102)="Yes")+(CHOOSE({1,2,3,4,5},$S102,$W102,$AA102,$AE102,$AI102)=TRUE))&gt;0)))</f>
        <v/>
      </c>
      <c r="AM102" s="87"/>
      <c r="AN102" s="87" t="str">
        <f ca="1">IF(OR($A102="",$AM102=""),"",TODAY()-$AM102)</f>
        <v/>
      </c>
      <c r="AO102" s="87"/>
      <c r="AP102" s="106"/>
      <c r="AQ102" s="106"/>
      <c r="AR102" s="106"/>
      <c r="AS102" s="106"/>
      <c r="AT102" s="106"/>
      <c r="AU102" s="106"/>
      <c r="AV102" s="106"/>
      <c r="AW102" s="106"/>
      <c r="AX102" s="106"/>
      <c r="AY102" s="106"/>
    </row>
    <row r="103" spans="1:51" s="20" customFormat="1" ht="21" customHeight="1">
      <c r="A103" s="197"/>
      <c r="B103" s="87"/>
      <c r="C103" s="87"/>
      <c r="D103" s="196"/>
      <c r="E103" s="108"/>
      <c r="F103" s="196"/>
      <c r="G103" s="87"/>
      <c r="H103" s="197"/>
      <c r="I103" s="89"/>
      <c r="J103" s="204"/>
      <c r="K103" s="87"/>
      <c r="L103" s="87" t="str" cm="1">
        <f t="array" ref="L103">IF($A103="","",_xlfn.LET(_xlpm.stat,CHOOSE({1,2,3,4,5},$P103,$T103,$X103,$AB103,$AF103),_xlpm.rate,CHOOSE({1,2,3,4,5},$R103,$V103,$Z103,$AD103,$AH103),_xlpm.trn,CHOOSE({1,2,3,4,5},$S103,$W103,$AA103,$AE103,$AI103),_xlpm.nsC,SUMPRODUCT(--(_xlpm.stat="Ready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DLR",IF(AND(_xlpm.actRS&gt;0,_xlpm.actDone&lt;_xlpm.actRS),"Training",IF(_xlpm.actRS&gt;0,"Active",IF(AND(_xlpm.decC&gt;0,_xlpm.inPlay+_xlpm.actC=0),"Dead",IF(AND($AJ103&lt;&gt;"",$AK103=FALSE),"Waiting on Dealer",IF(_xlpm.subC&gt;0,"Waiting on Lender",IF(AND(_xlpm.appC+_xlpm.actC&gt;0,_xlpm.nsC+_xlpm.wdC=0),"Rate Sheet","Application Submitted")))))))))</f>
        <v/>
      </c>
      <c r="M103" s="87"/>
      <c r="N103" s="87"/>
      <c r="O103" s="197"/>
      <c r="P103" s="87" t="str">
        <f>IF($A103="","",IF($AK103=TRUE,"Ready 2 Submit","Waiting on Dealer"))</f>
        <v/>
      </c>
      <c r="Q103" s="148"/>
      <c r="R103" s="87"/>
      <c r="S103" s="87"/>
      <c r="T103" s="87" t="str">
        <f>IF($A103="","",IF($AK103=TRUE,"Ready 2 Submit","Waiting on Dealer"))</f>
        <v/>
      </c>
      <c r="U103" s="148"/>
      <c r="V103" s="87"/>
      <c r="W103" s="87"/>
      <c r="X103" s="87" t="str">
        <f>IF($A103="","",IF($AK103=TRUE,"Ready 2 Submit","Waiting on Dealer"))</f>
        <v/>
      </c>
      <c r="Y103" s="148"/>
      <c r="Z103" s="87"/>
      <c r="AA103" s="87"/>
      <c r="AB103" s="87" t="str">
        <f>IF($A103="","",IF($AK103=TRUE,"Ready 2 Submit","Waiting on Dealer"))</f>
        <v/>
      </c>
      <c r="AC103" s="148"/>
      <c r="AD103" s="87"/>
      <c r="AE103" s="87"/>
      <c r="AF103" s="87" t="str">
        <f>IF($A103="","",IF($AK103=TRUE,"Ready 2 Submit","Waiting on Dealer"))</f>
        <v/>
      </c>
      <c r="AG103" s="148"/>
      <c r="AH103" s="87"/>
      <c r="AI103" s="87"/>
      <c r="AJ103" s="197"/>
      <c r="AK103" s="110" t="b">
        <v>0</v>
      </c>
      <c r="AL103" s="87" t="str" cm="1">
        <f t="array" ref="AL103">IF($A103="","",SUMPRODUCT((CHOOSE({1,2,3,4,5},$R103,$V103,$Z103,$AD103,$AH103)="Yes")*(((CHOOSE({1,2,3,4,5},$S103,$W103,$AA103,$AE103,$AI103)="Yes")+(CHOOSE({1,2,3,4,5},$S103,$W103,$AA103,$AE103,$AI103)=TRUE))&gt;0)))</f>
        <v/>
      </c>
      <c r="AM103" s="87"/>
      <c r="AN103" s="87" t="str">
        <f ca="1">IF(OR($A103="",$AM103=""),"",TODAY()-$AM103)</f>
        <v/>
      </c>
      <c r="AO103" s="87"/>
      <c r="AP103" s="106"/>
      <c r="AQ103" s="106"/>
      <c r="AR103" s="106"/>
      <c r="AS103" s="106"/>
      <c r="AT103" s="106"/>
      <c r="AU103" s="106"/>
      <c r="AV103" s="106"/>
      <c r="AW103" s="106"/>
      <c r="AX103" s="106"/>
      <c r="AY103" s="106"/>
    </row>
    <row r="104" spans="1:51" s="20" customFormat="1" ht="21" customHeight="1">
      <c r="A104" s="197"/>
      <c r="B104" s="87"/>
      <c r="C104" s="87"/>
      <c r="D104" s="196"/>
      <c r="E104" s="108"/>
      <c r="F104" s="196"/>
      <c r="G104" s="87"/>
      <c r="H104" s="197"/>
      <c r="I104" s="89"/>
      <c r="J104" s="204"/>
      <c r="K104" s="87"/>
      <c r="L104" s="87" t="str" cm="1">
        <f t="array" ref="L104">IF($A104="","",_xlfn.LET(_xlpm.stat,CHOOSE({1,2,3,4,5},$P104,$T104,$X104,$AB104,$AF104),_xlpm.rate,CHOOSE({1,2,3,4,5},$R104,$V104,$Z104,$AD104,$AH104),_xlpm.trn,CHOOSE({1,2,3,4,5},$S104,$W104,$AA104,$AE104,$AI104),_xlpm.nsC,SUMPRODUCT(--(_xlpm.stat="Ready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DLR",IF(AND(_xlpm.actRS&gt;0,_xlpm.actDone&lt;_xlpm.actRS),"Training",IF(_xlpm.actRS&gt;0,"Active",IF(AND(_xlpm.decC&gt;0,_xlpm.inPlay+_xlpm.actC=0),"Dead",IF(AND($AJ104&lt;&gt;"",$AK104=FALSE),"Waiting on Dealer",IF(_xlpm.subC&gt;0,"Waiting on Lender",IF(AND(_xlpm.appC+_xlpm.actC&gt;0,_xlpm.nsC+_xlpm.wdC=0),"Rate Sheet","Application Submitted")))))))))</f>
        <v/>
      </c>
      <c r="M104" s="87"/>
      <c r="N104" s="87"/>
      <c r="O104" s="197"/>
      <c r="P104" s="87" t="str">
        <f>IF($A104="","",IF($AK104=TRUE,"Ready 2 Submit","Waiting on Dealer"))</f>
        <v/>
      </c>
      <c r="Q104" s="148"/>
      <c r="R104" s="87"/>
      <c r="S104" s="87"/>
      <c r="T104" s="87" t="str">
        <f>IF($A104="","",IF($AK104=TRUE,"Ready 2 Submit","Waiting on Dealer"))</f>
        <v/>
      </c>
      <c r="U104" s="148"/>
      <c r="V104" s="87"/>
      <c r="W104" s="87"/>
      <c r="X104" s="87" t="str">
        <f>IF($A104="","",IF($AK104=TRUE,"Ready 2 Submit","Waiting on Dealer"))</f>
        <v/>
      </c>
      <c r="Y104" s="148"/>
      <c r="Z104" s="87"/>
      <c r="AA104" s="87"/>
      <c r="AB104" s="87" t="str">
        <f>IF($A104="","",IF($AK104=TRUE,"Ready 2 Submit","Waiting on Dealer"))</f>
        <v/>
      </c>
      <c r="AC104" s="148"/>
      <c r="AD104" s="87"/>
      <c r="AE104" s="87"/>
      <c r="AF104" s="87" t="str">
        <f>IF($A104="","",IF($AK104=TRUE,"Ready 2 Submit","Waiting on Dealer"))</f>
        <v/>
      </c>
      <c r="AG104" s="148"/>
      <c r="AH104" s="87"/>
      <c r="AI104" s="87"/>
      <c r="AJ104" s="197"/>
      <c r="AK104" s="110" t="b">
        <v>0</v>
      </c>
      <c r="AL104" s="87" t="str" cm="1">
        <f t="array" ref="AL104">IF($A104="","",SUMPRODUCT((CHOOSE({1,2,3,4,5},$R104,$V104,$Z104,$AD104,$AH104)="Yes")*(((CHOOSE({1,2,3,4,5},$S104,$W104,$AA104,$AE104,$AI104)="Yes")+(CHOOSE({1,2,3,4,5},$S104,$W104,$AA104,$AE104,$AI104)=TRUE))&gt;0)))</f>
        <v/>
      </c>
      <c r="AM104" s="87"/>
      <c r="AN104" s="87" t="str">
        <f ca="1">IF(OR($A104="",$AM104=""),"",TODAY()-$AM104)</f>
        <v/>
      </c>
      <c r="AO104" s="87"/>
      <c r="AP104" s="106"/>
      <c r="AQ104" s="106"/>
      <c r="AR104" s="106"/>
      <c r="AS104" s="106"/>
      <c r="AT104" s="106"/>
      <c r="AU104" s="106"/>
      <c r="AV104" s="106"/>
      <c r="AW104" s="106"/>
      <c r="AX104" s="106"/>
      <c r="AY104" s="106"/>
    </row>
    <row r="105" spans="1:51" s="20" customFormat="1" ht="21" customHeight="1">
      <c r="A105" s="197"/>
      <c r="B105" s="87"/>
      <c r="C105" s="87"/>
      <c r="D105" s="196"/>
      <c r="E105" s="108"/>
      <c r="F105" s="196"/>
      <c r="G105" s="87"/>
      <c r="H105" s="197"/>
      <c r="I105" s="89"/>
      <c r="J105" s="204"/>
      <c r="K105" s="87"/>
      <c r="L105" s="87" t="str" cm="1">
        <f t="array" ref="L105">IF($A105="","",_xlfn.LET(_xlpm.stat,CHOOSE({1,2,3,4,5},$P105,$T105,$X105,$AB105,$AF105),_xlpm.rate,CHOOSE({1,2,3,4,5},$R105,$V105,$Z105,$AD105,$AH105),_xlpm.trn,CHOOSE({1,2,3,4,5},$S105,$W105,$AA105,$AE105,$AI105),_xlpm.nsC,SUMPRODUCT(--(_xlpm.stat="Ready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DLR",IF(AND(_xlpm.actRS&gt;0,_xlpm.actDone&lt;_xlpm.actRS),"Training",IF(_xlpm.actRS&gt;0,"Active",IF(AND(_xlpm.decC&gt;0,_xlpm.inPlay+_xlpm.actC=0),"Dead",IF(AND($AJ105&lt;&gt;"",$AK105=FALSE),"Waiting on Dealer",IF(_xlpm.subC&gt;0,"Waiting on Lender",IF(AND(_xlpm.appC+_xlpm.actC&gt;0,_xlpm.nsC+_xlpm.wdC=0),"Rate Sheet","Application Submitted")))))))))</f>
        <v/>
      </c>
      <c r="M105" s="87"/>
      <c r="N105" s="87"/>
      <c r="O105" s="197"/>
      <c r="P105" s="87" t="str">
        <f>IF($A105="","",IF($AK105=TRUE,"Ready 2 Submit","Waiting on Dealer"))</f>
        <v/>
      </c>
      <c r="Q105" s="148"/>
      <c r="R105" s="87"/>
      <c r="S105" s="87"/>
      <c r="T105" s="87" t="str">
        <f>IF($A105="","",IF($AK105=TRUE,"Ready 2 Submit","Waiting on Dealer"))</f>
        <v/>
      </c>
      <c r="U105" s="148"/>
      <c r="V105" s="87"/>
      <c r="W105" s="87"/>
      <c r="X105" s="87" t="str">
        <f>IF($A105="","",IF($AK105=TRUE,"Ready 2 Submit","Waiting on Dealer"))</f>
        <v/>
      </c>
      <c r="Y105" s="148"/>
      <c r="Z105" s="87"/>
      <c r="AA105" s="87"/>
      <c r="AB105" s="87" t="str">
        <f>IF($A105="","",IF($AK105=TRUE,"Ready 2 Submit","Waiting on Dealer"))</f>
        <v/>
      </c>
      <c r="AC105" s="148"/>
      <c r="AD105" s="87"/>
      <c r="AE105" s="87"/>
      <c r="AF105" s="87" t="str">
        <f>IF($A105="","",IF($AK105=TRUE,"Ready 2 Submit","Waiting on Dealer"))</f>
        <v/>
      </c>
      <c r="AG105" s="148"/>
      <c r="AH105" s="87"/>
      <c r="AI105" s="87"/>
      <c r="AJ105" s="197"/>
      <c r="AK105" s="110" t="b">
        <v>0</v>
      </c>
      <c r="AL105" s="87" t="str" cm="1">
        <f t="array" ref="AL105">IF($A105="","",SUMPRODUCT((CHOOSE({1,2,3,4,5},$R105,$V105,$Z105,$AD105,$AH105)="Yes")*(((CHOOSE({1,2,3,4,5},$S105,$W105,$AA105,$AE105,$AI105)="Yes")+(CHOOSE({1,2,3,4,5},$S105,$W105,$AA105,$AE105,$AI105)=TRUE))&gt;0)))</f>
        <v/>
      </c>
      <c r="AM105" s="87"/>
      <c r="AN105" s="87" t="str">
        <f ca="1">IF(OR($A105="",$AM105=""),"",TODAY()-$AM105)</f>
        <v/>
      </c>
      <c r="AO105" s="87"/>
      <c r="AP105" s="106"/>
      <c r="AQ105" s="106"/>
      <c r="AR105" s="106"/>
      <c r="AS105" s="106"/>
      <c r="AT105" s="106"/>
      <c r="AU105" s="106"/>
      <c r="AV105" s="106"/>
      <c r="AW105" s="106"/>
      <c r="AX105" s="106"/>
      <c r="AY105" s="106"/>
    </row>
    <row r="106" spans="1:51" s="20" customFormat="1" ht="21" customHeight="1">
      <c r="A106" s="197"/>
      <c r="B106" s="87"/>
      <c r="C106" s="87"/>
      <c r="D106" s="196"/>
      <c r="E106" s="108"/>
      <c r="F106" s="196"/>
      <c r="G106" s="87"/>
      <c r="H106" s="197"/>
      <c r="I106" s="89"/>
      <c r="J106" s="204"/>
      <c r="K106" s="87"/>
      <c r="L106" s="87" t="str" cm="1">
        <f t="array" ref="L106">IF($A106="","",_xlfn.LET(_xlpm.stat,CHOOSE({1,2,3,4,5},$P106,$T106,$X106,$AB106,$AF106),_xlpm.rate,CHOOSE({1,2,3,4,5},$R106,$V106,$Z106,$AD106,$AH106),_xlpm.trn,CHOOSE({1,2,3,4,5},$S106,$W106,$AA106,$AE106,$AI106),_xlpm.nsC,SUMPRODUCT(--(_xlpm.stat="Ready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DLR",IF(AND(_xlpm.actRS&gt;0,_xlpm.actDone&lt;_xlpm.actRS),"Training",IF(_xlpm.actRS&gt;0,"Active",IF(AND(_xlpm.decC&gt;0,_xlpm.inPlay+_xlpm.actC=0),"Dead",IF(AND($AJ106&lt;&gt;"",$AK106=FALSE),"Waiting on Dealer",IF(_xlpm.subC&gt;0,"Waiting on Lender",IF(AND(_xlpm.appC+_xlpm.actC&gt;0,_xlpm.nsC+_xlpm.wdC=0),"Rate Sheet","Application Submitted")))))))))</f>
        <v/>
      </c>
      <c r="M106" s="87"/>
      <c r="N106" s="87"/>
      <c r="O106" s="197"/>
      <c r="P106" s="87" t="str">
        <f>IF($A106="","",IF($AK106=TRUE,"Ready 2 Submit","Waiting on Dealer"))</f>
        <v/>
      </c>
      <c r="Q106" s="148"/>
      <c r="R106" s="87"/>
      <c r="S106" s="87"/>
      <c r="T106" s="87" t="str">
        <f>IF($A106="","",IF($AK106=TRUE,"Ready 2 Submit","Waiting on Dealer"))</f>
        <v/>
      </c>
      <c r="U106" s="148"/>
      <c r="V106" s="87"/>
      <c r="W106" s="87"/>
      <c r="X106" s="87" t="str">
        <f>IF($A106="","",IF($AK106=TRUE,"Ready 2 Submit","Waiting on Dealer"))</f>
        <v/>
      </c>
      <c r="Y106" s="148"/>
      <c r="Z106" s="87"/>
      <c r="AA106" s="87"/>
      <c r="AB106" s="87" t="str">
        <f>IF($A106="","",IF($AK106=TRUE,"Ready 2 Submit","Waiting on Dealer"))</f>
        <v/>
      </c>
      <c r="AC106" s="148"/>
      <c r="AD106" s="87"/>
      <c r="AE106" s="87"/>
      <c r="AF106" s="87" t="str">
        <f>IF($A106="","",IF($AK106=TRUE,"Ready 2 Submit","Waiting on Dealer"))</f>
        <v/>
      </c>
      <c r="AG106" s="148"/>
      <c r="AH106" s="87"/>
      <c r="AI106" s="87"/>
      <c r="AJ106" s="197"/>
      <c r="AK106" s="110" t="b">
        <v>0</v>
      </c>
      <c r="AL106" s="87" t="str" cm="1">
        <f t="array" ref="AL106">IF($A106="","",SUMPRODUCT((CHOOSE({1,2,3,4,5},$R106,$V106,$Z106,$AD106,$AH106)="Yes")*(((CHOOSE({1,2,3,4,5},$S106,$W106,$AA106,$AE106,$AI106)="Yes")+(CHOOSE({1,2,3,4,5},$S106,$W106,$AA106,$AE106,$AI106)=TRUE))&gt;0)))</f>
        <v/>
      </c>
      <c r="AM106" s="87"/>
      <c r="AN106" s="87" t="str">
        <f ca="1">IF(OR($A106="",$AM106=""),"",TODAY()-$AM106)</f>
        <v/>
      </c>
      <c r="AO106" s="87"/>
      <c r="AP106" s="106"/>
      <c r="AQ106" s="106"/>
      <c r="AR106" s="106"/>
      <c r="AS106" s="106"/>
      <c r="AT106" s="106"/>
      <c r="AU106" s="106"/>
      <c r="AV106" s="106"/>
      <c r="AW106" s="106"/>
      <c r="AX106" s="106"/>
      <c r="AY106" s="106"/>
    </row>
    <row r="107" spans="1:51" s="20" customFormat="1" ht="21" customHeight="1">
      <c r="A107" s="197"/>
      <c r="B107" s="87"/>
      <c r="C107" s="87"/>
      <c r="D107" s="196"/>
      <c r="E107" s="108"/>
      <c r="F107" s="196"/>
      <c r="G107" s="87"/>
      <c r="H107" s="197"/>
      <c r="I107" s="89"/>
      <c r="J107" s="204"/>
      <c r="K107" s="87"/>
      <c r="L107" s="87" t="str" cm="1">
        <f t="array" ref="L107">IF($A107="","",_xlfn.LET(_xlpm.stat,CHOOSE({1,2,3,4,5},$P107,$T107,$X107,$AB107,$AF107),_xlpm.rate,CHOOSE({1,2,3,4,5},$R107,$V107,$Z107,$AD107,$AH107),_xlpm.trn,CHOOSE({1,2,3,4,5},$S107,$W107,$AA107,$AE107,$AI107),_xlpm.nsC,SUMPRODUCT(--(_xlpm.stat="Ready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DLR",IF(AND(_xlpm.actRS&gt;0,_xlpm.actDone&lt;_xlpm.actRS),"Training",IF(_xlpm.actRS&gt;0,"Active",IF(AND(_xlpm.decC&gt;0,_xlpm.inPlay+_xlpm.actC=0),"Dead",IF(AND($AJ107&lt;&gt;"",$AK107=FALSE),"Waiting on Dealer",IF(_xlpm.subC&gt;0,"Waiting on Lender",IF(AND(_xlpm.appC+_xlpm.actC&gt;0,_xlpm.nsC+_xlpm.wdC=0),"Rate Sheet","Application Submitted")))))))))</f>
        <v/>
      </c>
      <c r="M107" s="87"/>
      <c r="N107" s="87"/>
      <c r="O107" s="197"/>
      <c r="P107" s="87" t="str">
        <f>IF($A107="","",IF($AK107=TRUE,"Ready 2 Submit","Waiting on Dealer"))</f>
        <v/>
      </c>
      <c r="Q107" s="148"/>
      <c r="R107" s="87"/>
      <c r="S107" s="87"/>
      <c r="T107" s="87" t="str">
        <f>IF($A107="","",IF($AK107=TRUE,"Ready 2 Submit","Waiting on Dealer"))</f>
        <v/>
      </c>
      <c r="U107" s="148"/>
      <c r="V107" s="87"/>
      <c r="W107" s="87"/>
      <c r="X107" s="87" t="str">
        <f>IF($A107="","",IF($AK107=TRUE,"Ready 2 Submit","Waiting on Dealer"))</f>
        <v/>
      </c>
      <c r="Y107" s="148"/>
      <c r="Z107" s="87"/>
      <c r="AA107" s="87"/>
      <c r="AB107" s="87" t="str">
        <f>IF($A107="","",IF($AK107=TRUE,"Ready 2 Submit","Waiting on Dealer"))</f>
        <v/>
      </c>
      <c r="AC107" s="148"/>
      <c r="AD107" s="87"/>
      <c r="AE107" s="87"/>
      <c r="AF107" s="87" t="str">
        <f>IF($A107="","",IF($AK107=TRUE,"Ready 2 Submit","Waiting on Dealer"))</f>
        <v/>
      </c>
      <c r="AG107" s="148"/>
      <c r="AH107" s="87"/>
      <c r="AI107" s="87"/>
      <c r="AJ107" s="197"/>
      <c r="AK107" s="110" t="b">
        <v>0</v>
      </c>
      <c r="AL107" s="87" t="str" cm="1">
        <f t="array" ref="AL107">IF($A107="","",SUMPRODUCT((CHOOSE({1,2,3,4,5},$R107,$V107,$Z107,$AD107,$AH107)="Yes")*(((CHOOSE({1,2,3,4,5},$S107,$W107,$AA107,$AE107,$AI107)="Yes")+(CHOOSE({1,2,3,4,5},$S107,$W107,$AA107,$AE107,$AI107)=TRUE))&gt;0)))</f>
        <v/>
      </c>
      <c r="AM107" s="87"/>
      <c r="AN107" s="87" t="str">
        <f ca="1">IF(OR($A107="",$AM107=""),"",TODAY()-$AM107)</f>
        <v/>
      </c>
      <c r="AO107" s="87"/>
      <c r="AP107" s="106"/>
      <c r="AQ107" s="106"/>
      <c r="AR107" s="106"/>
      <c r="AS107" s="106"/>
      <c r="AT107" s="106"/>
      <c r="AU107" s="106"/>
      <c r="AV107" s="106"/>
      <c r="AW107" s="106"/>
      <c r="AX107" s="106"/>
      <c r="AY107" s="106"/>
    </row>
    <row r="108" spans="1:51" s="20" customFormat="1" ht="21" customHeight="1">
      <c r="A108" s="197"/>
      <c r="B108" s="87"/>
      <c r="C108" s="87"/>
      <c r="D108" s="196"/>
      <c r="E108" s="108"/>
      <c r="F108" s="196"/>
      <c r="G108" s="87"/>
      <c r="H108" s="197"/>
      <c r="I108" s="89"/>
      <c r="J108" s="204"/>
      <c r="K108" s="87"/>
      <c r="L108" s="87" t="str" cm="1">
        <f t="array" ref="L108">IF($A108="","",_xlfn.LET(_xlpm.stat,CHOOSE({1,2,3,4,5},$P108,$T108,$X108,$AB108,$AF108),_xlpm.rate,CHOOSE({1,2,3,4,5},$R108,$V108,$Z108,$AD108,$AH108),_xlpm.trn,CHOOSE({1,2,3,4,5},$S108,$W108,$AA108,$AE108,$AI108),_xlpm.nsC,SUMPRODUCT(--(_xlpm.stat="Ready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DLR",IF(AND(_xlpm.actRS&gt;0,_xlpm.actDone&lt;_xlpm.actRS),"Training",IF(_xlpm.actRS&gt;0,"Active",IF(AND(_xlpm.decC&gt;0,_xlpm.inPlay+_xlpm.actC=0),"Dead",IF(AND($AJ108&lt;&gt;"",$AK108=FALSE),"Waiting on Dealer",IF(_xlpm.subC&gt;0,"Waiting on Lender",IF(AND(_xlpm.appC+_xlpm.actC&gt;0,_xlpm.nsC+_xlpm.wdC=0),"Rate Sheet","Application Submitted")))))))))</f>
        <v/>
      </c>
      <c r="M108" s="87"/>
      <c r="N108" s="87"/>
      <c r="O108" s="197"/>
      <c r="P108" s="87" t="str">
        <f>IF($A108="","",IF($AK108=TRUE,"Ready 2 Submit","Waiting on Dealer"))</f>
        <v/>
      </c>
      <c r="Q108" s="148"/>
      <c r="R108" s="87"/>
      <c r="S108" s="87"/>
      <c r="T108" s="87" t="str">
        <f>IF($A108="","",IF($AK108=TRUE,"Ready 2 Submit","Waiting on Dealer"))</f>
        <v/>
      </c>
      <c r="U108" s="148"/>
      <c r="V108" s="87"/>
      <c r="W108" s="87"/>
      <c r="X108" s="87" t="str">
        <f>IF($A108="","",IF($AK108=TRUE,"Ready 2 Submit","Waiting on Dealer"))</f>
        <v/>
      </c>
      <c r="Y108" s="148"/>
      <c r="Z108" s="87"/>
      <c r="AA108" s="87"/>
      <c r="AB108" s="87" t="str">
        <f>IF($A108="","",IF($AK108=TRUE,"Ready 2 Submit","Waiting on Dealer"))</f>
        <v/>
      </c>
      <c r="AC108" s="148"/>
      <c r="AD108" s="87"/>
      <c r="AE108" s="87"/>
      <c r="AF108" s="87" t="str">
        <f>IF($A108="","",IF($AK108=TRUE,"Ready 2 Submit","Waiting on Dealer"))</f>
        <v/>
      </c>
      <c r="AG108" s="148"/>
      <c r="AH108" s="87"/>
      <c r="AI108" s="87"/>
      <c r="AJ108" s="197"/>
      <c r="AK108" s="110" t="b">
        <v>0</v>
      </c>
      <c r="AL108" s="87" t="str" cm="1">
        <f t="array" ref="AL108">IF($A108="","",SUMPRODUCT((CHOOSE({1,2,3,4,5},$R108,$V108,$Z108,$AD108,$AH108)="Yes")*(((CHOOSE({1,2,3,4,5},$S108,$W108,$AA108,$AE108,$AI108)="Yes")+(CHOOSE({1,2,3,4,5},$S108,$W108,$AA108,$AE108,$AI108)=TRUE))&gt;0)))</f>
        <v/>
      </c>
      <c r="AM108" s="87"/>
      <c r="AN108" s="87" t="str">
        <f ca="1">IF(OR($A108="",$AM108=""),"",TODAY()-$AM108)</f>
        <v/>
      </c>
      <c r="AO108" s="87"/>
      <c r="AP108" s="106"/>
      <c r="AQ108" s="106"/>
      <c r="AR108" s="106"/>
      <c r="AS108" s="106"/>
      <c r="AT108" s="106"/>
      <c r="AU108" s="106"/>
      <c r="AV108" s="106"/>
      <c r="AW108" s="106"/>
      <c r="AX108" s="106"/>
      <c r="AY108" s="106"/>
    </row>
    <row r="109" spans="1:51" s="20" customFormat="1" ht="21" customHeight="1">
      <c r="A109" s="197"/>
      <c r="B109" s="87"/>
      <c r="C109" s="87"/>
      <c r="D109" s="196"/>
      <c r="E109" s="108"/>
      <c r="F109" s="196"/>
      <c r="G109" s="87"/>
      <c r="H109" s="197"/>
      <c r="I109" s="89"/>
      <c r="J109" s="204"/>
      <c r="K109" s="87"/>
      <c r="L109" s="87" t="str" cm="1">
        <f t="array" ref="L109">IF($A109="","",_xlfn.LET(_xlpm.stat,CHOOSE({1,2,3,4,5},$P109,$T109,$X109,$AB109,$AF109),_xlpm.rate,CHOOSE({1,2,3,4,5},$R109,$V109,$Z109,$AD109,$AH109),_xlpm.trn,CHOOSE({1,2,3,4,5},$S109,$W109,$AA109,$AE109,$AI109),_xlpm.nsC,SUMPRODUCT(--(_xlpm.stat="Ready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DLR",IF(AND(_xlpm.actRS&gt;0,_xlpm.actDone&lt;_xlpm.actRS),"Training",IF(_xlpm.actRS&gt;0,"Active",IF(AND(_xlpm.decC&gt;0,_xlpm.inPlay+_xlpm.actC=0),"Dead",IF(AND($AJ109&lt;&gt;"",$AK109=FALSE),"Waiting on Dealer",IF(_xlpm.subC&gt;0,"Waiting on Lender",IF(AND(_xlpm.appC+_xlpm.actC&gt;0,_xlpm.nsC+_xlpm.wdC=0),"Rate Sheet","Application Submitted")))))))))</f>
        <v/>
      </c>
      <c r="M109" s="87"/>
      <c r="N109" s="87"/>
      <c r="O109" s="197"/>
      <c r="P109" s="87" t="str">
        <f>IF($A109="","",IF($AK109=TRUE,"Ready 2 Submit","Waiting on Dealer"))</f>
        <v/>
      </c>
      <c r="Q109" s="148"/>
      <c r="R109" s="87"/>
      <c r="S109" s="87"/>
      <c r="T109" s="87" t="str">
        <f>IF($A109="","",IF($AK109=TRUE,"Ready 2 Submit","Waiting on Dealer"))</f>
        <v/>
      </c>
      <c r="U109" s="148"/>
      <c r="V109" s="87"/>
      <c r="W109" s="87"/>
      <c r="X109" s="87" t="str">
        <f>IF($A109="","",IF($AK109=TRUE,"Ready 2 Submit","Waiting on Dealer"))</f>
        <v/>
      </c>
      <c r="Y109" s="148"/>
      <c r="Z109" s="87"/>
      <c r="AA109" s="87"/>
      <c r="AB109" s="87" t="str">
        <f>IF($A109="","",IF($AK109=TRUE,"Ready 2 Submit","Waiting on Dealer"))</f>
        <v/>
      </c>
      <c r="AC109" s="148"/>
      <c r="AD109" s="87"/>
      <c r="AE109" s="87"/>
      <c r="AF109" s="87" t="str">
        <f>IF($A109="","",IF($AK109=TRUE,"Ready 2 Submit","Waiting on Dealer"))</f>
        <v/>
      </c>
      <c r="AG109" s="148"/>
      <c r="AH109" s="87"/>
      <c r="AI109" s="87"/>
      <c r="AJ109" s="197"/>
      <c r="AK109" s="110" t="b">
        <v>0</v>
      </c>
      <c r="AL109" s="87" t="str" cm="1">
        <f t="array" ref="AL109">IF($A109="","",SUMPRODUCT((CHOOSE({1,2,3,4,5},$R109,$V109,$Z109,$AD109,$AH109)="Yes")*(((CHOOSE({1,2,3,4,5},$S109,$W109,$AA109,$AE109,$AI109)="Yes")+(CHOOSE({1,2,3,4,5},$S109,$W109,$AA109,$AE109,$AI109)=TRUE))&gt;0)))</f>
        <v/>
      </c>
      <c r="AM109" s="87"/>
      <c r="AN109" s="87" t="str">
        <f ca="1">IF(OR($A109="",$AM109=""),"",TODAY()-$AM109)</f>
        <v/>
      </c>
      <c r="AO109" s="87"/>
      <c r="AP109" s="106"/>
      <c r="AQ109" s="106"/>
      <c r="AR109" s="106"/>
      <c r="AS109" s="106"/>
      <c r="AT109" s="106"/>
      <c r="AU109" s="106"/>
      <c r="AV109" s="106"/>
      <c r="AW109" s="106"/>
      <c r="AX109" s="106"/>
      <c r="AY109" s="106"/>
    </row>
    <row r="110" spans="1:51" s="20" customFormat="1" ht="21" customHeight="1">
      <c r="A110" s="197"/>
      <c r="B110" s="87"/>
      <c r="C110" s="87"/>
      <c r="D110" s="196"/>
      <c r="E110" s="108"/>
      <c r="F110" s="196"/>
      <c r="G110" s="87"/>
      <c r="H110" s="197"/>
      <c r="I110" s="89"/>
      <c r="J110" s="204"/>
      <c r="K110" s="87"/>
      <c r="L110" s="87" t="str" cm="1">
        <f t="array" ref="L110">IF($A110="","",_xlfn.LET(_xlpm.stat,CHOOSE({1,2,3,4,5},$P110,$T110,$X110,$AB110,$AF110),_xlpm.rate,CHOOSE({1,2,3,4,5},$R110,$V110,$Z110,$AD110,$AH110),_xlpm.trn,CHOOSE({1,2,3,4,5},$S110,$W110,$AA110,$AE110,$AI110),_xlpm.nsC,SUMPRODUCT(--(_xlpm.stat="Ready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DLR",IF(AND(_xlpm.actRS&gt;0,_xlpm.actDone&lt;_xlpm.actRS),"Training",IF(_xlpm.actRS&gt;0,"Active",IF(AND(_xlpm.decC&gt;0,_xlpm.inPlay+_xlpm.actC=0),"Dead",IF(AND($AJ110&lt;&gt;"",$AK110=FALSE),"Waiting on Dealer",IF(_xlpm.subC&gt;0,"Waiting on Lender",IF(AND(_xlpm.appC+_xlpm.actC&gt;0,_xlpm.nsC+_xlpm.wdC=0),"Rate Sheet","Application Submitted")))))))))</f>
        <v/>
      </c>
      <c r="M110" s="87"/>
      <c r="N110" s="87"/>
      <c r="O110" s="197"/>
      <c r="P110" s="87" t="str">
        <f>IF($A110="","",IF($AK110=TRUE,"Ready 2 Submit","Waiting on Dealer"))</f>
        <v/>
      </c>
      <c r="Q110" s="148"/>
      <c r="R110" s="87"/>
      <c r="S110" s="87"/>
      <c r="T110" s="87" t="str">
        <f>IF($A110="","",IF($AK110=TRUE,"Ready 2 Submit","Waiting on Dealer"))</f>
        <v/>
      </c>
      <c r="U110" s="148"/>
      <c r="V110" s="87"/>
      <c r="W110" s="87"/>
      <c r="X110" s="87" t="str">
        <f>IF($A110="","",IF($AK110=TRUE,"Ready 2 Submit","Waiting on Dealer"))</f>
        <v/>
      </c>
      <c r="Y110" s="148"/>
      <c r="Z110" s="87"/>
      <c r="AA110" s="87"/>
      <c r="AB110" s="87" t="str">
        <f>IF($A110="","",IF($AK110=TRUE,"Ready 2 Submit","Waiting on Dealer"))</f>
        <v/>
      </c>
      <c r="AC110" s="148"/>
      <c r="AD110" s="87"/>
      <c r="AE110" s="87"/>
      <c r="AF110" s="87" t="str">
        <f>IF($A110="","",IF($AK110=TRUE,"Ready 2 Submit","Waiting on Dealer"))</f>
        <v/>
      </c>
      <c r="AG110" s="148"/>
      <c r="AH110" s="87"/>
      <c r="AI110" s="87"/>
      <c r="AJ110" s="197"/>
      <c r="AK110" s="110" t="b">
        <v>0</v>
      </c>
      <c r="AL110" s="87" t="str" cm="1">
        <f t="array" ref="AL110">IF($A110="","",SUMPRODUCT((CHOOSE({1,2,3,4,5},$R110,$V110,$Z110,$AD110,$AH110)="Yes")*(((CHOOSE({1,2,3,4,5},$S110,$W110,$AA110,$AE110,$AI110)="Yes")+(CHOOSE({1,2,3,4,5},$S110,$W110,$AA110,$AE110,$AI110)=TRUE))&gt;0)))</f>
        <v/>
      </c>
      <c r="AM110" s="87"/>
      <c r="AN110" s="87" t="str">
        <f ca="1">IF(OR($A110="",$AM110=""),"",TODAY()-$AM110)</f>
        <v/>
      </c>
      <c r="AO110" s="87"/>
      <c r="AP110" s="106"/>
      <c r="AQ110" s="106"/>
      <c r="AR110" s="106"/>
      <c r="AS110" s="106"/>
      <c r="AT110" s="106"/>
      <c r="AU110" s="106"/>
      <c r="AV110" s="106"/>
      <c r="AW110" s="106"/>
      <c r="AX110" s="106"/>
      <c r="AY110" s="106"/>
    </row>
    <row r="111" spans="1:51" s="20" customFormat="1" ht="21" customHeight="1">
      <c r="A111" s="197"/>
      <c r="B111" s="87"/>
      <c r="C111" s="87"/>
      <c r="D111" s="196"/>
      <c r="E111" s="108"/>
      <c r="F111" s="196"/>
      <c r="G111" s="87"/>
      <c r="H111" s="197"/>
      <c r="I111" s="89"/>
      <c r="J111" s="204"/>
      <c r="K111" s="87"/>
      <c r="L111" s="87" t="str" cm="1">
        <f t="array" ref="L111">IF($A111="","",_xlfn.LET(_xlpm.stat,CHOOSE({1,2,3,4,5},$P111,$T111,$X111,$AB111,$AF111),_xlpm.rate,CHOOSE({1,2,3,4,5},$R111,$V111,$Z111,$AD111,$AH111),_xlpm.trn,CHOOSE({1,2,3,4,5},$S111,$W111,$AA111,$AE111,$AI111),_xlpm.nsC,SUMPRODUCT(--(_xlpm.stat="Ready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DLR",IF(AND(_xlpm.actRS&gt;0,_xlpm.actDone&lt;_xlpm.actRS),"Training",IF(_xlpm.actRS&gt;0,"Active",IF(AND(_xlpm.decC&gt;0,_xlpm.inPlay+_xlpm.actC=0),"Dead",IF(AND($AJ111&lt;&gt;"",$AK111=FALSE),"Waiting on Dealer",IF(_xlpm.subC&gt;0,"Waiting on Lender",IF(AND(_xlpm.appC+_xlpm.actC&gt;0,_xlpm.nsC+_xlpm.wdC=0),"Rate Sheet","Application Submitted")))))))))</f>
        <v/>
      </c>
      <c r="M111" s="87"/>
      <c r="N111" s="87"/>
      <c r="O111" s="197"/>
      <c r="P111" s="87" t="str">
        <f>IF($A111="","",IF($AK111=TRUE,"Ready 2 Submit","Waiting on Dealer"))</f>
        <v/>
      </c>
      <c r="Q111" s="148"/>
      <c r="R111" s="87"/>
      <c r="S111" s="87"/>
      <c r="T111" s="87" t="str">
        <f>IF($A111="","",IF($AK111=TRUE,"Ready 2 Submit","Waiting on Dealer"))</f>
        <v/>
      </c>
      <c r="U111" s="148"/>
      <c r="V111" s="87"/>
      <c r="W111" s="87"/>
      <c r="X111" s="87" t="str">
        <f>IF($A111="","",IF($AK111=TRUE,"Ready 2 Submit","Waiting on Dealer"))</f>
        <v/>
      </c>
      <c r="Y111" s="148"/>
      <c r="Z111" s="87"/>
      <c r="AA111" s="87"/>
      <c r="AB111" s="87" t="str">
        <f>IF($A111="","",IF($AK111=TRUE,"Ready 2 Submit","Waiting on Dealer"))</f>
        <v/>
      </c>
      <c r="AC111" s="148"/>
      <c r="AD111" s="87"/>
      <c r="AE111" s="87"/>
      <c r="AF111" s="87" t="str">
        <f>IF($A111="","",IF($AK111=TRUE,"Ready 2 Submit","Waiting on Dealer"))</f>
        <v/>
      </c>
      <c r="AG111" s="148"/>
      <c r="AH111" s="87"/>
      <c r="AI111" s="87"/>
      <c r="AJ111" s="197"/>
      <c r="AK111" s="110" t="b">
        <v>0</v>
      </c>
      <c r="AL111" s="87" t="str" cm="1">
        <f t="array" ref="AL111">IF($A111="","",SUMPRODUCT((CHOOSE({1,2,3,4,5},$R111,$V111,$Z111,$AD111,$AH111)="Yes")*(((CHOOSE({1,2,3,4,5},$S111,$W111,$AA111,$AE111,$AI111)="Yes")+(CHOOSE({1,2,3,4,5},$S111,$W111,$AA111,$AE111,$AI111)=TRUE))&gt;0)))</f>
        <v/>
      </c>
      <c r="AM111" s="87"/>
      <c r="AN111" s="87" t="str">
        <f ca="1">IF(OR($A111="",$AM111=""),"",TODAY()-$AM111)</f>
        <v/>
      </c>
      <c r="AO111" s="87"/>
      <c r="AP111" s="106"/>
      <c r="AQ111" s="106"/>
      <c r="AR111" s="106"/>
      <c r="AS111" s="106"/>
      <c r="AT111" s="106"/>
      <c r="AU111" s="106"/>
      <c r="AV111" s="106"/>
      <c r="AW111" s="106"/>
      <c r="AX111" s="106"/>
      <c r="AY111" s="106"/>
    </row>
    <row r="112" spans="1:51" s="20" customFormat="1" ht="21" customHeight="1">
      <c r="A112" s="197"/>
      <c r="B112" s="87"/>
      <c r="C112" s="87"/>
      <c r="D112" s="196"/>
      <c r="E112" s="108"/>
      <c r="F112" s="196"/>
      <c r="G112" s="87"/>
      <c r="H112" s="197"/>
      <c r="I112" s="89"/>
      <c r="J112" s="204"/>
      <c r="K112" s="87"/>
      <c r="L112" s="87" t="str" cm="1">
        <f t="array" ref="L112">IF($A112="","",_xlfn.LET(_xlpm.stat,CHOOSE({1,2,3,4,5},$P112,$T112,$X112,$AB112,$AF112),_xlpm.rate,CHOOSE({1,2,3,4,5},$R112,$V112,$Z112,$AD112,$AH112),_xlpm.trn,CHOOSE({1,2,3,4,5},$S112,$W112,$AA112,$AE112,$AI112),_xlpm.nsC,SUMPRODUCT(--(_xlpm.stat="Ready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DLR",IF(AND(_xlpm.actRS&gt;0,_xlpm.actDone&lt;_xlpm.actRS),"Training",IF(_xlpm.actRS&gt;0,"Active",IF(AND(_xlpm.decC&gt;0,_xlpm.inPlay+_xlpm.actC=0),"Dead",IF(AND($AJ112&lt;&gt;"",$AK112=FALSE),"Waiting on Dealer",IF(_xlpm.subC&gt;0,"Waiting on Lender",IF(AND(_xlpm.appC+_xlpm.actC&gt;0,_xlpm.nsC+_xlpm.wdC=0),"Rate Sheet","Application Submitted")))))))))</f>
        <v/>
      </c>
      <c r="M112" s="87"/>
      <c r="N112" s="87"/>
      <c r="O112" s="197"/>
      <c r="P112" s="87" t="str">
        <f>IF($A112="","",IF($AK112=TRUE,"Ready 2 Submit","Waiting on Dealer"))</f>
        <v/>
      </c>
      <c r="Q112" s="148"/>
      <c r="R112" s="87"/>
      <c r="S112" s="87"/>
      <c r="T112" s="87" t="str">
        <f>IF($A112="","",IF($AK112=TRUE,"Ready 2 Submit","Waiting on Dealer"))</f>
        <v/>
      </c>
      <c r="U112" s="148"/>
      <c r="V112" s="87"/>
      <c r="W112" s="87"/>
      <c r="X112" s="87" t="str">
        <f>IF($A112="","",IF($AK112=TRUE,"Ready 2 Submit","Waiting on Dealer"))</f>
        <v/>
      </c>
      <c r="Y112" s="148"/>
      <c r="Z112" s="87"/>
      <c r="AA112" s="87"/>
      <c r="AB112" s="87" t="str">
        <f>IF($A112="","",IF($AK112=TRUE,"Ready 2 Submit","Waiting on Dealer"))</f>
        <v/>
      </c>
      <c r="AC112" s="148"/>
      <c r="AD112" s="87"/>
      <c r="AE112" s="87"/>
      <c r="AF112" s="87" t="str">
        <f>IF($A112="","",IF($AK112=TRUE,"Ready 2 Submit","Waiting on Dealer"))</f>
        <v/>
      </c>
      <c r="AG112" s="148"/>
      <c r="AH112" s="87"/>
      <c r="AI112" s="87"/>
      <c r="AJ112" s="197"/>
      <c r="AK112" s="110" t="b">
        <v>0</v>
      </c>
      <c r="AL112" s="87" t="str" cm="1">
        <f t="array" ref="AL112">IF($A112="","",SUMPRODUCT((CHOOSE({1,2,3,4,5},$R112,$V112,$Z112,$AD112,$AH112)="Yes")*(((CHOOSE({1,2,3,4,5},$S112,$W112,$AA112,$AE112,$AI112)="Yes")+(CHOOSE({1,2,3,4,5},$S112,$W112,$AA112,$AE112,$AI112)=TRUE))&gt;0)))</f>
        <v/>
      </c>
      <c r="AM112" s="87"/>
      <c r="AN112" s="87" t="str">
        <f ca="1">IF(OR($A112="",$AM112=""),"",TODAY()-$AM112)</f>
        <v/>
      </c>
      <c r="AO112" s="87"/>
      <c r="AP112" s="106"/>
      <c r="AQ112" s="106"/>
      <c r="AR112" s="106"/>
      <c r="AS112" s="106"/>
      <c r="AT112" s="106"/>
      <c r="AU112" s="106"/>
      <c r="AV112" s="106"/>
      <c r="AW112" s="106"/>
      <c r="AX112" s="106"/>
      <c r="AY112" s="106"/>
    </row>
    <row r="113" spans="1:51" s="20" customFormat="1" ht="21" customHeight="1">
      <c r="A113" s="197"/>
      <c r="B113" s="87"/>
      <c r="C113" s="87"/>
      <c r="D113" s="196"/>
      <c r="E113" s="108"/>
      <c r="F113" s="196"/>
      <c r="G113" s="87"/>
      <c r="H113" s="197"/>
      <c r="I113" s="89"/>
      <c r="J113" s="204"/>
      <c r="K113" s="87"/>
      <c r="L113" s="87" t="str" cm="1">
        <f t="array" ref="L113">IF($A113="","",_xlfn.LET(_xlpm.stat,CHOOSE({1,2,3,4,5},$P113,$T113,$X113,$AB113,$AF113),_xlpm.rate,CHOOSE({1,2,3,4,5},$R113,$V113,$Z113,$AD113,$AH113),_xlpm.trn,CHOOSE({1,2,3,4,5},$S113,$W113,$AA113,$AE113,$AI113),_xlpm.nsC,SUMPRODUCT(--(_xlpm.stat="Ready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DLR",IF(AND(_xlpm.actRS&gt;0,_xlpm.actDone&lt;_xlpm.actRS),"Training",IF(_xlpm.actRS&gt;0,"Active",IF(AND(_xlpm.decC&gt;0,_xlpm.inPlay+_xlpm.actC=0),"Dead",IF(AND($AJ113&lt;&gt;"",$AK113=FALSE),"Waiting on Dealer",IF(_xlpm.subC&gt;0,"Waiting on Lender",IF(AND(_xlpm.appC+_xlpm.actC&gt;0,_xlpm.nsC+_xlpm.wdC=0),"Rate Sheet","Application Submitted")))))))))</f>
        <v/>
      </c>
      <c r="M113" s="87"/>
      <c r="N113" s="87"/>
      <c r="O113" s="197"/>
      <c r="P113" s="87" t="str">
        <f>IF($A113="","",IF($AK113=TRUE,"Ready 2 Submit","Waiting on Dealer"))</f>
        <v/>
      </c>
      <c r="Q113" s="148"/>
      <c r="R113" s="87"/>
      <c r="S113" s="87"/>
      <c r="T113" s="87" t="str">
        <f>IF($A113="","",IF($AK113=TRUE,"Ready 2 Submit","Waiting on Dealer"))</f>
        <v/>
      </c>
      <c r="U113" s="148"/>
      <c r="V113" s="87"/>
      <c r="W113" s="87"/>
      <c r="X113" s="87" t="str">
        <f>IF($A113="","",IF($AK113=TRUE,"Ready 2 Submit","Waiting on Dealer"))</f>
        <v/>
      </c>
      <c r="Y113" s="148"/>
      <c r="Z113" s="87"/>
      <c r="AA113" s="87"/>
      <c r="AB113" s="87" t="str">
        <f>IF($A113="","",IF($AK113=TRUE,"Ready 2 Submit","Waiting on Dealer"))</f>
        <v/>
      </c>
      <c r="AC113" s="148"/>
      <c r="AD113" s="87"/>
      <c r="AE113" s="87"/>
      <c r="AF113" s="87" t="str">
        <f>IF($A113="","",IF($AK113=TRUE,"Ready 2 Submit","Waiting on Dealer"))</f>
        <v/>
      </c>
      <c r="AG113" s="148"/>
      <c r="AH113" s="87"/>
      <c r="AI113" s="87"/>
      <c r="AJ113" s="197"/>
      <c r="AK113" s="110" t="b">
        <v>0</v>
      </c>
      <c r="AL113" s="87" t="str" cm="1">
        <f t="array" ref="AL113">IF($A113="","",SUMPRODUCT((CHOOSE({1,2,3,4,5},$R113,$V113,$Z113,$AD113,$AH113)="Yes")*(((CHOOSE({1,2,3,4,5},$S113,$W113,$AA113,$AE113,$AI113)="Yes")+(CHOOSE({1,2,3,4,5},$S113,$W113,$AA113,$AE113,$AI113)=TRUE))&gt;0)))</f>
        <v/>
      </c>
      <c r="AM113" s="87"/>
      <c r="AN113" s="87" t="str">
        <f ca="1">IF(OR($A113="",$AM113=""),"",TODAY()-$AM113)</f>
        <v/>
      </c>
      <c r="AO113" s="87"/>
      <c r="AP113" s="106"/>
      <c r="AQ113" s="106"/>
      <c r="AR113" s="106"/>
      <c r="AS113" s="106"/>
      <c r="AT113" s="106"/>
      <c r="AU113" s="106"/>
      <c r="AV113" s="106"/>
      <c r="AW113" s="106"/>
      <c r="AX113" s="106"/>
      <c r="AY113" s="106"/>
    </row>
    <row r="114" spans="1:51" s="20" customFormat="1" ht="21" customHeight="1">
      <c r="A114" s="197"/>
      <c r="B114" s="87"/>
      <c r="C114" s="87"/>
      <c r="D114" s="196"/>
      <c r="E114" s="108"/>
      <c r="F114" s="196"/>
      <c r="G114" s="87"/>
      <c r="H114" s="197"/>
      <c r="I114" s="89"/>
      <c r="J114" s="204"/>
      <c r="K114" s="87"/>
      <c r="L114" s="87" t="str" cm="1">
        <f t="array" ref="L114">IF($A114="","",_xlfn.LET(_xlpm.stat,CHOOSE({1,2,3,4,5},$P114,$T114,$X114,$AB114,$AF114),_xlpm.rate,CHOOSE({1,2,3,4,5},$R114,$V114,$Z114,$AD114,$AH114),_xlpm.trn,CHOOSE({1,2,3,4,5},$S114,$W114,$AA114,$AE114,$AI114),_xlpm.nsC,SUMPRODUCT(--(_xlpm.stat="Ready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DLR",IF(AND(_xlpm.actRS&gt;0,_xlpm.actDone&lt;_xlpm.actRS),"Training",IF(_xlpm.actRS&gt;0,"Active",IF(AND(_xlpm.decC&gt;0,_xlpm.inPlay+_xlpm.actC=0),"Dead",IF(AND($AJ114&lt;&gt;"",$AK114=FALSE),"Waiting on Dealer",IF(_xlpm.subC&gt;0,"Waiting on Lender",IF(AND(_xlpm.appC+_xlpm.actC&gt;0,_xlpm.nsC+_xlpm.wdC=0),"Rate Sheet","Application Submitted")))))))))</f>
        <v/>
      </c>
      <c r="M114" s="87"/>
      <c r="N114" s="87"/>
      <c r="O114" s="197"/>
      <c r="P114" s="87" t="str">
        <f>IF($A114="","",IF($AK114=TRUE,"Ready 2 Submit","Waiting on Dealer"))</f>
        <v/>
      </c>
      <c r="Q114" s="148"/>
      <c r="R114" s="87"/>
      <c r="S114" s="87"/>
      <c r="T114" s="87" t="str">
        <f>IF($A114="","",IF($AK114=TRUE,"Ready 2 Submit","Waiting on Dealer"))</f>
        <v/>
      </c>
      <c r="U114" s="148"/>
      <c r="V114" s="87"/>
      <c r="W114" s="87"/>
      <c r="X114" s="87" t="str">
        <f>IF($A114="","",IF($AK114=TRUE,"Ready 2 Submit","Waiting on Dealer"))</f>
        <v/>
      </c>
      <c r="Y114" s="148"/>
      <c r="Z114" s="87"/>
      <c r="AA114" s="87"/>
      <c r="AB114" s="87" t="str">
        <f>IF($A114="","",IF($AK114=TRUE,"Ready 2 Submit","Waiting on Dealer"))</f>
        <v/>
      </c>
      <c r="AC114" s="148"/>
      <c r="AD114" s="87"/>
      <c r="AE114" s="87"/>
      <c r="AF114" s="87" t="str">
        <f>IF($A114="","",IF($AK114=TRUE,"Ready 2 Submit","Waiting on Dealer"))</f>
        <v/>
      </c>
      <c r="AG114" s="148"/>
      <c r="AH114" s="87"/>
      <c r="AI114" s="87"/>
      <c r="AJ114" s="197"/>
      <c r="AK114" s="110" t="b">
        <v>0</v>
      </c>
      <c r="AL114" s="87" t="str" cm="1">
        <f t="array" ref="AL114">IF($A114="","",SUMPRODUCT((CHOOSE({1,2,3,4,5},$R114,$V114,$Z114,$AD114,$AH114)="Yes")*(((CHOOSE({1,2,3,4,5},$S114,$W114,$AA114,$AE114,$AI114)="Yes")+(CHOOSE({1,2,3,4,5},$S114,$W114,$AA114,$AE114,$AI114)=TRUE))&gt;0)))</f>
        <v/>
      </c>
      <c r="AM114" s="87"/>
      <c r="AN114" s="87" t="str">
        <f ca="1">IF(OR($A114="",$AM114=""),"",TODAY()-$AM114)</f>
        <v/>
      </c>
      <c r="AO114" s="87"/>
      <c r="AP114" s="106"/>
      <c r="AQ114" s="106"/>
      <c r="AR114" s="106"/>
      <c r="AS114" s="106"/>
      <c r="AT114" s="106"/>
      <c r="AU114" s="106"/>
      <c r="AV114" s="106"/>
      <c r="AW114" s="106"/>
      <c r="AX114" s="106"/>
      <c r="AY114" s="106"/>
    </row>
    <row r="115" spans="1:51" s="20" customFormat="1" ht="21" customHeight="1">
      <c r="A115" s="197"/>
      <c r="B115" s="87"/>
      <c r="C115" s="87"/>
      <c r="D115" s="196"/>
      <c r="E115" s="108"/>
      <c r="F115" s="196"/>
      <c r="G115" s="87"/>
      <c r="H115" s="197"/>
      <c r="I115" s="89"/>
      <c r="J115" s="204"/>
      <c r="K115" s="87"/>
      <c r="L115" s="87" t="str" cm="1">
        <f t="array" ref="L115">IF($A115="","",_xlfn.LET(_xlpm.stat,CHOOSE({1,2,3,4,5},$P115,$T115,$X115,$AB115,$AF115),_xlpm.rate,CHOOSE({1,2,3,4,5},$R115,$V115,$Z115,$AD115,$AH115),_xlpm.trn,CHOOSE({1,2,3,4,5},$S115,$W115,$AA115,$AE115,$AI115),_xlpm.nsC,SUMPRODUCT(--(_xlpm.stat="Ready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DLR",IF(AND(_xlpm.actRS&gt;0,_xlpm.actDone&lt;_xlpm.actRS),"Training",IF(_xlpm.actRS&gt;0,"Active",IF(AND(_xlpm.decC&gt;0,_xlpm.inPlay+_xlpm.actC=0),"Dead",IF(AND($AJ115&lt;&gt;"",$AK115=FALSE),"Waiting on Dealer",IF(_xlpm.subC&gt;0,"Waiting on Lender",IF(AND(_xlpm.appC+_xlpm.actC&gt;0,_xlpm.nsC+_xlpm.wdC=0),"Rate Sheet","Application Submitted")))))))))</f>
        <v/>
      </c>
      <c r="M115" s="87"/>
      <c r="N115" s="87"/>
      <c r="O115" s="197"/>
      <c r="P115" s="87" t="str">
        <f>IF($A115="","",IF($AK115=TRUE,"Ready 2 Submit","Waiting on Dealer"))</f>
        <v/>
      </c>
      <c r="Q115" s="148"/>
      <c r="R115" s="87"/>
      <c r="S115" s="87"/>
      <c r="T115" s="87" t="str">
        <f>IF($A115="","",IF($AK115=TRUE,"Ready 2 Submit","Waiting on Dealer"))</f>
        <v/>
      </c>
      <c r="U115" s="148"/>
      <c r="V115" s="87"/>
      <c r="W115" s="87"/>
      <c r="X115" s="87" t="str">
        <f>IF($A115="","",IF($AK115=TRUE,"Ready 2 Submit","Waiting on Dealer"))</f>
        <v/>
      </c>
      <c r="Y115" s="148"/>
      <c r="Z115" s="87"/>
      <c r="AA115" s="87"/>
      <c r="AB115" s="87" t="str">
        <f>IF($A115="","",IF($AK115=TRUE,"Ready 2 Submit","Waiting on Dealer"))</f>
        <v/>
      </c>
      <c r="AC115" s="148"/>
      <c r="AD115" s="87"/>
      <c r="AE115" s="87"/>
      <c r="AF115" s="87" t="str">
        <f>IF($A115="","",IF($AK115=TRUE,"Ready 2 Submit","Waiting on Dealer"))</f>
        <v/>
      </c>
      <c r="AG115" s="148"/>
      <c r="AH115" s="87"/>
      <c r="AI115" s="87"/>
      <c r="AJ115" s="197"/>
      <c r="AK115" s="110" t="b">
        <v>0</v>
      </c>
      <c r="AL115" s="87" t="str" cm="1">
        <f t="array" ref="AL115">IF($A115="","",SUMPRODUCT((CHOOSE({1,2,3,4,5},$R115,$V115,$Z115,$AD115,$AH115)="Yes")*(((CHOOSE({1,2,3,4,5},$S115,$W115,$AA115,$AE115,$AI115)="Yes")+(CHOOSE({1,2,3,4,5},$S115,$W115,$AA115,$AE115,$AI115)=TRUE))&gt;0)))</f>
        <v/>
      </c>
      <c r="AM115" s="87"/>
      <c r="AN115" s="87" t="str">
        <f ca="1">IF(OR($A115="",$AM115=""),"",TODAY()-$AM115)</f>
        <v/>
      </c>
      <c r="AO115" s="87"/>
      <c r="AP115" s="106"/>
      <c r="AQ115" s="106"/>
      <c r="AR115" s="106"/>
      <c r="AS115" s="106"/>
      <c r="AT115" s="106"/>
      <c r="AU115" s="106"/>
      <c r="AV115" s="106"/>
      <c r="AW115" s="106"/>
      <c r="AX115" s="106"/>
      <c r="AY115" s="106"/>
    </row>
    <row r="116" spans="1:51" s="20" customFormat="1" ht="21" customHeight="1">
      <c r="A116" s="197"/>
      <c r="B116" s="87"/>
      <c r="C116" s="87"/>
      <c r="D116" s="196"/>
      <c r="E116" s="108"/>
      <c r="F116" s="196"/>
      <c r="G116" s="87"/>
      <c r="H116" s="197"/>
      <c r="I116" s="89"/>
      <c r="J116" s="204"/>
      <c r="K116" s="87"/>
      <c r="L116" s="87" t="str" cm="1">
        <f t="array" ref="L116">IF($A116="","",_xlfn.LET(_xlpm.stat,CHOOSE({1,2,3,4,5},$P116,$T116,$X116,$AB116,$AF116),_xlpm.rate,CHOOSE({1,2,3,4,5},$R116,$V116,$Z116,$AD116,$AH116),_xlpm.trn,CHOOSE({1,2,3,4,5},$S116,$W116,$AA116,$AE116,$AI116),_xlpm.nsC,SUMPRODUCT(--(_xlpm.stat="Ready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DLR",IF(AND(_xlpm.actRS&gt;0,_xlpm.actDone&lt;_xlpm.actRS),"Training",IF(_xlpm.actRS&gt;0,"Active",IF(AND(_xlpm.decC&gt;0,_xlpm.inPlay+_xlpm.actC=0),"Dead",IF(AND($AJ116&lt;&gt;"",$AK116=FALSE),"Waiting on Dealer",IF(_xlpm.subC&gt;0,"Waiting on Lender",IF(AND(_xlpm.appC+_xlpm.actC&gt;0,_xlpm.nsC+_xlpm.wdC=0),"Rate Sheet","Application Submitted")))))))))</f>
        <v/>
      </c>
      <c r="M116" s="87"/>
      <c r="N116" s="87"/>
      <c r="O116" s="197"/>
      <c r="P116" s="87" t="str">
        <f>IF($A116="","",IF($AK116=TRUE,"Ready 2 Submit","Waiting on Dealer"))</f>
        <v/>
      </c>
      <c r="Q116" s="148"/>
      <c r="R116" s="87"/>
      <c r="S116" s="87"/>
      <c r="T116" s="87" t="str">
        <f>IF($A116="","",IF($AK116=TRUE,"Ready 2 Submit","Waiting on Dealer"))</f>
        <v/>
      </c>
      <c r="U116" s="148"/>
      <c r="V116" s="87"/>
      <c r="W116" s="87"/>
      <c r="X116" s="87" t="str">
        <f>IF($A116="","",IF($AK116=TRUE,"Ready 2 Submit","Waiting on Dealer"))</f>
        <v/>
      </c>
      <c r="Y116" s="148"/>
      <c r="Z116" s="87"/>
      <c r="AA116" s="87"/>
      <c r="AB116" s="87" t="str">
        <f>IF($A116="","",IF($AK116=TRUE,"Ready 2 Submit","Waiting on Dealer"))</f>
        <v/>
      </c>
      <c r="AC116" s="148"/>
      <c r="AD116" s="87"/>
      <c r="AE116" s="87"/>
      <c r="AF116" s="87" t="str">
        <f>IF($A116="","",IF($AK116=TRUE,"Ready 2 Submit","Waiting on Dealer"))</f>
        <v/>
      </c>
      <c r="AG116" s="148"/>
      <c r="AH116" s="87"/>
      <c r="AI116" s="87"/>
      <c r="AJ116" s="197"/>
      <c r="AK116" s="110" t="b">
        <v>0</v>
      </c>
      <c r="AL116" s="87" t="str" cm="1">
        <f t="array" ref="AL116">IF($A116="","",SUMPRODUCT((CHOOSE({1,2,3,4,5},$R116,$V116,$Z116,$AD116,$AH116)="Yes")*(((CHOOSE({1,2,3,4,5},$S116,$W116,$AA116,$AE116,$AI116)="Yes")+(CHOOSE({1,2,3,4,5},$S116,$W116,$AA116,$AE116,$AI116)=TRUE))&gt;0)))</f>
        <v/>
      </c>
      <c r="AM116" s="87"/>
      <c r="AN116" s="87" t="str">
        <f ca="1">IF(OR($A116="",$AM116=""),"",TODAY()-$AM116)</f>
        <v/>
      </c>
      <c r="AO116" s="87"/>
      <c r="AP116" s="106"/>
      <c r="AQ116" s="106"/>
      <c r="AR116" s="106"/>
      <c r="AS116" s="106"/>
      <c r="AT116" s="106"/>
      <c r="AU116" s="106"/>
      <c r="AV116" s="106"/>
      <c r="AW116" s="106"/>
      <c r="AX116" s="106"/>
      <c r="AY116" s="106"/>
    </row>
    <row r="117" spans="1:51" s="20" customFormat="1" ht="21" customHeight="1">
      <c r="A117" s="197"/>
      <c r="B117" s="87"/>
      <c r="C117" s="87"/>
      <c r="D117" s="196"/>
      <c r="E117" s="108"/>
      <c r="F117" s="196"/>
      <c r="G117" s="87"/>
      <c r="H117" s="197"/>
      <c r="I117" s="89"/>
      <c r="J117" s="204"/>
      <c r="K117" s="87"/>
      <c r="L117" s="87" t="str" cm="1">
        <f t="array" ref="L117">IF($A117="","",_xlfn.LET(_xlpm.stat,CHOOSE({1,2,3,4,5},$P117,$T117,$X117,$AB117,$AF117),_xlpm.rate,CHOOSE({1,2,3,4,5},$R117,$V117,$Z117,$AD117,$AH117),_xlpm.trn,CHOOSE({1,2,3,4,5},$S117,$W117,$AA117,$AE117,$AI117),_xlpm.nsC,SUMPRODUCT(--(_xlpm.stat="Ready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DLR",IF(AND(_xlpm.actRS&gt;0,_xlpm.actDone&lt;_xlpm.actRS),"Training",IF(_xlpm.actRS&gt;0,"Active",IF(AND(_xlpm.decC&gt;0,_xlpm.inPlay+_xlpm.actC=0),"Dead",IF(AND($AJ117&lt;&gt;"",$AK117=FALSE),"Waiting on Dealer",IF(_xlpm.subC&gt;0,"Waiting on Lender",IF(AND(_xlpm.appC+_xlpm.actC&gt;0,_xlpm.nsC+_xlpm.wdC=0),"Rate Sheet","Application Submitted")))))))))</f>
        <v/>
      </c>
      <c r="M117" s="87"/>
      <c r="N117" s="87"/>
      <c r="O117" s="197"/>
      <c r="P117" s="87" t="str">
        <f>IF($A117="","",IF($AK117=TRUE,"Ready 2 Submit","Waiting on Dealer"))</f>
        <v/>
      </c>
      <c r="Q117" s="148"/>
      <c r="R117" s="87"/>
      <c r="S117" s="87"/>
      <c r="T117" s="87" t="str">
        <f>IF($A117="","",IF($AK117=TRUE,"Ready 2 Submit","Waiting on Dealer"))</f>
        <v/>
      </c>
      <c r="U117" s="148"/>
      <c r="V117" s="87"/>
      <c r="W117" s="87"/>
      <c r="X117" s="87" t="str">
        <f>IF($A117="","",IF($AK117=TRUE,"Ready 2 Submit","Waiting on Dealer"))</f>
        <v/>
      </c>
      <c r="Y117" s="148"/>
      <c r="Z117" s="87"/>
      <c r="AA117" s="87"/>
      <c r="AB117" s="87" t="str">
        <f>IF($A117="","",IF($AK117=TRUE,"Ready 2 Submit","Waiting on Dealer"))</f>
        <v/>
      </c>
      <c r="AC117" s="148"/>
      <c r="AD117" s="87"/>
      <c r="AE117" s="87"/>
      <c r="AF117" s="87" t="str">
        <f>IF($A117="","",IF($AK117=TRUE,"Ready 2 Submit","Waiting on Dealer"))</f>
        <v/>
      </c>
      <c r="AG117" s="148"/>
      <c r="AH117" s="87"/>
      <c r="AI117" s="87"/>
      <c r="AJ117" s="197"/>
      <c r="AK117" s="110" t="b">
        <v>0</v>
      </c>
      <c r="AL117" s="87" t="str" cm="1">
        <f t="array" ref="AL117">IF($A117="","",SUMPRODUCT((CHOOSE({1,2,3,4,5},$R117,$V117,$Z117,$AD117,$AH117)="Yes")*(((CHOOSE({1,2,3,4,5},$S117,$W117,$AA117,$AE117,$AI117)="Yes")+(CHOOSE({1,2,3,4,5},$S117,$W117,$AA117,$AE117,$AI117)=TRUE))&gt;0)))</f>
        <v/>
      </c>
      <c r="AM117" s="87"/>
      <c r="AN117" s="87" t="str">
        <f ca="1">IF(OR($A117="",$AM117=""),"",TODAY()-$AM117)</f>
        <v/>
      </c>
      <c r="AO117" s="87"/>
      <c r="AP117" s="106"/>
      <c r="AQ117" s="106"/>
      <c r="AR117" s="106"/>
      <c r="AS117" s="106"/>
      <c r="AT117" s="106"/>
      <c r="AU117" s="106"/>
      <c r="AV117" s="106"/>
      <c r="AW117" s="106"/>
      <c r="AX117" s="106"/>
      <c r="AY117" s="106"/>
    </row>
    <row r="118" spans="1:51" s="20" customFormat="1" ht="21" customHeight="1">
      <c r="A118" s="197"/>
      <c r="B118" s="87"/>
      <c r="C118" s="87"/>
      <c r="D118" s="196"/>
      <c r="E118" s="108"/>
      <c r="F118" s="196"/>
      <c r="G118" s="87"/>
      <c r="H118" s="197"/>
      <c r="I118" s="89"/>
      <c r="J118" s="204"/>
      <c r="K118" s="87"/>
      <c r="L118" s="87" t="str" cm="1">
        <f t="array" ref="L118">IF($A118="","",_xlfn.LET(_xlpm.stat,CHOOSE({1,2,3,4,5},$P118,$T118,$X118,$AB118,$AF118),_xlpm.rate,CHOOSE({1,2,3,4,5},$R118,$V118,$Z118,$AD118,$AH118),_xlpm.trn,CHOOSE({1,2,3,4,5},$S118,$W118,$AA118,$AE118,$AI118),_xlpm.nsC,SUMPRODUCT(--(_xlpm.stat="Ready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DLR",IF(AND(_xlpm.actRS&gt;0,_xlpm.actDone&lt;_xlpm.actRS),"Training",IF(_xlpm.actRS&gt;0,"Active",IF(AND(_xlpm.decC&gt;0,_xlpm.inPlay+_xlpm.actC=0),"Dead",IF(AND($AJ118&lt;&gt;"",$AK118=FALSE),"Waiting on Dealer",IF(_xlpm.subC&gt;0,"Waiting on Lender",IF(AND(_xlpm.appC+_xlpm.actC&gt;0,_xlpm.nsC+_xlpm.wdC=0),"Rate Sheet","Application Submitted")))))))))</f>
        <v/>
      </c>
      <c r="M118" s="87"/>
      <c r="N118" s="87"/>
      <c r="O118" s="197"/>
      <c r="P118" s="87" t="str">
        <f>IF($A118="","",IF($AK118=TRUE,"Ready 2 Submit","Waiting on Dealer"))</f>
        <v/>
      </c>
      <c r="Q118" s="148"/>
      <c r="R118" s="87"/>
      <c r="S118" s="87"/>
      <c r="T118" s="87" t="str">
        <f>IF($A118="","",IF($AK118=TRUE,"Ready 2 Submit","Waiting on Dealer"))</f>
        <v/>
      </c>
      <c r="U118" s="148"/>
      <c r="V118" s="87"/>
      <c r="W118" s="87"/>
      <c r="X118" s="87" t="str">
        <f>IF($A118="","",IF($AK118=TRUE,"Ready 2 Submit","Waiting on Dealer"))</f>
        <v/>
      </c>
      <c r="Y118" s="148"/>
      <c r="Z118" s="87"/>
      <c r="AA118" s="87"/>
      <c r="AB118" s="87" t="str">
        <f>IF($A118="","",IF($AK118=TRUE,"Ready 2 Submit","Waiting on Dealer"))</f>
        <v/>
      </c>
      <c r="AC118" s="148"/>
      <c r="AD118" s="87"/>
      <c r="AE118" s="87"/>
      <c r="AF118" s="87" t="str">
        <f>IF($A118="","",IF($AK118=TRUE,"Ready 2 Submit","Waiting on Dealer"))</f>
        <v/>
      </c>
      <c r="AG118" s="148"/>
      <c r="AH118" s="87"/>
      <c r="AI118" s="87"/>
      <c r="AJ118" s="197"/>
      <c r="AK118" s="110" t="b">
        <v>0</v>
      </c>
      <c r="AL118" s="87" t="str" cm="1">
        <f t="array" ref="AL118">IF($A118="","",SUMPRODUCT((CHOOSE({1,2,3,4,5},$R118,$V118,$Z118,$AD118,$AH118)="Yes")*(((CHOOSE({1,2,3,4,5},$S118,$W118,$AA118,$AE118,$AI118)="Yes")+(CHOOSE({1,2,3,4,5},$S118,$W118,$AA118,$AE118,$AI118)=TRUE))&gt;0)))</f>
        <v/>
      </c>
      <c r="AM118" s="87"/>
      <c r="AN118" s="87" t="str">
        <f ca="1">IF(OR($A118="",$AM118=""),"",TODAY()-$AM118)</f>
        <v/>
      </c>
      <c r="AO118" s="87"/>
      <c r="AP118" s="106"/>
      <c r="AQ118" s="106"/>
      <c r="AR118" s="106"/>
      <c r="AS118" s="106"/>
      <c r="AT118" s="106"/>
      <c r="AU118" s="106"/>
      <c r="AV118" s="106"/>
      <c r="AW118" s="106"/>
      <c r="AX118" s="106"/>
      <c r="AY118" s="106"/>
    </row>
    <row r="119" spans="1:51" s="20" customFormat="1" ht="21" customHeight="1">
      <c r="A119" s="197"/>
      <c r="B119" s="87"/>
      <c r="C119" s="87"/>
      <c r="D119" s="196"/>
      <c r="E119" s="108"/>
      <c r="F119" s="196"/>
      <c r="G119" s="87"/>
      <c r="H119" s="197"/>
      <c r="I119" s="89"/>
      <c r="J119" s="204"/>
      <c r="K119" s="87"/>
      <c r="L119" s="87" t="str" cm="1">
        <f t="array" ref="L119">IF($A119="","",_xlfn.LET(_xlpm.stat,CHOOSE({1,2,3,4,5},$P119,$T119,$X119,$AB119,$AF119),_xlpm.rate,CHOOSE({1,2,3,4,5},$R119,$V119,$Z119,$AD119,$AH119),_xlpm.trn,CHOOSE({1,2,3,4,5},$S119,$W119,$AA119,$AE119,$AI119),_xlpm.nsC,SUMPRODUCT(--(_xlpm.stat="Ready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DLR",IF(AND(_xlpm.actRS&gt;0,_xlpm.actDone&lt;_xlpm.actRS),"Training",IF(_xlpm.actRS&gt;0,"Active",IF(AND(_xlpm.decC&gt;0,_xlpm.inPlay+_xlpm.actC=0),"Dead",IF(AND($AJ119&lt;&gt;"",$AK119=FALSE),"Waiting on Dealer",IF(_xlpm.subC&gt;0,"Waiting on Lender",IF(AND(_xlpm.appC+_xlpm.actC&gt;0,_xlpm.nsC+_xlpm.wdC=0),"Rate Sheet","Application Submitted")))))))))</f>
        <v/>
      </c>
      <c r="M119" s="87"/>
      <c r="N119" s="87"/>
      <c r="O119" s="197"/>
      <c r="P119" s="87" t="str">
        <f>IF($A119="","",IF($AK119=TRUE,"Ready 2 Submit","Waiting on Dealer"))</f>
        <v/>
      </c>
      <c r="Q119" s="148"/>
      <c r="R119" s="87"/>
      <c r="S119" s="87"/>
      <c r="T119" s="87" t="str">
        <f>IF($A119="","",IF($AK119=TRUE,"Ready 2 Submit","Waiting on Dealer"))</f>
        <v/>
      </c>
      <c r="U119" s="148"/>
      <c r="V119" s="87"/>
      <c r="W119" s="87"/>
      <c r="X119" s="87" t="str">
        <f>IF($A119="","",IF($AK119=TRUE,"Ready 2 Submit","Waiting on Dealer"))</f>
        <v/>
      </c>
      <c r="Y119" s="148"/>
      <c r="Z119" s="87"/>
      <c r="AA119" s="87"/>
      <c r="AB119" s="87" t="str">
        <f>IF($A119="","",IF($AK119=TRUE,"Ready 2 Submit","Waiting on Dealer"))</f>
        <v/>
      </c>
      <c r="AC119" s="148"/>
      <c r="AD119" s="87"/>
      <c r="AE119" s="87"/>
      <c r="AF119" s="87" t="str">
        <f>IF($A119="","",IF($AK119=TRUE,"Ready 2 Submit","Waiting on Dealer"))</f>
        <v/>
      </c>
      <c r="AG119" s="148"/>
      <c r="AH119" s="87"/>
      <c r="AI119" s="87"/>
      <c r="AJ119" s="197"/>
      <c r="AK119" s="110" t="b">
        <v>0</v>
      </c>
      <c r="AL119" s="87" t="str" cm="1">
        <f t="array" ref="AL119">IF($A119="","",SUMPRODUCT((CHOOSE({1,2,3,4,5},$R119,$V119,$Z119,$AD119,$AH119)="Yes")*(((CHOOSE({1,2,3,4,5},$S119,$W119,$AA119,$AE119,$AI119)="Yes")+(CHOOSE({1,2,3,4,5},$S119,$W119,$AA119,$AE119,$AI119)=TRUE))&gt;0)))</f>
        <v/>
      </c>
      <c r="AM119" s="87"/>
      <c r="AN119" s="87" t="str">
        <f ca="1">IF(OR($A119="",$AM119=""),"",TODAY()-$AM119)</f>
        <v/>
      </c>
      <c r="AO119" s="87"/>
      <c r="AP119" s="106"/>
      <c r="AQ119" s="106"/>
      <c r="AR119" s="106"/>
      <c r="AS119" s="106"/>
      <c r="AT119" s="106"/>
      <c r="AU119" s="106"/>
      <c r="AV119" s="106"/>
      <c r="AW119" s="106"/>
      <c r="AX119" s="106"/>
      <c r="AY119" s="106"/>
    </row>
    <row r="120" spans="1:51" s="20" customFormat="1" ht="21" customHeight="1">
      <c r="A120" s="197"/>
      <c r="B120" s="87"/>
      <c r="C120" s="87"/>
      <c r="D120" s="196"/>
      <c r="E120" s="108"/>
      <c r="F120" s="196"/>
      <c r="G120" s="87"/>
      <c r="H120" s="197"/>
      <c r="I120" s="89"/>
      <c r="J120" s="204"/>
      <c r="K120" s="87"/>
      <c r="L120" s="87" t="str" cm="1">
        <f t="array" ref="L120">IF($A120="","",_xlfn.LET(_xlpm.stat,CHOOSE({1,2,3,4,5},$P120,$T120,$X120,$AB120,$AF120),_xlpm.rate,CHOOSE({1,2,3,4,5},$R120,$V120,$Z120,$AD120,$AH120),_xlpm.trn,CHOOSE({1,2,3,4,5},$S120,$W120,$AA120,$AE120,$AI120),_xlpm.nsC,SUMPRODUCT(--(_xlpm.stat="Ready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DLR",IF(AND(_xlpm.actRS&gt;0,_xlpm.actDone&lt;_xlpm.actRS),"Training",IF(_xlpm.actRS&gt;0,"Active",IF(AND(_xlpm.decC&gt;0,_xlpm.inPlay+_xlpm.actC=0),"Dead",IF(AND($AJ120&lt;&gt;"",$AK120=FALSE),"Waiting on Dealer",IF(_xlpm.subC&gt;0,"Waiting on Lender",IF(AND(_xlpm.appC+_xlpm.actC&gt;0,_xlpm.nsC+_xlpm.wdC=0),"Rate Sheet","Application Submitted")))))))))</f>
        <v/>
      </c>
      <c r="M120" s="87"/>
      <c r="N120" s="87"/>
      <c r="O120" s="197"/>
      <c r="P120" s="87" t="str">
        <f>IF($A120="","",IF($AK120=TRUE,"Ready 2 Submit","Waiting on Dealer"))</f>
        <v/>
      </c>
      <c r="Q120" s="148"/>
      <c r="R120" s="87"/>
      <c r="S120" s="87"/>
      <c r="T120" s="87" t="str">
        <f>IF($A120="","",IF($AK120=TRUE,"Ready 2 Submit","Waiting on Dealer"))</f>
        <v/>
      </c>
      <c r="U120" s="148"/>
      <c r="V120" s="87"/>
      <c r="W120" s="87"/>
      <c r="X120" s="87" t="str">
        <f>IF($A120="","",IF($AK120=TRUE,"Ready 2 Submit","Waiting on Dealer"))</f>
        <v/>
      </c>
      <c r="Y120" s="148"/>
      <c r="Z120" s="87"/>
      <c r="AA120" s="87"/>
      <c r="AB120" s="87" t="str">
        <f>IF($A120="","",IF($AK120=TRUE,"Ready 2 Submit","Waiting on Dealer"))</f>
        <v/>
      </c>
      <c r="AC120" s="148"/>
      <c r="AD120" s="87"/>
      <c r="AE120" s="87"/>
      <c r="AF120" s="87" t="str">
        <f>IF($A120="","",IF($AK120=TRUE,"Ready 2 Submit","Waiting on Dealer"))</f>
        <v/>
      </c>
      <c r="AG120" s="148"/>
      <c r="AH120" s="87"/>
      <c r="AI120" s="87"/>
      <c r="AJ120" s="197"/>
      <c r="AK120" s="110" t="b">
        <v>0</v>
      </c>
      <c r="AL120" s="87" t="str" cm="1">
        <f t="array" ref="AL120">IF($A120="","",SUMPRODUCT((CHOOSE({1,2,3,4,5},$R120,$V120,$Z120,$AD120,$AH120)="Yes")*(((CHOOSE({1,2,3,4,5},$S120,$W120,$AA120,$AE120,$AI120)="Yes")+(CHOOSE({1,2,3,4,5},$S120,$W120,$AA120,$AE120,$AI120)=TRUE))&gt;0)))</f>
        <v/>
      </c>
      <c r="AM120" s="87"/>
      <c r="AN120" s="87" t="str">
        <f ca="1">IF(OR($A120="",$AM120=""),"",TODAY()-$AM120)</f>
        <v/>
      </c>
      <c r="AO120" s="87"/>
      <c r="AP120" s="106"/>
      <c r="AQ120" s="106"/>
      <c r="AR120" s="106"/>
      <c r="AS120" s="106"/>
      <c r="AT120" s="106"/>
      <c r="AU120" s="106"/>
      <c r="AV120" s="106"/>
      <c r="AW120" s="106"/>
      <c r="AX120" s="106"/>
      <c r="AY120" s="106"/>
    </row>
    <row r="121" spans="1:51" s="20" customFormat="1" ht="21" customHeight="1">
      <c r="A121" s="197"/>
      <c r="B121" s="87"/>
      <c r="C121" s="87"/>
      <c r="D121" s="196"/>
      <c r="E121" s="108"/>
      <c r="F121" s="196"/>
      <c r="G121" s="87"/>
      <c r="H121" s="197"/>
      <c r="I121" s="89"/>
      <c r="J121" s="204"/>
      <c r="K121" s="87"/>
      <c r="L121" s="87" t="str" cm="1">
        <f t="array" ref="L121">IF($A121="","",_xlfn.LET(_xlpm.stat,CHOOSE({1,2,3,4,5},$P121,$T121,$X121,$AB121,$AF121),_xlpm.rate,CHOOSE({1,2,3,4,5},$R121,$V121,$Z121,$AD121,$AH121),_xlpm.trn,CHOOSE({1,2,3,4,5},$S121,$W121,$AA121,$AE121,$AI121),_xlpm.nsC,SUMPRODUCT(--(_xlpm.stat="Ready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DLR",IF(AND(_xlpm.actRS&gt;0,_xlpm.actDone&lt;_xlpm.actRS),"Training",IF(_xlpm.actRS&gt;0,"Active",IF(AND(_xlpm.decC&gt;0,_xlpm.inPlay+_xlpm.actC=0),"Dead",IF(AND($AJ121&lt;&gt;"",$AK121=FALSE),"Waiting on Dealer",IF(_xlpm.subC&gt;0,"Waiting on Lender",IF(AND(_xlpm.appC+_xlpm.actC&gt;0,_xlpm.nsC+_xlpm.wdC=0),"Rate Sheet","Application Submitted")))))))))</f>
        <v/>
      </c>
      <c r="M121" s="87"/>
      <c r="N121" s="87"/>
      <c r="O121" s="197"/>
      <c r="P121" s="87" t="str">
        <f>IF($A121="","",IF($AK121=TRUE,"Ready 2 Submit","Waiting on Dealer"))</f>
        <v/>
      </c>
      <c r="Q121" s="148"/>
      <c r="R121" s="87"/>
      <c r="S121" s="87"/>
      <c r="T121" s="87" t="str">
        <f>IF($A121="","",IF($AK121=TRUE,"Ready 2 Submit","Waiting on Dealer"))</f>
        <v/>
      </c>
      <c r="U121" s="148"/>
      <c r="V121" s="87"/>
      <c r="W121" s="87"/>
      <c r="X121" s="87" t="str">
        <f>IF($A121="","",IF($AK121=TRUE,"Ready 2 Submit","Waiting on Dealer"))</f>
        <v/>
      </c>
      <c r="Y121" s="148"/>
      <c r="Z121" s="87"/>
      <c r="AA121" s="87"/>
      <c r="AB121" s="87" t="str">
        <f>IF($A121="","",IF($AK121=TRUE,"Ready 2 Submit","Waiting on Dealer"))</f>
        <v/>
      </c>
      <c r="AC121" s="148"/>
      <c r="AD121" s="87"/>
      <c r="AE121" s="87"/>
      <c r="AF121" s="87" t="str">
        <f>IF($A121="","",IF($AK121=TRUE,"Ready 2 Submit","Waiting on Dealer"))</f>
        <v/>
      </c>
      <c r="AG121" s="148"/>
      <c r="AH121" s="87"/>
      <c r="AI121" s="87"/>
      <c r="AJ121" s="197"/>
      <c r="AK121" s="110" t="b">
        <v>0</v>
      </c>
      <c r="AL121" s="87" t="str" cm="1">
        <f t="array" ref="AL121">IF($A121="","",SUMPRODUCT((CHOOSE({1,2,3,4,5},$R121,$V121,$Z121,$AD121,$AH121)="Yes")*(((CHOOSE({1,2,3,4,5},$S121,$W121,$AA121,$AE121,$AI121)="Yes")+(CHOOSE({1,2,3,4,5},$S121,$W121,$AA121,$AE121,$AI121)=TRUE))&gt;0)))</f>
        <v/>
      </c>
      <c r="AM121" s="87"/>
      <c r="AN121" s="87" t="str">
        <f ca="1">IF(OR($A121="",$AM121=""),"",TODAY()-$AM121)</f>
        <v/>
      </c>
      <c r="AO121" s="87"/>
      <c r="AP121" s="106"/>
      <c r="AQ121" s="106"/>
      <c r="AR121" s="106"/>
      <c r="AS121" s="106"/>
      <c r="AT121" s="106"/>
      <c r="AU121" s="106"/>
      <c r="AV121" s="106"/>
      <c r="AW121" s="106"/>
      <c r="AX121" s="106"/>
      <c r="AY121" s="106"/>
    </row>
    <row r="122" spans="1:51" s="20" customFormat="1" ht="21" customHeight="1">
      <c r="A122" s="197"/>
      <c r="B122" s="87"/>
      <c r="C122" s="87"/>
      <c r="D122" s="196"/>
      <c r="E122" s="108"/>
      <c r="F122" s="196"/>
      <c r="G122" s="87"/>
      <c r="H122" s="197"/>
      <c r="I122" s="89"/>
      <c r="J122" s="204"/>
      <c r="K122" s="87"/>
      <c r="L122" s="87" t="str" cm="1">
        <f t="array" ref="L122">IF($A122="","",_xlfn.LET(_xlpm.stat,CHOOSE({1,2,3,4,5},$P122,$T122,$X122,$AB122,$AF122),_xlpm.rate,CHOOSE({1,2,3,4,5},$R122,$V122,$Z122,$AD122,$AH122),_xlpm.trn,CHOOSE({1,2,3,4,5},$S122,$W122,$AA122,$AE122,$AI122),_xlpm.nsC,SUMPRODUCT(--(_xlpm.stat="Ready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DLR",IF(AND(_xlpm.actRS&gt;0,_xlpm.actDone&lt;_xlpm.actRS),"Training",IF(_xlpm.actRS&gt;0,"Active",IF(AND(_xlpm.decC&gt;0,_xlpm.inPlay+_xlpm.actC=0),"Dead",IF(AND($AJ122&lt;&gt;"",$AK122=FALSE),"Waiting on Dealer",IF(_xlpm.subC&gt;0,"Waiting on Lender",IF(AND(_xlpm.appC+_xlpm.actC&gt;0,_xlpm.nsC+_xlpm.wdC=0),"Rate Sheet","Application Submitted")))))))))</f>
        <v/>
      </c>
      <c r="M122" s="87"/>
      <c r="N122" s="87"/>
      <c r="O122" s="197"/>
      <c r="P122" s="87" t="str">
        <f>IF($A122="","",IF($AK122=TRUE,"Ready 2 Submit","Waiting on Dealer"))</f>
        <v/>
      </c>
      <c r="Q122" s="148"/>
      <c r="R122" s="87"/>
      <c r="S122" s="87"/>
      <c r="T122" s="87" t="str">
        <f>IF($A122="","",IF($AK122=TRUE,"Ready 2 Submit","Waiting on Dealer"))</f>
        <v/>
      </c>
      <c r="U122" s="148"/>
      <c r="V122" s="87"/>
      <c r="W122" s="87"/>
      <c r="X122" s="87" t="str">
        <f>IF($A122="","",IF($AK122=TRUE,"Ready 2 Submit","Waiting on Dealer"))</f>
        <v/>
      </c>
      <c r="Y122" s="148"/>
      <c r="Z122" s="87"/>
      <c r="AA122" s="87"/>
      <c r="AB122" s="87" t="str">
        <f>IF($A122="","",IF($AK122=TRUE,"Ready 2 Submit","Waiting on Dealer"))</f>
        <v/>
      </c>
      <c r="AC122" s="148"/>
      <c r="AD122" s="87"/>
      <c r="AE122" s="87"/>
      <c r="AF122" s="87" t="str">
        <f>IF($A122="","",IF($AK122=TRUE,"Ready 2 Submit","Waiting on Dealer"))</f>
        <v/>
      </c>
      <c r="AG122" s="148"/>
      <c r="AH122" s="87"/>
      <c r="AI122" s="87"/>
      <c r="AJ122" s="197"/>
      <c r="AK122" s="110" t="b">
        <v>0</v>
      </c>
      <c r="AL122" s="87" t="str" cm="1">
        <f t="array" ref="AL122">IF($A122="","",SUMPRODUCT((CHOOSE({1,2,3,4,5},$R122,$V122,$Z122,$AD122,$AH122)="Yes")*(((CHOOSE({1,2,3,4,5},$S122,$W122,$AA122,$AE122,$AI122)="Yes")+(CHOOSE({1,2,3,4,5},$S122,$W122,$AA122,$AE122,$AI122)=TRUE))&gt;0)))</f>
        <v/>
      </c>
      <c r="AM122" s="87"/>
      <c r="AN122" s="87" t="str">
        <f ca="1">IF(OR($A122="",$AM122=""),"",TODAY()-$AM122)</f>
        <v/>
      </c>
      <c r="AO122" s="87"/>
      <c r="AP122" s="106"/>
      <c r="AQ122" s="106"/>
      <c r="AR122" s="106"/>
      <c r="AS122" s="106"/>
      <c r="AT122" s="106"/>
      <c r="AU122" s="106"/>
      <c r="AV122" s="106"/>
      <c r="AW122" s="106"/>
      <c r="AX122" s="106"/>
      <c r="AY122" s="106"/>
    </row>
    <row r="123" spans="1:51" s="20" customFormat="1" ht="21" customHeight="1">
      <c r="A123" s="197"/>
      <c r="B123" s="87"/>
      <c r="C123" s="87"/>
      <c r="D123" s="196"/>
      <c r="E123" s="108"/>
      <c r="F123" s="196"/>
      <c r="G123" s="87"/>
      <c r="H123" s="197"/>
      <c r="I123" s="89"/>
      <c r="J123" s="204"/>
      <c r="K123" s="87"/>
      <c r="L123" s="87" t="str" cm="1">
        <f t="array" ref="L123">IF($A123="","",_xlfn.LET(_xlpm.stat,CHOOSE({1,2,3,4,5},$P123,$T123,$X123,$AB123,$AF123),_xlpm.rate,CHOOSE({1,2,3,4,5},$R123,$V123,$Z123,$AD123,$AH123),_xlpm.trn,CHOOSE({1,2,3,4,5},$S123,$W123,$AA123,$AE123,$AI123),_xlpm.nsC,SUMPRODUCT(--(_xlpm.stat="Ready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DLR",IF(AND(_xlpm.actRS&gt;0,_xlpm.actDone&lt;_xlpm.actRS),"Training",IF(_xlpm.actRS&gt;0,"Active",IF(AND(_xlpm.decC&gt;0,_xlpm.inPlay+_xlpm.actC=0),"Dead",IF(AND($AJ123&lt;&gt;"",$AK123=FALSE),"Waiting on Dealer",IF(_xlpm.subC&gt;0,"Waiting on Lender",IF(AND(_xlpm.appC+_xlpm.actC&gt;0,_xlpm.nsC+_xlpm.wdC=0),"Rate Sheet","Application Submitted")))))))))</f>
        <v/>
      </c>
      <c r="M123" s="87"/>
      <c r="N123" s="87"/>
      <c r="O123" s="197"/>
      <c r="P123" s="87" t="str">
        <f>IF($A123="","",IF($AK123=TRUE,"Ready 2 Submit","Waiting on Dealer"))</f>
        <v/>
      </c>
      <c r="Q123" s="148"/>
      <c r="R123" s="87"/>
      <c r="S123" s="87"/>
      <c r="T123" s="87" t="str">
        <f>IF($A123="","",IF($AK123=TRUE,"Ready 2 Submit","Waiting on Dealer"))</f>
        <v/>
      </c>
      <c r="U123" s="148"/>
      <c r="V123" s="87"/>
      <c r="W123" s="87"/>
      <c r="X123" s="87" t="str">
        <f>IF($A123="","",IF($AK123=TRUE,"Ready 2 Submit","Waiting on Dealer"))</f>
        <v/>
      </c>
      <c r="Y123" s="148"/>
      <c r="Z123" s="87"/>
      <c r="AA123" s="87"/>
      <c r="AB123" s="87" t="str">
        <f>IF($A123="","",IF($AK123=TRUE,"Ready 2 Submit","Waiting on Dealer"))</f>
        <v/>
      </c>
      <c r="AC123" s="148"/>
      <c r="AD123" s="87"/>
      <c r="AE123" s="87"/>
      <c r="AF123" s="87" t="str">
        <f>IF($A123="","",IF($AK123=TRUE,"Ready 2 Submit","Waiting on Dealer"))</f>
        <v/>
      </c>
      <c r="AG123" s="148"/>
      <c r="AH123" s="87"/>
      <c r="AI123" s="87"/>
      <c r="AJ123" s="197"/>
      <c r="AK123" s="110" t="b">
        <v>0</v>
      </c>
      <c r="AL123" s="87" t="str" cm="1">
        <f t="array" ref="AL123">IF($A123="","",SUMPRODUCT((CHOOSE({1,2,3,4,5},$R123,$V123,$Z123,$AD123,$AH123)="Yes")*(((CHOOSE({1,2,3,4,5},$S123,$W123,$AA123,$AE123,$AI123)="Yes")+(CHOOSE({1,2,3,4,5},$S123,$W123,$AA123,$AE123,$AI123)=TRUE))&gt;0)))</f>
        <v/>
      </c>
      <c r="AM123" s="87"/>
      <c r="AN123" s="87" t="str">
        <f ca="1">IF(OR($A123="",$AM123=""),"",TODAY()-$AM123)</f>
        <v/>
      </c>
      <c r="AO123" s="87"/>
      <c r="AP123" s="106"/>
      <c r="AQ123" s="106"/>
      <c r="AR123" s="106"/>
      <c r="AS123" s="106"/>
      <c r="AT123" s="106"/>
      <c r="AU123" s="106"/>
      <c r="AV123" s="106"/>
      <c r="AW123" s="106"/>
      <c r="AX123" s="106"/>
      <c r="AY123" s="106"/>
    </row>
    <row r="124" spans="1:51" s="20" customFormat="1" ht="21" customHeight="1">
      <c r="A124" s="197"/>
      <c r="B124" s="87"/>
      <c r="C124" s="87"/>
      <c r="D124" s="196"/>
      <c r="E124" s="108"/>
      <c r="F124" s="196"/>
      <c r="G124" s="87"/>
      <c r="H124" s="197"/>
      <c r="I124" s="89"/>
      <c r="J124" s="204"/>
      <c r="K124" s="87"/>
      <c r="L124" s="87" t="str" cm="1">
        <f t="array" ref="L124">IF($A124="","",_xlfn.LET(_xlpm.stat,CHOOSE({1,2,3,4,5},$P124,$T124,$X124,$AB124,$AF124),_xlpm.rate,CHOOSE({1,2,3,4,5},$R124,$V124,$Z124,$AD124,$AH124),_xlpm.trn,CHOOSE({1,2,3,4,5},$S124,$W124,$AA124,$AE124,$AI124),_xlpm.nsC,SUMPRODUCT(--(_xlpm.stat="Ready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DLR",IF(AND(_xlpm.actRS&gt;0,_xlpm.actDone&lt;_xlpm.actRS),"Training",IF(_xlpm.actRS&gt;0,"Active",IF(AND(_xlpm.decC&gt;0,_xlpm.inPlay+_xlpm.actC=0),"Dead",IF(AND($AJ124&lt;&gt;"",$AK124=FALSE),"Waiting on Dealer",IF(_xlpm.subC&gt;0,"Waiting on Lender",IF(AND(_xlpm.appC+_xlpm.actC&gt;0,_xlpm.nsC+_xlpm.wdC=0),"Rate Sheet","Application Submitted")))))))))</f>
        <v/>
      </c>
      <c r="M124" s="87"/>
      <c r="N124" s="87"/>
      <c r="O124" s="197"/>
      <c r="P124" s="87" t="str">
        <f>IF($A124="","",IF($AK124=TRUE,"Ready 2 Submit","Waiting on Dealer"))</f>
        <v/>
      </c>
      <c r="Q124" s="148"/>
      <c r="R124" s="87"/>
      <c r="S124" s="87"/>
      <c r="T124" s="87" t="str">
        <f>IF($A124="","",IF($AK124=TRUE,"Ready 2 Submit","Waiting on Dealer"))</f>
        <v/>
      </c>
      <c r="U124" s="148"/>
      <c r="V124" s="87"/>
      <c r="W124" s="87"/>
      <c r="X124" s="87" t="str">
        <f>IF($A124="","",IF($AK124=TRUE,"Ready 2 Submit","Waiting on Dealer"))</f>
        <v/>
      </c>
      <c r="Y124" s="148"/>
      <c r="Z124" s="87"/>
      <c r="AA124" s="87"/>
      <c r="AB124" s="87" t="str">
        <f>IF($A124="","",IF($AK124=TRUE,"Ready 2 Submit","Waiting on Dealer"))</f>
        <v/>
      </c>
      <c r="AC124" s="148"/>
      <c r="AD124" s="87"/>
      <c r="AE124" s="87"/>
      <c r="AF124" s="87" t="str">
        <f>IF($A124="","",IF($AK124=TRUE,"Ready 2 Submit","Waiting on Dealer"))</f>
        <v/>
      </c>
      <c r="AG124" s="148"/>
      <c r="AH124" s="87"/>
      <c r="AI124" s="87"/>
      <c r="AJ124" s="197"/>
      <c r="AK124" s="110" t="b">
        <v>0</v>
      </c>
      <c r="AL124" s="87" t="str" cm="1">
        <f t="array" ref="AL124">IF($A124="","",SUMPRODUCT((CHOOSE({1,2,3,4,5},$R124,$V124,$Z124,$AD124,$AH124)="Yes")*(((CHOOSE({1,2,3,4,5},$S124,$W124,$AA124,$AE124,$AI124)="Yes")+(CHOOSE({1,2,3,4,5},$S124,$W124,$AA124,$AE124,$AI124)=TRUE))&gt;0)))</f>
        <v/>
      </c>
      <c r="AM124" s="87"/>
      <c r="AN124" s="87" t="str">
        <f ca="1">IF(OR($A124="",$AM124=""),"",TODAY()-$AM124)</f>
        <v/>
      </c>
      <c r="AO124" s="87"/>
      <c r="AP124" s="106"/>
      <c r="AQ124" s="106"/>
      <c r="AR124" s="106"/>
      <c r="AS124" s="106"/>
      <c r="AT124" s="106"/>
      <c r="AU124" s="106"/>
      <c r="AV124" s="106"/>
      <c r="AW124" s="106"/>
      <c r="AX124" s="106"/>
      <c r="AY124" s="106"/>
    </row>
    <row r="125" spans="1:51" s="20" customFormat="1" ht="21" customHeight="1">
      <c r="A125" s="197"/>
      <c r="B125" s="87"/>
      <c r="C125" s="87"/>
      <c r="D125" s="196"/>
      <c r="E125" s="108"/>
      <c r="F125" s="196"/>
      <c r="G125" s="87"/>
      <c r="H125" s="197"/>
      <c r="I125" s="89"/>
      <c r="J125" s="204"/>
      <c r="K125" s="87"/>
      <c r="L125" s="87" t="str" cm="1">
        <f t="array" ref="L125">IF($A125="","",_xlfn.LET(_xlpm.stat,CHOOSE({1,2,3,4,5},$P125,$T125,$X125,$AB125,$AF125),_xlpm.rate,CHOOSE({1,2,3,4,5},$R125,$V125,$Z125,$AD125,$AH125),_xlpm.trn,CHOOSE({1,2,3,4,5},$S125,$W125,$AA125,$AE125,$AI125),_xlpm.nsC,SUMPRODUCT(--(_xlpm.stat="Ready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DLR",IF(AND(_xlpm.actRS&gt;0,_xlpm.actDone&lt;_xlpm.actRS),"Training",IF(_xlpm.actRS&gt;0,"Active",IF(AND(_xlpm.decC&gt;0,_xlpm.inPlay+_xlpm.actC=0),"Dead",IF(AND($AJ125&lt;&gt;"",$AK125=FALSE),"Waiting on Dealer",IF(_xlpm.subC&gt;0,"Waiting on Lender",IF(AND(_xlpm.appC+_xlpm.actC&gt;0,_xlpm.nsC+_xlpm.wdC=0),"Rate Sheet","Application Submitted")))))))))</f>
        <v/>
      </c>
      <c r="M125" s="87"/>
      <c r="N125" s="87"/>
      <c r="O125" s="197"/>
      <c r="P125" s="87" t="str">
        <f>IF($A125="","",IF($AK125=TRUE,"Ready 2 Submit","Waiting on Dealer"))</f>
        <v/>
      </c>
      <c r="Q125" s="148"/>
      <c r="R125" s="87"/>
      <c r="S125" s="87"/>
      <c r="T125" s="87" t="str">
        <f>IF($A125="","",IF($AK125=TRUE,"Ready 2 Submit","Waiting on Dealer"))</f>
        <v/>
      </c>
      <c r="U125" s="148"/>
      <c r="V125" s="87"/>
      <c r="W125" s="87"/>
      <c r="X125" s="87" t="str">
        <f>IF($A125="","",IF($AK125=TRUE,"Ready 2 Submit","Waiting on Dealer"))</f>
        <v/>
      </c>
      <c r="Y125" s="148"/>
      <c r="Z125" s="87"/>
      <c r="AA125" s="87"/>
      <c r="AB125" s="87" t="str">
        <f>IF($A125="","",IF($AK125=TRUE,"Ready 2 Submit","Waiting on Dealer"))</f>
        <v/>
      </c>
      <c r="AC125" s="148"/>
      <c r="AD125" s="87"/>
      <c r="AE125" s="87"/>
      <c r="AF125" s="87" t="str">
        <f>IF($A125="","",IF($AK125=TRUE,"Ready 2 Submit","Waiting on Dealer"))</f>
        <v/>
      </c>
      <c r="AG125" s="148"/>
      <c r="AH125" s="87"/>
      <c r="AI125" s="87"/>
      <c r="AJ125" s="197"/>
      <c r="AK125" s="110" t="b">
        <v>0</v>
      </c>
      <c r="AL125" s="87" t="str" cm="1">
        <f t="array" ref="AL125">IF($A125="","",SUMPRODUCT((CHOOSE({1,2,3,4,5},$R125,$V125,$Z125,$AD125,$AH125)="Yes")*(((CHOOSE({1,2,3,4,5},$S125,$W125,$AA125,$AE125,$AI125)="Yes")+(CHOOSE({1,2,3,4,5},$S125,$W125,$AA125,$AE125,$AI125)=TRUE))&gt;0)))</f>
        <v/>
      </c>
      <c r="AM125" s="87"/>
      <c r="AN125" s="87" t="str">
        <f ca="1">IF(OR($A125="",$AM125=""),"",TODAY()-$AM125)</f>
        <v/>
      </c>
      <c r="AO125" s="87"/>
      <c r="AP125" s="106"/>
      <c r="AQ125" s="106"/>
      <c r="AR125" s="106"/>
      <c r="AS125" s="106"/>
      <c r="AT125" s="106"/>
      <c r="AU125" s="106"/>
      <c r="AV125" s="106"/>
      <c r="AW125" s="106"/>
      <c r="AX125" s="106"/>
      <c r="AY125" s="106"/>
    </row>
    <row r="126" spans="1:51" s="20" customFormat="1" ht="21" customHeight="1">
      <c r="A126" s="197"/>
      <c r="B126" s="87"/>
      <c r="C126" s="87"/>
      <c r="D126" s="196"/>
      <c r="E126" s="108"/>
      <c r="F126" s="196"/>
      <c r="G126" s="87"/>
      <c r="H126" s="197"/>
      <c r="I126" s="89"/>
      <c r="J126" s="204"/>
      <c r="K126" s="87"/>
      <c r="L126" s="87" t="str" cm="1">
        <f t="array" ref="L126">IF($A126="","",_xlfn.LET(_xlpm.stat,CHOOSE({1,2,3,4,5},$P126,$T126,$X126,$AB126,$AF126),_xlpm.rate,CHOOSE({1,2,3,4,5},$R126,$V126,$Z126,$AD126,$AH126),_xlpm.trn,CHOOSE({1,2,3,4,5},$S126,$W126,$AA126,$AE126,$AI126),_xlpm.nsC,SUMPRODUCT(--(_xlpm.stat="Ready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DLR",IF(AND(_xlpm.actRS&gt;0,_xlpm.actDone&lt;_xlpm.actRS),"Training",IF(_xlpm.actRS&gt;0,"Active",IF(AND(_xlpm.decC&gt;0,_xlpm.inPlay+_xlpm.actC=0),"Dead",IF(AND($AJ126&lt;&gt;"",$AK126=FALSE),"Waiting on Dealer",IF(_xlpm.subC&gt;0,"Waiting on Lender",IF(AND(_xlpm.appC+_xlpm.actC&gt;0,_xlpm.nsC+_xlpm.wdC=0),"Rate Sheet","Application Submitted")))))))))</f>
        <v/>
      </c>
      <c r="M126" s="87"/>
      <c r="N126" s="87"/>
      <c r="O126" s="197"/>
      <c r="P126" s="87" t="str">
        <f>IF($A126="","",IF($AK126=TRUE,"Ready 2 Submit","Waiting on Dealer"))</f>
        <v/>
      </c>
      <c r="Q126" s="148"/>
      <c r="R126" s="87"/>
      <c r="S126" s="87"/>
      <c r="T126" s="87" t="str">
        <f>IF($A126="","",IF($AK126=TRUE,"Ready 2 Submit","Waiting on Dealer"))</f>
        <v/>
      </c>
      <c r="U126" s="148"/>
      <c r="V126" s="87"/>
      <c r="W126" s="87"/>
      <c r="X126" s="87" t="str">
        <f>IF($A126="","",IF($AK126=TRUE,"Ready 2 Submit","Waiting on Dealer"))</f>
        <v/>
      </c>
      <c r="Y126" s="148"/>
      <c r="Z126" s="87"/>
      <c r="AA126" s="87"/>
      <c r="AB126" s="87" t="str">
        <f>IF($A126="","",IF($AK126=TRUE,"Ready 2 Submit","Waiting on Dealer"))</f>
        <v/>
      </c>
      <c r="AC126" s="148"/>
      <c r="AD126" s="87"/>
      <c r="AE126" s="87"/>
      <c r="AF126" s="87" t="str">
        <f>IF($A126="","",IF($AK126=TRUE,"Ready 2 Submit","Waiting on Dealer"))</f>
        <v/>
      </c>
      <c r="AG126" s="148"/>
      <c r="AH126" s="87"/>
      <c r="AI126" s="87"/>
      <c r="AJ126" s="197"/>
      <c r="AK126" s="110" t="b">
        <v>0</v>
      </c>
      <c r="AL126" s="87" t="str" cm="1">
        <f t="array" ref="AL126">IF($A126="","",SUMPRODUCT((CHOOSE({1,2,3,4,5},$R126,$V126,$Z126,$AD126,$AH126)="Yes")*(((CHOOSE({1,2,3,4,5},$S126,$W126,$AA126,$AE126,$AI126)="Yes")+(CHOOSE({1,2,3,4,5},$S126,$W126,$AA126,$AE126,$AI126)=TRUE))&gt;0)))</f>
        <v/>
      </c>
      <c r="AM126" s="87"/>
      <c r="AN126" s="87" t="str">
        <f ca="1">IF(OR($A126="",$AM126=""),"",TODAY()-$AM126)</f>
        <v/>
      </c>
      <c r="AO126" s="87"/>
      <c r="AP126" s="106"/>
      <c r="AQ126" s="106"/>
      <c r="AR126" s="106"/>
      <c r="AS126" s="106"/>
      <c r="AT126" s="106"/>
      <c r="AU126" s="106"/>
      <c r="AV126" s="106"/>
      <c r="AW126" s="106"/>
      <c r="AX126" s="106"/>
      <c r="AY126" s="106"/>
    </row>
    <row r="127" spans="1:51" s="20" customFormat="1" ht="21" customHeight="1">
      <c r="A127" s="197"/>
      <c r="B127" s="87"/>
      <c r="C127" s="87"/>
      <c r="D127" s="196"/>
      <c r="E127" s="108"/>
      <c r="F127" s="196"/>
      <c r="G127" s="87"/>
      <c r="H127" s="197"/>
      <c r="I127" s="89"/>
      <c r="J127" s="204"/>
      <c r="K127" s="87"/>
      <c r="L127" s="87" t="str" cm="1">
        <f t="array" ref="L127">IF($A127="","",_xlfn.LET(_xlpm.stat,CHOOSE({1,2,3,4,5},$P127,$T127,$X127,$AB127,$AF127),_xlpm.rate,CHOOSE({1,2,3,4,5},$R127,$V127,$Z127,$AD127,$AH127),_xlpm.trn,CHOOSE({1,2,3,4,5},$S127,$W127,$AA127,$AE127,$AI127),_xlpm.nsC,SUMPRODUCT(--(_xlpm.stat="Ready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DLR",IF(AND(_xlpm.actRS&gt;0,_xlpm.actDone&lt;_xlpm.actRS),"Training",IF(_xlpm.actRS&gt;0,"Active",IF(AND(_xlpm.decC&gt;0,_xlpm.inPlay+_xlpm.actC=0),"Dead",IF(AND($AJ127&lt;&gt;"",$AK127=FALSE),"Waiting on Dealer",IF(_xlpm.subC&gt;0,"Waiting on Lender",IF(AND(_xlpm.appC+_xlpm.actC&gt;0,_xlpm.nsC+_xlpm.wdC=0),"Rate Sheet","Application Submitted")))))))))</f>
        <v/>
      </c>
      <c r="M127" s="87"/>
      <c r="N127" s="87"/>
      <c r="O127" s="197"/>
      <c r="P127" s="87" t="str">
        <f>IF($A127="","",IF($AK127=TRUE,"Ready 2 Submit","Waiting on Dealer"))</f>
        <v/>
      </c>
      <c r="Q127" s="148"/>
      <c r="R127" s="87"/>
      <c r="S127" s="87"/>
      <c r="T127" s="87" t="str">
        <f>IF($A127="","",IF($AK127=TRUE,"Ready 2 Submit","Waiting on Dealer"))</f>
        <v/>
      </c>
      <c r="U127" s="148"/>
      <c r="V127" s="87"/>
      <c r="W127" s="87"/>
      <c r="X127" s="87" t="str">
        <f>IF($A127="","",IF($AK127=TRUE,"Ready 2 Submit","Waiting on Dealer"))</f>
        <v/>
      </c>
      <c r="Y127" s="148"/>
      <c r="Z127" s="87"/>
      <c r="AA127" s="87"/>
      <c r="AB127" s="87" t="str">
        <f>IF($A127="","",IF($AK127=TRUE,"Ready 2 Submit","Waiting on Dealer"))</f>
        <v/>
      </c>
      <c r="AC127" s="148"/>
      <c r="AD127" s="87"/>
      <c r="AE127" s="87"/>
      <c r="AF127" s="87" t="str">
        <f>IF($A127="","",IF($AK127=TRUE,"Ready 2 Submit","Waiting on Dealer"))</f>
        <v/>
      </c>
      <c r="AG127" s="148"/>
      <c r="AH127" s="87"/>
      <c r="AI127" s="87"/>
      <c r="AJ127" s="197"/>
      <c r="AK127" s="110" t="b">
        <v>0</v>
      </c>
      <c r="AL127" s="87" t="str" cm="1">
        <f t="array" ref="AL127">IF($A127="","",SUMPRODUCT((CHOOSE({1,2,3,4,5},$R127,$V127,$Z127,$AD127,$AH127)="Yes")*(((CHOOSE({1,2,3,4,5},$S127,$W127,$AA127,$AE127,$AI127)="Yes")+(CHOOSE({1,2,3,4,5},$S127,$W127,$AA127,$AE127,$AI127)=TRUE))&gt;0)))</f>
        <v/>
      </c>
      <c r="AM127" s="87"/>
      <c r="AN127" s="87" t="str">
        <f ca="1">IF(OR($A127="",$AM127=""),"",TODAY()-$AM127)</f>
        <v/>
      </c>
      <c r="AO127" s="87"/>
      <c r="AP127" s="106"/>
      <c r="AQ127" s="106"/>
      <c r="AR127" s="106"/>
      <c r="AS127" s="106"/>
      <c r="AT127" s="106"/>
      <c r="AU127" s="106"/>
      <c r="AV127" s="106"/>
      <c r="AW127" s="106"/>
      <c r="AX127" s="106"/>
      <c r="AY127" s="106"/>
    </row>
    <row r="128" spans="1:51" s="20" customFormat="1" ht="21" customHeight="1">
      <c r="A128" s="197"/>
      <c r="B128" s="87"/>
      <c r="C128" s="87"/>
      <c r="D128" s="196"/>
      <c r="E128" s="108"/>
      <c r="F128" s="196"/>
      <c r="G128" s="87"/>
      <c r="H128" s="197"/>
      <c r="I128" s="89"/>
      <c r="J128" s="204"/>
      <c r="K128" s="87"/>
      <c r="L128" s="87" t="str" cm="1">
        <f t="array" ref="L128">IF($A128="","",_xlfn.LET(_xlpm.stat,CHOOSE({1,2,3,4,5},$P128,$T128,$X128,$AB128,$AF128),_xlpm.rate,CHOOSE({1,2,3,4,5},$R128,$V128,$Z128,$AD128,$AH128),_xlpm.trn,CHOOSE({1,2,3,4,5},$S128,$W128,$AA128,$AE128,$AI128),_xlpm.nsC,SUMPRODUCT(--(_xlpm.stat="Ready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DLR",IF(AND(_xlpm.actRS&gt;0,_xlpm.actDone&lt;_xlpm.actRS),"Training",IF(_xlpm.actRS&gt;0,"Active",IF(AND(_xlpm.decC&gt;0,_xlpm.inPlay+_xlpm.actC=0),"Dead",IF(AND($AJ128&lt;&gt;"",$AK128=FALSE),"Waiting on Dealer",IF(_xlpm.subC&gt;0,"Waiting on Lender",IF(AND(_xlpm.appC+_xlpm.actC&gt;0,_xlpm.nsC+_xlpm.wdC=0),"Rate Sheet","Application Submitted")))))))))</f>
        <v/>
      </c>
      <c r="M128" s="87"/>
      <c r="N128" s="87"/>
      <c r="O128" s="197"/>
      <c r="P128" s="87" t="str">
        <f>IF($A128="","",IF($AK128=TRUE,"Ready 2 Submit","Waiting on Dealer"))</f>
        <v/>
      </c>
      <c r="Q128" s="148"/>
      <c r="R128" s="87"/>
      <c r="S128" s="87"/>
      <c r="T128" s="87" t="str">
        <f>IF($A128="","",IF($AK128=TRUE,"Ready 2 Submit","Waiting on Dealer"))</f>
        <v/>
      </c>
      <c r="U128" s="148"/>
      <c r="V128" s="87"/>
      <c r="W128" s="87"/>
      <c r="X128" s="87" t="str">
        <f>IF($A128="","",IF($AK128=TRUE,"Ready 2 Submit","Waiting on Dealer"))</f>
        <v/>
      </c>
      <c r="Y128" s="148"/>
      <c r="Z128" s="87"/>
      <c r="AA128" s="87"/>
      <c r="AB128" s="87" t="str">
        <f>IF($A128="","",IF($AK128=TRUE,"Ready 2 Submit","Waiting on Dealer"))</f>
        <v/>
      </c>
      <c r="AC128" s="148"/>
      <c r="AD128" s="87"/>
      <c r="AE128" s="87"/>
      <c r="AF128" s="87" t="str">
        <f>IF($A128="","",IF($AK128=TRUE,"Ready 2 Submit","Waiting on Dealer"))</f>
        <v/>
      </c>
      <c r="AG128" s="148"/>
      <c r="AH128" s="87"/>
      <c r="AI128" s="87"/>
      <c r="AJ128" s="197"/>
      <c r="AK128" s="110" t="b">
        <v>0</v>
      </c>
      <c r="AL128" s="87" t="str" cm="1">
        <f t="array" ref="AL128">IF($A128="","",SUMPRODUCT((CHOOSE({1,2,3,4,5},$R128,$V128,$Z128,$AD128,$AH128)="Yes")*(((CHOOSE({1,2,3,4,5},$S128,$W128,$AA128,$AE128,$AI128)="Yes")+(CHOOSE({1,2,3,4,5},$S128,$W128,$AA128,$AE128,$AI128)=TRUE))&gt;0)))</f>
        <v/>
      </c>
      <c r="AM128" s="87"/>
      <c r="AN128" s="87" t="str">
        <f ca="1">IF(OR($A128="",$AM128=""),"",TODAY()-$AM128)</f>
        <v/>
      </c>
      <c r="AO128" s="87"/>
      <c r="AP128" s="106"/>
      <c r="AQ128" s="106"/>
      <c r="AR128" s="106"/>
      <c r="AS128" s="106"/>
      <c r="AT128" s="106"/>
      <c r="AU128" s="106"/>
      <c r="AV128" s="106"/>
      <c r="AW128" s="106"/>
      <c r="AX128" s="106"/>
      <c r="AY128" s="106"/>
    </row>
    <row r="129" spans="1:51" s="20" customFormat="1" ht="21" customHeight="1">
      <c r="A129" s="197"/>
      <c r="B129" s="87"/>
      <c r="C129" s="87"/>
      <c r="D129" s="196"/>
      <c r="E129" s="108"/>
      <c r="F129" s="196"/>
      <c r="G129" s="87"/>
      <c r="H129" s="197"/>
      <c r="I129" s="89"/>
      <c r="J129" s="204"/>
      <c r="K129" s="87"/>
      <c r="L129" s="87" t="str" cm="1">
        <f t="array" ref="L129">IF($A129="","",_xlfn.LET(_xlpm.stat,CHOOSE({1,2,3,4,5},$P129,$T129,$X129,$AB129,$AF129),_xlpm.rate,CHOOSE({1,2,3,4,5},$R129,$V129,$Z129,$AD129,$AH129),_xlpm.trn,CHOOSE({1,2,3,4,5},$S129,$W129,$AA129,$AE129,$AI129),_xlpm.nsC,SUMPRODUCT(--(_xlpm.stat="Ready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DLR",IF(AND(_xlpm.actRS&gt;0,_xlpm.actDone&lt;_xlpm.actRS),"Training",IF(_xlpm.actRS&gt;0,"Active",IF(AND(_xlpm.decC&gt;0,_xlpm.inPlay+_xlpm.actC=0),"Dead",IF(AND($AJ129&lt;&gt;"",$AK129=FALSE),"Waiting on Dealer",IF(_xlpm.subC&gt;0,"Waiting on Lender",IF(AND(_xlpm.appC+_xlpm.actC&gt;0,_xlpm.nsC+_xlpm.wdC=0),"Rate Sheet","Application Submitted")))))))))</f>
        <v/>
      </c>
      <c r="M129" s="87"/>
      <c r="N129" s="87"/>
      <c r="O129" s="197"/>
      <c r="P129" s="87" t="str">
        <f>IF($A129="","",IF($AK129=TRUE,"Ready 2 Submit","Waiting on Dealer"))</f>
        <v/>
      </c>
      <c r="Q129" s="148"/>
      <c r="R129" s="87"/>
      <c r="S129" s="87"/>
      <c r="T129" s="87" t="str">
        <f>IF($A129="","",IF($AK129=TRUE,"Ready 2 Submit","Waiting on Dealer"))</f>
        <v/>
      </c>
      <c r="U129" s="148"/>
      <c r="V129" s="87"/>
      <c r="W129" s="87"/>
      <c r="X129" s="87" t="str">
        <f>IF($A129="","",IF($AK129=TRUE,"Ready 2 Submit","Waiting on Dealer"))</f>
        <v/>
      </c>
      <c r="Y129" s="148"/>
      <c r="Z129" s="87"/>
      <c r="AA129" s="87"/>
      <c r="AB129" s="87" t="str">
        <f>IF($A129="","",IF($AK129=TRUE,"Ready 2 Submit","Waiting on Dealer"))</f>
        <v/>
      </c>
      <c r="AC129" s="148"/>
      <c r="AD129" s="87"/>
      <c r="AE129" s="87"/>
      <c r="AF129" s="87" t="str">
        <f>IF($A129="","",IF($AK129=TRUE,"Ready 2 Submit","Waiting on Dealer"))</f>
        <v/>
      </c>
      <c r="AG129" s="148"/>
      <c r="AH129" s="87"/>
      <c r="AI129" s="87"/>
      <c r="AJ129" s="197"/>
      <c r="AK129" s="110" t="b">
        <v>0</v>
      </c>
      <c r="AL129" s="87" t="str" cm="1">
        <f t="array" ref="AL129">IF($A129="","",SUMPRODUCT((CHOOSE({1,2,3,4,5},$R129,$V129,$Z129,$AD129,$AH129)="Yes")*(((CHOOSE({1,2,3,4,5},$S129,$W129,$AA129,$AE129,$AI129)="Yes")+(CHOOSE({1,2,3,4,5},$S129,$W129,$AA129,$AE129,$AI129)=TRUE))&gt;0)))</f>
        <v/>
      </c>
      <c r="AM129" s="87"/>
      <c r="AN129" s="87" t="str">
        <f ca="1">IF(OR($A129="",$AM129=""),"",TODAY()-$AM129)</f>
        <v/>
      </c>
      <c r="AO129" s="87"/>
      <c r="AP129" s="106"/>
      <c r="AQ129" s="106"/>
      <c r="AR129" s="106"/>
      <c r="AS129" s="106"/>
      <c r="AT129" s="106"/>
      <c r="AU129" s="106"/>
      <c r="AV129" s="106"/>
      <c r="AW129" s="106"/>
      <c r="AX129" s="106"/>
      <c r="AY129" s="106"/>
    </row>
    <row r="130" spans="1:51" s="20" customFormat="1" ht="21" customHeight="1">
      <c r="A130" s="197"/>
      <c r="B130" s="87"/>
      <c r="C130" s="87"/>
      <c r="D130" s="196"/>
      <c r="E130" s="108"/>
      <c r="F130" s="196"/>
      <c r="G130" s="87"/>
      <c r="H130" s="197"/>
      <c r="I130" s="89"/>
      <c r="J130" s="204"/>
      <c r="K130" s="87"/>
      <c r="L130" s="87" t="str" cm="1">
        <f t="array" ref="L130">IF($A130="","",_xlfn.LET(_xlpm.stat,CHOOSE({1,2,3,4,5},$P130,$T130,$X130,$AB130,$AF130),_xlpm.rate,CHOOSE({1,2,3,4,5},$R130,$V130,$Z130,$AD130,$AH130),_xlpm.trn,CHOOSE({1,2,3,4,5},$S130,$W130,$AA130,$AE130,$AI130),_xlpm.nsC,SUMPRODUCT(--(_xlpm.stat="Ready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DLR",IF(AND(_xlpm.actRS&gt;0,_xlpm.actDone&lt;_xlpm.actRS),"Training",IF(_xlpm.actRS&gt;0,"Active",IF(AND(_xlpm.decC&gt;0,_xlpm.inPlay+_xlpm.actC=0),"Dead",IF(AND($AJ130&lt;&gt;"",$AK130=FALSE),"Waiting on Dealer",IF(_xlpm.subC&gt;0,"Waiting on Lender",IF(AND(_xlpm.appC+_xlpm.actC&gt;0,_xlpm.nsC+_xlpm.wdC=0),"Rate Sheet","Application Submitted")))))))))</f>
        <v/>
      </c>
      <c r="M130" s="87"/>
      <c r="N130" s="87"/>
      <c r="O130" s="197"/>
      <c r="P130" s="87" t="str">
        <f>IF($A130="","",IF($AK130=TRUE,"Ready 2 Submit","Waiting on Dealer"))</f>
        <v/>
      </c>
      <c r="Q130" s="148"/>
      <c r="R130" s="87"/>
      <c r="S130" s="87"/>
      <c r="T130" s="87" t="str">
        <f>IF($A130="","",IF($AK130=TRUE,"Ready 2 Submit","Waiting on Dealer"))</f>
        <v/>
      </c>
      <c r="U130" s="148"/>
      <c r="V130" s="87"/>
      <c r="W130" s="87"/>
      <c r="X130" s="87" t="str">
        <f>IF($A130="","",IF($AK130=TRUE,"Ready 2 Submit","Waiting on Dealer"))</f>
        <v/>
      </c>
      <c r="Y130" s="148"/>
      <c r="Z130" s="87"/>
      <c r="AA130" s="87"/>
      <c r="AB130" s="87" t="str">
        <f>IF($A130="","",IF($AK130=TRUE,"Ready 2 Submit","Waiting on Dealer"))</f>
        <v/>
      </c>
      <c r="AC130" s="148"/>
      <c r="AD130" s="87"/>
      <c r="AE130" s="87"/>
      <c r="AF130" s="87" t="str">
        <f>IF($A130="","",IF($AK130=TRUE,"Ready 2 Submit","Waiting on Dealer"))</f>
        <v/>
      </c>
      <c r="AG130" s="148"/>
      <c r="AH130" s="87"/>
      <c r="AI130" s="87"/>
      <c r="AJ130" s="197"/>
      <c r="AK130" s="110" t="b">
        <v>0</v>
      </c>
      <c r="AL130" s="87" t="str" cm="1">
        <f t="array" ref="AL130">IF($A130="","",SUMPRODUCT((CHOOSE({1,2,3,4,5},$R130,$V130,$Z130,$AD130,$AH130)="Yes")*(((CHOOSE({1,2,3,4,5},$S130,$W130,$AA130,$AE130,$AI130)="Yes")+(CHOOSE({1,2,3,4,5},$S130,$W130,$AA130,$AE130,$AI130)=TRUE))&gt;0)))</f>
        <v/>
      </c>
      <c r="AM130" s="87"/>
      <c r="AN130" s="87" t="str">
        <f ca="1">IF(OR($A130="",$AM130=""),"",TODAY()-$AM130)</f>
        <v/>
      </c>
      <c r="AO130" s="87"/>
      <c r="AP130" s="106"/>
      <c r="AQ130" s="106"/>
      <c r="AR130" s="106"/>
      <c r="AS130" s="106"/>
      <c r="AT130" s="106"/>
      <c r="AU130" s="106"/>
      <c r="AV130" s="106"/>
      <c r="AW130" s="106"/>
      <c r="AX130" s="106"/>
      <c r="AY130" s="106"/>
    </row>
    <row r="131" spans="1:51" s="20" customFormat="1" ht="21" customHeight="1">
      <c r="A131" s="197"/>
      <c r="B131" s="87"/>
      <c r="C131" s="87"/>
      <c r="D131" s="196"/>
      <c r="E131" s="108"/>
      <c r="F131" s="196"/>
      <c r="G131" s="87"/>
      <c r="H131" s="197"/>
      <c r="I131" s="89"/>
      <c r="J131" s="204"/>
      <c r="K131" s="87"/>
      <c r="L131" s="87" t="str" cm="1">
        <f t="array" ref="L131">IF($A131="","",_xlfn.LET(_xlpm.stat,CHOOSE({1,2,3,4,5},$P131,$T131,$X131,$AB131,$AF131),_xlpm.rate,CHOOSE({1,2,3,4,5},$R131,$V131,$Z131,$AD131,$AH131),_xlpm.trn,CHOOSE({1,2,3,4,5},$S131,$W131,$AA131,$AE131,$AI131),_xlpm.nsC,SUMPRODUCT(--(_xlpm.stat="Ready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DLR",IF(AND(_xlpm.actRS&gt;0,_xlpm.actDone&lt;_xlpm.actRS),"Training",IF(_xlpm.actRS&gt;0,"Active",IF(AND(_xlpm.decC&gt;0,_xlpm.inPlay+_xlpm.actC=0),"Dead",IF(AND($AJ131&lt;&gt;"",$AK131=FALSE),"Waiting on Dealer",IF(_xlpm.subC&gt;0,"Waiting on Lender",IF(AND(_xlpm.appC+_xlpm.actC&gt;0,_xlpm.nsC+_xlpm.wdC=0),"Rate Sheet","Application Submitted")))))))))</f>
        <v/>
      </c>
      <c r="M131" s="87"/>
      <c r="N131" s="87"/>
      <c r="O131" s="197"/>
      <c r="P131" s="87" t="str">
        <f>IF($A131="","",IF($AK131=TRUE,"Ready 2 Submit","Waiting on Dealer"))</f>
        <v/>
      </c>
      <c r="Q131" s="148"/>
      <c r="R131" s="87"/>
      <c r="S131" s="87"/>
      <c r="T131" s="87" t="str">
        <f>IF($A131="","",IF($AK131=TRUE,"Ready 2 Submit","Waiting on Dealer"))</f>
        <v/>
      </c>
      <c r="U131" s="148"/>
      <c r="V131" s="87"/>
      <c r="W131" s="87"/>
      <c r="X131" s="87" t="str">
        <f>IF($A131="","",IF($AK131=TRUE,"Ready 2 Submit","Waiting on Dealer"))</f>
        <v/>
      </c>
      <c r="Y131" s="148"/>
      <c r="Z131" s="87"/>
      <c r="AA131" s="87"/>
      <c r="AB131" s="87" t="str">
        <f>IF($A131="","",IF($AK131=TRUE,"Ready 2 Submit","Waiting on Dealer"))</f>
        <v/>
      </c>
      <c r="AC131" s="148"/>
      <c r="AD131" s="87"/>
      <c r="AE131" s="87"/>
      <c r="AF131" s="87" t="str">
        <f>IF($A131="","",IF($AK131=TRUE,"Ready 2 Submit","Waiting on Dealer"))</f>
        <v/>
      </c>
      <c r="AG131" s="148"/>
      <c r="AH131" s="87"/>
      <c r="AI131" s="87"/>
      <c r="AJ131" s="197"/>
      <c r="AK131" s="110" t="b">
        <v>0</v>
      </c>
      <c r="AL131" s="87" t="str" cm="1">
        <f t="array" ref="AL131">IF($A131="","",SUMPRODUCT((CHOOSE({1,2,3,4,5},$R131,$V131,$Z131,$AD131,$AH131)="Yes")*(((CHOOSE({1,2,3,4,5},$S131,$W131,$AA131,$AE131,$AI131)="Yes")+(CHOOSE({1,2,3,4,5},$S131,$W131,$AA131,$AE131,$AI131)=TRUE))&gt;0)))</f>
        <v/>
      </c>
      <c r="AM131" s="87"/>
      <c r="AN131" s="87" t="str">
        <f ca="1">IF(OR($A131="",$AM131=""),"",TODAY()-$AM131)</f>
        <v/>
      </c>
      <c r="AO131" s="87"/>
      <c r="AP131" s="106"/>
      <c r="AQ131" s="106"/>
      <c r="AR131" s="106"/>
      <c r="AS131" s="106"/>
      <c r="AT131" s="106"/>
      <c r="AU131" s="106"/>
      <c r="AV131" s="106"/>
      <c r="AW131" s="106"/>
      <c r="AX131" s="106"/>
      <c r="AY131" s="106"/>
    </row>
    <row r="132" spans="1:51" s="20" customFormat="1" ht="21" customHeight="1">
      <c r="A132" s="197"/>
      <c r="B132" s="87"/>
      <c r="C132" s="87"/>
      <c r="D132" s="196"/>
      <c r="E132" s="108"/>
      <c r="F132" s="196"/>
      <c r="G132" s="87"/>
      <c r="H132" s="197"/>
      <c r="I132" s="89"/>
      <c r="J132" s="204"/>
      <c r="K132" s="87"/>
      <c r="L132" s="87" t="str" cm="1">
        <f t="array" ref="L132">IF($A132="","",_xlfn.LET(_xlpm.stat,CHOOSE({1,2,3,4,5},$P132,$T132,$X132,$AB132,$AF132),_xlpm.rate,CHOOSE({1,2,3,4,5},$R132,$V132,$Z132,$AD132,$AH132),_xlpm.trn,CHOOSE({1,2,3,4,5},$S132,$W132,$AA132,$AE132,$AI132),_xlpm.nsC,SUMPRODUCT(--(_xlpm.stat="Ready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DLR",IF(AND(_xlpm.actRS&gt;0,_xlpm.actDone&lt;_xlpm.actRS),"Training",IF(_xlpm.actRS&gt;0,"Active",IF(AND(_xlpm.decC&gt;0,_xlpm.inPlay+_xlpm.actC=0),"Dead",IF(AND($AJ132&lt;&gt;"",$AK132=FALSE),"Waiting on Dealer",IF(_xlpm.subC&gt;0,"Waiting on Lender",IF(AND(_xlpm.appC+_xlpm.actC&gt;0,_xlpm.nsC+_xlpm.wdC=0),"Rate Sheet","Application Submitted")))))))))</f>
        <v/>
      </c>
      <c r="M132" s="87"/>
      <c r="N132" s="87"/>
      <c r="O132" s="197"/>
      <c r="P132" s="87" t="str">
        <f>IF($A132="","",IF($AK132=TRUE,"Ready 2 Submit","Waiting on Dealer"))</f>
        <v/>
      </c>
      <c r="Q132" s="148"/>
      <c r="R132" s="87"/>
      <c r="S132" s="87"/>
      <c r="T132" s="87" t="str">
        <f>IF($A132="","",IF($AK132=TRUE,"Ready 2 Submit","Waiting on Dealer"))</f>
        <v/>
      </c>
      <c r="U132" s="148"/>
      <c r="V132" s="87"/>
      <c r="W132" s="87"/>
      <c r="X132" s="87" t="str">
        <f>IF($A132="","",IF($AK132=TRUE,"Ready 2 Submit","Waiting on Dealer"))</f>
        <v/>
      </c>
      <c r="Y132" s="148"/>
      <c r="Z132" s="87"/>
      <c r="AA132" s="87"/>
      <c r="AB132" s="87" t="str">
        <f>IF($A132="","",IF($AK132=TRUE,"Ready 2 Submit","Waiting on Dealer"))</f>
        <v/>
      </c>
      <c r="AC132" s="148"/>
      <c r="AD132" s="87"/>
      <c r="AE132" s="87"/>
      <c r="AF132" s="87" t="str">
        <f>IF($A132="","",IF($AK132=TRUE,"Ready 2 Submit","Waiting on Dealer"))</f>
        <v/>
      </c>
      <c r="AG132" s="148"/>
      <c r="AH132" s="87"/>
      <c r="AI132" s="87"/>
      <c r="AJ132" s="197"/>
      <c r="AK132" s="110" t="b">
        <v>0</v>
      </c>
      <c r="AL132" s="87" t="str" cm="1">
        <f t="array" ref="AL132">IF($A132="","",SUMPRODUCT((CHOOSE({1,2,3,4,5},$R132,$V132,$Z132,$AD132,$AH132)="Yes")*(((CHOOSE({1,2,3,4,5},$S132,$W132,$AA132,$AE132,$AI132)="Yes")+(CHOOSE({1,2,3,4,5},$S132,$W132,$AA132,$AE132,$AI132)=TRUE))&gt;0)))</f>
        <v/>
      </c>
      <c r="AM132" s="87"/>
      <c r="AN132" s="87" t="str">
        <f ca="1">IF(OR($A132="",$AM132=""),"",TODAY()-$AM132)</f>
        <v/>
      </c>
      <c r="AO132" s="87"/>
      <c r="AP132" s="106"/>
      <c r="AQ132" s="106"/>
      <c r="AR132" s="106"/>
      <c r="AS132" s="106"/>
      <c r="AT132" s="106"/>
      <c r="AU132" s="106"/>
      <c r="AV132" s="106"/>
      <c r="AW132" s="106"/>
      <c r="AX132" s="106"/>
      <c r="AY132" s="106"/>
    </row>
    <row r="133" spans="1:51" s="20" customFormat="1" ht="21" customHeight="1">
      <c r="A133" s="197"/>
      <c r="B133" s="87"/>
      <c r="C133" s="87"/>
      <c r="D133" s="196"/>
      <c r="E133" s="108"/>
      <c r="F133" s="196"/>
      <c r="G133" s="87"/>
      <c r="H133" s="197"/>
      <c r="I133" s="89"/>
      <c r="J133" s="204"/>
      <c r="K133" s="87"/>
      <c r="L133" s="87" t="str" cm="1">
        <f t="array" ref="L133">IF($A133="","",_xlfn.LET(_xlpm.stat,CHOOSE({1,2,3,4,5},$P133,$T133,$X133,$AB133,$AF133),_xlpm.rate,CHOOSE({1,2,3,4,5},$R133,$V133,$Z133,$AD133,$AH133),_xlpm.trn,CHOOSE({1,2,3,4,5},$S133,$W133,$AA133,$AE133,$AI133),_xlpm.nsC,SUMPRODUCT(--(_xlpm.stat="Ready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DLR",IF(AND(_xlpm.actRS&gt;0,_xlpm.actDone&lt;_xlpm.actRS),"Training",IF(_xlpm.actRS&gt;0,"Active",IF(AND(_xlpm.decC&gt;0,_xlpm.inPlay+_xlpm.actC=0),"Dead",IF(AND($AJ133&lt;&gt;"",$AK133=FALSE),"Waiting on Dealer",IF(_xlpm.subC&gt;0,"Waiting on Lender",IF(AND(_xlpm.appC+_xlpm.actC&gt;0,_xlpm.nsC+_xlpm.wdC=0),"Rate Sheet","Application Submitted")))))))))</f>
        <v/>
      </c>
      <c r="M133" s="87"/>
      <c r="N133" s="87"/>
      <c r="O133" s="197"/>
      <c r="P133" s="87" t="str">
        <f>IF($A133="","",IF($AK133=TRUE,"Ready 2 Submit","Waiting on Dealer"))</f>
        <v/>
      </c>
      <c r="Q133" s="148"/>
      <c r="R133" s="87"/>
      <c r="S133" s="87"/>
      <c r="T133" s="87" t="str">
        <f>IF($A133="","",IF($AK133=TRUE,"Ready 2 Submit","Waiting on Dealer"))</f>
        <v/>
      </c>
      <c r="U133" s="148"/>
      <c r="V133" s="87"/>
      <c r="W133" s="87"/>
      <c r="X133" s="87" t="str">
        <f>IF($A133="","",IF($AK133=TRUE,"Ready 2 Submit","Waiting on Dealer"))</f>
        <v/>
      </c>
      <c r="Y133" s="148"/>
      <c r="Z133" s="87"/>
      <c r="AA133" s="87"/>
      <c r="AB133" s="87" t="str">
        <f>IF($A133="","",IF($AK133=TRUE,"Ready 2 Submit","Waiting on Dealer"))</f>
        <v/>
      </c>
      <c r="AC133" s="148"/>
      <c r="AD133" s="87"/>
      <c r="AE133" s="87"/>
      <c r="AF133" s="87" t="str">
        <f>IF($A133="","",IF($AK133=TRUE,"Ready 2 Submit","Waiting on Dealer"))</f>
        <v/>
      </c>
      <c r="AG133" s="148"/>
      <c r="AH133" s="87"/>
      <c r="AI133" s="87"/>
      <c r="AJ133" s="197"/>
      <c r="AK133" s="110" t="b">
        <v>0</v>
      </c>
      <c r="AL133" s="87" t="str" cm="1">
        <f t="array" ref="AL133">IF($A133="","",SUMPRODUCT((CHOOSE({1,2,3,4,5},$R133,$V133,$Z133,$AD133,$AH133)="Yes")*(((CHOOSE({1,2,3,4,5},$S133,$W133,$AA133,$AE133,$AI133)="Yes")+(CHOOSE({1,2,3,4,5},$S133,$W133,$AA133,$AE133,$AI133)=TRUE))&gt;0)))</f>
        <v/>
      </c>
      <c r="AM133" s="87"/>
      <c r="AN133" s="87" t="str">
        <f ca="1">IF(OR($A133="",$AM133=""),"",TODAY()-$AM133)</f>
        <v/>
      </c>
      <c r="AO133" s="87"/>
      <c r="AP133" s="106"/>
      <c r="AQ133" s="106"/>
      <c r="AR133" s="106"/>
      <c r="AS133" s="106"/>
      <c r="AT133" s="106"/>
      <c r="AU133" s="106"/>
      <c r="AV133" s="106"/>
      <c r="AW133" s="106"/>
      <c r="AX133" s="106"/>
      <c r="AY133" s="106"/>
    </row>
    <row r="134" spans="1:51" s="20" customFormat="1" ht="21" customHeight="1">
      <c r="A134" s="197"/>
      <c r="B134" s="87"/>
      <c r="C134" s="87"/>
      <c r="D134" s="196"/>
      <c r="E134" s="108"/>
      <c r="F134" s="196"/>
      <c r="G134" s="87"/>
      <c r="H134" s="197"/>
      <c r="I134" s="89"/>
      <c r="J134" s="204"/>
      <c r="K134" s="87"/>
      <c r="L134" s="87" t="str" cm="1">
        <f t="array" ref="L134">IF($A134="","",_xlfn.LET(_xlpm.stat,CHOOSE({1,2,3,4,5},$P134,$T134,$X134,$AB134,$AF134),_xlpm.rate,CHOOSE({1,2,3,4,5},$R134,$V134,$Z134,$AD134,$AH134),_xlpm.trn,CHOOSE({1,2,3,4,5},$S134,$W134,$AA134,$AE134,$AI134),_xlpm.nsC,SUMPRODUCT(--(_xlpm.stat="Ready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DLR",IF(AND(_xlpm.actRS&gt;0,_xlpm.actDone&lt;_xlpm.actRS),"Training",IF(_xlpm.actRS&gt;0,"Active",IF(AND(_xlpm.decC&gt;0,_xlpm.inPlay+_xlpm.actC=0),"Dead",IF(AND($AJ134&lt;&gt;"",$AK134=FALSE),"Waiting on Dealer",IF(_xlpm.subC&gt;0,"Waiting on Lender",IF(AND(_xlpm.appC+_xlpm.actC&gt;0,_xlpm.nsC+_xlpm.wdC=0),"Rate Sheet","Application Submitted")))))))))</f>
        <v/>
      </c>
      <c r="M134" s="87"/>
      <c r="N134" s="87"/>
      <c r="O134" s="197"/>
      <c r="P134" s="87" t="str">
        <f>IF($A134="","",IF($AK134=TRUE,"Ready 2 Submit","Waiting on Dealer"))</f>
        <v/>
      </c>
      <c r="Q134" s="148"/>
      <c r="R134" s="87"/>
      <c r="S134" s="87"/>
      <c r="T134" s="87" t="str">
        <f>IF($A134="","",IF($AK134=TRUE,"Ready 2 Submit","Waiting on Dealer"))</f>
        <v/>
      </c>
      <c r="U134" s="148"/>
      <c r="V134" s="87"/>
      <c r="W134" s="87"/>
      <c r="X134" s="87" t="str">
        <f>IF($A134="","",IF($AK134=TRUE,"Ready 2 Submit","Waiting on Dealer"))</f>
        <v/>
      </c>
      <c r="Y134" s="148"/>
      <c r="Z134" s="87"/>
      <c r="AA134" s="87"/>
      <c r="AB134" s="87" t="str">
        <f>IF($A134="","",IF($AK134=TRUE,"Ready 2 Submit","Waiting on Dealer"))</f>
        <v/>
      </c>
      <c r="AC134" s="148"/>
      <c r="AD134" s="87"/>
      <c r="AE134" s="87"/>
      <c r="AF134" s="87" t="str">
        <f>IF($A134="","",IF($AK134=TRUE,"Ready 2 Submit","Waiting on Dealer"))</f>
        <v/>
      </c>
      <c r="AG134" s="148"/>
      <c r="AH134" s="87"/>
      <c r="AI134" s="87"/>
      <c r="AJ134" s="197"/>
      <c r="AK134" s="110" t="b">
        <v>0</v>
      </c>
      <c r="AL134" s="87" t="str" cm="1">
        <f t="array" ref="AL134">IF($A134="","",SUMPRODUCT((CHOOSE({1,2,3,4,5},$R134,$V134,$Z134,$AD134,$AH134)="Yes")*(((CHOOSE({1,2,3,4,5},$S134,$W134,$AA134,$AE134,$AI134)="Yes")+(CHOOSE({1,2,3,4,5},$S134,$W134,$AA134,$AE134,$AI134)=TRUE))&gt;0)))</f>
        <v/>
      </c>
      <c r="AM134" s="87"/>
      <c r="AN134" s="87" t="str">
        <f ca="1">IF(OR($A134="",$AM134=""),"",TODAY()-$AM134)</f>
        <v/>
      </c>
      <c r="AO134" s="87"/>
      <c r="AP134" s="106"/>
      <c r="AQ134" s="106"/>
      <c r="AR134" s="106"/>
      <c r="AS134" s="106"/>
      <c r="AT134" s="106"/>
      <c r="AU134" s="106"/>
      <c r="AV134" s="106"/>
      <c r="AW134" s="106"/>
      <c r="AX134" s="106"/>
      <c r="AY134" s="106"/>
    </row>
    <row r="135" spans="1:51" s="20" customFormat="1" ht="21" customHeight="1">
      <c r="A135" s="197"/>
      <c r="B135" s="87"/>
      <c r="C135" s="87"/>
      <c r="D135" s="196"/>
      <c r="E135" s="108"/>
      <c r="F135" s="196"/>
      <c r="G135" s="87"/>
      <c r="H135" s="197"/>
      <c r="I135" s="89"/>
      <c r="J135" s="204"/>
      <c r="K135" s="87"/>
      <c r="L135" s="87" t="str" cm="1">
        <f t="array" ref="L135">IF($A135="","",_xlfn.LET(_xlpm.stat,CHOOSE({1,2,3,4,5},$P135,$T135,$X135,$AB135,$AF135),_xlpm.rate,CHOOSE({1,2,3,4,5},$R135,$V135,$Z135,$AD135,$AH135),_xlpm.trn,CHOOSE({1,2,3,4,5},$S135,$W135,$AA135,$AE135,$AI135),_xlpm.nsC,SUMPRODUCT(--(_xlpm.stat="Ready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DLR",IF(AND(_xlpm.actRS&gt;0,_xlpm.actDone&lt;_xlpm.actRS),"Training",IF(_xlpm.actRS&gt;0,"Active",IF(AND(_xlpm.decC&gt;0,_xlpm.inPlay+_xlpm.actC=0),"Dead",IF(AND($AJ135&lt;&gt;"",$AK135=FALSE),"Waiting on Dealer",IF(_xlpm.subC&gt;0,"Waiting on Lender",IF(AND(_xlpm.appC+_xlpm.actC&gt;0,_xlpm.nsC+_xlpm.wdC=0),"Rate Sheet","Application Submitted")))))))))</f>
        <v/>
      </c>
      <c r="M135" s="87"/>
      <c r="N135" s="87"/>
      <c r="O135" s="197"/>
      <c r="P135" s="87" t="str">
        <f>IF($A135="","",IF($AK135=TRUE,"Ready 2 Submit","Waiting on Dealer"))</f>
        <v/>
      </c>
      <c r="Q135" s="148"/>
      <c r="R135" s="87"/>
      <c r="S135" s="87"/>
      <c r="T135" s="87" t="str">
        <f>IF($A135="","",IF($AK135=TRUE,"Ready 2 Submit","Waiting on Dealer"))</f>
        <v/>
      </c>
      <c r="U135" s="148"/>
      <c r="V135" s="87"/>
      <c r="W135" s="87"/>
      <c r="X135" s="87" t="str">
        <f>IF($A135="","",IF($AK135=TRUE,"Ready 2 Submit","Waiting on Dealer"))</f>
        <v/>
      </c>
      <c r="Y135" s="148"/>
      <c r="Z135" s="87"/>
      <c r="AA135" s="87"/>
      <c r="AB135" s="87" t="str">
        <f>IF($A135="","",IF($AK135=TRUE,"Ready 2 Submit","Waiting on Dealer"))</f>
        <v/>
      </c>
      <c r="AC135" s="148"/>
      <c r="AD135" s="87"/>
      <c r="AE135" s="87"/>
      <c r="AF135" s="87" t="str">
        <f>IF($A135="","",IF($AK135=TRUE,"Ready 2 Submit","Waiting on Dealer"))</f>
        <v/>
      </c>
      <c r="AG135" s="148"/>
      <c r="AH135" s="87"/>
      <c r="AI135" s="87"/>
      <c r="AJ135" s="197"/>
      <c r="AK135" s="110" t="b">
        <v>0</v>
      </c>
      <c r="AL135" s="87" t="str" cm="1">
        <f t="array" ref="AL135">IF($A135="","",SUMPRODUCT((CHOOSE({1,2,3,4,5},$R135,$V135,$Z135,$AD135,$AH135)="Yes")*(((CHOOSE({1,2,3,4,5},$S135,$W135,$AA135,$AE135,$AI135)="Yes")+(CHOOSE({1,2,3,4,5},$S135,$W135,$AA135,$AE135,$AI135)=TRUE))&gt;0)))</f>
        <v/>
      </c>
      <c r="AM135" s="87"/>
      <c r="AN135" s="87" t="str">
        <f ca="1">IF(OR($A135="",$AM135=""),"",TODAY()-$AM135)</f>
        <v/>
      </c>
      <c r="AO135" s="87"/>
      <c r="AP135" s="106"/>
      <c r="AQ135" s="106"/>
      <c r="AR135" s="106"/>
      <c r="AS135" s="106"/>
      <c r="AT135" s="106"/>
      <c r="AU135" s="106"/>
      <c r="AV135" s="106"/>
      <c r="AW135" s="106"/>
      <c r="AX135" s="106"/>
      <c r="AY135" s="106"/>
    </row>
    <row r="136" spans="1:51" s="20" customFormat="1" ht="21" customHeight="1">
      <c r="A136" s="197"/>
      <c r="B136" s="87"/>
      <c r="C136" s="87"/>
      <c r="D136" s="196"/>
      <c r="E136" s="108"/>
      <c r="F136" s="196"/>
      <c r="G136" s="87"/>
      <c r="H136" s="197"/>
      <c r="I136" s="89"/>
      <c r="J136" s="204"/>
      <c r="K136" s="87"/>
      <c r="L136" s="87" t="str" cm="1">
        <f t="array" ref="L136">IF($A136="","",_xlfn.LET(_xlpm.stat,CHOOSE({1,2,3,4,5},$P136,$T136,$X136,$AB136,$AF136),_xlpm.rate,CHOOSE({1,2,3,4,5},$R136,$V136,$Z136,$AD136,$AH136),_xlpm.trn,CHOOSE({1,2,3,4,5},$S136,$W136,$AA136,$AE136,$AI136),_xlpm.nsC,SUMPRODUCT(--(_xlpm.stat="Ready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DLR",IF(AND(_xlpm.actRS&gt;0,_xlpm.actDone&lt;_xlpm.actRS),"Training",IF(_xlpm.actRS&gt;0,"Active",IF(AND(_xlpm.decC&gt;0,_xlpm.inPlay+_xlpm.actC=0),"Dead",IF(AND($AJ136&lt;&gt;"",$AK136=FALSE),"Waiting on Dealer",IF(_xlpm.subC&gt;0,"Waiting on Lender",IF(AND(_xlpm.appC+_xlpm.actC&gt;0,_xlpm.nsC+_xlpm.wdC=0),"Rate Sheet","Application Submitted")))))))))</f>
        <v/>
      </c>
      <c r="M136" s="87"/>
      <c r="N136" s="87"/>
      <c r="O136" s="197"/>
      <c r="P136" s="87" t="str">
        <f>IF($A136="","",IF($AK136=TRUE,"Ready 2 Submit","Waiting on Dealer"))</f>
        <v/>
      </c>
      <c r="Q136" s="148"/>
      <c r="R136" s="87"/>
      <c r="S136" s="87"/>
      <c r="T136" s="87" t="str">
        <f>IF($A136="","",IF($AK136=TRUE,"Ready 2 Submit","Waiting on Dealer"))</f>
        <v/>
      </c>
      <c r="U136" s="148"/>
      <c r="V136" s="87"/>
      <c r="W136" s="87"/>
      <c r="X136" s="87" t="str">
        <f>IF($A136="","",IF($AK136=TRUE,"Ready 2 Submit","Waiting on Dealer"))</f>
        <v/>
      </c>
      <c r="Y136" s="148"/>
      <c r="Z136" s="87"/>
      <c r="AA136" s="87"/>
      <c r="AB136" s="87" t="str">
        <f>IF($A136="","",IF($AK136=TRUE,"Ready 2 Submit","Waiting on Dealer"))</f>
        <v/>
      </c>
      <c r="AC136" s="148"/>
      <c r="AD136" s="87"/>
      <c r="AE136" s="87"/>
      <c r="AF136" s="87" t="str">
        <f>IF($A136="","",IF($AK136=TRUE,"Ready 2 Submit","Waiting on Dealer"))</f>
        <v/>
      </c>
      <c r="AG136" s="148"/>
      <c r="AH136" s="87"/>
      <c r="AI136" s="87"/>
      <c r="AJ136" s="197"/>
      <c r="AK136" s="110" t="b">
        <v>0</v>
      </c>
      <c r="AL136" s="87" t="str" cm="1">
        <f t="array" ref="AL136">IF($A136="","",SUMPRODUCT((CHOOSE({1,2,3,4,5},$R136,$V136,$Z136,$AD136,$AH136)="Yes")*(((CHOOSE({1,2,3,4,5},$S136,$W136,$AA136,$AE136,$AI136)="Yes")+(CHOOSE({1,2,3,4,5},$S136,$W136,$AA136,$AE136,$AI136)=TRUE))&gt;0)))</f>
        <v/>
      </c>
      <c r="AM136" s="87"/>
      <c r="AN136" s="87" t="str">
        <f ca="1">IF(OR($A136="",$AM136=""),"",TODAY()-$AM136)</f>
        <v/>
      </c>
      <c r="AO136" s="87"/>
      <c r="AP136" s="106"/>
      <c r="AQ136" s="106"/>
      <c r="AR136" s="106"/>
      <c r="AS136" s="106"/>
      <c r="AT136" s="106"/>
      <c r="AU136" s="106"/>
      <c r="AV136" s="106"/>
      <c r="AW136" s="106"/>
      <c r="AX136" s="106"/>
      <c r="AY136" s="106"/>
    </row>
    <row r="137" spans="1:51" s="20" customFormat="1" ht="21" customHeight="1">
      <c r="A137" s="197"/>
      <c r="B137" s="87"/>
      <c r="C137" s="87"/>
      <c r="D137" s="196"/>
      <c r="E137" s="108"/>
      <c r="F137" s="196"/>
      <c r="G137" s="87"/>
      <c r="H137" s="197"/>
      <c r="I137" s="89"/>
      <c r="J137" s="204"/>
      <c r="K137" s="87"/>
      <c r="L137" s="87" t="str" cm="1">
        <f t="array" ref="L137">IF($A137="","",_xlfn.LET(_xlpm.stat,CHOOSE({1,2,3,4,5},$P137,$T137,$X137,$AB137,$AF137),_xlpm.rate,CHOOSE({1,2,3,4,5},$R137,$V137,$Z137,$AD137,$AH137),_xlpm.trn,CHOOSE({1,2,3,4,5},$S137,$W137,$AA137,$AE137,$AI137),_xlpm.nsC,SUMPRODUCT(--(_xlpm.stat="Ready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DLR",IF(AND(_xlpm.actRS&gt;0,_xlpm.actDone&lt;_xlpm.actRS),"Training",IF(_xlpm.actRS&gt;0,"Active",IF(AND(_xlpm.decC&gt;0,_xlpm.inPlay+_xlpm.actC=0),"Dead",IF(AND($AJ137&lt;&gt;"",$AK137=FALSE),"Waiting on Dealer",IF(_xlpm.subC&gt;0,"Waiting on Lender",IF(AND(_xlpm.appC+_xlpm.actC&gt;0,_xlpm.nsC+_xlpm.wdC=0),"Rate Sheet","Application Submitted")))))))))</f>
        <v/>
      </c>
      <c r="M137" s="87"/>
      <c r="N137" s="87"/>
      <c r="O137" s="197"/>
      <c r="P137" s="87" t="str">
        <f>IF($A137="","",IF($AK137=TRUE,"Ready 2 Submit","Waiting on Dealer"))</f>
        <v/>
      </c>
      <c r="Q137" s="148"/>
      <c r="R137" s="87"/>
      <c r="S137" s="87"/>
      <c r="T137" s="87" t="str">
        <f>IF($A137="","",IF($AK137=TRUE,"Ready 2 Submit","Waiting on Dealer"))</f>
        <v/>
      </c>
      <c r="U137" s="148"/>
      <c r="V137" s="87"/>
      <c r="W137" s="87"/>
      <c r="X137" s="87" t="str">
        <f>IF($A137="","",IF($AK137=TRUE,"Ready 2 Submit","Waiting on Dealer"))</f>
        <v/>
      </c>
      <c r="Y137" s="148"/>
      <c r="Z137" s="87"/>
      <c r="AA137" s="87"/>
      <c r="AB137" s="87" t="str">
        <f>IF($A137="","",IF($AK137=TRUE,"Ready 2 Submit","Waiting on Dealer"))</f>
        <v/>
      </c>
      <c r="AC137" s="148"/>
      <c r="AD137" s="87"/>
      <c r="AE137" s="87"/>
      <c r="AF137" s="87" t="str">
        <f>IF($A137="","",IF($AK137=TRUE,"Ready 2 Submit","Waiting on Dealer"))</f>
        <v/>
      </c>
      <c r="AG137" s="148"/>
      <c r="AH137" s="87"/>
      <c r="AI137" s="87"/>
      <c r="AJ137" s="197"/>
      <c r="AK137" s="110" t="b">
        <v>0</v>
      </c>
      <c r="AL137" s="87" t="str" cm="1">
        <f t="array" ref="AL137">IF($A137="","",SUMPRODUCT((CHOOSE({1,2,3,4,5},$R137,$V137,$Z137,$AD137,$AH137)="Yes")*(((CHOOSE({1,2,3,4,5},$S137,$W137,$AA137,$AE137,$AI137)="Yes")+(CHOOSE({1,2,3,4,5},$S137,$W137,$AA137,$AE137,$AI137)=TRUE))&gt;0)))</f>
        <v/>
      </c>
      <c r="AM137" s="87"/>
      <c r="AN137" s="87" t="str">
        <f ca="1">IF(OR($A137="",$AM137=""),"",TODAY()-$AM137)</f>
        <v/>
      </c>
      <c r="AO137" s="87"/>
      <c r="AP137" s="106"/>
      <c r="AQ137" s="106"/>
      <c r="AR137" s="106"/>
      <c r="AS137" s="106"/>
      <c r="AT137" s="106"/>
      <c r="AU137" s="106"/>
      <c r="AV137" s="106"/>
      <c r="AW137" s="106"/>
      <c r="AX137" s="106"/>
      <c r="AY137" s="106"/>
    </row>
    <row r="138" spans="1:51" s="20" customFormat="1" ht="21" customHeight="1">
      <c r="A138" s="197"/>
      <c r="B138" s="87"/>
      <c r="C138" s="87"/>
      <c r="D138" s="196"/>
      <c r="E138" s="108"/>
      <c r="F138" s="196"/>
      <c r="G138" s="87"/>
      <c r="H138" s="197"/>
      <c r="I138" s="89"/>
      <c r="J138" s="204"/>
      <c r="K138" s="87"/>
      <c r="L138" s="87" t="str" cm="1">
        <f t="array" ref="L138">IF($A138="","",_xlfn.LET(_xlpm.stat,CHOOSE({1,2,3,4,5},$P138,$T138,$X138,$AB138,$AF138),_xlpm.rate,CHOOSE({1,2,3,4,5},$R138,$V138,$Z138,$AD138,$AH138),_xlpm.trn,CHOOSE({1,2,3,4,5},$S138,$W138,$AA138,$AE138,$AI138),_xlpm.nsC,SUMPRODUCT(--(_xlpm.stat="Ready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DLR",IF(AND(_xlpm.actRS&gt;0,_xlpm.actDone&lt;_xlpm.actRS),"Training",IF(_xlpm.actRS&gt;0,"Active",IF(AND(_xlpm.decC&gt;0,_xlpm.inPlay+_xlpm.actC=0),"Dead",IF(AND($AJ138&lt;&gt;"",$AK138=FALSE),"Waiting on Dealer",IF(_xlpm.subC&gt;0,"Waiting on Lender",IF(AND(_xlpm.appC+_xlpm.actC&gt;0,_xlpm.nsC+_xlpm.wdC=0),"Rate Sheet","Application Submitted")))))))))</f>
        <v/>
      </c>
      <c r="M138" s="87"/>
      <c r="N138" s="87"/>
      <c r="O138" s="197"/>
      <c r="P138" s="87" t="str">
        <f>IF($A138="","",IF($AK138=TRUE,"Ready 2 Submit","Waiting on Dealer"))</f>
        <v/>
      </c>
      <c r="Q138" s="148"/>
      <c r="R138" s="87"/>
      <c r="S138" s="87"/>
      <c r="T138" s="87" t="str">
        <f>IF($A138="","",IF($AK138=TRUE,"Ready 2 Submit","Waiting on Dealer"))</f>
        <v/>
      </c>
      <c r="U138" s="148"/>
      <c r="V138" s="87"/>
      <c r="W138" s="87"/>
      <c r="X138" s="87" t="str">
        <f>IF($A138="","",IF($AK138=TRUE,"Ready 2 Submit","Waiting on Dealer"))</f>
        <v/>
      </c>
      <c r="Y138" s="148"/>
      <c r="Z138" s="87"/>
      <c r="AA138" s="87"/>
      <c r="AB138" s="87" t="str">
        <f>IF($A138="","",IF($AK138=TRUE,"Ready 2 Submit","Waiting on Dealer"))</f>
        <v/>
      </c>
      <c r="AC138" s="148"/>
      <c r="AD138" s="87"/>
      <c r="AE138" s="87"/>
      <c r="AF138" s="87" t="str">
        <f>IF($A138="","",IF($AK138=TRUE,"Ready 2 Submit","Waiting on Dealer"))</f>
        <v/>
      </c>
      <c r="AG138" s="148"/>
      <c r="AH138" s="87"/>
      <c r="AI138" s="87"/>
      <c r="AJ138" s="197"/>
      <c r="AK138" s="110" t="b">
        <v>0</v>
      </c>
      <c r="AL138" s="87" t="str" cm="1">
        <f t="array" ref="AL138">IF($A138="","",SUMPRODUCT((CHOOSE({1,2,3,4,5},$R138,$V138,$Z138,$AD138,$AH138)="Yes")*(((CHOOSE({1,2,3,4,5},$S138,$W138,$AA138,$AE138,$AI138)="Yes")+(CHOOSE({1,2,3,4,5},$S138,$W138,$AA138,$AE138,$AI138)=TRUE))&gt;0)))</f>
        <v/>
      </c>
      <c r="AM138" s="87"/>
      <c r="AN138" s="87" t="str">
        <f ca="1">IF(OR($A138="",$AM138=""),"",TODAY()-$AM138)</f>
        <v/>
      </c>
      <c r="AO138" s="87"/>
      <c r="AP138" s="106"/>
      <c r="AQ138" s="106"/>
      <c r="AR138" s="106"/>
      <c r="AS138" s="106"/>
      <c r="AT138" s="106"/>
      <c r="AU138" s="106"/>
      <c r="AV138" s="106"/>
      <c r="AW138" s="106"/>
      <c r="AX138" s="106"/>
      <c r="AY138" s="106"/>
    </row>
    <row r="139" spans="1:51" s="20" customFormat="1" ht="21" customHeight="1">
      <c r="A139" s="197"/>
      <c r="B139" s="87"/>
      <c r="C139" s="87"/>
      <c r="D139" s="196"/>
      <c r="E139" s="108"/>
      <c r="F139" s="196"/>
      <c r="G139" s="87"/>
      <c r="H139" s="197"/>
      <c r="I139" s="89"/>
      <c r="J139" s="204"/>
      <c r="K139" s="87"/>
      <c r="L139" s="87" t="str" cm="1">
        <f t="array" ref="L139">IF($A139="","",_xlfn.LET(_xlpm.stat,CHOOSE({1,2,3,4,5},$P139,$T139,$X139,$AB139,$AF139),_xlpm.rate,CHOOSE({1,2,3,4,5},$R139,$V139,$Z139,$AD139,$AH139),_xlpm.trn,CHOOSE({1,2,3,4,5},$S139,$W139,$AA139,$AE139,$AI139),_xlpm.nsC,SUMPRODUCT(--(_xlpm.stat="Ready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DLR",IF(AND(_xlpm.actRS&gt;0,_xlpm.actDone&lt;_xlpm.actRS),"Training",IF(_xlpm.actRS&gt;0,"Active",IF(AND(_xlpm.decC&gt;0,_xlpm.inPlay+_xlpm.actC=0),"Dead",IF(AND($AJ139&lt;&gt;"",$AK139=FALSE),"Waiting on Dealer",IF(_xlpm.subC&gt;0,"Waiting on Lender",IF(AND(_xlpm.appC+_xlpm.actC&gt;0,_xlpm.nsC+_xlpm.wdC=0),"Rate Sheet","Application Submitted")))))))))</f>
        <v/>
      </c>
      <c r="M139" s="87"/>
      <c r="N139" s="87"/>
      <c r="O139" s="197"/>
      <c r="P139" s="87" t="str">
        <f>IF($A139="","",IF($AK139=TRUE,"Ready 2 Submit","Waiting on Dealer"))</f>
        <v/>
      </c>
      <c r="Q139" s="148"/>
      <c r="R139" s="87"/>
      <c r="S139" s="87"/>
      <c r="T139" s="87" t="str">
        <f>IF($A139="","",IF($AK139=TRUE,"Ready 2 Submit","Waiting on Dealer"))</f>
        <v/>
      </c>
      <c r="U139" s="148"/>
      <c r="V139" s="87"/>
      <c r="W139" s="87"/>
      <c r="X139" s="87" t="str">
        <f>IF($A139="","",IF($AK139=TRUE,"Ready 2 Submit","Waiting on Dealer"))</f>
        <v/>
      </c>
      <c r="Y139" s="148"/>
      <c r="Z139" s="87"/>
      <c r="AA139" s="87"/>
      <c r="AB139" s="87" t="str">
        <f>IF($A139="","",IF($AK139=TRUE,"Ready 2 Submit","Waiting on Dealer"))</f>
        <v/>
      </c>
      <c r="AC139" s="148"/>
      <c r="AD139" s="87"/>
      <c r="AE139" s="87"/>
      <c r="AF139" s="87" t="str">
        <f>IF($A139="","",IF($AK139=TRUE,"Ready 2 Submit","Waiting on Dealer"))</f>
        <v/>
      </c>
      <c r="AG139" s="148"/>
      <c r="AH139" s="87"/>
      <c r="AI139" s="87"/>
      <c r="AJ139" s="197"/>
      <c r="AK139" s="110" t="b">
        <v>0</v>
      </c>
      <c r="AL139" s="87" t="str" cm="1">
        <f t="array" ref="AL139">IF($A139="","",SUMPRODUCT((CHOOSE({1,2,3,4,5},$R139,$V139,$Z139,$AD139,$AH139)="Yes")*(((CHOOSE({1,2,3,4,5},$S139,$W139,$AA139,$AE139,$AI139)="Yes")+(CHOOSE({1,2,3,4,5},$S139,$W139,$AA139,$AE139,$AI139)=TRUE))&gt;0)))</f>
        <v/>
      </c>
      <c r="AM139" s="87"/>
      <c r="AN139" s="87" t="str">
        <f ca="1">IF(OR($A139="",$AM139=""),"",TODAY()-$AM139)</f>
        <v/>
      </c>
      <c r="AO139" s="87"/>
      <c r="AP139" s="106"/>
      <c r="AQ139" s="106"/>
      <c r="AR139" s="106"/>
      <c r="AS139" s="106"/>
      <c r="AT139" s="106"/>
      <c r="AU139" s="106"/>
      <c r="AV139" s="106"/>
      <c r="AW139" s="106"/>
      <c r="AX139" s="106"/>
      <c r="AY139" s="106"/>
    </row>
    <row r="140" spans="1:51" s="20" customFormat="1" ht="21" customHeight="1">
      <c r="A140" s="197"/>
      <c r="B140" s="87"/>
      <c r="C140" s="87"/>
      <c r="D140" s="196"/>
      <c r="E140" s="108"/>
      <c r="F140" s="196"/>
      <c r="G140" s="87"/>
      <c r="H140" s="197"/>
      <c r="I140" s="89"/>
      <c r="J140" s="204"/>
      <c r="K140" s="87"/>
      <c r="L140" s="87" t="str" cm="1">
        <f t="array" ref="L140">IF($A140="","",_xlfn.LET(_xlpm.stat,CHOOSE({1,2,3,4,5},$P140,$T140,$X140,$AB140,$AF140),_xlpm.rate,CHOOSE({1,2,3,4,5},$R140,$V140,$Z140,$AD140,$AH140),_xlpm.trn,CHOOSE({1,2,3,4,5},$S140,$W140,$AA140,$AE140,$AI140),_xlpm.nsC,SUMPRODUCT(--(_xlpm.stat="Ready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DLR",IF(AND(_xlpm.actRS&gt;0,_xlpm.actDone&lt;_xlpm.actRS),"Training",IF(_xlpm.actRS&gt;0,"Active",IF(AND(_xlpm.decC&gt;0,_xlpm.inPlay+_xlpm.actC=0),"Dead",IF(AND($AJ140&lt;&gt;"",$AK140=FALSE),"Waiting on Dealer",IF(_xlpm.subC&gt;0,"Waiting on Lender",IF(AND(_xlpm.appC+_xlpm.actC&gt;0,_xlpm.nsC+_xlpm.wdC=0),"Rate Sheet","Application Submitted")))))))))</f>
        <v/>
      </c>
      <c r="M140" s="87"/>
      <c r="N140" s="87"/>
      <c r="O140" s="197"/>
      <c r="P140" s="87" t="str">
        <f>IF($A140="","",IF($AK140=TRUE,"Ready 2 Submit","Waiting on Dealer"))</f>
        <v/>
      </c>
      <c r="Q140" s="148"/>
      <c r="R140" s="87"/>
      <c r="S140" s="87"/>
      <c r="T140" s="87" t="str">
        <f>IF($A140="","",IF($AK140=TRUE,"Ready 2 Submit","Waiting on Dealer"))</f>
        <v/>
      </c>
      <c r="U140" s="148"/>
      <c r="V140" s="87"/>
      <c r="W140" s="87"/>
      <c r="X140" s="87" t="str">
        <f>IF($A140="","",IF($AK140=TRUE,"Ready 2 Submit","Waiting on Dealer"))</f>
        <v/>
      </c>
      <c r="Y140" s="148"/>
      <c r="Z140" s="87"/>
      <c r="AA140" s="87"/>
      <c r="AB140" s="87" t="str">
        <f>IF($A140="","",IF($AK140=TRUE,"Ready 2 Submit","Waiting on Dealer"))</f>
        <v/>
      </c>
      <c r="AC140" s="148"/>
      <c r="AD140" s="87"/>
      <c r="AE140" s="87"/>
      <c r="AF140" s="87" t="str">
        <f>IF($A140="","",IF($AK140=TRUE,"Ready 2 Submit","Waiting on Dealer"))</f>
        <v/>
      </c>
      <c r="AG140" s="148"/>
      <c r="AH140" s="87"/>
      <c r="AI140" s="87"/>
      <c r="AJ140" s="197"/>
      <c r="AK140" s="110" t="b">
        <v>0</v>
      </c>
      <c r="AL140" s="87" t="str" cm="1">
        <f t="array" ref="AL140">IF($A140="","",SUMPRODUCT((CHOOSE({1,2,3,4,5},$R140,$V140,$Z140,$AD140,$AH140)="Yes")*(((CHOOSE({1,2,3,4,5},$S140,$W140,$AA140,$AE140,$AI140)="Yes")+(CHOOSE({1,2,3,4,5},$S140,$W140,$AA140,$AE140,$AI140)=TRUE))&gt;0)))</f>
        <v/>
      </c>
      <c r="AM140" s="87"/>
      <c r="AN140" s="87" t="str">
        <f ca="1">IF(OR($A140="",$AM140=""),"",TODAY()-$AM140)</f>
        <v/>
      </c>
      <c r="AO140" s="87"/>
      <c r="AP140" s="106"/>
      <c r="AQ140" s="106"/>
      <c r="AR140" s="106"/>
      <c r="AS140" s="106"/>
      <c r="AT140" s="106"/>
      <c r="AU140" s="106"/>
      <c r="AV140" s="106"/>
      <c r="AW140" s="106"/>
      <c r="AX140" s="106"/>
      <c r="AY140" s="106"/>
    </row>
    <row r="141" spans="1:51" s="20" customFormat="1" ht="21" customHeight="1">
      <c r="A141" s="197"/>
      <c r="B141" s="87"/>
      <c r="C141" s="87"/>
      <c r="D141" s="196"/>
      <c r="E141" s="108"/>
      <c r="F141" s="196"/>
      <c r="G141" s="87"/>
      <c r="H141" s="197"/>
      <c r="I141" s="89"/>
      <c r="J141" s="204"/>
      <c r="K141" s="87"/>
      <c r="L141" s="87" t="str" cm="1">
        <f t="array" ref="L141">IF($A141="","",_xlfn.LET(_xlpm.stat,CHOOSE({1,2,3,4,5},$P141,$T141,$X141,$AB141,$AF141),_xlpm.rate,CHOOSE({1,2,3,4,5},$R141,$V141,$Z141,$AD141,$AH141),_xlpm.trn,CHOOSE({1,2,3,4,5},$S141,$W141,$AA141,$AE141,$AI141),_xlpm.nsC,SUMPRODUCT(--(_xlpm.stat="Ready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DLR",IF(AND(_xlpm.actRS&gt;0,_xlpm.actDone&lt;_xlpm.actRS),"Training",IF(_xlpm.actRS&gt;0,"Active",IF(AND(_xlpm.decC&gt;0,_xlpm.inPlay+_xlpm.actC=0),"Dead",IF(AND($AJ141&lt;&gt;"",$AK141=FALSE),"Waiting on Dealer",IF(_xlpm.subC&gt;0,"Waiting on Lender",IF(AND(_xlpm.appC+_xlpm.actC&gt;0,_xlpm.nsC+_xlpm.wdC=0),"Rate Sheet","Application Submitted")))))))))</f>
        <v/>
      </c>
      <c r="M141" s="87"/>
      <c r="N141" s="87"/>
      <c r="O141" s="197"/>
      <c r="P141" s="87" t="str">
        <f>IF($A141="","",IF($AK141=TRUE,"Ready 2 Submit","Waiting on Dealer"))</f>
        <v/>
      </c>
      <c r="Q141" s="148"/>
      <c r="R141" s="87"/>
      <c r="S141" s="87"/>
      <c r="T141" s="87" t="str">
        <f>IF($A141="","",IF($AK141=TRUE,"Ready 2 Submit","Waiting on Dealer"))</f>
        <v/>
      </c>
      <c r="U141" s="148"/>
      <c r="V141" s="87"/>
      <c r="W141" s="87"/>
      <c r="X141" s="87" t="str">
        <f>IF($A141="","",IF($AK141=TRUE,"Ready 2 Submit","Waiting on Dealer"))</f>
        <v/>
      </c>
      <c r="Y141" s="148"/>
      <c r="Z141" s="87"/>
      <c r="AA141" s="87"/>
      <c r="AB141" s="87" t="str">
        <f>IF($A141="","",IF($AK141=TRUE,"Ready 2 Submit","Waiting on Dealer"))</f>
        <v/>
      </c>
      <c r="AC141" s="148"/>
      <c r="AD141" s="87"/>
      <c r="AE141" s="87"/>
      <c r="AF141" s="87" t="str">
        <f>IF($A141="","",IF($AK141=TRUE,"Ready 2 Submit","Waiting on Dealer"))</f>
        <v/>
      </c>
      <c r="AG141" s="148"/>
      <c r="AH141" s="87"/>
      <c r="AI141" s="87"/>
      <c r="AJ141" s="197"/>
      <c r="AK141" s="110" t="b">
        <v>0</v>
      </c>
      <c r="AL141" s="87" t="str" cm="1">
        <f t="array" ref="AL141">IF($A141="","",SUMPRODUCT((CHOOSE({1,2,3,4,5},$R141,$V141,$Z141,$AD141,$AH141)="Yes")*(((CHOOSE({1,2,3,4,5},$S141,$W141,$AA141,$AE141,$AI141)="Yes")+(CHOOSE({1,2,3,4,5},$S141,$W141,$AA141,$AE141,$AI141)=TRUE))&gt;0)))</f>
        <v/>
      </c>
      <c r="AM141" s="87"/>
      <c r="AN141" s="87" t="str">
        <f ca="1">IF(OR($A141="",$AM141=""),"",TODAY()-$AM141)</f>
        <v/>
      </c>
      <c r="AO141" s="87"/>
      <c r="AP141" s="106"/>
      <c r="AQ141" s="106"/>
      <c r="AR141" s="106"/>
      <c r="AS141" s="106"/>
      <c r="AT141" s="106"/>
      <c r="AU141" s="106"/>
      <c r="AV141" s="106"/>
      <c r="AW141" s="106"/>
      <c r="AX141" s="106"/>
      <c r="AY141" s="106"/>
    </row>
    <row r="142" spans="1:51" s="20" customFormat="1" ht="21" customHeight="1">
      <c r="A142" s="197"/>
      <c r="B142" s="87"/>
      <c r="C142" s="87"/>
      <c r="D142" s="196"/>
      <c r="E142" s="108"/>
      <c r="F142" s="196"/>
      <c r="G142" s="87"/>
      <c r="H142" s="197"/>
      <c r="I142" s="89"/>
      <c r="J142" s="204"/>
      <c r="K142" s="87"/>
      <c r="L142" s="87" t="str" cm="1">
        <f t="array" ref="L142">IF($A142="","",_xlfn.LET(_xlpm.stat,CHOOSE({1,2,3,4,5},$P142,$T142,$X142,$AB142,$AF142),_xlpm.rate,CHOOSE({1,2,3,4,5},$R142,$V142,$Z142,$AD142,$AH142),_xlpm.trn,CHOOSE({1,2,3,4,5},$S142,$W142,$AA142,$AE142,$AI142),_xlpm.nsC,SUMPRODUCT(--(_xlpm.stat="Ready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DLR",IF(AND(_xlpm.actRS&gt;0,_xlpm.actDone&lt;_xlpm.actRS),"Training",IF(_xlpm.actRS&gt;0,"Active",IF(AND(_xlpm.decC&gt;0,_xlpm.inPlay+_xlpm.actC=0),"Dead",IF(AND($AJ142&lt;&gt;"",$AK142=FALSE),"Waiting on Dealer",IF(_xlpm.subC&gt;0,"Waiting on Lender",IF(AND(_xlpm.appC+_xlpm.actC&gt;0,_xlpm.nsC+_xlpm.wdC=0),"Rate Sheet","Application Submitted")))))))))</f>
        <v/>
      </c>
      <c r="M142" s="87"/>
      <c r="N142" s="87"/>
      <c r="O142" s="197"/>
      <c r="P142" s="87" t="str">
        <f>IF($A142="","",IF($AK142=TRUE,"Ready 2 Submit","Waiting on Dealer"))</f>
        <v/>
      </c>
      <c r="Q142" s="148"/>
      <c r="R142" s="87"/>
      <c r="S142" s="87"/>
      <c r="T142" s="87" t="str">
        <f>IF($A142="","",IF($AK142=TRUE,"Ready 2 Submit","Waiting on Dealer"))</f>
        <v/>
      </c>
      <c r="U142" s="148"/>
      <c r="V142" s="87"/>
      <c r="W142" s="87"/>
      <c r="X142" s="87" t="str">
        <f>IF($A142="","",IF($AK142=TRUE,"Ready 2 Submit","Waiting on Dealer"))</f>
        <v/>
      </c>
      <c r="Y142" s="148"/>
      <c r="Z142" s="87"/>
      <c r="AA142" s="87"/>
      <c r="AB142" s="87" t="str">
        <f>IF($A142="","",IF($AK142=TRUE,"Ready 2 Submit","Waiting on Dealer"))</f>
        <v/>
      </c>
      <c r="AC142" s="148"/>
      <c r="AD142" s="87"/>
      <c r="AE142" s="87"/>
      <c r="AF142" s="87" t="str">
        <f>IF($A142="","",IF($AK142=TRUE,"Ready 2 Submit","Waiting on Dealer"))</f>
        <v/>
      </c>
      <c r="AG142" s="148"/>
      <c r="AH142" s="87"/>
      <c r="AI142" s="87"/>
      <c r="AJ142" s="197"/>
      <c r="AK142" s="110" t="b">
        <v>0</v>
      </c>
      <c r="AL142" s="87" t="str" cm="1">
        <f t="array" ref="AL142">IF($A142="","",SUMPRODUCT((CHOOSE({1,2,3,4,5},$R142,$V142,$Z142,$AD142,$AH142)="Yes")*(((CHOOSE({1,2,3,4,5},$S142,$W142,$AA142,$AE142,$AI142)="Yes")+(CHOOSE({1,2,3,4,5},$S142,$W142,$AA142,$AE142,$AI142)=TRUE))&gt;0)))</f>
        <v/>
      </c>
      <c r="AM142" s="87"/>
      <c r="AN142" s="87" t="str">
        <f ca="1">IF(OR($A142="",$AM142=""),"",TODAY()-$AM142)</f>
        <v/>
      </c>
      <c r="AO142" s="87"/>
      <c r="AP142" s="106"/>
      <c r="AQ142" s="106"/>
      <c r="AR142" s="106"/>
      <c r="AS142" s="106"/>
      <c r="AT142" s="106"/>
      <c r="AU142" s="106"/>
      <c r="AV142" s="106"/>
      <c r="AW142" s="106"/>
      <c r="AX142" s="106"/>
      <c r="AY142" s="106"/>
    </row>
    <row r="143" spans="1:51" s="20" customFormat="1" ht="21" customHeight="1">
      <c r="A143" s="197"/>
      <c r="B143" s="87"/>
      <c r="C143" s="87"/>
      <c r="D143" s="196"/>
      <c r="E143" s="108"/>
      <c r="F143" s="196"/>
      <c r="G143" s="87"/>
      <c r="H143" s="197"/>
      <c r="I143" s="89"/>
      <c r="J143" s="204"/>
      <c r="K143" s="87"/>
      <c r="L143" s="87" t="str" cm="1">
        <f t="array" ref="L143">IF($A143="","",_xlfn.LET(_xlpm.stat,CHOOSE({1,2,3,4,5},$P143,$T143,$X143,$AB143,$AF143),_xlpm.rate,CHOOSE({1,2,3,4,5},$R143,$V143,$Z143,$AD143,$AH143),_xlpm.trn,CHOOSE({1,2,3,4,5},$S143,$W143,$AA143,$AE143,$AI143),_xlpm.nsC,SUMPRODUCT(--(_xlpm.stat="Ready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DLR",IF(AND(_xlpm.actRS&gt;0,_xlpm.actDone&lt;_xlpm.actRS),"Training",IF(_xlpm.actRS&gt;0,"Active",IF(AND(_xlpm.decC&gt;0,_xlpm.inPlay+_xlpm.actC=0),"Dead",IF(AND($AJ143&lt;&gt;"",$AK143=FALSE),"Waiting on Dealer",IF(_xlpm.subC&gt;0,"Waiting on Lender",IF(AND(_xlpm.appC+_xlpm.actC&gt;0,_xlpm.nsC+_xlpm.wdC=0),"Rate Sheet","Application Submitted")))))))))</f>
        <v/>
      </c>
      <c r="M143" s="87"/>
      <c r="N143" s="87"/>
      <c r="O143" s="197"/>
      <c r="P143" s="87" t="str">
        <f>IF($A143="","",IF($AK143=TRUE,"Ready 2 Submit","Waiting on Dealer"))</f>
        <v/>
      </c>
      <c r="Q143" s="148"/>
      <c r="R143" s="87"/>
      <c r="S143" s="87"/>
      <c r="T143" s="87" t="str">
        <f>IF($A143="","",IF($AK143=TRUE,"Ready 2 Submit","Waiting on Dealer"))</f>
        <v/>
      </c>
      <c r="U143" s="148"/>
      <c r="V143" s="87"/>
      <c r="W143" s="87"/>
      <c r="X143" s="87" t="str">
        <f>IF($A143="","",IF($AK143=TRUE,"Ready 2 Submit","Waiting on Dealer"))</f>
        <v/>
      </c>
      <c r="Y143" s="148"/>
      <c r="Z143" s="87"/>
      <c r="AA143" s="87"/>
      <c r="AB143" s="87" t="str">
        <f>IF($A143="","",IF($AK143=TRUE,"Ready 2 Submit","Waiting on Dealer"))</f>
        <v/>
      </c>
      <c r="AC143" s="148"/>
      <c r="AD143" s="87"/>
      <c r="AE143" s="87"/>
      <c r="AF143" s="87" t="str">
        <f>IF($A143="","",IF($AK143=TRUE,"Ready 2 Submit","Waiting on Dealer"))</f>
        <v/>
      </c>
      <c r="AG143" s="148"/>
      <c r="AH143" s="87"/>
      <c r="AI143" s="87"/>
      <c r="AJ143" s="197"/>
      <c r="AK143" s="110" t="b">
        <v>0</v>
      </c>
      <c r="AL143" s="87" t="str" cm="1">
        <f t="array" ref="AL143">IF($A143="","",SUMPRODUCT((CHOOSE({1,2,3,4,5},$R143,$V143,$Z143,$AD143,$AH143)="Yes")*(((CHOOSE({1,2,3,4,5},$S143,$W143,$AA143,$AE143,$AI143)="Yes")+(CHOOSE({1,2,3,4,5},$S143,$W143,$AA143,$AE143,$AI143)=TRUE))&gt;0)))</f>
        <v/>
      </c>
      <c r="AM143" s="87"/>
      <c r="AN143" s="87" t="str">
        <f ca="1">IF(OR($A143="",$AM143=""),"",TODAY()-$AM143)</f>
        <v/>
      </c>
      <c r="AO143" s="87"/>
      <c r="AP143" s="106"/>
      <c r="AQ143" s="106"/>
      <c r="AR143" s="106"/>
      <c r="AS143" s="106"/>
      <c r="AT143" s="106"/>
      <c r="AU143" s="106"/>
      <c r="AV143" s="106"/>
      <c r="AW143" s="106"/>
      <c r="AX143" s="106"/>
      <c r="AY143" s="106"/>
    </row>
    <row r="144" spans="1:51" s="20" customFormat="1" ht="21" customHeight="1">
      <c r="A144" s="197"/>
      <c r="B144" s="87"/>
      <c r="C144" s="87"/>
      <c r="D144" s="196"/>
      <c r="E144" s="108"/>
      <c r="F144" s="196"/>
      <c r="G144" s="87"/>
      <c r="H144" s="197"/>
      <c r="I144" s="89"/>
      <c r="J144" s="204"/>
      <c r="K144" s="87"/>
      <c r="L144" s="87" t="str" cm="1">
        <f t="array" ref="L144">IF($A144="","",_xlfn.LET(_xlpm.stat,CHOOSE({1,2,3,4,5},$P144,$T144,$X144,$AB144,$AF144),_xlpm.rate,CHOOSE({1,2,3,4,5},$R144,$V144,$Z144,$AD144,$AH144),_xlpm.trn,CHOOSE({1,2,3,4,5},$S144,$W144,$AA144,$AE144,$AI144),_xlpm.nsC,SUMPRODUCT(--(_xlpm.stat="Ready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DLR",IF(AND(_xlpm.actRS&gt;0,_xlpm.actDone&lt;_xlpm.actRS),"Training",IF(_xlpm.actRS&gt;0,"Active",IF(AND(_xlpm.decC&gt;0,_xlpm.inPlay+_xlpm.actC=0),"Dead",IF(AND($AJ144&lt;&gt;"",$AK144=FALSE),"Waiting on Dealer",IF(_xlpm.subC&gt;0,"Waiting on Lender",IF(AND(_xlpm.appC+_xlpm.actC&gt;0,_xlpm.nsC+_xlpm.wdC=0),"Rate Sheet","Application Submitted")))))))))</f>
        <v/>
      </c>
      <c r="M144" s="87"/>
      <c r="N144" s="87"/>
      <c r="O144" s="197"/>
      <c r="P144" s="87" t="str">
        <f>IF($A144="","",IF($AK144=TRUE,"Ready 2 Submit","Waiting on Dealer"))</f>
        <v/>
      </c>
      <c r="Q144" s="148"/>
      <c r="R144" s="87"/>
      <c r="S144" s="87"/>
      <c r="T144" s="87" t="str">
        <f>IF($A144="","",IF($AK144=TRUE,"Ready 2 Submit","Waiting on Dealer"))</f>
        <v/>
      </c>
      <c r="U144" s="148"/>
      <c r="V144" s="87"/>
      <c r="W144" s="87"/>
      <c r="X144" s="87" t="str">
        <f>IF($A144="","",IF($AK144=TRUE,"Ready 2 Submit","Waiting on Dealer"))</f>
        <v/>
      </c>
      <c r="Y144" s="148"/>
      <c r="Z144" s="87"/>
      <c r="AA144" s="87"/>
      <c r="AB144" s="87" t="str">
        <f>IF($A144="","",IF($AK144=TRUE,"Ready 2 Submit","Waiting on Dealer"))</f>
        <v/>
      </c>
      <c r="AC144" s="148"/>
      <c r="AD144" s="87"/>
      <c r="AE144" s="87"/>
      <c r="AF144" s="87" t="str">
        <f>IF($A144="","",IF($AK144=TRUE,"Ready 2 Submit","Waiting on Dealer"))</f>
        <v/>
      </c>
      <c r="AG144" s="148"/>
      <c r="AH144" s="87"/>
      <c r="AI144" s="87"/>
      <c r="AJ144" s="197"/>
      <c r="AK144" s="110" t="b">
        <v>0</v>
      </c>
      <c r="AL144" s="87" t="str" cm="1">
        <f t="array" ref="AL144">IF($A144="","",SUMPRODUCT((CHOOSE({1,2,3,4,5},$R144,$V144,$Z144,$AD144,$AH144)="Yes")*(((CHOOSE({1,2,3,4,5},$S144,$W144,$AA144,$AE144,$AI144)="Yes")+(CHOOSE({1,2,3,4,5},$S144,$W144,$AA144,$AE144,$AI144)=TRUE))&gt;0)))</f>
        <v/>
      </c>
      <c r="AM144" s="87"/>
      <c r="AN144" s="87" t="str">
        <f ca="1">IF(OR($A144="",$AM144=""),"",TODAY()-$AM144)</f>
        <v/>
      </c>
      <c r="AO144" s="87"/>
      <c r="AP144" s="106"/>
      <c r="AQ144" s="106"/>
      <c r="AR144" s="106"/>
      <c r="AS144" s="106"/>
      <c r="AT144" s="106"/>
      <c r="AU144" s="106"/>
      <c r="AV144" s="106"/>
      <c r="AW144" s="106"/>
      <c r="AX144" s="106"/>
      <c r="AY144" s="106"/>
    </row>
    <row r="145" spans="1:51" s="20" customFormat="1" ht="21" customHeight="1">
      <c r="A145" s="197"/>
      <c r="B145" s="87"/>
      <c r="C145" s="87"/>
      <c r="D145" s="196"/>
      <c r="E145" s="108"/>
      <c r="F145" s="196"/>
      <c r="G145" s="87"/>
      <c r="H145" s="197"/>
      <c r="I145" s="89"/>
      <c r="J145" s="204"/>
      <c r="K145" s="87"/>
      <c r="L145" s="87" t="str" cm="1">
        <f t="array" ref="L145">IF($A145="","",_xlfn.LET(_xlpm.stat,CHOOSE({1,2,3,4,5},$P145,$T145,$X145,$AB145,$AF145),_xlpm.rate,CHOOSE({1,2,3,4,5},$R145,$V145,$Z145,$AD145,$AH145),_xlpm.trn,CHOOSE({1,2,3,4,5},$S145,$W145,$AA145,$AE145,$AI145),_xlpm.nsC,SUMPRODUCT(--(_xlpm.stat="Ready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DLR",IF(AND(_xlpm.actRS&gt;0,_xlpm.actDone&lt;_xlpm.actRS),"Training",IF(_xlpm.actRS&gt;0,"Active",IF(AND(_xlpm.decC&gt;0,_xlpm.inPlay+_xlpm.actC=0),"Dead",IF(AND($AJ145&lt;&gt;"",$AK145=FALSE),"Waiting on Dealer",IF(_xlpm.subC&gt;0,"Waiting on Lender",IF(AND(_xlpm.appC+_xlpm.actC&gt;0,_xlpm.nsC+_xlpm.wdC=0),"Rate Sheet","Application Submitted")))))))))</f>
        <v/>
      </c>
      <c r="M145" s="87"/>
      <c r="N145" s="87"/>
      <c r="O145" s="197"/>
      <c r="P145" s="87" t="str">
        <f>IF($A145="","",IF($AK145=TRUE,"Ready 2 Submit","Waiting on Dealer"))</f>
        <v/>
      </c>
      <c r="Q145" s="148"/>
      <c r="R145" s="87"/>
      <c r="S145" s="87"/>
      <c r="T145" s="87" t="str">
        <f>IF($A145="","",IF($AK145=TRUE,"Ready 2 Submit","Waiting on Dealer"))</f>
        <v/>
      </c>
      <c r="U145" s="148"/>
      <c r="V145" s="87"/>
      <c r="W145" s="87"/>
      <c r="X145" s="87" t="str">
        <f>IF($A145="","",IF($AK145=TRUE,"Ready 2 Submit","Waiting on Dealer"))</f>
        <v/>
      </c>
      <c r="Y145" s="148"/>
      <c r="Z145" s="87"/>
      <c r="AA145" s="87"/>
      <c r="AB145" s="87" t="str">
        <f>IF($A145="","",IF($AK145=TRUE,"Ready 2 Submit","Waiting on Dealer"))</f>
        <v/>
      </c>
      <c r="AC145" s="148"/>
      <c r="AD145" s="87"/>
      <c r="AE145" s="87"/>
      <c r="AF145" s="87" t="str">
        <f>IF($A145="","",IF($AK145=TRUE,"Ready 2 Submit","Waiting on Dealer"))</f>
        <v/>
      </c>
      <c r="AG145" s="148"/>
      <c r="AH145" s="87"/>
      <c r="AI145" s="87"/>
      <c r="AJ145" s="197"/>
      <c r="AK145" s="110" t="b">
        <v>0</v>
      </c>
      <c r="AL145" s="87" t="str" cm="1">
        <f t="array" ref="AL145">IF($A145="","",SUMPRODUCT((CHOOSE({1,2,3,4,5},$R145,$V145,$Z145,$AD145,$AH145)="Yes")*(((CHOOSE({1,2,3,4,5},$S145,$W145,$AA145,$AE145,$AI145)="Yes")+(CHOOSE({1,2,3,4,5},$S145,$W145,$AA145,$AE145,$AI145)=TRUE))&gt;0)))</f>
        <v/>
      </c>
      <c r="AM145" s="87"/>
      <c r="AN145" s="87" t="str">
        <f ca="1">IF(OR($A145="",$AM145=""),"",TODAY()-$AM145)</f>
        <v/>
      </c>
      <c r="AO145" s="87"/>
      <c r="AP145" s="106"/>
      <c r="AQ145" s="106"/>
      <c r="AR145" s="106"/>
      <c r="AS145" s="106"/>
      <c r="AT145" s="106"/>
      <c r="AU145" s="106"/>
      <c r="AV145" s="106"/>
      <c r="AW145" s="106"/>
      <c r="AX145" s="106"/>
      <c r="AY145" s="106"/>
    </row>
    <row r="146" spans="1:51" s="20" customFormat="1" ht="21" customHeight="1">
      <c r="A146" s="197"/>
      <c r="B146" s="87"/>
      <c r="C146" s="87"/>
      <c r="D146" s="196"/>
      <c r="E146" s="108"/>
      <c r="F146" s="196"/>
      <c r="G146" s="87"/>
      <c r="H146" s="197"/>
      <c r="I146" s="89"/>
      <c r="J146" s="204"/>
      <c r="K146" s="87"/>
      <c r="L146" s="87" t="str" cm="1">
        <f t="array" ref="L146">IF($A146="","",_xlfn.LET(_xlpm.stat,CHOOSE({1,2,3,4,5},$P146,$T146,$X146,$AB146,$AF146),_xlpm.rate,CHOOSE({1,2,3,4,5},$R146,$V146,$Z146,$AD146,$AH146),_xlpm.trn,CHOOSE({1,2,3,4,5},$S146,$W146,$AA146,$AE146,$AI146),_xlpm.nsC,SUMPRODUCT(--(_xlpm.stat="Ready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DLR",IF(AND(_xlpm.actRS&gt;0,_xlpm.actDone&lt;_xlpm.actRS),"Training",IF(_xlpm.actRS&gt;0,"Active",IF(AND(_xlpm.decC&gt;0,_xlpm.inPlay+_xlpm.actC=0),"Dead",IF(AND($AJ146&lt;&gt;"",$AK146=FALSE),"Waiting on Dealer",IF(_xlpm.subC&gt;0,"Waiting on Lender",IF(AND(_xlpm.appC+_xlpm.actC&gt;0,_xlpm.nsC+_xlpm.wdC=0),"Rate Sheet","Application Submitted")))))))))</f>
        <v/>
      </c>
      <c r="M146" s="87"/>
      <c r="N146" s="87"/>
      <c r="O146" s="197"/>
      <c r="P146" s="87" t="str">
        <f>IF($A146="","",IF($AK146=TRUE,"Ready 2 Submit","Waiting on Dealer"))</f>
        <v/>
      </c>
      <c r="Q146" s="148"/>
      <c r="R146" s="87"/>
      <c r="S146" s="87"/>
      <c r="T146" s="87" t="str">
        <f>IF($A146="","",IF($AK146=TRUE,"Ready 2 Submit","Waiting on Dealer"))</f>
        <v/>
      </c>
      <c r="U146" s="148"/>
      <c r="V146" s="87"/>
      <c r="W146" s="87"/>
      <c r="X146" s="87" t="str">
        <f>IF($A146="","",IF($AK146=TRUE,"Ready 2 Submit","Waiting on Dealer"))</f>
        <v/>
      </c>
      <c r="Y146" s="148"/>
      <c r="Z146" s="87"/>
      <c r="AA146" s="87"/>
      <c r="AB146" s="87" t="str">
        <f>IF($A146="","",IF($AK146=TRUE,"Ready 2 Submit","Waiting on Dealer"))</f>
        <v/>
      </c>
      <c r="AC146" s="148"/>
      <c r="AD146" s="87"/>
      <c r="AE146" s="87"/>
      <c r="AF146" s="87" t="str">
        <f>IF($A146="","",IF($AK146=TRUE,"Ready 2 Submit","Waiting on Dealer"))</f>
        <v/>
      </c>
      <c r="AG146" s="148"/>
      <c r="AH146" s="87"/>
      <c r="AI146" s="87"/>
      <c r="AJ146" s="197"/>
      <c r="AK146" s="110" t="b">
        <v>0</v>
      </c>
      <c r="AL146" s="87" t="str" cm="1">
        <f t="array" ref="AL146">IF($A146="","",SUMPRODUCT((CHOOSE({1,2,3,4,5},$R146,$V146,$Z146,$AD146,$AH146)="Yes")*(((CHOOSE({1,2,3,4,5},$S146,$W146,$AA146,$AE146,$AI146)="Yes")+(CHOOSE({1,2,3,4,5},$S146,$W146,$AA146,$AE146,$AI146)=TRUE))&gt;0)))</f>
        <v/>
      </c>
      <c r="AM146" s="87"/>
      <c r="AN146" s="87" t="str">
        <f ca="1">IF(OR($A146="",$AM146=""),"",TODAY()-$AM146)</f>
        <v/>
      </c>
      <c r="AO146" s="87"/>
      <c r="AP146" s="106"/>
      <c r="AQ146" s="106"/>
      <c r="AR146" s="106"/>
      <c r="AS146" s="106"/>
      <c r="AT146" s="106"/>
      <c r="AU146" s="106"/>
      <c r="AV146" s="106"/>
      <c r="AW146" s="106"/>
      <c r="AX146" s="106"/>
      <c r="AY146" s="106"/>
    </row>
    <row r="147" spans="1:51" s="20" customFormat="1" ht="21" customHeight="1">
      <c r="A147" s="197"/>
      <c r="B147" s="87"/>
      <c r="C147" s="87"/>
      <c r="D147" s="196"/>
      <c r="E147" s="108"/>
      <c r="F147" s="196"/>
      <c r="G147" s="87"/>
      <c r="H147" s="197"/>
      <c r="I147" s="89"/>
      <c r="J147" s="204"/>
      <c r="K147" s="87"/>
      <c r="L147" s="87" t="str" cm="1">
        <f t="array" ref="L147">IF($A147="","",_xlfn.LET(_xlpm.stat,CHOOSE({1,2,3,4,5},$P147,$T147,$X147,$AB147,$AF147),_xlpm.rate,CHOOSE({1,2,3,4,5},$R147,$V147,$Z147,$AD147,$AH147),_xlpm.trn,CHOOSE({1,2,3,4,5},$S147,$W147,$AA147,$AE147,$AI147),_xlpm.nsC,SUMPRODUCT(--(_xlpm.stat="Ready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DLR",IF(AND(_xlpm.actRS&gt;0,_xlpm.actDone&lt;_xlpm.actRS),"Training",IF(_xlpm.actRS&gt;0,"Active",IF(AND(_xlpm.decC&gt;0,_xlpm.inPlay+_xlpm.actC=0),"Dead",IF(AND($AJ147&lt;&gt;"",$AK147=FALSE),"Waiting on Dealer",IF(_xlpm.subC&gt;0,"Waiting on Lender",IF(AND(_xlpm.appC+_xlpm.actC&gt;0,_xlpm.nsC+_xlpm.wdC=0),"Rate Sheet","Application Submitted")))))))))</f>
        <v/>
      </c>
      <c r="M147" s="87"/>
      <c r="N147" s="87"/>
      <c r="O147" s="197"/>
      <c r="P147" s="87" t="str">
        <f>IF($A147="","",IF($AK147=TRUE,"Ready 2 Submit","Waiting on Dealer"))</f>
        <v/>
      </c>
      <c r="Q147" s="148"/>
      <c r="R147" s="87"/>
      <c r="S147" s="87"/>
      <c r="T147" s="87" t="str">
        <f>IF($A147="","",IF($AK147=TRUE,"Ready 2 Submit","Waiting on Dealer"))</f>
        <v/>
      </c>
      <c r="U147" s="148"/>
      <c r="V147" s="87"/>
      <c r="W147" s="87"/>
      <c r="X147" s="87" t="str">
        <f>IF($A147="","",IF($AK147=TRUE,"Ready 2 Submit","Waiting on Dealer"))</f>
        <v/>
      </c>
      <c r="Y147" s="148"/>
      <c r="Z147" s="87"/>
      <c r="AA147" s="87"/>
      <c r="AB147" s="87" t="str">
        <f>IF($A147="","",IF($AK147=TRUE,"Ready 2 Submit","Waiting on Dealer"))</f>
        <v/>
      </c>
      <c r="AC147" s="148"/>
      <c r="AD147" s="87"/>
      <c r="AE147" s="87"/>
      <c r="AF147" s="87" t="str">
        <f>IF($A147="","",IF($AK147=TRUE,"Ready 2 Submit","Waiting on Dealer"))</f>
        <v/>
      </c>
      <c r="AG147" s="148"/>
      <c r="AH147" s="87"/>
      <c r="AI147" s="87"/>
      <c r="AJ147" s="197"/>
      <c r="AK147" s="110" t="b">
        <v>0</v>
      </c>
      <c r="AL147" s="87" t="str" cm="1">
        <f t="array" ref="AL147">IF($A147="","",SUMPRODUCT((CHOOSE({1,2,3,4,5},$R147,$V147,$Z147,$AD147,$AH147)="Yes")*(((CHOOSE({1,2,3,4,5},$S147,$W147,$AA147,$AE147,$AI147)="Yes")+(CHOOSE({1,2,3,4,5},$S147,$W147,$AA147,$AE147,$AI147)=TRUE))&gt;0)))</f>
        <v/>
      </c>
      <c r="AM147" s="87"/>
      <c r="AN147" s="87" t="str">
        <f ca="1">IF(OR($A147="",$AM147=""),"",TODAY()-$AM147)</f>
        <v/>
      </c>
      <c r="AO147" s="87"/>
      <c r="AP147" s="106"/>
      <c r="AQ147" s="106"/>
      <c r="AR147" s="106"/>
      <c r="AS147" s="106"/>
      <c r="AT147" s="106"/>
      <c r="AU147" s="106"/>
      <c r="AV147" s="106"/>
      <c r="AW147" s="106"/>
      <c r="AX147" s="106"/>
      <c r="AY147" s="106"/>
    </row>
    <row r="148" spans="1:51" s="20" customFormat="1" ht="21" customHeight="1">
      <c r="A148" s="197"/>
      <c r="B148" s="87"/>
      <c r="C148" s="87"/>
      <c r="D148" s="196"/>
      <c r="E148" s="108"/>
      <c r="F148" s="196"/>
      <c r="G148" s="87"/>
      <c r="H148" s="197"/>
      <c r="I148" s="89"/>
      <c r="J148" s="204"/>
      <c r="K148" s="87"/>
      <c r="L148" s="87" t="str" cm="1">
        <f t="array" ref="L148">IF($A148="","",_xlfn.LET(_xlpm.stat,CHOOSE({1,2,3,4,5},$P148,$T148,$X148,$AB148,$AF148),_xlpm.rate,CHOOSE({1,2,3,4,5},$R148,$V148,$Z148,$AD148,$AH148),_xlpm.trn,CHOOSE({1,2,3,4,5},$S148,$W148,$AA148,$AE148,$AI148),_xlpm.nsC,SUMPRODUCT(--(_xlpm.stat="Ready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DLR",IF(AND(_xlpm.actRS&gt;0,_xlpm.actDone&lt;_xlpm.actRS),"Training",IF(_xlpm.actRS&gt;0,"Active",IF(AND(_xlpm.decC&gt;0,_xlpm.inPlay+_xlpm.actC=0),"Dead",IF(AND($AJ148&lt;&gt;"",$AK148=FALSE),"Waiting on Dealer",IF(_xlpm.subC&gt;0,"Waiting on Lender",IF(AND(_xlpm.appC+_xlpm.actC&gt;0,_xlpm.nsC+_xlpm.wdC=0),"Rate Sheet","Application Submitted")))))))))</f>
        <v/>
      </c>
      <c r="M148" s="87"/>
      <c r="N148" s="87"/>
      <c r="O148" s="197"/>
      <c r="P148" s="87" t="str">
        <f>IF($A148="","",IF($AK148=TRUE,"Ready 2 Submit","Waiting on Dealer"))</f>
        <v/>
      </c>
      <c r="Q148" s="148"/>
      <c r="R148" s="87"/>
      <c r="S148" s="87"/>
      <c r="T148" s="87" t="str">
        <f>IF($A148="","",IF($AK148=TRUE,"Ready 2 Submit","Waiting on Dealer"))</f>
        <v/>
      </c>
      <c r="U148" s="148"/>
      <c r="V148" s="87"/>
      <c r="W148" s="87"/>
      <c r="X148" s="87" t="str">
        <f>IF($A148="","",IF($AK148=TRUE,"Ready 2 Submit","Waiting on Dealer"))</f>
        <v/>
      </c>
      <c r="Y148" s="148"/>
      <c r="Z148" s="87"/>
      <c r="AA148" s="87"/>
      <c r="AB148" s="87" t="str">
        <f>IF($A148="","",IF($AK148=TRUE,"Ready 2 Submit","Waiting on Dealer"))</f>
        <v/>
      </c>
      <c r="AC148" s="148"/>
      <c r="AD148" s="87"/>
      <c r="AE148" s="87"/>
      <c r="AF148" s="87" t="str">
        <f>IF($A148="","",IF($AK148=TRUE,"Ready 2 Submit","Waiting on Dealer"))</f>
        <v/>
      </c>
      <c r="AG148" s="148"/>
      <c r="AH148" s="87"/>
      <c r="AI148" s="87"/>
      <c r="AJ148" s="197"/>
      <c r="AK148" s="110" t="b">
        <v>0</v>
      </c>
      <c r="AL148" s="87" t="str" cm="1">
        <f t="array" ref="AL148">IF($A148="","",SUMPRODUCT((CHOOSE({1,2,3,4,5},$R148,$V148,$Z148,$AD148,$AH148)="Yes")*(((CHOOSE({1,2,3,4,5},$S148,$W148,$AA148,$AE148,$AI148)="Yes")+(CHOOSE({1,2,3,4,5},$S148,$W148,$AA148,$AE148,$AI148)=TRUE))&gt;0)))</f>
        <v/>
      </c>
      <c r="AM148" s="87"/>
      <c r="AN148" s="87" t="str">
        <f ca="1">IF(OR($A148="",$AM148=""),"",TODAY()-$AM148)</f>
        <v/>
      </c>
      <c r="AO148" s="87"/>
      <c r="AP148" s="106"/>
      <c r="AQ148" s="106"/>
      <c r="AR148" s="106"/>
      <c r="AS148" s="106"/>
      <c r="AT148" s="106"/>
      <c r="AU148" s="106"/>
      <c r="AV148" s="106"/>
      <c r="AW148" s="106"/>
      <c r="AX148" s="106"/>
      <c r="AY148" s="106"/>
    </row>
    <row r="149" spans="1:51" s="20" customFormat="1" ht="21" customHeight="1">
      <c r="A149" s="197"/>
      <c r="B149" s="87"/>
      <c r="C149" s="87"/>
      <c r="D149" s="196"/>
      <c r="E149" s="108"/>
      <c r="F149" s="196"/>
      <c r="G149" s="87"/>
      <c r="H149" s="197"/>
      <c r="I149" s="89"/>
      <c r="J149" s="204"/>
      <c r="K149" s="87"/>
      <c r="L149" s="87" t="str" cm="1">
        <f t="array" ref="L149">IF($A149="","",_xlfn.LET(_xlpm.stat,CHOOSE({1,2,3,4,5},$P149,$T149,$X149,$AB149,$AF149),_xlpm.rate,CHOOSE({1,2,3,4,5},$R149,$V149,$Z149,$AD149,$AH149),_xlpm.trn,CHOOSE({1,2,3,4,5},$S149,$W149,$AA149,$AE149,$AI149),_xlpm.nsC,SUMPRODUCT(--(_xlpm.stat="Ready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DLR",IF(AND(_xlpm.actRS&gt;0,_xlpm.actDone&lt;_xlpm.actRS),"Training",IF(_xlpm.actRS&gt;0,"Active",IF(AND(_xlpm.decC&gt;0,_xlpm.inPlay+_xlpm.actC=0),"Dead",IF(AND($AJ149&lt;&gt;"",$AK149=FALSE),"Waiting on Dealer",IF(_xlpm.subC&gt;0,"Waiting on Lender",IF(AND(_xlpm.appC+_xlpm.actC&gt;0,_xlpm.nsC+_xlpm.wdC=0),"Rate Sheet","Application Submitted")))))))))</f>
        <v/>
      </c>
      <c r="M149" s="87"/>
      <c r="N149" s="87"/>
      <c r="O149" s="197"/>
      <c r="P149" s="87" t="str">
        <f>IF($A149="","",IF($AK149=TRUE,"Ready 2 Submit","Waiting on Dealer"))</f>
        <v/>
      </c>
      <c r="Q149" s="148"/>
      <c r="R149" s="87"/>
      <c r="S149" s="87"/>
      <c r="T149" s="87" t="str">
        <f>IF($A149="","",IF($AK149=TRUE,"Ready 2 Submit","Waiting on Dealer"))</f>
        <v/>
      </c>
      <c r="U149" s="148"/>
      <c r="V149" s="87"/>
      <c r="W149" s="87"/>
      <c r="X149" s="87" t="str">
        <f>IF($A149="","",IF($AK149=TRUE,"Ready 2 Submit","Waiting on Dealer"))</f>
        <v/>
      </c>
      <c r="Y149" s="148"/>
      <c r="Z149" s="87"/>
      <c r="AA149" s="87"/>
      <c r="AB149" s="87" t="str">
        <f>IF($A149="","",IF($AK149=TRUE,"Ready 2 Submit","Waiting on Dealer"))</f>
        <v/>
      </c>
      <c r="AC149" s="148"/>
      <c r="AD149" s="87"/>
      <c r="AE149" s="87"/>
      <c r="AF149" s="87" t="str">
        <f>IF($A149="","",IF($AK149=TRUE,"Ready 2 Submit","Waiting on Dealer"))</f>
        <v/>
      </c>
      <c r="AG149" s="148"/>
      <c r="AH149" s="87"/>
      <c r="AI149" s="87"/>
      <c r="AJ149" s="197"/>
      <c r="AK149" s="110" t="b">
        <v>0</v>
      </c>
      <c r="AL149" s="87" t="str" cm="1">
        <f t="array" ref="AL149">IF($A149="","",SUMPRODUCT((CHOOSE({1,2,3,4,5},$R149,$V149,$Z149,$AD149,$AH149)="Yes")*(((CHOOSE({1,2,3,4,5},$S149,$W149,$AA149,$AE149,$AI149)="Yes")+(CHOOSE({1,2,3,4,5},$S149,$W149,$AA149,$AE149,$AI149)=TRUE))&gt;0)))</f>
        <v/>
      </c>
      <c r="AM149" s="87"/>
      <c r="AN149" s="87" t="str">
        <f ca="1">IF(OR($A149="",$AM149=""),"",TODAY()-$AM149)</f>
        <v/>
      </c>
      <c r="AO149" s="87"/>
      <c r="AP149" s="106"/>
      <c r="AQ149" s="106"/>
      <c r="AR149" s="106"/>
      <c r="AS149" s="106"/>
      <c r="AT149" s="106"/>
      <c r="AU149" s="106"/>
      <c r="AV149" s="106"/>
      <c r="AW149" s="106"/>
      <c r="AX149" s="106"/>
      <c r="AY149" s="106"/>
    </row>
    <row r="150" spans="1:51" s="20" customFormat="1" ht="21" customHeight="1">
      <c r="A150" s="197"/>
      <c r="B150" s="87"/>
      <c r="C150" s="87"/>
      <c r="D150" s="196"/>
      <c r="E150" s="108"/>
      <c r="F150" s="196"/>
      <c r="G150" s="87"/>
      <c r="H150" s="197"/>
      <c r="I150" s="89"/>
      <c r="J150" s="204"/>
      <c r="K150" s="87"/>
      <c r="L150" s="87" t="str" cm="1">
        <f t="array" ref="L150">IF($A150="","",_xlfn.LET(_xlpm.stat,CHOOSE({1,2,3,4,5},$P150,$T150,$X150,$AB150,$AF150),_xlpm.rate,CHOOSE({1,2,3,4,5},$R150,$V150,$Z150,$AD150,$AH150),_xlpm.trn,CHOOSE({1,2,3,4,5},$S150,$W150,$AA150,$AE150,$AI150),_xlpm.nsC,SUMPRODUCT(--(_xlpm.stat="Ready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DLR",IF(AND(_xlpm.actRS&gt;0,_xlpm.actDone&lt;_xlpm.actRS),"Training",IF(_xlpm.actRS&gt;0,"Active",IF(AND(_xlpm.decC&gt;0,_xlpm.inPlay+_xlpm.actC=0),"Dead",IF(AND($AJ150&lt;&gt;"",$AK150=FALSE),"Waiting on Dealer",IF(_xlpm.subC&gt;0,"Waiting on Lender",IF(AND(_xlpm.appC+_xlpm.actC&gt;0,_xlpm.nsC+_xlpm.wdC=0),"Rate Sheet","Application Submitted")))))))))</f>
        <v/>
      </c>
      <c r="M150" s="87"/>
      <c r="N150" s="87"/>
      <c r="O150" s="197"/>
      <c r="P150" s="87" t="str">
        <f>IF($A150="","",IF($AK150=TRUE,"Ready 2 Submit","Waiting on Dealer"))</f>
        <v/>
      </c>
      <c r="Q150" s="148"/>
      <c r="R150" s="87"/>
      <c r="S150" s="87"/>
      <c r="T150" s="87" t="str">
        <f>IF($A150="","",IF($AK150=TRUE,"Ready 2 Submit","Waiting on Dealer"))</f>
        <v/>
      </c>
      <c r="U150" s="148"/>
      <c r="V150" s="87"/>
      <c r="W150" s="87"/>
      <c r="X150" s="87" t="str">
        <f>IF($A150="","",IF($AK150=TRUE,"Ready 2 Submit","Waiting on Dealer"))</f>
        <v/>
      </c>
      <c r="Y150" s="148"/>
      <c r="Z150" s="87"/>
      <c r="AA150" s="87"/>
      <c r="AB150" s="87" t="str">
        <f>IF($A150="","",IF($AK150=TRUE,"Ready 2 Submit","Waiting on Dealer"))</f>
        <v/>
      </c>
      <c r="AC150" s="148"/>
      <c r="AD150" s="87"/>
      <c r="AE150" s="87"/>
      <c r="AF150" s="87" t="str">
        <f>IF($A150="","",IF($AK150=TRUE,"Ready 2 Submit","Waiting on Dealer"))</f>
        <v/>
      </c>
      <c r="AG150" s="148"/>
      <c r="AH150" s="87"/>
      <c r="AI150" s="87"/>
      <c r="AJ150" s="197"/>
      <c r="AK150" s="110" t="b">
        <v>0</v>
      </c>
      <c r="AL150" s="87" t="str" cm="1">
        <f t="array" ref="AL150">IF($A150="","",SUMPRODUCT((CHOOSE({1,2,3,4,5},$R150,$V150,$Z150,$AD150,$AH150)="Yes")*(((CHOOSE({1,2,3,4,5},$S150,$W150,$AA150,$AE150,$AI150)="Yes")+(CHOOSE({1,2,3,4,5},$S150,$W150,$AA150,$AE150,$AI150)=TRUE))&gt;0)))</f>
        <v/>
      </c>
      <c r="AM150" s="87"/>
      <c r="AN150" s="87" t="str">
        <f ca="1">IF(OR($A150="",$AM150=""),"",TODAY()-$AM150)</f>
        <v/>
      </c>
      <c r="AO150" s="87"/>
      <c r="AP150" s="106"/>
      <c r="AQ150" s="106"/>
      <c r="AR150" s="106"/>
      <c r="AS150" s="106"/>
      <c r="AT150" s="106"/>
      <c r="AU150" s="106"/>
      <c r="AV150" s="106"/>
      <c r="AW150" s="106"/>
      <c r="AX150" s="106"/>
      <c r="AY150" s="106"/>
    </row>
    <row r="151" spans="1:51" s="20" customFormat="1" ht="21" customHeight="1">
      <c r="A151" s="197"/>
      <c r="B151" s="87"/>
      <c r="C151" s="87"/>
      <c r="D151" s="196"/>
      <c r="E151" s="108"/>
      <c r="F151" s="196"/>
      <c r="G151" s="87"/>
      <c r="H151" s="197"/>
      <c r="I151" s="89"/>
      <c r="J151" s="204"/>
      <c r="K151" s="87"/>
      <c r="L151" s="87" t="str" cm="1">
        <f t="array" ref="L151">IF($A151="","",_xlfn.LET(_xlpm.stat,CHOOSE({1,2,3,4,5},$P151,$T151,$X151,$AB151,$AF151),_xlpm.rate,CHOOSE({1,2,3,4,5},$R151,$V151,$Z151,$AD151,$AH151),_xlpm.trn,CHOOSE({1,2,3,4,5},$S151,$W151,$AA151,$AE151,$AI151),_xlpm.nsC,SUMPRODUCT(--(_xlpm.stat="Ready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DLR",IF(AND(_xlpm.actRS&gt;0,_xlpm.actDone&lt;_xlpm.actRS),"Training",IF(_xlpm.actRS&gt;0,"Active",IF(AND(_xlpm.decC&gt;0,_xlpm.inPlay+_xlpm.actC=0),"Dead",IF(AND($AJ151&lt;&gt;"",$AK151=FALSE),"Waiting on Dealer",IF(_xlpm.subC&gt;0,"Waiting on Lender",IF(AND(_xlpm.appC+_xlpm.actC&gt;0,_xlpm.nsC+_xlpm.wdC=0),"Rate Sheet","Application Submitted")))))))))</f>
        <v/>
      </c>
      <c r="M151" s="87"/>
      <c r="N151" s="87"/>
      <c r="O151" s="197"/>
      <c r="P151" s="87" t="str">
        <f>IF($A151="","",IF($AK151=TRUE,"Ready 2 Submit","Waiting on Dealer"))</f>
        <v/>
      </c>
      <c r="Q151" s="148"/>
      <c r="R151" s="87"/>
      <c r="S151" s="87"/>
      <c r="T151" s="87" t="str">
        <f>IF($A151="","",IF($AK151=TRUE,"Ready 2 Submit","Waiting on Dealer"))</f>
        <v/>
      </c>
      <c r="U151" s="148"/>
      <c r="V151" s="87"/>
      <c r="W151" s="87"/>
      <c r="X151" s="87" t="str">
        <f>IF($A151="","",IF($AK151=TRUE,"Ready 2 Submit","Waiting on Dealer"))</f>
        <v/>
      </c>
      <c r="Y151" s="148"/>
      <c r="Z151" s="87"/>
      <c r="AA151" s="87"/>
      <c r="AB151" s="87" t="str">
        <f>IF($A151="","",IF($AK151=TRUE,"Ready 2 Submit","Waiting on Dealer"))</f>
        <v/>
      </c>
      <c r="AC151" s="148"/>
      <c r="AD151" s="87"/>
      <c r="AE151" s="87"/>
      <c r="AF151" s="87" t="str">
        <f>IF($A151="","",IF($AK151=TRUE,"Ready 2 Submit","Waiting on Dealer"))</f>
        <v/>
      </c>
      <c r="AG151" s="148"/>
      <c r="AH151" s="87"/>
      <c r="AI151" s="87"/>
      <c r="AJ151" s="197"/>
      <c r="AK151" s="110" t="b">
        <v>0</v>
      </c>
      <c r="AL151" s="87" t="str" cm="1">
        <f t="array" ref="AL151">IF($A151="","",SUMPRODUCT((CHOOSE({1,2,3,4,5},$R151,$V151,$Z151,$AD151,$AH151)="Yes")*(((CHOOSE({1,2,3,4,5},$S151,$W151,$AA151,$AE151,$AI151)="Yes")+(CHOOSE({1,2,3,4,5},$S151,$W151,$AA151,$AE151,$AI151)=TRUE))&gt;0)))</f>
        <v/>
      </c>
      <c r="AM151" s="87"/>
      <c r="AN151" s="87" t="str">
        <f ca="1">IF(OR($A151="",$AM151=""),"",TODAY()-$AM151)</f>
        <v/>
      </c>
      <c r="AO151" s="87"/>
      <c r="AP151" s="106"/>
      <c r="AQ151" s="106"/>
      <c r="AR151" s="106"/>
      <c r="AS151" s="106"/>
      <c r="AT151" s="106"/>
      <c r="AU151" s="106"/>
      <c r="AV151" s="106"/>
      <c r="AW151" s="106"/>
      <c r="AX151" s="106"/>
      <c r="AY151" s="106"/>
    </row>
    <row r="152" spans="1:51" s="20" customFormat="1" ht="21" customHeight="1">
      <c r="A152" s="197"/>
      <c r="B152" s="87"/>
      <c r="C152" s="87"/>
      <c r="D152" s="196"/>
      <c r="E152" s="108"/>
      <c r="F152" s="196"/>
      <c r="G152" s="87"/>
      <c r="H152" s="197"/>
      <c r="I152" s="89"/>
      <c r="J152" s="204"/>
      <c r="K152" s="87"/>
      <c r="L152" s="87" t="str" cm="1">
        <f t="array" ref="L152">IF($A152="","",_xlfn.LET(_xlpm.stat,CHOOSE({1,2,3,4,5},$P152,$T152,$X152,$AB152,$AF152),_xlpm.rate,CHOOSE({1,2,3,4,5},$R152,$V152,$Z152,$AD152,$AH152),_xlpm.trn,CHOOSE({1,2,3,4,5},$S152,$W152,$AA152,$AE152,$AI152),_xlpm.nsC,SUMPRODUCT(--(_xlpm.stat="Ready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DLR",IF(AND(_xlpm.actRS&gt;0,_xlpm.actDone&lt;_xlpm.actRS),"Training",IF(_xlpm.actRS&gt;0,"Active",IF(AND(_xlpm.decC&gt;0,_xlpm.inPlay+_xlpm.actC=0),"Dead",IF(AND($AJ152&lt;&gt;"",$AK152=FALSE),"Waiting on Dealer",IF(_xlpm.subC&gt;0,"Waiting on Lender",IF(AND(_xlpm.appC+_xlpm.actC&gt;0,_xlpm.nsC+_xlpm.wdC=0),"Rate Sheet","Application Submitted")))))))))</f>
        <v/>
      </c>
      <c r="M152" s="87"/>
      <c r="N152" s="87"/>
      <c r="O152" s="197"/>
      <c r="P152" s="87" t="str">
        <f>IF($A152="","",IF($AK152=TRUE,"Ready 2 Submit","Waiting on Dealer"))</f>
        <v/>
      </c>
      <c r="Q152" s="148"/>
      <c r="R152" s="87"/>
      <c r="S152" s="87"/>
      <c r="T152" s="87" t="str">
        <f>IF($A152="","",IF($AK152=TRUE,"Ready 2 Submit","Waiting on Dealer"))</f>
        <v/>
      </c>
      <c r="U152" s="148"/>
      <c r="V152" s="87"/>
      <c r="W152" s="87"/>
      <c r="X152" s="87" t="str">
        <f>IF($A152="","",IF($AK152=TRUE,"Ready 2 Submit","Waiting on Dealer"))</f>
        <v/>
      </c>
      <c r="Y152" s="148"/>
      <c r="Z152" s="87"/>
      <c r="AA152" s="87"/>
      <c r="AB152" s="87" t="str">
        <f>IF($A152="","",IF($AK152=TRUE,"Ready 2 Submit","Waiting on Dealer"))</f>
        <v/>
      </c>
      <c r="AC152" s="148"/>
      <c r="AD152" s="87"/>
      <c r="AE152" s="87"/>
      <c r="AF152" s="87" t="str">
        <f>IF($A152="","",IF($AK152=TRUE,"Ready 2 Submit","Waiting on Dealer"))</f>
        <v/>
      </c>
      <c r="AG152" s="148"/>
      <c r="AH152" s="87"/>
      <c r="AI152" s="87"/>
      <c r="AJ152" s="197"/>
      <c r="AK152" s="110" t="b">
        <v>0</v>
      </c>
      <c r="AL152" s="87" t="str" cm="1">
        <f t="array" ref="AL152">IF($A152="","",SUMPRODUCT((CHOOSE({1,2,3,4,5},$R152,$V152,$Z152,$AD152,$AH152)="Yes")*(((CHOOSE({1,2,3,4,5},$S152,$W152,$AA152,$AE152,$AI152)="Yes")+(CHOOSE({1,2,3,4,5},$S152,$W152,$AA152,$AE152,$AI152)=TRUE))&gt;0)))</f>
        <v/>
      </c>
      <c r="AM152" s="87"/>
      <c r="AN152" s="87" t="str">
        <f ca="1">IF(OR($A152="",$AM152=""),"",TODAY()-$AM152)</f>
        <v/>
      </c>
      <c r="AO152" s="87"/>
      <c r="AP152" s="106"/>
      <c r="AQ152" s="106"/>
      <c r="AR152" s="106"/>
      <c r="AS152" s="106"/>
      <c r="AT152" s="106"/>
      <c r="AU152" s="106"/>
      <c r="AV152" s="106"/>
      <c r="AW152" s="106"/>
      <c r="AX152" s="106"/>
      <c r="AY152" s="106"/>
    </row>
    <row r="153" spans="1:51" s="20" customFormat="1" ht="21" customHeight="1">
      <c r="A153" s="197"/>
      <c r="B153" s="87"/>
      <c r="C153" s="87"/>
      <c r="D153" s="196"/>
      <c r="E153" s="108"/>
      <c r="F153" s="196"/>
      <c r="G153" s="87"/>
      <c r="H153" s="197"/>
      <c r="I153" s="89"/>
      <c r="J153" s="204"/>
      <c r="K153" s="87"/>
      <c r="L153" s="87" t="str" cm="1">
        <f t="array" ref="L153">IF($A153="","",_xlfn.LET(_xlpm.stat,CHOOSE({1,2,3,4,5},$P153,$T153,$X153,$AB153,$AF153),_xlpm.rate,CHOOSE({1,2,3,4,5},$R153,$V153,$Z153,$AD153,$AH153),_xlpm.trn,CHOOSE({1,2,3,4,5},$S153,$W153,$AA153,$AE153,$AI153),_xlpm.nsC,SUMPRODUCT(--(_xlpm.stat="Ready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DLR",IF(AND(_xlpm.actRS&gt;0,_xlpm.actDone&lt;_xlpm.actRS),"Training",IF(_xlpm.actRS&gt;0,"Active",IF(AND(_xlpm.decC&gt;0,_xlpm.inPlay+_xlpm.actC=0),"Dead",IF(AND($AJ153&lt;&gt;"",$AK153=FALSE),"Waiting on Dealer",IF(_xlpm.subC&gt;0,"Waiting on Lender",IF(AND(_xlpm.appC+_xlpm.actC&gt;0,_xlpm.nsC+_xlpm.wdC=0),"Rate Sheet","Application Submitted")))))))))</f>
        <v/>
      </c>
      <c r="M153" s="87"/>
      <c r="N153" s="87"/>
      <c r="O153" s="197"/>
      <c r="P153" s="87" t="str">
        <f>IF($A153="","",IF($AK153=TRUE,"Ready 2 Submit","Waiting on Dealer"))</f>
        <v/>
      </c>
      <c r="Q153" s="148"/>
      <c r="R153" s="87"/>
      <c r="S153" s="87"/>
      <c r="T153" s="87" t="str">
        <f>IF($A153="","",IF($AK153=TRUE,"Ready 2 Submit","Waiting on Dealer"))</f>
        <v/>
      </c>
      <c r="U153" s="148"/>
      <c r="V153" s="87"/>
      <c r="W153" s="87"/>
      <c r="X153" s="87" t="str">
        <f>IF($A153="","",IF($AK153=TRUE,"Ready 2 Submit","Waiting on Dealer"))</f>
        <v/>
      </c>
      <c r="Y153" s="148"/>
      <c r="Z153" s="87"/>
      <c r="AA153" s="87"/>
      <c r="AB153" s="87" t="str">
        <f>IF($A153="","",IF($AK153=TRUE,"Ready 2 Submit","Waiting on Dealer"))</f>
        <v/>
      </c>
      <c r="AC153" s="148"/>
      <c r="AD153" s="87"/>
      <c r="AE153" s="87"/>
      <c r="AF153" s="87" t="str">
        <f>IF($A153="","",IF($AK153=TRUE,"Ready 2 Submit","Waiting on Dealer"))</f>
        <v/>
      </c>
      <c r="AG153" s="148"/>
      <c r="AH153" s="87"/>
      <c r="AI153" s="87"/>
      <c r="AJ153" s="197"/>
      <c r="AK153" s="110" t="b">
        <v>0</v>
      </c>
      <c r="AL153" s="87" t="str" cm="1">
        <f t="array" ref="AL153">IF($A153="","",SUMPRODUCT((CHOOSE({1,2,3,4,5},$R153,$V153,$Z153,$AD153,$AH153)="Yes")*(((CHOOSE({1,2,3,4,5},$S153,$W153,$AA153,$AE153,$AI153)="Yes")+(CHOOSE({1,2,3,4,5},$S153,$W153,$AA153,$AE153,$AI153)=TRUE))&gt;0)))</f>
        <v/>
      </c>
      <c r="AM153" s="87"/>
      <c r="AN153" s="87" t="str">
        <f ca="1">IF(OR($A153="",$AM153=""),"",TODAY()-$AM153)</f>
        <v/>
      </c>
      <c r="AO153" s="87"/>
      <c r="AP153" s="106"/>
      <c r="AQ153" s="106"/>
      <c r="AR153" s="106"/>
      <c r="AS153" s="106"/>
      <c r="AT153" s="106"/>
      <c r="AU153" s="106"/>
      <c r="AV153" s="106"/>
      <c r="AW153" s="106"/>
      <c r="AX153" s="106"/>
      <c r="AY153" s="106"/>
    </row>
    <row r="154" spans="1:51" s="20" customFormat="1" ht="21" customHeight="1">
      <c r="A154" s="197"/>
      <c r="B154" s="87"/>
      <c r="C154" s="87"/>
      <c r="D154" s="196"/>
      <c r="E154" s="108"/>
      <c r="F154" s="196"/>
      <c r="G154" s="87"/>
      <c r="H154" s="197"/>
      <c r="I154" s="89"/>
      <c r="J154" s="204"/>
      <c r="K154" s="87"/>
      <c r="L154" s="87" t="str" cm="1">
        <f t="array" ref="L154">IF($A154="","",_xlfn.LET(_xlpm.stat,CHOOSE({1,2,3,4,5},$P154,$T154,$X154,$AB154,$AF154),_xlpm.rate,CHOOSE({1,2,3,4,5},$R154,$V154,$Z154,$AD154,$AH154),_xlpm.trn,CHOOSE({1,2,3,4,5},$S154,$W154,$AA154,$AE154,$AI154),_xlpm.nsC,SUMPRODUCT(--(_xlpm.stat="Ready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DLR",IF(AND(_xlpm.actRS&gt;0,_xlpm.actDone&lt;_xlpm.actRS),"Training",IF(_xlpm.actRS&gt;0,"Active",IF(AND(_xlpm.decC&gt;0,_xlpm.inPlay+_xlpm.actC=0),"Dead",IF(AND($AJ154&lt;&gt;"",$AK154=FALSE),"Waiting on Dealer",IF(_xlpm.subC&gt;0,"Waiting on Lender",IF(AND(_xlpm.appC+_xlpm.actC&gt;0,_xlpm.nsC+_xlpm.wdC=0),"Rate Sheet","Application Submitted")))))))))</f>
        <v/>
      </c>
      <c r="M154" s="87"/>
      <c r="N154" s="87"/>
      <c r="O154" s="197"/>
      <c r="P154" s="87" t="str">
        <f>IF($A154="","",IF($AK154=TRUE,"Ready 2 Submit","Waiting on Dealer"))</f>
        <v/>
      </c>
      <c r="Q154" s="148"/>
      <c r="R154" s="87"/>
      <c r="S154" s="87"/>
      <c r="T154" s="87" t="str">
        <f>IF($A154="","",IF($AK154=TRUE,"Ready 2 Submit","Waiting on Dealer"))</f>
        <v/>
      </c>
      <c r="U154" s="148"/>
      <c r="V154" s="87"/>
      <c r="W154" s="87"/>
      <c r="X154" s="87" t="str">
        <f>IF($A154="","",IF($AK154=TRUE,"Ready 2 Submit","Waiting on Dealer"))</f>
        <v/>
      </c>
      <c r="Y154" s="148"/>
      <c r="Z154" s="87"/>
      <c r="AA154" s="87"/>
      <c r="AB154" s="87" t="str">
        <f>IF($A154="","",IF($AK154=TRUE,"Ready 2 Submit","Waiting on Dealer"))</f>
        <v/>
      </c>
      <c r="AC154" s="148"/>
      <c r="AD154" s="87"/>
      <c r="AE154" s="87"/>
      <c r="AF154" s="87" t="str">
        <f>IF($A154="","",IF($AK154=TRUE,"Ready 2 Submit","Waiting on Dealer"))</f>
        <v/>
      </c>
      <c r="AG154" s="148"/>
      <c r="AH154" s="87"/>
      <c r="AI154" s="87"/>
      <c r="AJ154" s="197"/>
      <c r="AK154" s="110" t="b">
        <v>0</v>
      </c>
      <c r="AL154" s="87" t="str" cm="1">
        <f t="array" ref="AL154">IF($A154="","",SUMPRODUCT((CHOOSE({1,2,3,4,5},$R154,$V154,$Z154,$AD154,$AH154)="Yes")*(((CHOOSE({1,2,3,4,5},$S154,$W154,$AA154,$AE154,$AI154)="Yes")+(CHOOSE({1,2,3,4,5},$S154,$W154,$AA154,$AE154,$AI154)=TRUE))&gt;0)))</f>
        <v/>
      </c>
      <c r="AM154" s="87"/>
      <c r="AN154" s="87" t="str">
        <f ca="1">IF(OR($A154="",$AM154=""),"",TODAY()-$AM154)</f>
        <v/>
      </c>
      <c r="AO154" s="87"/>
      <c r="AP154" s="106"/>
      <c r="AQ154" s="106"/>
      <c r="AR154" s="106"/>
      <c r="AS154" s="106"/>
      <c r="AT154" s="106"/>
      <c r="AU154" s="106"/>
      <c r="AV154" s="106"/>
      <c r="AW154" s="106"/>
      <c r="AX154" s="106"/>
      <c r="AY154" s="106"/>
    </row>
    <row r="155" spans="1:51" s="20" customFormat="1" ht="21" customHeight="1">
      <c r="A155" s="197"/>
      <c r="B155" s="87"/>
      <c r="C155" s="87"/>
      <c r="D155" s="196"/>
      <c r="E155" s="108"/>
      <c r="F155" s="196"/>
      <c r="G155" s="87"/>
      <c r="H155" s="197"/>
      <c r="I155" s="89"/>
      <c r="J155" s="204"/>
      <c r="K155" s="87"/>
      <c r="L155" s="87" t="str" cm="1">
        <f t="array" ref="L155">IF($A155="","",_xlfn.LET(_xlpm.stat,CHOOSE({1,2,3,4,5},$P155,$T155,$X155,$AB155,$AF155),_xlpm.rate,CHOOSE({1,2,3,4,5},$R155,$V155,$Z155,$AD155,$AH155),_xlpm.trn,CHOOSE({1,2,3,4,5},$S155,$W155,$AA155,$AE155,$AI155),_xlpm.nsC,SUMPRODUCT(--(_xlpm.stat="Ready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DLR",IF(AND(_xlpm.actRS&gt;0,_xlpm.actDone&lt;_xlpm.actRS),"Training",IF(_xlpm.actRS&gt;0,"Active",IF(AND(_xlpm.decC&gt;0,_xlpm.inPlay+_xlpm.actC=0),"Dead",IF(AND($AJ155&lt;&gt;"",$AK155=FALSE),"Waiting on Dealer",IF(_xlpm.subC&gt;0,"Waiting on Lender",IF(AND(_xlpm.appC+_xlpm.actC&gt;0,_xlpm.nsC+_xlpm.wdC=0),"Rate Sheet","Application Submitted")))))))))</f>
        <v/>
      </c>
      <c r="M155" s="87"/>
      <c r="N155" s="87"/>
      <c r="O155" s="197"/>
      <c r="P155" s="87" t="str">
        <f>IF($A155="","",IF($AK155=TRUE,"Ready 2 Submit","Waiting on Dealer"))</f>
        <v/>
      </c>
      <c r="Q155" s="148"/>
      <c r="R155" s="87"/>
      <c r="S155" s="87"/>
      <c r="T155" s="87" t="str">
        <f>IF($A155="","",IF($AK155=TRUE,"Ready 2 Submit","Waiting on Dealer"))</f>
        <v/>
      </c>
      <c r="U155" s="148"/>
      <c r="V155" s="87"/>
      <c r="W155" s="87"/>
      <c r="X155" s="87" t="str">
        <f>IF($A155="","",IF($AK155=TRUE,"Ready 2 Submit","Waiting on Dealer"))</f>
        <v/>
      </c>
      <c r="Y155" s="148"/>
      <c r="Z155" s="87"/>
      <c r="AA155" s="87"/>
      <c r="AB155" s="87" t="str">
        <f>IF($A155="","",IF($AK155=TRUE,"Ready 2 Submit","Waiting on Dealer"))</f>
        <v/>
      </c>
      <c r="AC155" s="148"/>
      <c r="AD155" s="87"/>
      <c r="AE155" s="87"/>
      <c r="AF155" s="87" t="str">
        <f>IF($A155="","",IF($AK155=TRUE,"Ready 2 Submit","Waiting on Dealer"))</f>
        <v/>
      </c>
      <c r="AG155" s="148"/>
      <c r="AH155" s="87"/>
      <c r="AI155" s="87"/>
      <c r="AJ155" s="197"/>
      <c r="AK155" s="110" t="b">
        <v>0</v>
      </c>
      <c r="AL155" s="87" t="str" cm="1">
        <f t="array" ref="AL155">IF($A155="","",SUMPRODUCT((CHOOSE({1,2,3,4,5},$R155,$V155,$Z155,$AD155,$AH155)="Yes")*(((CHOOSE({1,2,3,4,5},$S155,$W155,$AA155,$AE155,$AI155)="Yes")+(CHOOSE({1,2,3,4,5},$S155,$W155,$AA155,$AE155,$AI155)=TRUE))&gt;0)))</f>
        <v/>
      </c>
      <c r="AM155" s="87"/>
      <c r="AN155" s="87" t="str">
        <f ca="1">IF(OR($A155="",$AM155=""),"",TODAY()-$AM155)</f>
        <v/>
      </c>
      <c r="AO155" s="87"/>
      <c r="AP155" s="106"/>
      <c r="AQ155" s="106"/>
      <c r="AR155" s="106"/>
      <c r="AS155" s="106"/>
      <c r="AT155" s="106"/>
      <c r="AU155" s="106"/>
      <c r="AV155" s="106"/>
      <c r="AW155" s="106"/>
      <c r="AX155" s="106"/>
      <c r="AY155" s="106"/>
    </row>
    <row r="156" spans="1:51" s="20" customFormat="1" ht="21" customHeight="1">
      <c r="A156" s="197"/>
      <c r="B156" s="87"/>
      <c r="C156" s="87"/>
      <c r="D156" s="196"/>
      <c r="E156" s="108"/>
      <c r="F156" s="196"/>
      <c r="G156" s="87"/>
      <c r="H156" s="197"/>
      <c r="I156" s="89"/>
      <c r="J156" s="204"/>
      <c r="K156" s="87"/>
      <c r="L156" s="87" t="str" cm="1">
        <f t="array" ref="L156">IF($A156="","",_xlfn.LET(_xlpm.stat,CHOOSE({1,2,3,4,5},$P156,$T156,$X156,$AB156,$AF156),_xlpm.rate,CHOOSE({1,2,3,4,5},$R156,$V156,$Z156,$AD156,$AH156),_xlpm.trn,CHOOSE({1,2,3,4,5},$S156,$W156,$AA156,$AE156,$AI156),_xlpm.nsC,SUMPRODUCT(--(_xlpm.stat="Ready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DLR",IF(AND(_xlpm.actRS&gt;0,_xlpm.actDone&lt;_xlpm.actRS),"Training",IF(_xlpm.actRS&gt;0,"Active",IF(AND(_xlpm.decC&gt;0,_xlpm.inPlay+_xlpm.actC=0),"Dead",IF(AND($AJ156&lt;&gt;"",$AK156=FALSE),"Waiting on Dealer",IF(_xlpm.subC&gt;0,"Waiting on Lender",IF(AND(_xlpm.appC+_xlpm.actC&gt;0,_xlpm.nsC+_xlpm.wdC=0),"Rate Sheet","Application Submitted")))))))))</f>
        <v/>
      </c>
      <c r="M156" s="87"/>
      <c r="N156" s="87"/>
      <c r="O156" s="197"/>
      <c r="P156" s="87" t="str">
        <f>IF($A156="","",IF($AK156=TRUE,"Ready 2 Submit","Waiting on Dealer"))</f>
        <v/>
      </c>
      <c r="Q156" s="148"/>
      <c r="R156" s="87"/>
      <c r="S156" s="87"/>
      <c r="T156" s="87" t="str">
        <f>IF($A156="","",IF($AK156=TRUE,"Ready 2 Submit","Waiting on Dealer"))</f>
        <v/>
      </c>
      <c r="U156" s="148"/>
      <c r="V156" s="87"/>
      <c r="W156" s="87"/>
      <c r="X156" s="87" t="str">
        <f>IF($A156="","",IF($AK156=TRUE,"Ready 2 Submit","Waiting on Dealer"))</f>
        <v/>
      </c>
      <c r="Y156" s="148"/>
      <c r="Z156" s="87"/>
      <c r="AA156" s="87"/>
      <c r="AB156" s="87" t="str">
        <f>IF($A156="","",IF($AK156=TRUE,"Ready 2 Submit","Waiting on Dealer"))</f>
        <v/>
      </c>
      <c r="AC156" s="148"/>
      <c r="AD156" s="87"/>
      <c r="AE156" s="87"/>
      <c r="AF156" s="87" t="str">
        <f>IF($A156="","",IF($AK156=TRUE,"Ready 2 Submit","Waiting on Dealer"))</f>
        <v/>
      </c>
      <c r="AG156" s="148"/>
      <c r="AH156" s="87"/>
      <c r="AI156" s="87"/>
      <c r="AJ156" s="197"/>
      <c r="AK156" s="110" t="b">
        <v>0</v>
      </c>
      <c r="AL156" s="87" t="str" cm="1">
        <f t="array" ref="AL156">IF($A156="","",SUMPRODUCT((CHOOSE({1,2,3,4,5},$R156,$V156,$Z156,$AD156,$AH156)="Yes")*(((CHOOSE({1,2,3,4,5},$S156,$W156,$AA156,$AE156,$AI156)="Yes")+(CHOOSE({1,2,3,4,5},$S156,$W156,$AA156,$AE156,$AI156)=TRUE))&gt;0)))</f>
        <v/>
      </c>
      <c r="AM156" s="87"/>
      <c r="AN156" s="87" t="str">
        <f ca="1">IF(OR($A156="",$AM156=""),"",TODAY()-$AM156)</f>
        <v/>
      </c>
      <c r="AO156" s="87"/>
      <c r="AP156" s="106"/>
      <c r="AQ156" s="106"/>
      <c r="AR156" s="106"/>
      <c r="AS156" s="106"/>
      <c r="AT156" s="106"/>
      <c r="AU156" s="106"/>
      <c r="AV156" s="106"/>
      <c r="AW156" s="106"/>
      <c r="AX156" s="106"/>
      <c r="AY156" s="106"/>
    </row>
    <row r="157" spans="1:51" s="20" customFormat="1" ht="21" customHeight="1">
      <c r="A157" s="197"/>
      <c r="B157" s="87"/>
      <c r="C157" s="87"/>
      <c r="D157" s="196"/>
      <c r="E157" s="108"/>
      <c r="F157" s="196"/>
      <c r="G157" s="87"/>
      <c r="H157" s="197"/>
      <c r="I157" s="89"/>
      <c r="J157" s="204"/>
      <c r="K157" s="87"/>
      <c r="L157" s="87" t="str" cm="1">
        <f t="array" ref="L157">IF($A157="","",_xlfn.LET(_xlpm.stat,CHOOSE({1,2,3,4,5},$P157,$T157,$X157,$AB157,$AF157),_xlpm.rate,CHOOSE({1,2,3,4,5},$R157,$V157,$Z157,$AD157,$AH157),_xlpm.trn,CHOOSE({1,2,3,4,5},$S157,$W157,$AA157,$AE157,$AI157),_xlpm.nsC,SUMPRODUCT(--(_xlpm.stat="Ready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DLR",IF(AND(_xlpm.actRS&gt;0,_xlpm.actDone&lt;_xlpm.actRS),"Training",IF(_xlpm.actRS&gt;0,"Active",IF(AND(_xlpm.decC&gt;0,_xlpm.inPlay+_xlpm.actC=0),"Dead",IF(AND($AJ157&lt;&gt;"",$AK157=FALSE),"Waiting on Dealer",IF(_xlpm.subC&gt;0,"Waiting on Lender",IF(AND(_xlpm.appC+_xlpm.actC&gt;0,_xlpm.nsC+_xlpm.wdC=0),"Rate Sheet","Application Submitted")))))))))</f>
        <v/>
      </c>
      <c r="M157" s="87"/>
      <c r="N157" s="87"/>
      <c r="O157" s="197"/>
      <c r="P157" s="87" t="str">
        <f>IF($A157="","",IF($AK157=TRUE,"Ready 2 Submit","Waiting on Dealer"))</f>
        <v/>
      </c>
      <c r="Q157" s="148"/>
      <c r="R157" s="87"/>
      <c r="S157" s="87"/>
      <c r="T157" s="87" t="str">
        <f>IF($A157="","",IF($AK157=TRUE,"Ready 2 Submit","Waiting on Dealer"))</f>
        <v/>
      </c>
      <c r="U157" s="148"/>
      <c r="V157" s="87"/>
      <c r="W157" s="87"/>
      <c r="X157" s="87" t="str">
        <f>IF($A157="","",IF($AK157=TRUE,"Ready 2 Submit","Waiting on Dealer"))</f>
        <v/>
      </c>
      <c r="Y157" s="148"/>
      <c r="Z157" s="87"/>
      <c r="AA157" s="87"/>
      <c r="AB157" s="87" t="str">
        <f>IF($A157="","",IF($AK157=TRUE,"Ready 2 Submit","Waiting on Dealer"))</f>
        <v/>
      </c>
      <c r="AC157" s="148"/>
      <c r="AD157" s="87"/>
      <c r="AE157" s="87"/>
      <c r="AF157" s="87" t="str">
        <f>IF($A157="","",IF($AK157=TRUE,"Ready 2 Submit","Waiting on Dealer"))</f>
        <v/>
      </c>
      <c r="AG157" s="148"/>
      <c r="AH157" s="87"/>
      <c r="AI157" s="87"/>
      <c r="AJ157" s="197"/>
      <c r="AK157" s="110" t="b">
        <v>0</v>
      </c>
      <c r="AL157" s="87" t="str" cm="1">
        <f t="array" ref="AL157">IF($A157="","",SUMPRODUCT((CHOOSE({1,2,3,4,5},$R157,$V157,$Z157,$AD157,$AH157)="Yes")*(((CHOOSE({1,2,3,4,5},$S157,$W157,$AA157,$AE157,$AI157)="Yes")+(CHOOSE({1,2,3,4,5},$S157,$W157,$AA157,$AE157,$AI157)=TRUE))&gt;0)))</f>
        <v/>
      </c>
      <c r="AM157" s="87"/>
      <c r="AN157" s="87" t="str">
        <f ca="1">IF(OR($A157="",$AM157=""),"",TODAY()-$AM157)</f>
        <v/>
      </c>
      <c r="AO157" s="87"/>
      <c r="AP157" s="106"/>
      <c r="AQ157" s="106"/>
      <c r="AR157" s="106"/>
      <c r="AS157" s="106"/>
      <c r="AT157" s="106"/>
      <c r="AU157" s="106"/>
      <c r="AV157" s="106"/>
      <c r="AW157" s="106"/>
      <c r="AX157" s="106"/>
      <c r="AY157" s="106"/>
    </row>
    <row r="158" spans="1:51" s="20" customFormat="1" ht="21" customHeight="1">
      <c r="A158" s="197"/>
      <c r="B158" s="87"/>
      <c r="C158" s="87"/>
      <c r="D158" s="196"/>
      <c r="E158" s="108"/>
      <c r="F158" s="196"/>
      <c r="G158" s="87"/>
      <c r="H158" s="197"/>
      <c r="I158" s="89"/>
      <c r="J158" s="204"/>
      <c r="K158" s="87"/>
      <c r="L158" s="87" t="str" cm="1">
        <f t="array" ref="L158">IF($A158="","",_xlfn.LET(_xlpm.stat,CHOOSE({1,2,3,4,5},$P158,$T158,$X158,$AB158,$AF158),_xlpm.rate,CHOOSE({1,2,3,4,5},$R158,$V158,$Z158,$AD158,$AH158),_xlpm.trn,CHOOSE({1,2,3,4,5},$S158,$W158,$AA158,$AE158,$AI158),_xlpm.nsC,SUMPRODUCT(--(_xlpm.stat="Ready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DLR",IF(AND(_xlpm.actRS&gt;0,_xlpm.actDone&lt;_xlpm.actRS),"Training",IF(_xlpm.actRS&gt;0,"Active",IF(AND(_xlpm.decC&gt;0,_xlpm.inPlay+_xlpm.actC=0),"Dead",IF(AND($AJ158&lt;&gt;"",$AK158=FALSE),"Waiting on Dealer",IF(_xlpm.subC&gt;0,"Waiting on Lender",IF(AND(_xlpm.appC+_xlpm.actC&gt;0,_xlpm.nsC+_xlpm.wdC=0),"Rate Sheet","Application Submitted")))))))))</f>
        <v/>
      </c>
      <c r="M158" s="87"/>
      <c r="N158" s="87"/>
      <c r="O158" s="197"/>
      <c r="P158" s="87" t="str">
        <f>IF($A158="","",IF($AK158=TRUE,"Ready 2 Submit","Waiting on Dealer"))</f>
        <v/>
      </c>
      <c r="Q158" s="148"/>
      <c r="R158" s="87"/>
      <c r="S158" s="87"/>
      <c r="T158" s="87" t="str">
        <f>IF($A158="","",IF($AK158=TRUE,"Ready 2 Submit","Waiting on Dealer"))</f>
        <v/>
      </c>
      <c r="U158" s="148"/>
      <c r="V158" s="87"/>
      <c r="W158" s="87"/>
      <c r="X158" s="87" t="str">
        <f>IF($A158="","",IF($AK158=TRUE,"Ready 2 Submit","Waiting on Dealer"))</f>
        <v/>
      </c>
      <c r="Y158" s="148"/>
      <c r="Z158" s="87"/>
      <c r="AA158" s="87"/>
      <c r="AB158" s="87" t="str">
        <f>IF($A158="","",IF($AK158=TRUE,"Ready 2 Submit","Waiting on Dealer"))</f>
        <v/>
      </c>
      <c r="AC158" s="148"/>
      <c r="AD158" s="87"/>
      <c r="AE158" s="87"/>
      <c r="AF158" s="87" t="str">
        <f>IF($A158="","",IF($AK158=TRUE,"Ready 2 Submit","Waiting on Dealer"))</f>
        <v/>
      </c>
      <c r="AG158" s="148"/>
      <c r="AH158" s="87"/>
      <c r="AI158" s="87"/>
      <c r="AJ158" s="197"/>
      <c r="AK158" s="110" t="b">
        <v>0</v>
      </c>
      <c r="AL158" s="87" t="str" cm="1">
        <f t="array" ref="AL158">IF($A158="","",SUMPRODUCT((CHOOSE({1,2,3,4,5},$R158,$V158,$Z158,$AD158,$AH158)="Yes")*(((CHOOSE({1,2,3,4,5},$S158,$W158,$AA158,$AE158,$AI158)="Yes")+(CHOOSE({1,2,3,4,5},$S158,$W158,$AA158,$AE158,$AI158)=TRUE))&gt;0)))</f>
        <v/>
      </c>
      <c r="AM158" s="87"/>
      <c r="AN158" s="87" t="str">
        <f ca="1">IF(OR($A158="",$AM158=""),"",TODAY()-$AM158)</f>
        <v/>
      </c>
      <c r="AO158" s="87"/>
      <c r="AP158" s="106"/>
      <c r="AQ158" s="106"/>
      <c r="AR158" s="106"/>
      <c r="AS158" s="106"/>
      <c r="AT158" s="106"/>
      <c r="AU158" s="106"/>
      <c r="AV158" s="106"/>
      <c r="AW158" s="106"/>
      <c r="AX158" s="106"/>
      <c r="AY158" s="106"/>
    </row>
    <row r="159" spans="1:51" s="20" customFormat="1" ht="21" customHeight="1">
      <c r="A159" s="197"/>
      <c r="B159" s="87"/>
      <c r="C159" s="87"/>
      <c r="D159" s="196"/>
      <c r="E159" s="108"/>
      <c r="F159" s="196"/>
      <c r="G159" s="87"/>
      <c r="H159" s="197"/>
      <c r="I159" s="89"/>
      <c r="J159" s="204"/>
      <c r="K159" s="87"/>
      <c r="L159" s="87" t="str" cm="1">
        <f t="array" ref="L159">IF($A159="","",_xlfn.LET(_xlpm.stat,CHOOSE({1,2,3,4,5},$P159,$T159,$X159,$AB159,$AF159),_xlpm.rate,CHOOSE({1,2,3,4,5},$R159,$V159,$Z159,$AD159,$AH159),_xlpm.trn,CHOOSE({1,2,3,4,5},$S159,$W159,$AA159,$AE159,$AI159),_xlpm.nsC,SUMPRODUCT(--(_xlpm.stat="Ready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DLR",IF(AND(_xlpm.actRS&gt;0,_xlpm.actDone&lt;_xlpm.actRS),"Training",IF(_xlpm.actRS&gt;0,"Active",IF(AND(_xlpm.decC&gt;0,_xlpm.inPlay+_xlpm.actC=0),"Dead",IF(AND($AJ159&lt;&gt;"",$AK159=FALSE),"Waiting on Dealer",IF(_xlpm.subC&gt;0,"Waiting on Lender",IF(AND(_xlpm.appC+_xlpm.actC&gt;0,_xlpm.nsC+_xlpm.wdC=0),"Rate Sheet","Application Submitted")))))))))</f>
        <v/>
      </c>
      <c r="M159" s="87"/>
      <c r="N159" s="87"/>
      <c r="O159" s="197"/>
      <c r="P159" s="87" t="str">
        <f>IF($A159="","",IF($AK159=TRUE,"Ready 2 Submit","Waiting on Dealer"))</f>
        <v/>
      </c>
      <c r="Q159" s="148"/>
      <c r="R159" s="87"/>
      <c r="S159" s="87"/>
      <c r="T159" s="87" t="str">
        <f>IF($A159="","",IF($AK159=TRUE,"Ready 2 Submit","Waiting on Dealer"))</f>
        <v/>
      </c>
      <c r="U159" s="148"/>
      <c r="V159" s="87"/>
      <c r="W159" s="87"/>
      <c r="X159" s="87" t="str">
        <f>IF($A159="","",IF($AK159=TRUE,"Ready 2 Submit","Waiting on Dealer"))</f>
        <v/>
      </c>
      <c r="Y159" s="148"/>
      <c r="Z159" s="87"/>
      <c r="AA159" s="87"/>
      <c r="AB159" s="87" t="str">
        <f>IF($A159="","",IF($AK159=TRUE,"Ready 2 Submit","Waiting on Dealer"))</f>
        <v/>
      </c>
      <c r="AC159" s="148"/>
      <c r="AD159" s="87"/>
      <c r="AE159" s="87"/>
      <c r="AF159" s="87" t="str">
        <f>IF($A159="","",IF($AK159=TRUE,"Ready 2 Submit","Waiting on Dealer"))</f>
        <v/>
      </c>
      <c r="AG159" s="148"/>
      <c r="AH159" s="87"/>
      <c r="AI159" s="87"/>
      <c r="AJ159" s="197"/>
      <c r="AK159" s="110" t="b">
        <v>0</v>
      </c>
      <c r="AL159" s="87" t="str" cm="1">
        <f t="array" ref="AL159">IF($A159="","",SUMPRODUCT((CHOOSE({1,2,3,4,5},$R159,$V159,$Z159,$AD159,$AH159)="Yes")*(((CHOOSE({1,2,3,4,5},$S159,$W159,$AA159,$AE159,$AI159)="Yes")+(CHOOSE({1,2,3,4,5},$S159,$W159,$AA159,$AE159,$AI159)=TRUE))&gt;0)))</f>
        <v/>
      </c>
      <c r="AM159" s="87"/>
      <c r="AN159" s="87" t="str">
        <f ca="1">IF(OR($A159="",$AM159=""),"",TODAY()-$AM159)</f>
        <v/>
      </c>
      <c r="AO159" s="87"/>
      <c r="AP159" s="106"/>
      <c r="AQ159" s="106"/>
      <c r="AR159" s="106"/>
      <c r="AS159" s="106"/>
      <c r="AT159" s="106"/>
      <c r="AU159" s="106"/>
      <c r="AV159" s="106"/>
      <c r="AW159" s="106"/>
      <c r="AX159" s="106"/>
      <c r="AY159" s="106"/>
    </row>
    <row r="160" spans="1:51" s="20" customFormat="1" ht="21" customHeight="1">
      <c r="A160" s="197"/>
      <c r="B160" s="87"/>
      <c r="C160" s="87"/>
      <c r="D160" s="196"/>
      <c r="E160" s="108"/>
      <c r="F160" s="196"/>
      <c r="G160" s="87"/>
      <c r="H160" s="197"/>
      <c r="I160" s="89"/>
      <c r="J160" s="204"/>
      <c r="K160" s="87"/>
      <c r="L160" s="87" t="str" cm="1">
        <f t="array" ref="L160">IF($A160="","",_xlfn.LET(_xlpm.stat,CHOOSE({1,2,3,4,5},$P160,$T160,$X160,$AB160,$AF160),_xlpm.rate,CHOOSE({1,2,3,4,5},$R160,$V160,$Z160,$AD160,$AH160),_xlpm.trn,CHOOSE({1,2,3,4,5},$S160,$W160,$AA160,$AE160,$AI160),_xlpm.nsC,SUMPRODUCT(--(_xlpm.stat="Ready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DLR",IF(AND(_xlpm.actRS&gt;0,_xlpm.actDone&lt;_xlpm.actRS),"Training",IF(_xlpm.actRS&gt;0,"Active",IF(AND(_xlpm.decC&gt;0,_xlpm.inPlay+_xlpm.actC=0),"Dead",IF(AND($AJ160&lt;&gt;"",$AK160=FALSE),"Waiting on Dealer",IF(_xlpm.subC&gt;0,"Waiting on Lender",IF(AND(_xlpm.appC+_xlpm.actC&gt;0,_xlpm.nsC+_xlpm.wdC=0),"Rate Sheet","Application Submitted")))))))))</f>
        <v/>
      </c>
      <c r="M160" s="87"/>
      <c r="N160" s="87"/>
      <c r="O160" s="197"/>
      <c r="P160" s="87" t="str">
        <f>IF($A160="","",IF($AK160=TRUE,"Ready 2 Submit","Waiting on Dealer"))</f>
        <v/>
      </c>
      <c r="Q160" s="148"/>
      <c r="R160" s="87"/>
      <c r="S160" s="87"/>
      <c r="T160" s="87" t="str">
        <f>IF($A160="","",IF($AK160=TRUE,"Ready 2 Submit","Waiting on Dealer"))</f>
        <v/>
      </c>
      <c r="U160" s="148"/>
      <c r="V160" s="87"/>
      <c r="W160" s="87"/>
      <c r="X160" s="87" t="str">
        <f>IF($A160="","",IF($AK160=TRUE,"Ready 2 Submit","Waiting on Dealer"))</f>
        <v/>
      </c>
      <c r="Y160" s="148"/>
      <c r="Z160" s="87"/>
      <c r="AA160" s="87"/>
      <c r="AB160" s="87" t="str">
        <f>IF($A160="","",IF($AK160=TRUE,"Ready 2 Submit","Waiting on Dealer"))</f>
        <v/>
      </c>
      <c r="AC160" s="148"/>
      <c r="AD160" s="87"/>
      <c r="AE160" s="87"/>
      <c r="AF160" s="87" t="str">
        <f>IF($A160="","",IF($AK160=TRUE,"Ready 2 Submit","Waiting on Dealer"))</f>
        <v/>
      </c>
      <c r="AG160" s="148"/>
      <c r="AH160" s="87"/>
      <c r="AI160" s="87"/>
      <c r="AJ160" s="197"/>
      <c r="AK160" s="110" t="b">
        <v>0</v>
      </c>
      <c r="AL160" s="87" t="str" cm="1">
        <f t="array" ref="AL160">IF($A160="","",SUMPRODUCT((CHOOSE({1,2,3,4,5},$R160,$V160,$Z160,$AD160,$AH160)="Yes")*(((CHOOSE({1,2,3,4,5},$S160,$W160,$AA160,$AE160,$AI160)="Yes")+(CHOOSE({1,2,3,4,5},$S160,$W160,$AA160,$AE160,$AI160)=TRUE))&gt;0)))</f>
        <v/>
      </c>
      <c r="AM160" s="87"/>
      <c r="AN160" s="87" t="str">
        <f ca="1">IF(OR($A160="",$AM160=""),"",TODAY()-$AM160)</f>
        <v/>
      </c>
      <c r="AO160" s="87"/>
      <c r="AP160" s="106"/>
      <c r="AQ160" s="106"/>
      <c r="AR160" s="106"/>
      <c r="AS160" s="106"/>
      <c r="AT160" s="106"/>
      <c r="AU160" s="106"/>
      <c r="AV160" s="106"/>
      <c r="AW160" s="106"/>
      <c r="AX160" s="106"/>
      <c r="AY160" s="106"/>
    </row>
    <row r="161" spans="1:51" s="20" customFormat="1" ht="21" customHeight="1">
      <c r="A161" s="197"/>
      <c r="B161" s="87"/>
      <c r="C161" s="87"/>
      <c r="D161" s="196"/>
      <c r="E161" s="108"/>
      <c r="F161" s="196"/>
      <c r="G161" s="87"/>
      <c r="H161" s="197"/>
      <c r="I161" s="89"/>
      <c r="J161" s="204"/>
      <c r="K161" s="87"/>
      <c r="L161" s="87" t="str" cm="1">
        <f t="array" ref="L161">IF($A161="","",_xlfn.LET(_xlpm.stat,CHOOSE({1,2,3,4,5},$P161,$T161,$X161,$AB161,$AF161),_xlpm.rate,CHOOSE({1,2,3,4,5},$R161,$V161,$Z161,$AD161,$AH161),_xlpm.trn,CHOOSE({1,2,3,4,5},$S161,$W161,$AA161,$AE161,$AI161),_xlpm.nsC,SUMPRODUCT(--(_xlpm.stat="Ready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DLR",IF(AND(_xlpm.actRS&gt;0,_xlpm.actDone&lt;_xlpm.actRS),"Training",IF(_xlpm.actRS&gt;0,"Active",IF(AND(_xlpm.decC&gt;0,_xlpm.inPlay+_xlpm.actC=0),"Dead",IF(AND($AJ161&lt;&gt;"",$AK161=FALSE),"Waiting on Dealer",IF(_xlpm.subC&gt;0,"Waiting on Lender",IF(AND(_xlpm.appC+_xlpm.actC&gt;0,_xlpm.nsC+_xlpm.wdC=0),"Rate Sheet","Application Submitted")))))))))</f>
        <v/>
      </c>
      <c r="M161" s="87"/>
      <c r="N161" s="87"/>
      <c r="O161" s="197"/>
      <c r="P161" s="87" t="str">
        <f>IF($A161="","",IF($AK161=TRUE,"Ready 2 Submit","Waiting on Dealer"))</f>
        <v/>
      </c>
      <c r="Q161" s="148"/>
      <c r="R161" s="87"/>
      <c r="S161" s="87"/>
      <c r="T161" s="87" t="str">
        <f>IF($A161="","",IF($AK161=TRUE,"Ready 2 Submit","Waiting on Dealer"))</f>
        <v/>
      </c>
      <c r="U161" s="148"/>
      <c r="V161" s="87"/>
      <c r="W161" s="87"/>
      <c r="X161" s="87" t="str">
        <f>IF($A161="","",IF($AK161=TRUE,"Ready 2 Submit","Waiting on Dealer"))</f>
        <v/>
      </c>
      <c r="Y161" s="148"/>
      <c r="Z161" s="87"/>
      <c r="AA161" s="87"/>
      <c r="AB161" s="87" t="str">
        <f>IF($A161="","",IF($AK161=TRUE,"Ready 2 Submit","Waiting on Dealer"))</f>
        <v/>
      </c>
      <c r="AC161" s="148"/>
      <c r="AD161" s="87"/>
      <c r="AE161" s="87"/>
      <c r="AF161" s="87" t="str">
        <f>IF($A161="","",IF($AK161=TRUE,"Ready 2 Submit","Waiting on Dealer"))</f>
        <v/>
      </c>
      <c r="AG161" s="148"/>
      <c r="AH161" s="87"/>
      <c r="AI161" s="87"/>
      <c r="AJ161" s="197"/>
      <c r="AK161" s="110" t="b">
        <v>0</v>
      </c>
      <c r="AL161" s="87" t="str" cm="1">
        <f t="array" ref="AL161">IF($A161="","",SUMPRODUCT((CHOOSE({1,2,3,4,5},$R161,$V161,$Z161,$AD161,$AH161)="Yes")*(((CHOOSE({1,2,3,4,5},$S161,$W161,$AA161,$AE161,$AI161)="Yes")+(CHOOSE({1,2,3,4,5},$S161,$W161,$AA161,$AE161,$AI161)=TRUE))&gt;0)))</f>
        <v/>
      </c>
      <c r="AM161" s="87"/>
      <c r="AN161" s="87" t="str">
        <f ca="1">IF(OR($A161="",$AM161=""),"",TODAY()-$AM161)</f>
        <v/>
      </c>
      <c r="AO161" s="87"/>
      <c r="AP161" s="106"/>
      <c r="AQ161" s="106"/>
      <c r="AR161" s="106"/>
      <c r="AS161" s="106"/>
      <c r="AT161" s="106"/>
      <c r="AU161" s="106"/>
      <c r="AV161" s="106"/>
      <c r="AW161" s="106"/>
      <c r="AX161" s="106"/>
      <c r="AY161" s="106"/>
    </row>
    <row r="162" spans="1:51" s="20" customFormat="1" ht="21" customHeight="1">
      <c r="A162" s="197"/>
      <c r="B162" s="87"/>
      <c r="C162" s="87"/>
      <c r="D162" s="196"/>
      <c r="E162" s="108"/>
      <c r="F162" s="196"/>
      <c r="G162" s="87"/>
      <c r="H162" s="197"/>
      <c r="I162" s="89"/>
      <c r="J162" s="204"/>
      <c r="K162" s="87"/>
      <c r="L162" s="87" t="str" cm="1">
        <f t="array" ref="L162">IF($A162="","",_xlfn.LET(_xlpm.stat,CHOOSE({1,2,3,4,5},$P162,$T162,$X162,$AB162,$AF162),_xlpm.rate,CHOOSE({1,2,3,4,5},$R162,$V162,$Z162,$AD162,$AH162),_xlpm.trn,CHOOSE({1,2,3,4,5},$S162,$W162,$AA162,$AE162,$AI162),_xlpm.nsC,SUMPRODUCT(--(_xlpm.stat="Ready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DLR",IF(AND(_xlpm.actRS&gt;0,_xlpm.actDone&lt;_xlpm.actRS),"Training",IF(_xlpm.actRS&gt;0,"Active",IF(AND(_xlpm.decC&gt;0,_xlpm.inPlay+_xlpm.actC=0),"Dead",IF(AND($AJ162&lt;&gt;"",$AK162=FALSE),"Waiting on Dealer",IF(_xlpm.subC&gt;0,"Waiting on Lender",IF(AND(_xlpm.appC+_xlpm.actC&gt;0,_xlpm.nsC+_xlpm.wdC=0),"Rate Sheet","Application Submitted")))))))))</f>
        <v/>
      </c>
      <c r="M162" s="87"/>
      <c r="N162" s="87"/>
      <c r="O162" s="197"/>
      <c r="P162" s="87" t="str">
        <f>IF($A162="","",IF($AK162=TRUE,"Ready 2 Submit","Waiting on Dealer"))</f>
        <v/>
      </c>
      <c r="Q162" s="148"/>
      <c r="R162" s="87"/>
      <c r="S162" s="87"/>
      <c r="T162" s="87" t="str">
        <f>IF($A162="","",IF($AK162=TRUE,"Ready 2 Submit","Waiting on Dealer"))</f>
        <v/>
      </c>
      <c r="U162" s="148"/>
      <c r="V162" s="87"/>
      <c r="W162" s="87"/>
      <c r="X162" s="87" t="str">
        <f>IF($A162="","",IF($AK162=TRUE,"Ready 2 Submit","Waiting on Dealer"))</f>
        <v/>
      </c>
      <c r="Y162" s="148"/>
      <c r="Z162" s="87"/>
      <c r="AA162" s="87"/>
      <c r="AB162" s="87" t="str">
        <f>IF($A162="","",IF($AK162=TRUE,"Ready 2 Submit","Waiting on Dealer"))</f>
        <v/>
      </c>
      <c r="AC162" s="148"/>
      <c r="AD162" s="87"/>
      <c r="AE162" s="87"/>
      <c r="AF162" s="87" t="str">
        <f>IF($A162="","",IF($AK162=TRUE,"Ready 2 Submit","Waiting on Dealer"))</f>
        <v/>
      </c>
      <c r="AG162" s="148"/>
      <c r="AH162" s="87"/>
      <c r="AI162" s="87"/>
      <c r="AJ162" s="197"/>
      <c r="AK162" s="110" t="b">
        <v>0</v>
      </c>
      <c r="AL162" s="87" t="str" cm="1">
        <f t="array" ref="AL162">IF($A162="","",SUMPRODUCT((CHOOSE({1,2,3,4,5},$R162,$V162,$Z162,$AD162,$AH162)="Yes")*(((CHOOSE({1,2,3,4,5},$S162,$W162,$AA162,$AE162,$AI162)="Yes")+(CHOOSE({1,2,3,4,5},$S162,$W162,$AA162,$AE162,$AI162)=TRUE))&gt;0)))</f>
        <v/>
      </c>
      <c r="AM162" s="87"/>
      <c r="AN162" s="87" t="str">
        <f ca="1">IF(OR($A162="",$AM162=""),"",TODAY()-$AM162)</f>
        <v/>
      </c>
      <c r="AO162" s="87"/>
      <c r="AP162" s="106"/>
      <c r="AQ162" s="106"/>
      <c r="AR162" s="106"/>
      <c r="AS162" s="106"/>
      <c r="AT162" s="106"/>
      <c r="AU162" s="106"/>
      <c r="AV162" s="106"/>
      <c r="AW162" s="106"/>
      <c r="AX162" s="106"/>
      <c r="AY162" s="106"/>
    </row>
    <row r="163" spans="1:51" s="20" customFormat="1" ht="21" customHeight="1">
      <c r="A163" s="197"/>
      <c r="B163" s="87"/>
      <c r="C163" s="87"/>
      <c r="D163" s="196"/>
      <c r="E163" s="108"/>
      <c r="F163" s="196"/>
      <c r="G163" s="87"/>
      <c r="H163" s="197"/>
      <c r="I163" s="89"/>
      <c r="J163" s="204"/>
      <c r="K163" s="87"/>
      <c r="L163" s="87" t="str" cm="1">
        <f t="array" ref="L163">IF($A163="","",_xlfn.LET(_xlpm.stat,CHOOSE({1,2,3,4,5},$P163,$T163,$X163,$AB163,$AF163),_xlpm.rate,CHOOSE({1,2,3,4,5},$R163,$V163,$Z163,$AD163,$AH163),_xlpm.trn,CHOOSE({1,2,3,4,5},$S163,$W163,$AA163,$AE163,$AI163),_xlpm.nsC,SUMPRODUCT(--(_xlpm.stat="Ready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DLR",IF(AND(_xlpm.actRS&gt;0,_xlpm.actDone&lt;_xlpm.actRS),"Training",IF(_xlpm.actRS&gt;0,"Active",IF(AND(_xlpm.decC&gt;0,_xlpm.inPlay+_xlpm.actC=0),"Dead",IF(AND($AJ163&lt;&gt;"",$AK163=FALSE),"Waiting on Dealer",IF(_xlpm.subC&gt;0,"Waiting on Lender",IF(AND(_xlpm.appC+_xlpm.actC&gt;0,_xlpm.nsC+_xlpm.wdC=0),"Rate Sheet","Application Submitted")))))))))</f>
        <v/>
      </c>
      <c r="M163" s="87"/>
      <c r="N163" s="87"/>
      <c r="O163" s="197"/>
      <c r="P163" s="87" t="str">
        <f>IF($A163="","",IF($AK163=TRUE,"Ready 2 Submit","Waiting on Dealer"))</f>
        <v/>
      </c>
      <c r="Q163" s="148"/>
      <c r="R163" s="87"/>
      <c r="S163" s="87"/>
      <c r="T163" s="87" t="str">
        <f>IF($A163="","",IF($AK163=TRUE,"Ready 2 Submit","Waiting on Dealer"))</f>
        <v/>
      </c>
      <c r="U163" s="148"/>
      <c r="V163" s="87"/>
      <c r="W163" s="87"/>
      <c r="X163" s="87" t="str">
        <f>IF($A163="","",IF($AK163=TRUE,"Ready 2 Submit","Waiting on Dealer"))</f>
        <v/>
      </c>
      <c r="Y163" s="148"/>
      <c r="Z163" s="87"/>
      <c r="AA163" s="87"/>
      <c r="AB163" s="87" t="str">
        <f>IF($A163="","",IF($AK163=TRUE,"Ready 2 Submit","Waiting on Dealer"))</f>
        <v/>
      </c>
      <c r="AC163" s="148"/>
      <c r="AD163" s="87"/>
      <c r="AE163" s="87"/>
      <c r="AF163" s="87" t="str">
        <f>IF($A163="","",IF($AK163=TRUE,"Ready 2 Submit","Waiting on Dealer"))</f>
        <v/>
      </c>
      <c r="AG163" s="148"/>
      <c r="AH163" s="87"/>
      <c r="AI163" s="87"/>
      <c r="AJ163" s="197"/>
      <c r="AK163" s="110" t="b">
        <v>0</v>
      </c>
      <c r="AL163" s="87" t="str" cm="1">
        <f t="array" ref="AL163">IF($A163="","",SUMPRODUCT((CHOOSE({1,2,3,4,5},$R163,$V163,$Z163,$AD163,$AH163)="Yes")*(((CHOOSE({1,2,3,4,5},$S163,$W163,$AA163,$AE163,$AI163)="Yes")+(CHOOSE({1,2,3,4,5},$S163,$W163,$AA163,$AE163,$AI163)=TRUE))&gt;0)))</f>
        <v/>
      </c>
      <c r="AM163" s="87"/>
      <c r="AN163" s="87" t="str">
        <f ca="1">IF(OR($A163="",$AM163=""),"",TODAY()-$AM163)</f>
        <v/>
      </c>
      <c r="AO163" s="87"/>
      <c r="AP163" s="106"/>
      <c r="AQ163" s="106"/>
      <c r="AR163" s="106"/>
      <c r="AS163" s="106"/>
      <c r="AT163" s="106"/>
      <c r="AU163" s="106"/>
      <c r="AV163" s="106"/>
      <c r="AW163" s="106"/>
      <c r="AX163" s="106"/>
      <c r="AY163" s="106"/>
    </row>
    <row r="164" spans="1:51" s="20" customFormat="1" ht="21" customHeight="1">
      <c r="A164" s="197"/>
      <c r="B164" s="87"/>
      <c r="C164" s="87"/>
      <c r="D164" s="196"/>
      <c r="E164" s="108"/>
      <c r="F164" s="196"/>
      <c r="G164" s="87"/>
      <c r="H164" s="197"/>
      <c r="I164" s="89"/>
      <c r="J164" s="204"/>
      <c r="K164" s="87"/>
      <c r="L164" s="87" t="str" cm="1">
        <f t="array" ref="L164">IF($A164="","",_xlfn.LET(_xlpm.stat,CHOOSE({1,2,3,4,5},$P164,$T164,$X164,$AB164,$AF164),_xlpm.rate,CHOOSE({1,2,3,4,5},$R164,$V164,$Z164,$AD164,$AH164),_xlpm.trn,CHOOSE({1,2,3,4,5},$S164,$W164,$AA164,$AE164,$AI164),_xlpm.nsC,SUMPRODUCT(--(_xlpm.stat="Ready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DLR",IF(AND(_xlpm.actRS&gt;0,_xlpm.actDone&lt;_xlpm.actRS),"Training",IF(_xlpm.actRS&gt;0,"Active",IF(AND(_xlpm.decC&gt;0,_xlpm.inPlay+_xlpm.actC=0),"Dead",IF(AND($AJ164&lt;&gt;"",$AK164=FALSE),"Waiting on Dealer",IF(_xlpm.subC&gt;0,"Waiting on Lender",IF(AND(_xlpm.appC+_xlpm.actC&gt;0,_xlpm.nsC+_xlpm.wdC=0),"Rate Sheet","Application Submitted")))))))))</f>
        <v/>
      </c>
      <c r="M164" s="87"/>
      <c r="N164" s="87"/>
      <c r="O164" s="197"/>
      <c r="P164" s="87" t="str">
        <f>IF($A164="","",IF($AK164=TRUE,"Ready 2 Submit","Waiting on Dealer"))</f>
        <v/>
      </c>
      <c r="Q164" s="148"/>
      <c r="R164" s="87"/>
      <c r="S164" s="87"/>
      <c r="T164" s="87" t="str">
        <f>IF($A164="","",IF($AK164=TRUE,"Ready 2 Submit","Waiting on Dealer"))</f>
        <v/>
      </c>
      <c r="U164" s="148"/>
      <c r="V164" s="87"/>
      <c r="W164" s="87"/>
      <c r="X164" s="87" t="str">
        <f>IF($A164="","",IF($AK164=TRUE,"Ready 2 Submit","Waiting on Dealer"))</f>
        <v/>
      </c>
      <c r="Y164" s="148"/>
      <c r="Z164" s="87"/>
      <c r="AA164" s="87"/>
      <c r="AB164" s="87" t="str">
        <f>IF($A164="","",IF($AK164=TRUE,"Ready 2 Submit","Waiting on Dealer"))</f>
        <v/>
      </c>
      <c r="AC164" s="148"/>
      <c r="AD164" s="87"/>
      <c r="AE164" s="87"/>
      <c r="AF164" s="87" t="str">
        <f>IF($A164="","",IF($AK164=TRUE,"Ready 2 Submit","Waiting on Dealer"))</f>
        <v/>
      </c>
      <c r="AG164" s="148"/>
      <c r="AH164" s="87"/>
      <c r="AI164" s="87"/>
      <c r="AJ164" s="197"/>
      <c r="AK164" s="110" t="b">
        <v>0</v>
      </c>
      <c r="AL164" s="87" t="str" cm="1">
        <f t="array" ref="AL164">IF($A164="","",SUMPRODUCT((CHOOSE({1,2,3,4,5},$R164,$V164,$Z164,$AD164,$AH164)="Yes")*(((CHOOSE({1,2,3,4,5},$S164,$W164,$AA164,$AE164,$AI164)="Yes")+(CHOOSE({1,2,3,4,5},$S164,$W164,$AA164,$AE164,$AI164)=TRUE))&gt;0)))</f>
        <v/>
      </c>
      <c r="AM164" s="87"/>
      <c r="AN164" s="87" t="str">
        <f ca="1">IF(OR($A164="",$AM164=""),"",TODAY()-$AM164)</f>
        <v/>
      </c>
      <c r="AO164" s="87"/>
      <c r="AP164" s="106"/>
      <c r="AQ164" s="106"/>
      <c r="AR164" s="106"/>
      <c r="AS164" s="106"/>
      <c r="AT164" s="106"/>
      <c r="AU164" s="106"/>
      <c r="AV164" s="106"/>
      <c r="AW164" s="106"/>
      <c r="AX164" s="106"/>
      <c r="AY164" s="106"/>
    </row>
    <row r="165" spans="1:51" s="20" customFormat="1" ht="21" customHeight="1">
      <c r="A165" s="197"/>
      <c r="B165" s="87"/>
      <c r="C165" s="87"/>
      <c r="D165" s="196"/>
      <c r="E165" s="108"/>
      <c r="F165" s="196"/>
      <c r="G165" s="87"/>
      <c r="H165" s="197"/>
      <c r="I165" s="89"/>
      <c r="J165" s="204"/>
      <c r="K165" s="87"/>
      <c r="L165" s="87" t="str" cm="1">
        <f t="array" ref="L165">IF($A165="","",_xlfn.LET(_xlpm.stat,CHOOSE({1,2,3,4,5},$P165,$T165,$X165,$AB165,$AF165),_xlpm.rate,CHOOSE({1,2,3,4,5},$R165,$V165,$Z165,$AD165,$AH165),_xlpm.trn,CHOOSE({1,2,3,4,5},$S165,$W165,$AA165,$AE165,$AI165),_xlpm.nsC,SUMPRODUCT(--(_xlpm.stat="Ready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DLR",IF(AND(_xlpm.actRS&gt;0,_xlpm.actDone&lt;_xlpm.actRS),"Training",IF(_xlpm.actRS&gt;0,"Active",IF(AND(_xlpm.decC&gt;0,_xlpm.inPlay+_xlpm.actC=0),"Dead",IF(AND($AJ165&lt;&gt;"",$AK165=FALSE),"Waiting on Dealer",IF(_xlpm.subC&gt;0,"Waiting on Lender",IF(AND(_xlpm.appC+_xlpm.actC&gt;0,_xlpm.nsC+_xlpm.wdC=0),"Rate Sheet","Application Submitted")))))))))</f>
        <v/>
      </c>
      <c r="M165" s="87"/>
      <c r="N165" s="87"/>
      <c r="O165" s="197"/>
      <c r="P165" s="87" t="str">
        <f>IF($A165="","",IF($AK165=TRUE,"Ready 2 Submit","Waiting on Dealer"))</f>
        <v/>
      </c>
      <c r="Q165" s="148"/>
      <c r="R165" s="87"/>
      <c r="S165" s="87"/>
      <c r="T165" s="87" t="str">
        <f>IF($A165="","",IF($AK165=TRUE,"Ready 2 Submit","Waiting on Dealer"))</f>
        <v/>
      </c>
      <c r="U165" s="148"/>
      <c r="V165" s="87"/>
      <c r="W165" s="87"/>
      <c r="X165" s="87" t="str">
        <f>IF($A165="","",IF($AK165=TRUE,"Ready 2 Submit","Waiting on Dealer"))</f>
        <v/>
      </c>
      <c r="Y165" s="148"/>
      <c r="Z165" s="87"/>
      <c r="AA165" s="87"/>
      <c r="AB165" s="87" t="str">
        <f>IF($A165="","",IF($AK165=TRUE,"Ready 2 Submit","Waiting on Dealer"))</f>
        <v/>
      </c>
      <c r="AC165" s="148"/>
      <c r="AD165" s="87"/>
      <c r="AE165" s="87"/>
      <c r="AF165" s="87" t="str">
        <f>IF($A165="","",IF($AK165=TRUE,"Ready 2 Submit","Waiting on Dealer"))</f>
        <v/>
      </c>
      <c r="AG165" s="148"/>
      <c r="AH165" s="87"/>
      <c r="AI165" s="87"/>
      <c r="AJ165" s="197"/>
      <c r="AK165" s="110" t="b">
        <v>0</v>
      </c>
      <c r="AL165" s="87" t="str" cm="1">
        <f t="array" ref="AL165">IF($A165="","",SUMPRODUCT((CHOOSE({1,2,3,4,5},$R165,$V165,$Z165,$AD165,$AH165)="Yes")*(((CHOOSE({1,2,3,4,5},$S165,$W165,$AA165,$AE165,$AI165)="Yes")+(CHOOSE({1,2,3,4,5},$S165,$W165,$AA165,$AE165,$AI165)=TRUE))&gt;0)))</f>
        <v/>
      </c>
      <c r="AM165" s="87"/>
      <c r="AN165" s="87" t="str">
        <f ca="1">IF(OR($A165="",$AM165=""),"",TODAY()-$AM165)</f>
        <v/>
      </c>
      <c r="AO165" s="87"/>
      <c r="AP165" s="106"/>
      <c r="AQ165" s="106"/>
      <c r="AR165" s="106"/>
      <c r="AS165" s="106"/>
      <c r="AT165" s="106"/>
      <c r="AU165" s="106"/>
      <c r="AV165" s="106"/>
      <c r="AW165" s="106"/>
      <c r="AX165" s="106"/>
      <c r="AY165" s="106"/>
    </row>
    <row r="166" spans="1:51" s="20" customFormat="1" ht="21" customHeight="1">
      <c r="A166" s="197"/>
      <c r="B166" s="87"/>
      <c r="C166" s="87"/>
      <c r="D166" s="196"/>
      <c r="E166" s="108"/>
      <c r="F166" s="196"/>
      <c r="G166" s="87"/>
      <c r="H166" s="197"/>
      <c r="I166" s="89"/>
      <c r="J166" s="204"/>
      <c r="K166" s="87"/>
      <c r="L166" s="87" t="str" cm="1">
        <f t="array" ref="L166">IF($A166="","",_xlfn.LET(_xlpm.stat,CHOOSE({1,2,3,4,5},$P166,$T166,$X166,$AB166,$AF166),_xlpm.rate,CHOOSE({1,2,3,4,5},$R166,$V166,$Z166,$AD166,$AH166),_xlpm.trn,CHOOSE({1,2,3,4,5},$S166,$W166,$AA166,$AE166,$AI166),_xlpm.nsC,SUMPRODUCT(--(_xlpm.stat="Ready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DLR",IF(AND(_xlpm.actRS&gt;0,_xlpm.actDone&lt;_xlpm.actRS),"Training",IF(_xlpm.actRS&gt;0,"Active",IF(AND(_xlpm.decC&gt;0,_xlpm.inPlay+_xlpm.actC=0),"Dead",IF(AND($AJ166&lt;&gt;"",$AK166=FALSE),"Waiting on Dealer",IF(_xlpm.subC&gt;0,"Waiting on Lender",IF(AND(_xlpm.appC+_xlpm.actC&gt;0,_xlpm.nsC+_xlpm.wdC=0),"Rate Sheet","Application Submitted")))))))))</f>
        <v/>
      </c>
      <c r="M166" s="87"/>
      <c r="N166" s="87"/>
      <c r="O166" s="197"/>
      <c r="P166" s="87" t="str">
        <f>IF($A166="","",IF($AK166=TRUE,"Ready 2 Submit","Waiting on Dealer"))</f>
        <v/>
      </c>
      <c r="Q166" s="148"/>
      <c r="R166" s="87"/>
      <c r="S166" s="87"/>
      <c r="T166" s="87" t="str">
        <f>IF($A166="","",IF($AK166=TRUE,"Ready 2 Submit","Waiting on Dealer"))</f>
        <v/>
      </c>
      <c r="U166" s="148"/>
      <c r="V166" s="87"/>
      <c r="W166" s="87"/>
      <c r="X166" s="87" t="str">
        <f>IF($A166="","",IF($AK166=TRUE,"Ready 2 Submit","Waiting on Dealer"))</f>
        <v/>
      </c>
      <c r="Y166" s="148"/>
      <c r="Z166" s="87"/>
      <c r="AA166" s="87"/>
      <c r="AB166" s="87" t="str">
        <f>IF($A166="","",IF($AK166=TRUE,"Ready 2 Submit","Waiting on Dealer"))</f>
        <v/>
      </c>
      <c r="AC166" s="148"/>
      <c r="AD166" s="87"/>
      <c r="AE166" s="87"/>
      <c r="AF166" s="87" t="str">
        <f>IF($A166="","",IF($AK166=TRUE,"Ready 2 Submit","Waiting on Dealer"))</f>
        <v/>
      </c>
      <c r="AG166" s="148"/>
      <c r="AH166" s="87"/>
      <c r="AI166" s="87"/>
      <c r="AJ166" s="197"/>
      <c r="AK166" s="110" t="b">
        <v>0</v>
      </c>
      <c r="AL166" s="87" t="str" cm="1">
        <f t="array" ref="AL166">IF($A166="","",SUMPRODUCT((CHOOSE({1,2,3,4,5},$R166,$V166,$Z166,$AD166,$AH166)="Yes")*(((CHOOSE({1,2,3,4,5},$S166,$W166,$AA166,$AE166,$AI166)="Yes")+(CHOOSE({1,2,3,4,5},$S166,$W166,$AA166,$AE166,$AI166)=TRUE))&gt;0)))</f>
        <v/>
      </c>
      <c r="AM166" s="87"/>
      <c r="AN166" s="87" t="str">
        <f ca="1">IF(OR($A166="",$AM166=""),"",TODAY()-$AM166)</f>
        <v/>
      </c>
      <c r="AO166" s="87"/>
      <c r="AP166" s="106"/>
      <c r="AQ166" s="106"/>
      <c r="AR166" s="106"/>
      <c r="AS166" s="106"/>
      <c r="AT166" s="106"/>
      <c r="AU166" s="106"/>
      <c r="AV166" s="106"/>
      <c r="AW166" s="106"/>
      <c r="AX166" s="106"/>
      <c r="AY166" s="106"/>
    </row>
    <row r="167" spans="1:51" s="20" customFormat="1" ht="21" customHeight="1">
      <c r="A167" s="197"/>
      <c r="B167" s="87"/>
      <c r="C167" s="87"/>
      <c r="D167" s="196"/>
      <c r="E167" s="108"/>
      <c r="F167" s="196"/>
      <c r="G167" s="87"/>
      <c r="H167" s="197"/>
      <c r="I167" s="89"/>
      <c r="J167" s="204"/>
      <c r="K167" s="87"/>
      <c r="L167" s="87" t="str" cm="1">
        <f t="array" ref="L167">IF($A167="","",_xlfn.LET(_xlpm.stat,CHOOSE({1,2,3,4,5},$P167,$T167,$X167,$AB167,$AF167),_xlpm.rate,CHOOSE({1,2,3,4,5},$R167,$V167,$Z167,$AD167,$AH167),_xlpm.trn,CHOOSE({1,2,3,4,5},$S167,$W167,$AA167,$AE167,$AI167),_xlpm.nsC,SUMPRODUCT(--(_xlpm.stat="Ready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DLR",IF(AND(_xlpm.actRS&gt;0,_xlpm.actDone&lt;_xlpm.actRS),"Training",IF(_xlpm.actRS&gt;0,"Active",IF(AND(_xlpm.decC&gt;0,_xlpm.inPlay+_xlpm.actC=0),"Dead",IF(AND($AJ167&lt;&gt;"",$AK167=FALSE),"Waiting on Dealer",IF(_xlpm.subC&gt;0,"Waiting on Lender",IF(AND(_xlpm.appC+_xlpm.actC&gt;0,_xlpm.nsC+_xlpm.wdC=0),"Rate Sheet","Application Submitted")))))))))</f>
        <v/>
      </c>
      <c r="M167" s="87"/>
      <c r="N167" s="87"/>
      <c r="O167" s="197"/>
      <c r="P167" s="87" t="str">
        <f>IF($A167="","",IF($AK167=TRUE,"Ready 2 Submit","Waiting on Dealer"))</f>
        <v/>
      </c>
      <c r="Q167" s="148"/>
      <c r="R167" s="87"/>
      <c r="S167" s="87"/>
      <c r="T167" s="87" t="str">
        <f>IF($A167="","",IF($AK167=TRUE,"Ready 2 Submit","Waiting on Dealer"))</f>
        <v/>
      </c>
      <c r="U167" s="148"/>
      <c r="V167" s="87"/>
      <c r="W167" s="87"/>
      <c r="X167" s="87" t="str">
        <f>IF($A167="","",IF($AK167=TRUE,"Ready 2 Submit","Waiting on Dealer"))</f>
        <v/>
      </c>
      <c r="Y167" s="148"/>
      <c r="Z167" s="87"/>
      <c r="AA167" s="87"/>
      <c r="AB167" s="87" t="str">
        <f>IF($A167="","",IF($AK167=TRUE,"Ready 2 Submit","Waiting on Dealer"))</f>
        <v/>
      </c>
      <c r="AC167" s="148"/>
      <c r="AD167" s="87"/>
      <c r="AE167" s="87"/>
      <c r="AF167" s="87" t="str">
        <f>IF($A167="","",IF($AK167=TRUE,"Ready 2 Submit","Waiting on Dealer"))</f>
        <v/>
      </c>
      <c r="AG167" s="148"/>
      <c r="AH167" s="87"/>
      <c r="AI167" s="87"/>
      <c r="AJ167" s="197"/>
      <c r="AK167" s="110" t="b">
        <v>0</v>
      </c>
      <c r="AL167" s="87" t="str" cm="1">
        <f t="array" ref="AL167">IF($A167="","",SUMPRODUCT((CHOOSE({1,2,3,4,5},$R167,$V167,$Z167,$AD167,$AH167)="Yes")*(((CHOOSE({1,2,3,4,5},$S167,$W167,$AA167,$AE167,$AI167)="Yes")+(CHOOSE({1,2,3,4,5},$S167,$W167,$AA167,$AE167,$AI167)=TRUE))&gt;0)))</f>
        <v/>
      </c>
      <c r="AM167" s="87"/>
      <c r="AN167" s="87" t="str">
        <f ca="1">IF(OR($A167="",$AM167=""),"",TODAY()-$AM167)</f>
        <v/>
      </c>
      <c r="AO167" s="87"/>
      <c r="AP167" s="106"/>
      <c r="AQ167" s="106"/>
      <c r="AR167" s="106"/>
      <c r="AS167" s="106"/>
      <c r="AT167" s="106"/>
      <c r="AU167" s="106"/>
      <c r="AV167" s="106"/>
      <c r="AW167" s="106"/>
      <c r="AX167" s="106"/>
      <c r="AY167" s="106"/>
    </row>
    <row r="168" spans="1:51" s="20" customFormat="1" ht="21" customHeight="1">
      <c r="A168" s="197"/>
      <c r="B168" s="87"/>
      <c r="C168" s="87"/>
      <c r="D168" s="196"/>
      <c r="E168" s="108"/>
      <c r="F168" s="196"/>
      <c r="G168" s="87"/>
      <c r="H168" s="197"/>
      <c r="I168" s="89"/>
      <c r="J168" s="204"/>
      <c r="K168" s="87"/>
      <c r="L168" s="87" t="str" cm="1">
        <f t="array" ref="L168">IF($A168="","",_xlfn.LET(_xlpm.stat,CHOOSE({1,2,3,4,5},$P168,$T168,$X168,$AB168,$AF168),_xlpm.rate,CHOOSE({1,2,3,4,5},$R168,$V168,$Z168,$AD168,$AH168),_xlpm.trn,CHOOSE({1,2,3,4,5},$S168,$W168,$AA168,$AE168,$AI168),_xlpm.nsC,SUMPRODUCT(--(_xlpm.stat="Ready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DLR",IF(AND(_xlpm.actRS&gt;0,_xlpm.actDone&lt;_xlpm.actRS),"Training",IF(_xlpm.actRS&gt;0,"Active",IF(AND(_xlpm.decC&gt;0,_xlpm.inPlay+_xlpm.actC=0),"Dead",IF(AND($AJ168&lt;&gt;"",$AK168=FALSE),"Waiting on Dealer",IF(_xlpm.subC&gt;0,"Waiting on Lender",IF(AND(_xlpm.appC+_xlpm.actC&gt;0,_xlpm.nsC+_xlpm.wdC=0),"Rate Sheet","Application Submitted")))))))))</f>
        <v/>
      </c>
      <c r="M168" s="87"/>
      <c r="N168" s="87"/>
      <c r="O168" s="197"/>
      <c r="P168" s="87" t="str">
        <f>IF($A168="","",IF($AK168=TRUE,"Ready 2 Submit","Waiting on Dealer"))</f>
        <v/>
      </c>
      <c r="Q168" s="148"/>
      <c r="R168" s="87"/>
      <c r="S168" s="87"/>
      <c r="T168" s="87" t="str">
        <f>IF($A168="","",IF($AK168=TRUE,"Ready 2 Submit","Waiting on Dealer"))</f>
        <v/>
      </c>
      <c r="U168" s="148"/>
      <c r="V168" s="87"/>
      <c r="W168" s="87"/>
      <c r="X168" s="87" t="str">
        <f>IF($A168="","",IF($AK168=TRUE,"Ready 2 Submit","Waiting on Dealer"))</f>
        <v/>
      </c>
      <c r="Y168" s="148"/>
      <c r="Z168" s="87"/>
      <c r="AA168" s="87"/>
      <c r="AB168" s="87" t="str">
        <f>IF($A168="","",IF($AK168=TRUE,"Ready 2 Submit","Waiting on Dealer"))</f>
        <v/>
      </c>
      <c r="AC168" s="148"/>
      <c r="AD168" s="87"/>
      <c r="AE168" s="87"/>
      <c r="AF168" s="87" t="str">
        <f>IF($A168="","",IF($AK168=TRUE,"Ready 2 Submit","Waiting on Dealer"))</f>
        <v/>
      </c>
      <c r="AG168" s="148"/>
      <c r="AH168" s="87"/>
      <c r="AI168" s="87"/>
      <c r="AJ168" s="197"/>
      <c r="AK168" s="110" t="b">
        <v>0</v>
      </c>
      <c r="AL168" s="87" t="str" cm="1">
        <f t="array" ref="AL168">IF($A168="","",SUMPRODUCT((CHOOSE({1,2,3,4,5},$R168,$V168,$Z168,$AD168,$AH168)="Yes")*(((CHOOSE({1,2,3,4,5},$S168,$W168,$AA168,$AE168,$AI168)="Yes")+(CHOOSE({1,2,3,4,5},$S168,$W168,$AA168,$AE168,$AI168)=TRUE))&gt;0)))</f>
        <v/>
      </c>
      <c r="AM168" s="87"/>
      <c r="AN168" s="87" t="str">
        <f ca="1">IF(OR($A168="",$AM168=""),"",TODAY()-$AM168)</f>
        <v/>
      </c>
      <c r="AO168" s="87"/>
      <c r="AP168" s="106"/>
      <c r="AQ168" s="106"/>
      <c r="AR168" s="106"/>
      <c r="AS168" s="106"/>
      <c r="AT168" s="106"/>
      <c r="AU168" s="106"/>
      <c r="AV168" s="106"/>
      <c r="AW168" s="106"/>
      <c r="AX168" s="106"/>
      <c r="AY168" s="106"/>
    </row>
    <row r="169" spans="1:51" s="20" customFormat="1" ht="21" customHeight="1">
      <c r="A169" s="197"/>
      <c r="B169" s="87"/>
      <c r="C169" s="87"/>
      <c r="D169" s="196"/>
      <c r="E169" s="108"/>
      <c r="F169" s="196"/>
      <c r="G169" s="87"/>
      <c r="H169" s="197"/>
      <c r="I169" s="89"/>
      <c r="J169" s="204"/>
      <c r="K169" s="87"/>
      <c r="L169" s="87" t="str" cm="1">
        <f t="array" ref="L169">IF($A169="","",_xlfn.LET(_xlpm.stat,CHOOSE({1,2,3,4,5},$P169,$T169,$X169,$AB169,$AF169),_xlpm.rate,CHOOSE({1,2,3,4,5},$R169,$V169,$Z169,$AD169,$AH169),_xlpm.trn,CHOOSE({1,2,3,4,5},$S169,$W169,$AA169,$AE169,$AI169),_xlpm.nsC,SUMPRODUCT(--(_xlpm.stat="Ready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DLR",IF(AND(_xlpm.actRS&gt;0,_xlpm.actDone&lt;_xlpm.actRS),"Training",IF(_xlpm.actRS&gt;0,"Active",IF(AND(_xlpm.decC&gt;0,_xlpm.inPlay+_xlpm.actC=0),"Dead",IF(AND($AJ169&lt;&gt;"",$AK169=FALSE),"Waiting on Dealer",IF(_xlpm.subC&gt;0,"Waiting on Lender",IF(AND(_xlpm.appC+_xlpm.actC&gt;0,_xlpm.nsC+_xlpm.wdC=0),"Rate Sheet","Application Submitted")))))))))</f>
        <v/>
      </c>
      <c r="M169" s="87"/>
      <c r="N169" s="87"/>
      <c r="O169" s="197"/>
      <c r="P169" s="87" t="str">
        <f>IF($A169="","",IF($AK169=TRUE,"Ready 2 Submit","Waiting on Dealer"))</f>
        <v/>
      </c>
      <c r="Q169" s="148"/>
      <c r="R169" s="87"/>
      <c r="S169" s="87"/>
      <c r="T169" s="87" t="str">
        <f>IF($A169="","",IF($AK169=TRUE,"Ready 2 Submit","Waiting on Dealer"))</f>
        <v/>
      </c>
      <c r="U169" s="148"/>
      <c r="V169" s="87"/>
      <c r="W169" s="87"/>
      <c r="X169" s="87" t="str">
        <f>IF($A169="","",IF($AK169=TRUE,"Ready 2 Submit","Waiting on Dealer"))</f>
        <v/>
      </c>
      <c r="Y169" s="148"/>
      <c r="Z169" s="87"/>
      <c r="AA169" s="87"/>
      <c r="AB169" s="87" t="str">
        <f>IF($A169="","",IF($AK169=TRUE,"Ready 2 Submit","Waiting on Dealer"))</f>
        <v/>
      </c>
      <c r="AC169" s="148"/>
      <c r="AD169" s="87"/>
      <c r="AE169" s="87"/>
      <c r="AF169" s="87" t="str">
        <f>IF($A169="","",IF($AK169=TRUE,"Ready 2 Submit","Waiting on Dealer"))</f>
        <v/>
      </c>
      <c r="AG169" s="148"/>
      <c r="AH169" s="87"/>
      <c r="AI169" s="87"/>
      <c r="AJ169" s="197"/>
      <c r="AK169" s="110" t="b">
        <v>0</v>
      </c>
      <c r="AL169" s="87" t="str" cm="1">
        <f t="array" ref="AL169">IF($A169="","",SUMPRODUCT((CHOOSE({1,2,3,4,5},$R169,$V169,$Z169,$AD169,$AH169)="Yes")*(((CHOOSE({1,2,3,4,5},$S169,$W169,$AA169,$AE169,$AI169)="Yes")+(CHOOSE({1,2,3,4,5},$S169,$W169,$AA169,$AE169,$AI169)=TRUE))&gt;0)))</f>
        <v/>
      </c>
      <c r="AM169" s="87"/>
      <c r="AN169" s="87" t="str">
        <f ca="1">IF(OR($A169="",$AM169=""),"",TODAY()-$AM169)</f>
        <v/>
      </c>
      <c r="AO169" s="87"/>
      <c r="AP169" s="106"/>
      <c r="AQ169" s="106"/>
      <c r="AR169" s="106"/>
      <c r="AS169" s="106"/>
      <c r="AT169" s="106"/>
      <c r="AU169" s="106"/>
      <c r="AV169" s="106"/>
      <c r="AW169" s="106"/>
      <c r="AX169" s="106"/>
      <c r="AY169" s="106"/>
    </row>
    <row r="170" spans="1:51" s="20" customFormat="1" ht="21" customHeight="1">
      <c r="A170" s="197"/>
      <c r="B170" s="87"/>
      <c r="C170" s="87"/>
      <c r="D170" s="196"/>
      <c r="E170" s="108"/>
      <c r="F170" s="196"/>
      <c r="G170" s="87"/>
      <c r="H170" s="197"/>
      <c r="I170" s="89"/>
      <c r="J170" s="204"/>
      <c r="K170" s="87"/>
      <c r="L170" s="87" t="str" cm="1">
        <f t="array" ref="L170">IF($A170="","",_xlfn.LET(_xlpm.stat,CHOOSE({1,2,3,4,5},$P170,$T170,$X170,$AB170,$AF170),_xlpm.rate,CHOOSE({1,2,3,4,5},$R170,$V170,$Z170,$AD170,$AH170),_xlpm.trn,CHOOSE({1,2,3,4,5},$S170,$W170,$AA170,$AE170,$AI170),_xlpm.nsC,SUMPRODUCT(--(_xlpm.stat="Ready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DLR",IF(AND(_xlpm.actRS&gt;0,_xlpm.actDone&lt;_xlpm.actRS),"Training",IF(_xlpm.actRS&gt;0,"Active",IF(AND(_xlpm.decC&gt;0,_xlpm.inPlay+_xlpm.actC=0),"Dead",IF(AND($AJ170&lt;&gt;"",$AK170=FALSE),"Waiting on Dealer",IF(_xlpm.subC&gt;0,"Waiting on Lender",IF(AND(_xlpm.appC+_xlpm.actC&gt;0,_xlpm.nsC+_xlpm.wdC=0),"Rate Sheet","Application Submitted")))))))))</f>
        <v/>
      </c>
      <c r="M170" s="87"/>
      <c r="N170" s="87"/>
      <c r="O170" s="197"/>
      <c r="P170" s="87" t="str">
        <f>IF($A170="","",IF($AK170=TRUE,"Ready 2 Submit","Waiting on Dealer"))</f>
        <v/>
      </c>
      <c r="Q170" s="148"/>
      <c r="R170" s="87"/>
      <c r="S170" s="87"/>
      <c r="T170" s="87" t="str">
        <f>IF($A170="","",IF($AK170=TRUE,"Ready 2 Submit","Waiting on Dealer"))</f>
        <v/>
      </c>
      <c r="U170" s="148"/>
      <c r="V170" s="87"/>
      <c r="W170" s="87"/>
      <c r="X170" s="87" t="str">
        <f>IF($A170="","",IF($AK170=TRUE,"Ready 2 Submit","Waiting on Dealer"))</f>
        <v/>
      </c>
      <c r="Y170" s="148"/>
      <c r="Z170" s="87"/>
      <c r="AA170" s="87"/>
      <c r="AB170" s="87" t="str">
        <f>IF($A170="","",IF($AK170=TRUE,"Ready 2 Submit","Waiting on Dealer"))</f>
        <v/>
      </c>
      <c r="AC170" s="148"/>
      <c r="AD170" s="87"/>
      <c r="AE170" s="87"/>
      <c r="AF170" s="87" t="str">
        <f>IF($A170="","",IF($AK170=TRUE,"Ready 2 Submit","Waiting on Dealer"))</f>
        <v/>
      </c>
      <c r="AG170" s="148"/>
      <c r="AH170" s="87"/>
      <c r="AI170" s="87"/>
      <c r="AJ170" s="197"/>
      <c r="AK170" s="110" t="b">
        <v>0</v>
      </c>
      <c r="AL170" s="87" t="str" cm="1">
        <f t="array" ref="AL170">IF($A170="","",SUMPRODUCT((CHOOSE({1,2,3,4,5},$R170,$V170,$Z170,$AD170,$AH170)="Yes")*(((CHOOSE({1,2,3,4,5},$S170,$W170,$AA170,$AE170,$AI170)="Yes")+(CHOOSE({1,2,3,4,5},$S170,$W170,$AA170,$AE170,$AI170)=TRUE))&gt;0)))</f>
        <v/>
      </c>
      <c r="AM170" s="87"/>
      <c r="AN170" s="87" t="str">
        <f ca="1">IF(OR($A170="",$AM170=""),"",TODAY()-$AM170)</f>
        <v/>
      </c>
      <c r="AO170" s="87"/>
      <c r="AP170" s="106"/>
      <c r="AQ170" s="106"/>
      <c r="AR170" s="106"/>
      <c r="AS170" s="106"/>
      <c r="AT170" s="106"/>
      <c r="AU170" s="106"/>
      <c r="AV170" s="106"/>
      <c r="AW170" s="106"/>
      <c r="AX170" s="106"/>
      <c r="AY170" s="106"/>
    </row>
    <row r="171" spans="1:51" s="20" customFormat="1" ht="21" customHeight="1">
      <c r="A171" s="197"/>
      <c r="B171" s="87"/>
      <c r="C171" s="87"/>
      <c r="D171" s="196"/>
      <c r="E171" s="108"/>
      <c r="F171" s="196"/>
      <c r="G171" s="87"/>
      <c r="H171" s="197"/>
      <c r="I171" s="89"/>
      <c r="J171" s="204"/>
      <c r="K171" s="87"/>
      <c r="L171" s="87" t="str" cm="1">
        <f t="array" ref="L171">IF($A171="","",_xlfn.LET(_xlpm.stat,CHOOSE({1,2,3,4,5},$P171,$T171,$X171,$AB171,$AF171),_xlpm.rate,CHOOSE({1,2,3,4,5},$R171,$V171,$Z171,$AD171,$AH171),_xlpm.trn,CHOOSE({1,2,3,4,5},$S171,$W171,$AA171,$AE171,$AI171),_xlpm.nsC,SUMPRODUCT(--(_xlpm.stat="Ready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DLR",IF(AND(_xlpm.actRS&gt;0,_xlpm.actDone&lt;_xlpm.actRS),"Training",IF(_xlpm.actRS&gt;0,"Active",IF(AND(_xlpm.decC&gt;0,_xlpm.inPlay+_xlpm.actC=0),"Dead",IF(AND($AJ171&lt;&gt;"",$AK171=FALSE),"Waiting on Dealer",IF(_xlpm.subC&gt;0,"Waiting on Lender",IF(AND(_xlpm.appC+_xlpm.actC&gt;0,_xlpm.nsC+_xlpm.wdC=0),"Rate Sheet","Application Submitted")))))))))</f>
        <v/>
      </c>
      <c r="M171" s="87"/>
      <c r="N171" s="87"/>
      <c r="O171" s="197"/>
      <c r="P171" s="87" t="str">
        <f>IF($A171="","",IF($AK171=TRUE,"Ready 2 Submit","Waiting on Dealer"))</f>
        <v/>
      </c>
      <c r="Q171" s="148"/>
      <c r="R171" s="87"/>
      <c r="S171" s="87"/>
      <c r="T171" s="87" t="str">
        <f>IF($A171="","",IF($AK171=TRUE,"Ready 2 Submit","Waiting on Dealer"))</f>
        <v/>
      </c>
      <c r="U171" s="148"/>
      <c r="V171" s="87"/>
      <c r="W171" s="87"/>
      <c r="X171" s="87" t="str">
        <f>IF($A171="","",IF($AK171=TRUE,"Ready 2 Submit","Waiting on Dealer"))</f>
        <v/>
      </c>
      <c r="Y171" s="148"/>
      <c r="Z171" s="87"/>
      <c r="AA171" s="87"/>
      <c r="AB171" s="87" t="str">
        <f>IF($A171="","",IF($AK171=TRUE,"Ready 2 Submit","Waiting on Dealer"))</f>
        <v/>
      </c>
      <c r="AC171" s="148"/>
      <c r="AD171" s="87"/>
      <c r="AE171" s="87"/>
      <c r="AF171" s="87" t="str">
        <f>IF($A171="","",IF($AK171=TRUE,"Ready 2 Submit","Waiting on Dealer"))</f>
        <v/>
      </c>
      <c r="AG171" s="148"/>
      <c r="AH171" s="87"/>
      <c r="AI171" s="87"/>
      <c r="AJ171" s="197"/>
      <c r="AK171" s="110" t="b">
        <v>0</v>
      </c>
      <c r="AL171" s="87" t="str" cm="1">
        <f t="array" ref="AL171">IF($A171="","",SUMPRODUCT((CHOOSE({1,2,3,4,5},$R171,$V171,$Z171,$AD171,$AH171)="Yes")*(((CHOOSE({1,2,3,4,5},$S171,$W171,$AA171,$AE171,$AI171)="Yes")+(CHOOSE({1,2,3,4,5},$S171,$W171,$AA171,$AE171,$AI171)=TRUE))&gt;0)))</f>
        <v/>
      </c>
      <c r="AM171" s="87"/>
      <c r="AN171" s="87" t="str">
        <f ca="1">IF(OR($A171="",$AM171=""),"",TODAY()-$AM171)</f>
        <v/>
      </c>
      <c r="AO171" s="87"/>
      <c r="AP171" s="106"/>
      <c r="AQ171" s="106"/>
      <c r="AR171" s="106"/>
      <c r="AS171" s="106"/>
      <c r="AT171" s="106"/>
      <c r="AU171" s="106"/>
      <c r="AV171" s="106"/>
      <c r="AW171" s="106"/>
      <c r="AX171" s="106"/>
      <c r="AY171" s="106"/>
    </row>
    <row r="172" spans="1:51" s="20" customFormat="1" ht="21" customHeight="1">
      <c r="A172" s="197"/>
      <c r="B172" s="87"/>
      <c r="C172" s="87"/>
      <c r="D172" s="196"/>
      <c r="E172" s="108"/>
      <c r="F172" s="196"/>
      <c r="G172" s="87"/>
      <c r="H172" s="197"/>
      <c r="I172" s="89"/>
      <c r="J172" s="204"/>
      <c r="K172" s="87"/>
      <c r="L172" s="87" t="str" cm="1">
        <f t="array" ref="L172">IF($A172="","",_xlfn.LET(_xlpm.stat,CHOOSE({1,2,3,4,5},$P172,$T172,$X172,$AB172,$AF172),_xlpm.rate,CHOOSE({1,2,3,4,5},$R172,$V172,$Z172,$AD172,$AH172),_xlpm.trn,CHOOSE({1,2,3,4,5},$S172,$W172,$AA172,$AE172,$AI172),_xlpm.nsC,SUMPRODUCT(--(_xlpm.stat="Ready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DLR",IF(AND(_xlpm.actRS&gt;0,_xlpm.actDone&lt;_xlpm.actRS),"Training",IF(_xlpm.actRS&gt;0,"Active",IF(AND(_xlpm.decC&gt;0,_xlpm.inPlay+_xlpm.actC=0),"Dead",IF(AND($AJ172&lt;&gt;"",$AK172=FALSE),"Waiting on Dealer",IF(_xlpm.subC&gt;0,"Waiting on Lender",IF(AND(_xlpm.appC+_xlpm.actC&gt;0,_xlpm.nsC+_xlpm.wdC=0),"Rate Sheet","Application Submitted")))))))))</f>
        <v/>
      </c>
      <c r="M172" s="87"/>
      <c r="N172" s="87"/>
      <c r="O172" s="197"/>
      <c r="P172" s="87" t="str">
        <f>IF($A172="","",IF($AK172=TRUE,"Ready 2 Submit","Waiting on Dealer"))</f>
        <v/>
      </c>
      <c r="Q172" s="148"/>
      <c r="R172" s="87"/>
      <c r="S172" s="87"/>
      <c r="T172" s="87" t="str">
        <f>IF($A172="","",IF($AK172=TRUE,"Ready 2 Submit","Waiting on Dealer"))</f>
        <v/>
      </c>
      <c r="U172" s="148"/>
      <c r="V172" s="87"/>
      <c r="W172" s="87"/>
      <c r="X172" s="87" t="str">
        <f>IF($A172="","",IF($AK172=TRUE,"Ready 2 Submit","Waiting on Dealer"))</f>
        <v/>
      </c>
      <c r="Y172" s="148"/>
      <c r="Z172" s="87"/>
      <c r="AA172" s="87"/>
      <c r="AB172" s="87" t="str">
        <f>IF($A172="","",IF($AK172=TRUE,"Ready 2 Submit","Waiting on Dealer"))</f>
        <v/>
      </c>
      <c r="AC172" s="148"/>
      <c r="AD172" s="87"/>
      <c r="AE172" s="87"/>
      <c r="AF172" s="87" t="str">
        <f>IF($A172="","",IF($AK172=TRUE,"Ready 2 Submit","Waiting on Dealer"))</f>
        <v/>
      </c>
      <c r="AG172" s="148"/>
      <c r="AH172" s="87"/>
      <c r="AI172" s="87"/>
      <c r="AJ172" s="197"/>
      <c r="AK172" s="110" t="b">
        <v>0</v>
      </c>
      <c r="AL172" s="87" t="str" cm="1">
        <f t="array" ref="AL172">IF($A172="","",SUMPRODUCT((CHOOSE({1,2,3,4,5},$R172,$V172,$Z172,$AD172,$AH172)="Yes")*(((CHOOSE({1,2,3,4,5},$S172,$W172,$AA172,$AE172,$AI172)="Yes")+(CHOOSE({1,2,3,4,5},$S172,$W172,$AA172,$AE172,$AI172)=TRUE))&gt;0)))</f>
        <v/>
      </c>
      <c r="AM172" s="87"/>
      <c r="AN172" s="87" t="str">
        <f ca="1">IF(OR($A172="",$AM172=""),"",TODAY()-$AM172)</f>
        <v/>
      </c>
      <c r="AO172" s="87"/>
      <c r="AP172" s="106"/>
      <c r="AQ172" s="106"/>
      <c r="AR172" s="106"/>
      <c r="AS172" s="106"/>
      <c r="AT172" s="106"/>
      <c r="AU172" s="106"/>
      <c r="AV172" s="106"/>
      <c r="AW172" s="106"/>
      <c r="AX172" s="106"/>
      <c r="AY172" s="106"/>
    </row>
    <row r="173" spans="1:51" s="20" customFormat="1" ht="21" customHeight="1">
      <c r="A173" s="197"/>
      <c r="B173" s="87"/>
      <c r="C173" s="87"/>
      <c r="D173" s="196"/>
      <c r="E173" s="108"/>
      <c r="F173" s="196"/>
      <c r="G173" s="87"/>
      <c r="H173" s="197"/>
      <c r="I173" s="89"/>
      <c r="J173" s="204"/>
      <c r="K173" s="87"/>
      <c r="L173" s="87" t="str" cm="1">
        <f t="array" ref="L173">IF($A173="","",_xlfn.LET(_xlpm.stat,CHOOSE({1,2,3,4,5},$P173,$T173,$X173,$AB173,$AF173),_xlpm.rate,CHOOSE({1,2,3,4,5},$R173,$V173,$Z173,$AD173,$AH173),_xlpm.trn,CHOOSE({1,2,3,4,5},$S173,$W173,$AA173,$AE173,$AI173),_xlpm.nsC,SUMPRODUCT(--(_xlpm.stat="Ready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DLR",IF(AND(_xlpm.actRS&gt;0,_xlpm.actDone&lt;_xlpm.actRS),"Training",IF(_xlpm.actRS&gt;0,"Active",IF(AND(_xlpm.decC&gt;0,_xlpm.inPlay+_xlpm.actC=0),"Dead",IF(AND($AJ173&lt;&gt;"",$AK173=FALSE),"Waiting on Dealer",IF(_xlpm.subC&gt;0,"Waiting on Lender",IF(AND(_xlpm.appC+_xlpm.actC&gt;0,_xlpm.nsC+_xlpm.wdC=0),"Rate Sheet","Application Submitted")))))))))</f>
        <v/>
      </c>
      <c r="M173" s="87"/>
      <c r="N173" s="87"/>
      <c r="O173" s="197"/>
      <c r="P173" s="87" t="str">
        <f>IF($A173="","",IF($AK173=TRUE,"Ready 2 Submit","Waiting on Dealer"))</f>
        <v/>
      </c>
      <c r="Q173" s="148"/>
      <c r="R173" s="87"/>
      <c r="S173" s="87"/>
      <c r="T173" s="87" t="str">
        <f>IF($A173="","",IF($AK173=TRUE,"Ready 2 Submit","Waiting on Dealer"))</f>
        <v/>
      </c>
      <c r="U173" s="148"/>
      <c r="V173" s="87"/>
      <c r="W173" s="87"/>
      <c r="X173" s="87" t="str">
        <f>IF($A173="","",IF($AK173=TRUE,"Ready 2 Submit","Waiting on Dealer"))</f>
        <v/>
      </c>
      <c r="Y173" s="148"/>
      <c r="Z173" s="87"/>
      <c r="AA173" s="87"/>
      <c r="AB173" s="87" t="str">
        <f>IF($A173="","",IF($AK173=TRUE,"Ready 2 Submit","Waiting on Dealer"))</f>
        <v/>
      </c>
      <c r="AC173" s="148"/>
      <c r="AD173" s="87"/>
      <c r="AE173" s="87"/>
      <c r="AF173" s="87" t="str">
        <f>IF($A173="","",IF($AK173=TRUE,"Ready 2 Submit","Waiting on Dealer"))</f>
        <v/>
      </c>
      <c r="AG173" s="148"/>
      <c r="AH173" s="87"/>
      <c r="AI173" s="87"/>
      <c r="AJ173" s="197"/>
      <c r="AK173" s="110" t="b">
        <v>0</v>
      </c>
      <c r="AL173" s="87" t="str" cm="1">
        <f t="array" ref="AL173">IF($A173="","",SUMPRODUCT((CHOOSE({1,2,3,4,5},$R173,$V173,$Z173,$AD173,$AH173)="Yes")*(((CHOOSE({1,2,3,4,5},$S173,$W173,$AA173,$AE173,$AI173)="Yes")+(CHOOSE({1,2,3,4,5},$S173,$W173,$AA173,$AE173,$AI173)=TRUE))&gt;0)))</f>
        <v/>
      </c>
      <c r="AM173" s="87"/>
      <c r="AN173" s="87" t="str">
        <f ca="1">IF(OR($A173="",$AM173=""),"",TODAY()-$AM173)</f>
        <v/>
      </c>
      <c r="AO173" s="87"/>
      <c r="AP173" s="106"/>
      <c r="AQ173" s="106"/>
      <c r="AR173" s="106"/>
      <c r="AS173" s="106"/>
      <c r="AT173" s="106"/>
      <c r="AU173" s="106"/>
      <c r="AV173" s="106"/>
      <c r="AW173" s="106"/>
      <c r="AX173" s="106"/>
      <c r="AY173" s="106"/>
    </row>
    <row r="174" spans="1:51" s="20" customFormat="1" ht="21" customHeight="1">
      <c r="A174" s="197"/>
      <c r="B174" s="87"/>
      <c r="C174" s="87"/>
      <c r="D174" s="196"/>
      <c r="E174" s="108"/>
      <c r="F174" s="196"/>
      <c r="G174" s="87"/>
      <c r="H174" s="197"/>
      <c r="I174" s="89"/>
      <c r="J174" s="204"/>
      <c r="K174" s="87"/>
      <c r="L174" s="87" t="str" cm="1">
        <f t="array" ref="L174">IF($A174="","",_xlfn.LET(_xlpm.stat,CHOOSE({1,2,3,4,5},$P174,$T174,$X174,$AB174,$AF174),_xlpm.rate,CHOOSE({1,2,3,4,5},$R174,$V174,$Z174,$AD174,$AH174),_xlpm.trn,CHOOSE({1,2,3,4,5},$S174,$W174,$AA174,$AE174,$AI174),_xlpm.nsC,SUMPRODUCT(--(_xlpm.stat="Ready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DLR",IF(AND(_xlpm.actRS&gt;0,_xlpm.actDone&lt;_xlpm.actRS),"Training",IF(_xlpm.actRS&gt;0,"Active",IF(AND(_xlpm.decC&gt;0,_xlpm.inPlay+_xlpm.actC=0),"Dead",IF(AND($AJ174&lt;&gt;"",$AK174=FALSE),"Waiting on Dealer",IF(_xlpm.subC&gt;0,"Waiting on Lender",IF(AND(_xlpm.appC+_xlpm.actC&gt;0,_xlpm.nsC+_xlpm.wdC=0),"Rate Sheet","Application Submitted")))))))))</f>
        <v/>
      </c>
      <c r="M174" s="87"/>
      <c r="N174" s="87"/>
      <c r="O174" s="197"/>
      <c r="P174" s="87" t="str">
        <f>IF($A174="","",IF($AK174=TRUE,"Ready 2 Submit","Waiting on Dealer"))</f>
        <v/>
      </c>
      <c r="Q174" s="148"/>
      <c r="R174" s="87"/>
      <c r="S174" s="87"/>
      <c r="T174" s="87" t="str">
        <f>IF($A174="","",IF($AK174=TRUE,"Ready 2 Submit","Waiting on Dealer"))</f>
        <v/>
      </c>
      <c r="U174" s="148"/>
      <c r="V174" s="87"/>
      <c r="W174" s="87"/>
      <c r="X174" s="87" t="str">
        <f>IF($A174="","",IF($AK174=TRUE,"Ready 2 Submit","Waiting on Dealer"))</f>
        <v/>
      </c>
      <c r="Y174" s="148"/>
      <c r="Z174" s="87"/>
      <c r="AA174" s="87"/>
      <c r="AB174" s="87" t="str">
        <f>IF($A174="","",IF($AK174=TRUE,"Ready 2 Submit","Waiting on Dealer"))</f>
        <v/>
      </c>
      <c r="AC174" s="148"/>
      <c r="AD174" s="87"/>
      <c r="AE174" s="87"/>
      <c r="AF174" s="87" t="str">
        <f>IF($A174="","",IF($AK174=TRUE,"Ready 2 Submit","Waiting on Dealer"))</f>
        <v/>
      </c>
      <c r="AG174" s="148"/>
      <c r="AH174" s="87"/>
      <c r="AI174" s="87"/>
      <c r="AJ174" s="197"/>
      <c r="AK174" s="110" t="b">
        <v>0</v>
      </c>
      <c r="AL174" s="87" t="str" cm="1">
        <f t="array" ref="AL174">IF($A174="","",SUMPRODUCT((CHOOSE({1,2,3,4,5},$R174,$V174,$Z174,$AD174,$AH174)="Yes")*(((CHOOSE({1,2,3,4,5},$S174,$W174,$AA174,$AE174,$AI174)="Yes")+(CHOOSE({1,2,3,4,5},$S174,$W174,$AA174,$AE174,$AI174)=TRUE))&gt;0)))</f>
        <v/>
      </c>
      <c r="AM174" s="87"/>
      <c r="AN174" s="87" t="str">
        <f ca="1">IF(OR($A174="",$AM174=""),"",TODAY()-$AM174)</f>
        <v/>
      </c>
      <c r="AO174" s="87"/>
      <c r="AP174" s="106"/>
      <c r="AQ174" s="106"/>
      <c r="AR174" s="106"/>
      <c r="AS174" s="106"/>
      <c r="AT174" s="106"/>
      <c r="AU174" s="106"/>
      <c r="AV174" s="106"/>
      <c r="AW174" s="106"/>
      <c r="AX174" s="106"/>
      <c r="AY174" s="106"/>
    </row>
    <row r="175" spans="1:51" s="20" customFormat="1" ht="21" customHeight="1">
      <c r="A175" s="197"/>
      <c r="B175" s="87"/>
      <c r="C175" s="87"/>
      <c r="D175" s="196"/>
      <c r="E175" s="108"/>
      <c r="F175" s="196"/>
      <c r="G175" s="87"/>
      <c r="H175" s="197"/>
      <c r="I175" s="89"/>
      <c r="J175" s="204"/>
      <c r="K175" s="87"/>
      <c r="L175" s="87" t="str" cm="1">
        <f t="array" ref="L175">IF($A175="","",_xlfn.LET(_xlpm.stat,CHOOSE({1,2,3,4,5},$P175,$T175,$X175,$AB175,$AF175),_xlpm.rate,CHOOSE({1,2,3,4,5},$R175,$V175,$Z175,$AD175,$AH175),_xlpm.trn,CHOOSE({1,2,3,4,5},$S175,$W175,$AA175,$AE175,$AI175),_xlpm.nsC,SUMPRODUCT(--(_xlpm.stat="Ready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DLR",IF(AND(_xlpm.actRS&gt;0,_xlpm.actDone&lt;_xlpm.actRS),"Training",IF(_xlpm.actRS&gt;0,"Active",IF(AND(_xlpm.decC&gt;0,_xlpm.inPlay+_xlpm.actC=0),"Dead",IF(AND($AJ175&lt;&gt;"",$AK175=FALSE),"Waiting on Dealer",IF(_xlpm.subC&gt;0,"Waiting on Lender",IF(AND(_xlpm.appC+_xlpm.actC&gt;0,_xlpm.nsC+_xlpm.wdC=0),"Rate Sheet","Application Submitted")))))))))</f>
        <v/>
      </c>
      <c r="M175" s="87"/>
      <c r="N175" s="87"/>
      <c r="O175" s="197"/>
      <c r="P175" s="87" t="str">
        <f>IF($A175="","",IF($AK175=TRUE,"Ready 2 Submit","Waiting on Dealer"))</f>
        <v/>
      </c>
      <c r="Q175" s="148"/>
      <c r="R175" s="87"/>
      <c r="S175" s="87"/>
      <c r="T175" s="87" t="str">
        <f>IF($A175="","",IF($AK175=TRUE,"Ready 2 Submit","Waiting on Dealer"))</f>
        <v/>
      </c>
      <c r="U175" s="148"/>
      <c r="V175" s="87"/>
      <c r="W175" s="87"/>
      <c r="X175" s="87" t="str">
        <f>IF($A175="","",IF($AK175=TRUE,"Ready 2 Submit","Waiting on Dealer"))</f>
        <v/>
      </c>
      <c r="Y175" s="148"/>
      <c r="Z175" s="87"/>
      <c r="AA175" s="87"/>
      <c r="AB175" s="87" t="str">
        <f>IF($A175="","",IF($AK175=TRUE,"Ready 2 Submit","Waiting on Dealer"))</f>
        <v/>
      </c>
      <c r="AC175" s="148"/>
      <c r="AD175" s="87"/>
      <c r="AE175" s="87"/>
      <c r="AF175" s="87" t="str">
        <f>IF($A175="","",IF($AK175=TRUE,"Ready 2 Submit","Waiting on Dealer"))</f>
        <v/>
      </c>
      <c r="AG175" s="148"/>
      <c r="AH175" s="87"/>
      <c r="AI175" s="87"/>
      <c r="AJ175" s="197"/>
      <c r="AK175" s="110" t="b">
        <v>0</v>
      </c>
      <c r="AL175" s="87" t="str" cm="1">
        <f t="array" ref="AL175">IF($A175="","",SUMPRODUCT((CHOOSE({1,2,3,4,5},$R175,$V175,$Z175,$AD175,$AH175)="Yes")*(((CHOOSE({1,2,3,4,5},$S175,$W175,$AA175,$AE175,$AI175)="Yes")+(CHOOSE({1,2,3,4,5},$S175,$W175,$AA175,$AE175,$AI175)=TRUE))&gt;0)))</f>
        <v/>
      </c>
      <c r="AM175" s="87"/>
      <c r="AN175" s="87" t="str">
        <f ca="1">IF(OR($A175="",$AM175=""),"",TODAY()-$AM175)</f>
        <v/>
      </c>
      <c r="AO175" s="87"/>
      <c r="AP175" s="106"/>
      <c r="AQ175" s="106"/>
      <c r="AR175" s="106"/>
      <c r="AS175" s="106"/>
      <c r="AT175" s="106"/>
      <c r="AU175" s="106"/>
      <c r="AV175" s="106"/>
      <c r="AW175" s="106"/>
      <c r="AX175" s="106"/>
      <c r="AY175" s="106"/>
    </row>
    <row r="176" spans="1:51" s="20" customFormat="1" ht="21" customHeight="1">
      <c r="A176" s="197"/>
      <c r="B176" s="87"/>
      <c r="C176" s="87"/>
      <c r="D176" s="196"/>
      <c r="E176" s="108"/>
      <c r="F176" s="196"/>
      <c r="G176" s="87"/>
      <c r="H176" s="197"/>
      <c r="I176" s="89"/>
      <c r="J176" s="204"/>
      <c r="K176" s="87"/>
      <c r="L176" s="87" t="str" cm="1">
        <f t="array" ref="L176">IF($A176="","",_xlfn.LET(_xlpm.stat,CHOOSE({1,2,3,4,5},$P176,$T176,$X176,$AB176,$AF176),_xlpm.rate,CHOOSE({1,2,3,4,5},$R176,$V176,$Z176,$AD176,$AH176),_xlpm.trn,CHOOSE({1,2,3,4,5},$S176,$W176,$AA176,$AE176,$AI176),_xlpm.nsC,SUMPRODUCT(--(_xlpm.stat="Ready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DLR",IF(AND(_xlpm.actRS&gt;0,_xlpm.actDone&lt;_xlpm.actRS),"Training",IF(_xlpm.actRS&gt;0,"Active",IF(AND(_xlpm.decC&gt;0,_xlpm.inPlay+_xlpm.actC=0),"Dead",IF(AND($AJ176&lt;&gt;"",$AK176=FALSE),"Waiting on Dealer",IF(_xlpm.subC&gt;0,"Waiting on Lender",IF(AND(_xlpm.appC+_xlpm.actC&gt;0,_xlpm.nsC+_xlpm.wdC=0),"Rate Sheet","Application Submitted")))))))))</f>
        <v/>
      </c>
      <c r="M176" s="87"/>
      <c r="N176" s="87"/>
      <c r="O176" s="197"/>
      <c r="P176" s="87" t="str">
        <f>IF($A176="","",IF($AK176=TRUE,"Ready 2 Submit","Waiting on Dealer"))</f>
        <v/>
      </c>
      <c r="Q176" s="148"/>
      <c r="R176" s="87"/>
      <c r="S176" s="87"/>
      <c r="T176" s="87" t="str">
        <f>IF($A176="","",IF($AK176=TRUE,"Ready 2 Submit","Waiting on Dealer"))</f>
        <v/>
      </c>
      <c r="U176" s="148"/>
      <c r="V176" s="87"/>
      <c r="W176" s="87"/>
      <c r="X176" s="87" t="str">
        <f>IF($A176="","",IF($AK176=TRUE,"Ready 2 Submit","Waiting on Dealer"))</f>
        <v/>
      </c>
      <c r="Y176" s="148"/>
      <c r="Z176" s="87"/>
      <c r="AA176" s="87"/>
      <c r="AB176" s="87" t="str">
        <f>IF($A176="","",IF($AK176=TRUE,"Ready 2 Submit","Waiting on Dealer"))</f>
        <v/>
      </c>
      <c r="AC176" s="148"/>
      <c r="AD176" s="87"/>
      <c r="AE176" s="87"/>
      <c r="AF176" s="87" t="str">
        <f>IF($A176="","",IF($AK176=TRUE,"Ready 2 Submit","Waiting on Dealer"))</f>
        <v/>
      </c>
      <c r="AG176" s="148"/>
      <c r="AH176" s="87"/>
      <c r="AI176" s="87"/>
      <c r="AJ176" s="197"/>
      <c r="AK176" s="110" t="b">
        <v>0</v>
      </c>
      <c r="AL176" s="87" t="str" cm="1">
        <f t="array" ref="AL176">IF($A176="","",SUMPRODUCT((CHOOSE({1,2,3,4,5},$R176,$V176,$Z176,$AD176,$AH176)="Yes")*(((CHOOSE({1,2,3,4,5},$S176,$W176,$AA176,$AE176,$AI176)="Yes")+(CHOOSE({1,2,3,4,5},$S176,$W176,$AA176,$AE176,$AI176)=TRUE))&gt;0)))</f>
        <v/>
      </c>
      <c r="AM176" s="87"/>
      <c r="AN176" s="87" t="str">
        <f ca="1">IF(OR($A176="",$AM176=""),"",TODAY()-$AM176)</f>
        <v/>
      </c>
      <c r="AO176" s="87"/>
      <c r="AP176" s="106"/>
      <c r="AQ176" s="106"/>
      <c r="AR176" s="106"/>
      <c r="AS176" s="106"/>
      <c r="AT176" s="106"/>
      <c r="AU176" s="106"/>
      <c r="AV176" s="106"/>
      <c r="AW176" s="106"/>
      <c r="AX176" s="106"/>
      <c r="AY176" s="106"/>
    </row>
    <row r="177" spans="1:51" s="20" customFormat="1" ht="21" customHeight="1">
      <c r="A177" s="197"/>
      <c r="B177" s="87"/>
      <c r="C177" s="87"/>
      <c r="D177" s="196"/>
      <c r="E177" s="108"/>
      <c r="F177" s="196"/>
      <c r="G177" s="87"/>
      <c r="H177" s="197"/>
      <c r="I177" s="89"/>
      <c r="J177" s="204"/>
      <c r="K177" s="87"/>
      <c r="L177" s="87" t="str" cm="1">
        <f t="array" ref="L177">IF($A177="","",_xlfn.LET(_xlpm.stat,CHOOSE({1,2,3,4,5},$P177,$T177,$X177,$AB177,$AF177),_xlpm.rate,CHOOSE({1,2,3,4,5},$R177,$V177,$Z177,$AD177,$AH177),_xlpm.trn,CHOOSE({1,2,3,4,5},$S177,$W177,$AA177,$AE177,$AI177),_xlpm.nsC,SUMPRODUCT(--(_xlpm.stat="Ready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DLR",IF(AND(_xlpm.actRS&gt;0,_xlpm.actDone&lt;_xlpm.actRS),"Training",IF(_xlpm.actRS&gt;0,"Active",IF(AND(_xlpm.decC&gt;0,_xlpm.inPlay+_xlpm.actC=0),"Dead",IF(AND($AJ177&lt;&gt;"",$AK177=FALSE),"Waiting on Dealer",IF(_xlpm.subC&gt;0,"Waiting on Lender",IF(AND(_xlpm.appC+_xlpm.actC&gt;0,_xlpm.nsC+_xlpm.wdC=0),"Rate Sheet","Application Submitted")))))))))</f>
        <v/>
      </c>
      <c r="M177" s="87"/>
      <c r="N177" s="87"/>
      <c r="O177" s="197"/>
      <c r="P177" s="87" t="str">
        <f>IF($A177="","",IF($AK177=TRUE,"Ready 2 Submit","Waiting on Dealer"))</f>
        <v/>
      </c>
      <c r="Q177" s="148"/>
      <c r="R177" s="87"/>
      <c r="S177" s="87"/>
      <c r="T177" s="87" t="str">
        <f>IF($A177="","",IF($AK177=TRUE,"Ready 2 Submit","Waiting on Dealer"))</f>
        <v/>
      </c>
      <c r="U177" s="148"/>
      <c r="V177" s="87"/>
      <c r="W177" s="87"/>
      <c r="X177" s="87" t="str">
        <f>IF($A177="","",IF($AK177=TRUE,"Ready 2 Submit","Waiting on Dealer"))</f>
        <v/>
      </c>
      <c r="Y177" s="148"/>
      <c r="Z177" s="87"/>
      <c r="AA177" s="87"/>
      <c r="AB177" s="87" t="str">
        <f>IF($A177="","",IF($AK177=TRUE,"Ready 2 Submit","Waiting on Dealer"))</f>
        <v/>
      </c>
      <c r="AC177" s="148"/>
      <c r="AD177" s="87"/>
      <c r="AE177" s="87"/>
      <c r="AF177" s="87" t="str">
        <f>IF($A177="","",IF($AK177=TRUE,"Ready 2 Submit","Waiting on Dealer"))</f>
        <v/>
      </c>
      <c r="AG177" s="148"/>
      <c r="AH177" s="87"/>
      <c r="AI177" s="87"/>
      <c r="AJ177" s="197"/>
      <c r="AK177" s="110" t="b">
        <v>0</v>
      </c>
      <c r="AL177" s="87" t="str" cm="1">
        <f t="array" ref="AL177">IF($A177="","",SUMPRODUCT((CHOOSE({1,2,3,4,5},$R177,$V177,$Z177,$AD177,$AH177)="Yes")*(((CHOOSE({1,2,3,4,5},$S177,$W177,$AA177,$AE177,$AI177)="Yes")+(CHOOSE({1,2,3,4,5},$S177,$W177,$AA177,$AE177,$AI177)=TRUE))&gt;0)))</f>
        <v/>
      </c>
      <c r="AM177" s="87"/>
      <c r="AN177" s="87" t="str">
        <f ca="1">IF(OR($A177="",$AM177=""),"",TODAY()-$AM177)</f>
        <v/>
      </c>
      <c r="AO177" s="87"/>
      <c r="AP177" s="106"/>
      <c r="AQ177" s="106"/>
      <c r="AR177" s="106"/>
      <c r="AS177" s="106"/>
      <c r="AT177" s="106"/>
      <c r="AU177" s="106"/>
      <c r="AV177" s="106"/>
      <c r="AW177" s="106"/>
      <c r="AX177" s="106"/>
      <c r="AY177" s="106"/>
    </row>
    <row r="178" spans="1:51" s="20" customFormat="1" ht="21" customHeight="1">
      <c r="A178" s="197"/>
      <c r="B178" s="87"/>
      <c r="C178" s="87"/>
      <c r="D178" s="196"/>
      <c r="E178" s="108"/>
      <c r="F178" s="196"/>
      <c r="G178" s="87"/>
      <c r="H178" s="197"/>
      <c r="I178" s="89"/>
      <c r="J178" s="204"/>
      <c r="K178" s="87"/>
      <c r="L178" s="87" t="str" cm="1">
        <f t="array" ref="L178">IF($A178="","",_xlfn.LET(_xlpm.stat,CHOOSE({1,2,3,4,5},$P178,$T178,$X178,$AB178,$AF178),_xlpm.rate,CHOOSE({1,2,3,4,5},$R178,$V178,$Z178,$AD178,$AH178),_xlpm.trn,CHOOSE({1,2,3,4,5},$S178,$W178,$AA178,$AE178,$AI178),_xlpm.nsC,SUMPRODUCT(--(_xlpm.stat="Ready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DLR",IF(AND(_xlpm.actRS&gt;0,_xlpm.actDone&lt;_xlpm.actRS),"Training",IF(_xlpm.actRS&gt;0,"Active",IF(AND(_xlpm.decC&gt;0,_xlpm.inPlay+_xlpm.actC=0),"Dead",IF(AND($AJ178&lt;&gt;"",$AK178=FALSE),"Waiting on Dealer",IF(_xlpm.subC&gt;0,"Waiting on Lender",IF(AND(_xlpm.appC+_xlpm.actC&gt;0,_xlpm.nsC+_xlpm.wdC=0),"Rate Sheet","Application Submitted")))))))))</f>
        <v/>
      </c>
      <c r="M178" s="87"/>
      <c r="N178" s="87"/>
      <c r="O178" s="197"/>
      <c r="P178" s="87" t="str">
        <f>IF($A178="","",IF($AK178=TRUE,"Ready 2 Submit","Waiting on Dealer"))</f>
        <v/>
      </c>
      <c r="Q178" s="148"/>
      <c r="R178" s="87"/>
      <c r="S178" s="87"/>
      <c r="T178" s="87" t="str">
        <f>IF($A178="","",IF($AK178=TRUE,"Ready 2 Submit","Waiting on Dealer"))</f>
        <v/>
      </c>
      <c r="U178" s="148"/>
      <c r="V178" s="87"/>
      <c r="W178" s="87"/>
      <c r="X178" s="87" t="str">
        <f>IF($A178="","",IF($AK178=TRUE,"Ready 2 Submit","Waiting on Dealer"))</f>
        <v/>
      </c>
      <c r="Y178" s="148"/>
      <c r="Z178" s="87"/>
      <c r="AA178" s="87"/>
      <c r="AB178" s="87" t="str">
        <f>IF($A178="","",IF($AK178=TRUE,"Ready 2 Submit","Waiting on Dealer"))</f>
        <v/>
      </c>
      <c r="AC178" s="148"/>
      <c r="AD178" s="87"/>
      <c r="AE178" s="87"/>
      <c r="AF178" s="87" t="str">
        <f>IF($A178="","",IF($AK178=TRUE,"Ready 2 Submit","Waiting on Dealer"))</f>
        <v/>
      </c>
      <c r="AG178" s="148"/>
      <c r="AH178" s="87"/>
      <c r="AI178" s="87"/>
      <c r="AJ178" s="197"/>
      <c r="AK178" s="110" t="b">
        <v>0</v>
      </c>
      <c r="AL178" s="87" t="str" cm="1">
        <f t="array" ref="AL178">IF($A178="","",SUMPRODUCT((CHOOSE({1,2,3,4,5},$R178,$V178,$Z178,$AD178,$AH178)="Yes")*(((CHOOSE({1,2,3,4,5},$S178,$W178,$AA178,$AE178,$AI178)="Yes")+(CHOOSE({1,2,3,4,5},$S178,$W178,$AA178,$AE178,$AI178)=TRUE))&gt;0)))</f>
        <v/>
      </c>
      <c r="AM178" s="87"/>
      <c r="AN178" s="87" t="str">
        <f ca="1">IF(OR($A178="",$AM178=""),"",TODAY()-$AM178)</f>
        <v/>
      </c>
      <c r="AO178" s="87"/>
      <c r="AP178" s="106"/>
      <c r="AQ178" s="106"/>
      <c r="AR178" s="106"/>
      <c r="AS178" s="106"/>
      <c r="AT178" s="106"/>
      <c r="AU178" s="106"/>
      <c r="AV178" s="106"/>
      <c r="AW178" s="106"/>
      <c r="AX178" s="106"/>
      <c r="AY178" s="106"/>
    </row>
    <row r="179" spans="1:51" s="20" customFormat="1" ht="21" customHeight="1">
      <c r="A179" s="197"/>
      <c r="B179" s="87"/>
      <c r="C179" s="87"/>
      <c r="D179" s="196"/>
      <c r="E179" s="108"/>
      <c r="F179" s="196"/>
      <c r="G179" s="87"/>
      <c r="H179" s="197"/>
      <c r="I179" s="89"/>
      <c r="J179" s="204"/>
      <c r="K179" s="87"/>
      <c r="L179" s="87" t="str" cm="1">
        <f t="array" ref="L179">IF($A179="","",_xlfn.LET(_xlpm.stat,CHOOSE({1,2,3,4,5},$P179,$T179,$X179,$AB179,$AF179),_xlpm.rate,CHOOSE({1,2,3,4,5},$R179,$V179,$Z179,$AD179,$AH179),_xlpm.trn,CHOOSE({1,2,3,4,5},$S179,$W179,$AA179,$AE179,$AI179),_xlpm.nsC,SUMPRODUCT(--(_xlpm.stat="Ready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DLR",IF(AND(_xlpm.actRS&gt;0,_xlpm.actDone&lt;_xlpm.actRS),"Training",IF(_xlpm.actRS&gt;0,"Active",IF(AND(_xlpm.decC&gt;0,_xlpm.inPlay+_xlpm.actC=0),"Dead",IF(AND($AJ179&lt;&gt;"",$AK179=FALSE),"Waiting on Dealer",IF(_xlpm.subC&gt;0,"Waiting on Lender",IF(AND(_xlpm.appC+_xlpm.actC&gt;0,_xlpm.nsC+_xlpm.wdC=0),"Rate Sheet","Application Submitted")))))))))</f>
        <v/>
      </c>
      <c r="M179" s="87"/>
      <c r="N179" s="87"/>
      <c r="O179" s="197"/>
      <c r="P179" s="87" t="str">
        <f>IF($A179="","",IF($AK179=TRUE,"Ready 2 Submit","Waiting on Dealer"))</f>
        <v/>
      </c>
      <c r="Q179" s="148"/>
      <c r="R179" s="87"/>
      <c r="S179" s="87"/>
      <c r="T179" s="87" t="str">
        <f>IF($A179="","",IF($AK179=TRUE,"Ready 2 Submit","Waiting on Dealer"))</f>
        <v/>
      </c>
      <c r="U179" s="148"/>
      <c r="V179" s="87"/>
      <c r="W179" s="87"/>
      <c r="X179" s="87" t="str">
        <f>IF($A179="","",IF($AK179=TRUE,"Ready 2 Submit","Waiting on Dealer"))</f>
        <v/>
      </c>
      <c r="Y179" s="148"/>
      <c r="Z179" s="87"/>
      <c r="AA179" s="87"/>
      <c r="AB179" s="87" t="str">
        <f>IF($A179="","",IF($AK179=TRUE,"Ready 2 Submit","Waiting on Dealer"))</f>
        <v/>
      </c>
      <c r="AC179" s="148"/>
      <c r="AD179" s="87"/>
      <c r="AE179" s="87"/>
      <c r="AF179" s="87" t="str">
        <f>IF($A179="","",IF($AK179=TRUE,"Ready 2 Submit","Waiting on Dealer"))</f>
        <v/>
      </c>
      <c r="AG179" s="148"/>
      <c r="AH179" s="87"/>
      <c r="AI179" s="87"/>
      <c r="AJ179" s="197"/>
      <c r="AK179" s="110" t="b">
        <v>0</v>
      </c>
      <c r="AL179" s="87" t="str" cm="1">
        <f t="array" ref="AL179">IF($A179="","",SUMPRODUCT((CHOOSE({1,2,3,4,5},$R179,$V179,$Z179,$AD179,$AH179)="Yes")*(((CHOOSE({1,2,3,4,5},$S179,$W179,$AA179,$AE179,$AI179)="Yes")+(CHOOSE({1,2,3,4,5},$S179,$W179,$AA179,$AE179,$AI179)=TRUE))&gt;0)))</f>
        <v/>
      </c>
      <c r="AM179" s="87"/>
      <c r="AN179" s="87" t="str">
        <f ca="1">IF(OR($A179="",$AM179=""),"",TODAY()-$AM179)</f>
        <v/>
      </c>
      <c r="AO179" s="87"/>
      <c r="AP179" s="106"/>
      <c r="AQ179" s="106"/>
      <c r="AR179" s="106"/>
      <c r="AS179" s="106"/>
      <c r="AT179" s="106"/>
      <c r="AU179" s="106"/>
      <c r="AV179" s="106"/>
      <c r="AW179" s="106"/>
      <c r="AX179" s="106"/>
      <c r="AY179" s="106"/>
    </row>
    <row r="180" spans="1:51" s="20" customFormat="1" ht="21" customHeight="1">
      <c r="A180" s="197"/>
      <c r="B180" s="87"/>
      <c r="C180" s="87"/>
      <c r="D180" s="196"/>
      <c r="E180" s="108"/>
      <c r="F180" s="196"/>
      <c r="G180" s="87"/>
      <c r="H180" s="197"/>
      <c r="I180" s="89"/>
      <c r="J180" s="204"/>
      <c r="K180" s="87"/>
      <c r="L180" s="87" t="str" cm="1">
        <f t="array" ref="L180">IF($A180="","",_xlfn.LET(_xlpm.stat,CHOOSE({1,2,3,4,5},$P180,$T180,$X180,$AB180,$AF180),_xlpm.rate,CHOOSE({1,2,3,4,5},$R180,$V180,$Z180,$AD180,$AH180),_xlpm.trn,CHOOSE({1,2,3,4,5},$S180,$W180,$AA180,$AE180,$AI180),_xlpm.nsC,SUMPRODUCT(--(_xlpm.stat="Ready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DLR",IF(AND(_xlpm.actRS&gt;0,_xlpm.actDone&lt;_xlpm.actRS),"Training",IF(_xlpm.actRS&gt;0,"Active",IF(AND(_xlpm.decC&gt;0,_xlpm.inPlay+_xlpm.actC=0),"Dead",IF(AND($AJ180&lt;&gt;"",$AK180=FALSE),"Waiting on Dealer",IF(_xlpm.subC&gt;0,"Waiting on Lender",IF(AND(_xlpm.appC+_xlpm.actC&gt;0,_xlpm.nsC+_xlpm.wdC=0),"Rate Sheet","Application Submitted")))))))))</f>
        <v/>
      </c>
      <c r="M180" s="87"/>
      <c r="N180" s="87"/>
      <c r="O180" s="197"/>
      <c r="P180" s="87" t="str">
        <f>IF($A180="","",IF($AK180=TRUE,"Ready 2 Submit","Waiting on Dealer"))</f>
        <v/>
      </c>
      <c r="Q180" s="148"/>
      <c r="R180" s="87"/>
      <c r="S180" s="87"/>
      <c r="T180" s="87" t="str">
        <f>IF($A180="","",IF($AK180=TRUE,"Ready 2 Submit","Waiting on Dealer"))</f>
        <v/>
      </c>
      <c r="U180" s="148"/>
      <c r="V180" s="87"/>
      <c r="W180" s="87"/>
      <c r="X180" s="87" t="str">
        <f>IF($A180="","",IF($AK180=TRUE,"Ready 2 Submit","Waiting on Dealer"))</f>
        <v/>
      </c>
      <c r="Y180" s="148"/>
      <c r="Z180" s="87"/>
      <c r="AA180" s="87"/>
      <c r="AB180" s="87" t="str">
        <f>IF($A180="","",IF($AK180=TRUE,"Ready 2 Submit","Waiting on Dealer"))</f>
        <v/>
      </c>
      <c r="AC180" s="148"/>
      <c r="AD180" s="87"/>
      <c r="AE180" s="87"/>
      <c r="AF180" s="87" t="str">
        <f>IF($A180="","",IF($AK180=TRUE,"Ready 2 Submit","Waiting on Dealer"))</f>
        <v/>
      </c>
      <c r="AG180" s="148"/>
      <c r="AH180" s="87"/>
      <c r="AI180" s="87"/>
      <c r="AJ180" s="197"/>
      <c r="AK180" s="110" t="b">
        <v>0</v>
      </c>
      <c r="AL180" s="87" t="str" cm="1">
        <f t="array" ref="AL180">IF($A180="","",SUMPRODUCT((CHOOSE({1,2,3,4,5},$R180,$V180,$Z180,$AD180,$AH180)="Yes")*(((CHOOSE({1,2,3,4,5},$S180,$W180,$AA180,$AE180,$AI180)="Yes")+(CHOOSE({1,2,3,4,5},$S180,$W180,$AA180,$AE180,$AI180)=TRUE))&gt;0)))</f>
        <v/>
      </c>
      <c r="AM180" s="87"/>
      <c r="AN180" s="87" t="str">
        <f ca="1">IF(OR($A180="",$AM180=""),"",TODAY()-$AM180)</f>
        <v/>
      </c>
      <c r="AO180" s="87"/>
      <c r="AP180" s="106"/>
      <c r="AQ180" s="106"/>
      <c r="AR180" s="106"/>
      <c r="AS180" s="106"/>
      <c r="AT180" s="106"/>
      <c r="AU180" s="106"/>
      <c r="AV180" s="106"/>
      <c r="AW180" s="106"/>
      <c r="AX180" s="106"/>
      <c r="AY180" s="106"/>
    </row>
    <row r="181" spans="1:51" s="20" customFormat="1" ht="21" customHeight="1">
      <c r="A181" s="197"/>
      <c r="B181" s="87"/>
      <c r="C181" s="87"/>
      <c r="D181" s="196"/>
      <c r="E181" s="108"/>
      <c r="F181" s="196"/>
      <c r="G181" s="87"/>
      <c r="H181" s="197"/>
      <c r="I181" s="89"/>
      <c r="J181" s="204"/>
      <c r="K181" s="87"/>
      <c r="L181" s="87" t="str" cm="1">
        <f t="array" ref="L181">IF($A181="","",_xlfn.LET(_xlpm.stat,CHOOSE({1,2,3,4,5},$P181,$T181,$X181,$AB181,$AF181),_xlpm.rate,CHOOSE({1,2,3,4,5},$R181,$V181,$Z181,$AD181,$AH181),_xlpm.trn,CHOOSE({1,2,3,4,5},$S181,$W181,$AA181,$AE181,$AI181),_xlpm.nsC,SUMPRODUCT(--(_xlpm.stat="Ready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DLR",IF(AND(_xlpm.actRS&gt;0,_xlpm.actDone&lt;_xlpm.actRS),"Training",IF(_xlpm.actRS&gt;0,"Active",IF(AND(_xlpm.decC&gt;0,_xlpm.inPlay+_xlpm.actC=0),"Dead",IF(AND($AJ181&lt;&gt;"",$AK181=FALSE),"Waiting on Dealer",IF(_xlpm.subC&gt;0,"Waiting on Lender",IF(AND(_xlpm.appC+_xlpm.actC&gt;0,_xlpm.nsC+_xlpm.wdC=0),"Rate Sheet","Application Submitted")))))))))</f>
        <v/>
      </c>
      <c r="M181" s="87"/>
      <c r="N181" s="87"/>
      <c r="O181" s="197"/>
      <c r="P181" s="87" t="str">
        <f>IF($A181="","",IF($AK181=TRUE,"Ready 2 Submit","Waiting on Dealer"))</f>
        <v/>
      </c>
      <c r="Q181" s="148"/>
      <c r="R181" s="87"/>
      <c r="S181" s="87"/>
      <c r="T181" s="87" t="str">
        <f>IF($A181="","",IF($AK181=TRUE,"Ready 2 Submit","Waiting on Dealer"))</f>
        <v/>
      </c>
      <c r="U181" s="148"/>
      <c r="V181" s="87"/>
      <c r="W181" s="87"/>
      <c r="X181" s="87" t="str">
        <f>IF($A181="","",IF($AK181=TRUE,"Ready 2 Submit","Waiting on Dealer"))</f>
        <v/>
      </c>
      <c r="Y181" s="148"/>
      <c r="Z181" s="87"/>
      <c r="AA181" s="87"/>
      <c r="AB181" s="87" t="str">
        <f>IF($A181="","",IF($AK181=TRUE,"Ready 2 Submit","Waiting on Dealer"))</f>
        <v/>
      </c>
      <c r="AC181" s="148"/>
      <c r="AD181" s="87"/>
      <c r="AE181" s="87"/>
      <c r="AF181" s="87" t="str">
        <f>IF($A181="","",IF($AK181=TRUE,"Ready 2 Submit","Waiting on Dealer"))</f>
        <v/>
      </c>
      <c r="AG181" s="148"/>
      <c r="AH181" s="87"/>
      <c r="AI181" s="87"/>
      <c r="AJ181" s="197"/>
      <c r="AK181" s="110" t="b">
        <v>0</v>
      </c>
      <c r="AL181" s="87" t="str" cm="1">
        <f t="array" ref="AL181">IF($A181="","",SUMPRODUCT((CHOOSE({1,2,3,4,5},$R181,$V181,$Z181,$AD181,$AH181)="Yes")*(((CHOOSE({1,2,3,4,5},$S181,$W181,$AA181,$AE181,$AI181)="Yes")+(CHOOSE({1,2,3,4,5},$S181,$W181,$AA181,$AE181,$AI181)=TRUE))&gt;0)))</f>
        <v/>
      </c>
      <c r="AM181" s="87"/>
      <c r="AN181" s="87" t="str">
        <f ca="1">IF(OR($A181="",$AM181=""),"",TODAY()-$AM181)</f>
        <v/>
      </c>
      <c r="AO181" s="87"/>
      <c r="AP181" s="106"/>
      <c r="AQ181" s="106"/>
      <c r="AR181" s="106"/>
      <c r="AS181" s="106"/>
      <c r="AT181" s="106"/>
      <c r="AU181" s="106"/>
      <c r="AV181" s="106"/>
      <c r="AW181" s="106"/>
      <c r="AX181" s="106"/>
      <c r="AY181" s="106"/>
    </row>
    <row r="182" spans="1:51" s="20" customFormat="1" ht="21" customHeight="1">
      <c r="A182" s="197"/>
      <c r="B182" s="87"/>
      <c r="C182" s="87"/>
      <c r="D182" s="196"/>
      <c r="E182" s="108"/>
      <c r="F182" s="196"/>
      <c r="G182" s="87"/>
      <c r="H182" s="197"/>
      <c r="I182" s="89"/>
      <c r="J182" s="204"/>
      <c r="K182" s="87"/>
      <c r="L182" s="87" t="str" cm="1">
        <f t="array" ref="L182">IF($A182="","",_xlfn.LET(_xlpm.stat,CHOOSE({1,2,3,4,5},$P182,$T182,$X182,$AB182,$AF182),_xlpm.rate,CHOOSE({1,2,3,4,5},$R182,$V182,$Z182,$AD182,$AH182),_xlpm.trn,CHOOSE({1,2,3,4,5},$S182,$W182,$AA182,$AE182,$AI182),_xlpm.nsC,SUMPRODUCT(--(_xlpm.stat="Ready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DLR",IF(AND(_xlpm.actRS&gt;0,_xlpm.actDone&lt;_xlpm.actRS),"Training",IF(_xlpm.actRS&gt;0,"Active",IF(AND(_xlpm.decC&gt;0,_xlpm.inPlay+_xlpm.actC=0),"Dead",IF(AND($AJ182&lt;&gt;"",$AK182=FALSE),"Waiting on Dealer",IF(_xlpm.subC&gt;0,"Waiting on Lender",IF(AND(_xlpm.appC+_xlpm.actC&gt;0,_xlpm.nsC+_xlpm.wdC=0),"Rate Sheet","Application Submitted")))))))))</f>
        <v/>
      </c>
      <c r="M182" s="87"/>
      <c r="N182" s="87"/>
      <c r="O182" s="197"/>
      <c r="P182" s="87" t="str">
        <f>IF($A182="","",IF($AK182=TRUE,"Ready 2 Submit","Waiting on Dealer"))</f>
        <v/>
      </c>
      <c r="Q182" s="148"/>
      <c r="R182" s="87"/>
      <c r="S182" s="87"/>
      <c r="T182" s="87" t="str">
        <f>IF($A182="","",IF($AK182=TRUE,"Ready 2 Submit","Waiting on Dealer"))</f>
        <v/>
      </c>
      <c r="U182" s="148"/>
      <c r="V182" s="87"/>
      <c r="W182" s="87"/>
      <c r="X182" s="87" t="str">
        <f>IF($A182="","",IF($AK182=TRUE,"Ready 2 Submit","Waiting on Dealer"))</f>
        <v/>
      </c>
      <c r="Y182" s="148"/>
      <c r="Z182" s="87"/>
      <c r="AA182" s="87"/>
      <c r="AB182" s="87" t="str">
        <f>IF($A182="","",IF($AK182=TRUE,"Ready 2 Submit","Waiting on Dealer"))</f>
        <v/>
      </c>
      <c r="AC182" s="148"/>
      <c r="AD182" s="87"/>
      <c r="AE182" s="87"/>
      <c r="AF182" s="87" t="str">
        <f>IF($A182="","",IF($AK182=TRUE,"Ready 2 Submit","Waiting on Dealer"))</f>
        <v/>
      </c>
      <c r="AG182" s="148"/>
      <c r="AH182" s="87"/>
      <c r="AI182" s="87"/>
      <c r="AJ182" s="197"/>
      <c r="AK182" s="110" t="b">
        <v>0</v>
      </c>
      <c r="AL182" s="87" t="str" cm="1">
        <f t="array" ref="AL182">IF($A182="","",SUMPRODUCT((CHOOSE({1,2,3,4,5},$R182,$V182,$Z182,$AD182,$AH182)="Yes")*(((CHOOSE({1,2,3,4,5},$S182,$W182,$AA182,$AE182,$AI182)="Yes")+(CHOOSE({1,2,3,4,5},$S182,$W182,$AA182,$AE182,$AI182)=TRUE))&gt;0)))</f>
        <v/>
      </c>
      <c r="AM182" s="87"/>
      <c r="AN182" s="87" t="str">
        <f ca="1">IF(OR($A182="",$AM182=""),"",TODAY()-$AM182)</f>
        <v/>
      </c>
      <c r="AO182" s="87"/>
      <c r="AP182" s="106"/>
      <c r="AQ182" s="106"/>
      <c r="AR182" s="106"/>
      <c r="AS182" s="106"/>
      <c r="AT182" s="106"/>
      <c r="AU182" s="106"/>
      <c r="AV182" s="106"/>
      <c r="AW182" s="106"/>
      <c r="AX182" s="106"/>
      <c r="AY182" s="106"/>
    </row>
    <row r="183" spans="1:51" s="20" customFormat="1" ht="21" customHeight="1">
      <c r="A183" s="197"/>
      <c r="B183" s="87"/>
      <c r="C183" s="87"/>
      <c r="D183" s="196"/>
      <c r="E183" s="108"/>
      <c r="F183" s="196"/>
      <c r="G183" s="87"/>
      <c r="H183" s="197"/>
      <c r="I183" s="89"/>
      <c r="J183" s="204"/>
      <c r="K183" s="87"/>
      <c r="L183" s="87" t="str" cm="1">
        <f t="array" ref="L183">IF($A183="","",_xlfn.LET(_xlpm.stat,CHOOSE({1,2,3,4,5},$P183,$T183,$X183,$AB183,$AF183),_xlpm.rate,CHOOSE({1,2,3,4,5},$R183,$V183,$Z183,$AD183,$AH183),_xlpm.trn,CHOOSE({1,2,3,4,5},$S183,$W183,$AA183,$AE183,$AI183),_xlpm.nsC,SUMPRODUCT(--(_xlpm.stat="Ready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DLR",IF(AND(_xlpm.actRS&gt;0,_xlpm.actDone&lt;_xlpm.actRS),"Training",IF(_xlpm.actRS&gt;0,"Active",IF(AND(_xlpm.decC&gt;0,_xlpm.inPlay+_xlpm.actC=0),"Dead",IF(AND($AJ183&lt;&gt;"",$AK183=FALSE),"Waiting on Dealer",IF(_xlpm.subC&gt;0,"Waiting on Lender",IF(AND(_xlpm.appC+_xlpm.actC&gt;0,_xlpm.nsC+_xlpm.wdC=0),"Rate Sheet","Application Submitted")))))))))</f>
        <v/>
      </c>
      <c r="M183" s="87"/>
      <c r="N183" s="87"/>
      <c r="O183" s="197"/>
      <c r="P183" s="87" t="str">
        <f>IF($A183="","",IF($AK183=TRUE,"Ready 2 Submit","Waiting on Dealer"))</f>
        <v/>
      </c>
      <c r="Q183" s="148"/>
      <c r="R183" s="87"/>
      <c r="S183" s="87"/>
      <c r="T183" s="87" t="str">
        <f>IF($A183="","",IF($AK183=TRUE,"Ready 2 Submit","Waiting on Dealer"))</f>
        <v/>
      </c>
      <c r="U183" s="148"/>
      <c r="V183" s="87"/>
      <c r="W183" s="87"/>
      <c r="X183" s="87" t="str">
        <f>IF($A183="","",IF($AK183=TRUE,"Ready 2 Submit","Waiting on Dealer"))</f>
        <v/>
      </c>
      <c r="Y183" s="148"/>
      <c r="Z183" s="87"/>
      <c r="AA183" s="87"/>
      <c r="AB183" s="87" t="str">
        <f>IF($A183="","",IF($AK183=TRUE,"Ready 2 Submit","Waiting on Dealer"))</f>
        <v/>
      </c>
      <c r="AC183" s="148"/>
      <c r="AD183" s="87"/>
      <c r="AE183" s="87"/>
      <c r="AF183" s="87" t="str">
        <f>IF($A183="","",IF($AK183=TRUE,"Ready 2 Submit","Waiting on Dealer"))</f>
        <v/>
      </c>
      <c r="AG183" s="148"/>
      <c r="AH183" s="87"/>
      <c r="AI183" s="87"/>
      <c r="AJ183" s="197"/>
      <c r="AK183" s="110" t="b">
        <v>0</v>
      </c>
      <c r="AL183" s="87" t="str" cm="1">
        <f t="array" ref="AL183">IF($A183="","",SUMPRODUCT((CHOOSE({1,2,3,4,5},$R183,$V183,$Z183,$AD183,$AH183)="Yes")*(((CHOOSE({1,2,3,4,5},$S183,$W183,$AA183,$AE183,$AI183)="Yes")+(CHOOSE({1,2,3,4,5},$S183,$W183,$AA183,$AE183,$AI183)=TRUE))&gt;0)))</f>
        <v/>
      </c>
      <c r="AM183" s="87"/>
      <c r="AN183" s="87" t="str">
        <f ca="1">IF(OR($A183="",$AM183=""),"",TODAY()-$AM183)</f>
        <v/>
      </c>
      <c r="AO183" s="87"/>
      <c r="AP183" s="106"/>
      <c r="AQ183" s="106"/>
      <c r="AR183" s="106"/>
      <c r="AS183" s="106"/>
      <c r="AT183" s="106"/>
      <c r="AU183" s="106"/>
      <c r="AV183" s="106"/>
      <c r="AW183" s="106"/>
      <c r="AX183" s="106"/>
      <c r="AY183" s="106"/>
    </row>
    <row r="184" spans="1:51" s="20" customFormat="1" ht="21" customHeight="1">
      <c r="A184" s="197"/>
      <c r="B184" s="87"/>
      <c r="C184" s="87"/>
      <c r="D184" s="196"/>
      <c r="E184" s="108"/>
      <c r="F184" s="196"/>
      <c r="G184" s="87"/>
      <c r="H184" s="197"/>
      <c r="I184" s="89"/>
      <c r="J184" s="204"/>
      <c r="K184" s="87"/>
      <c r="L184" s="87" t="str" cm="1">
        <f t="array" ref="L184">IF($A184="","",_xlfn.LET(_xlpm.stat,CHOOSE({1,2,3,4,5},$P184,$T184,$X184,$AB184,$AF184),_xlpm.rate,CHOOSE({1,2,3,4,5},$R184,$V184,$Z184,$AD184,$AH184),_xlpm.trn,CHOOSE({1,2,3,4,5},$S184,$W184,$AA184,$AE184,$AI184),_xlpm.nsC,SUMPRODUCT(--(_xlpm.stat="Ready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DLR",IF(AND(_xlpm.actRS&gt;0,_xlpm.actDone&lt;_xlpm.actRS),"Training",IF(_xlpm.actRS&gt;0,"Active",IF(AND(_xlpm.decC&gt;0,_xlpm.inPlay+_xlpm.actC=0),"Dead",IF(AND($AJ184&lt;&gt;"",$AK184=FALSE),"Waiting on Dealer",IF(_xlpm.subC&gt;0,"Waiting on Lender",IF(AND(_xlpm.appC+_xlpm.actC&gt;0,_xlpm.nsC+_xlpm.wdC=0),"Rate Sheet","Application Submitted")))))))))</f>
        <v/>
      </c>
      <c r="M184" s="87"/>
      <c r="N184" s="87"/>
      <c r="O184" s="197"/>
      <c r="P184" s="87" t="str">
        <f>IF($A184="","",IF($AK184=TRUE,"Ready 2 Submit","Waiting on Dealer"))</f>
        <v/>
      </c>
      <c r="Q184" s="148"/>
      <c r="R184" s="87"/>
      <c r="S184" s="87"/>
      <c r="T184" s="87" t="str">
        <f>IF($A184="","",IF($AK184=TRUE,"Ready 2 Submit","Waiting on Dealer"))</f>
        <v/>
      </c>
      <c r="U184" s="148"/>
      <c r="V184" s="87"/>
      <c r="W184" s="87"/>
      <c r="X184" s="87" t="str">
        <f>IF($A184="","",IF($AK184=TRUE,"Ready 2 Submit","Waiting on Dealer"))</f>
        <v/>
      </c>
      <c r="Y184" s="148"/>
      <c r="Z184" s="87"/>
      <c r="AA184" s="87"/>
      <c r="AB184" s="87" t="str">
        <f>IF($A184="","",IF($AK184=TRUE,"Ready 2 Submit","Waiting on Dealer"))</f>
        <v/>
      </c>
      <c r="AC184" s="148"/>
      <c r="AD184" s="87"/>
      <c r="AE184" s="87"/>
      <c r="AF184" s="87" t="str">
        <f>IF($A184="","",IF($AK184=TRUE,"Ready 2 Submit","Waiting on Dealer"))</f>
        <v/>
      </c>
      <c r="AG184" s="148"/>
      <c r="AH184" s="87"/>
      <c r="AI184" s="87"/>
      <c r="AJ184" s="197"/>
      <c r="AK184" s="110" t="b">
        <v>0</v>
      </c>
      <c r="AL184" s="87" t="str" cm="1">
        <f t="array" ref="AL184">IF($A184="","",SUMPRODUCT((CHOOSE({1,2,3,4,5},$R184,$V184,$Z184,$AD184,$AH184)="Yes")*(((CHOOSE({1,2,3,4,5},$S184,$W184,$AA184,$AE184,$AI184)="Yes")+(CHOOSE({1,2,3,4,5},$S184,$W184,$AA184,$AE184,$AI184)=TRUE))&gt;0)))</f>
        <v/>
      </c>
      <c r="AM184" s="87"/>
      <c r="AN184" s="87" t="str">
        <f ca="1">IF(OR($A184="",$AM184=""),"",TODAY()-$AM184)</f>
        <v/>
      </c>
      <c r="AO184" s="87"/>
      <c r="AP184" s="106"/>
      <c r="AQ184" s="106"/>
      <c r="AR184" s="106"/>
      <c r="AS184" s="106"/>
      <c r="AT184" s="106"/>
      <c r="AU184" s="106"/>
      <c r="AV184" s="106"/>
      <c r="AW184" s="106"/>
      <c r="AX184" s="106"/>
      <c r="AY184" s="106"/>
    </row>
    <row r="185" spans="1:51" s="20" customFormat="1" ht="21" customHeight="1">
      <c r="A185" s="197"/>
      <c r="B185" s="87"/>
      <c r="C185" s="87"/>
      <c r="D185" s="196"/>
      <c r="E185" s="108"/>
      <c r="F185" s="196"/>
      <c r="G185" s="87"/>
      <c r="H185" s="197"/>
      <c r="I185" s="89"/>
      <c r="J185" s="204"/>
      <c r="K185" s="87"/>
      <c r="L185" s="87" t="str" cm="1">
        <f t="array" ref="L185">IF($A185="","",_xlfn.LET(_xlpm.stat,CHOOSE({1,2,3,4,5},$P185,$T185,$X185,$AB185,$AF185),_xlpm.rate,CHOOSE({1,2,3,4,5},$R185,$V185,$Z185,$AD185,$AH185),_xlpm.trn,CHOOSE({1,2,3,4,5},$S185,$W185,$AA185,$AE185,$AI185),_xlpm.nsC,SUMPRODUCT(--(_xlpm.stat="Ready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DLR",IF(AND(_xlpm.actRS&gt;0,_xlpm.actDone&lt;_xlpm.actRS),"Training",IF(_xlpm.actRS&gt;0,"Active",IF(AND(_xlpm.decC&gt;0,_xlpm.inPlay+_xlpm.actC=0),"Dead",IF(AND($AJ185&lt;&gt;"",$AK185=FALSE),"Waiting on Dealer",IF(_xlpm.subC&gt;0,"Waiting on Lender",IF(AND(_xlpm.appC+_xlpm.actC&gt;0,_xlpm.nsC+_xlpm.wdC=0),"Rate Sheet","Application Submitted")))))))))</f>
        <v/>
      </c>
      <c r="M185" s="87"/>
      <c r="N185" s="87"/>
      <c r="O185" s="197"/>
      <c r="P185" s="87" t="str">
        <f>IF($A185="","",IF($AK185=TRUE,"Ready 2 Submit","Waiting on Dealer"))</f>
        <v/>
      </c>
      <c r="Q185" s="148"/>
      <c r="R185" s="87"/>
      <c r="S185" s="87"/>
      <c r="T185" s="87" t="str">
        <f>IF($A185="","",IF($AK185=TRUE,"Ready 2 Submit","Waiting on Dealer"))</f>
        <v/>
      </c>
      <c r="U185" s="148"/>
      <c r="V185" s="87"/>
      <c r="W185" s="87"/>
      <c r="X185" s="87" t="str">
        <f>IF($A185="","",IF($AK185=TRUE,"Ready 2 Submit","Waiting on Dealer"))</f>
        <v/>
      </c>
      <c r="Y185" s="148"/>
      <c r="Z185" s="87"/>
      <c r="AA185" s="87"/>
      <c r="AB185" s="87" t="str">
        <f>IF($A185="","",IF($AK185=TRUE,"Ready 2 Submit","Waiting on Dealer"))</f>
        <v/>
      </c>
      <c r="AC185" s="148"/>
      <c r="AD185" s="87"/>
      <c r="AE185" s="87"/>
      <c r="AF185" s="87" t="str">
        <f>IF($A185="","",IF($AK185=TRUE,"Ready 2 Submit","Waiting on Dealer"))</f>
        <v/>
      </c>
      <c r="AG185" s="148"/>
      <c r="AH185" s="87"/>
      <c r="AI185" s="87"/>
      <c r="AJ185" s="197"/>
      <c r="AK185" s="110" t="b">
        <v>0</v>
      </c>
      <c r="AL185" s="87" t="str" cm="1">
        <f t="array" ref="AL185">IF($A185="","",SUMPRODUCT((CHOOSE({1,2,3,4,5},$R185,$V185,$Z185,$AD185,$AH185)="Yes")*(((CHOOSE({1,2,3,4,5},$S185,$W185,$AA185,$AE185,$AI185)="Yes")+(CHOOSE({1,2,3,4,5},$S185,$W185,$AA185,$AE185,$AI185)=TRUE))&gt;0)))</f>
        <v/>
      </c>
      <c r="AM185" s="87"/>
      <c r="AN185" s="87" t="str">
        <f ca="1">IF(OR($A185="",$AM185=""),"",TODAY()-$AM185)</f>
        <v/>
      </c>
      <c r="AO185" s="87"/>
      <c r="AP185" s="106"/>
      <c r="AQ185" s="106"/>
      <c r="AR185" s="106"/>
      <c r="AS185" s="106"/>
      <c r="AT185" s="106"/>
      <c r="AU185" s="106"/>
      <c r="AV185" s="106"/>
      <c r="AW185" s="106"/>
      <c r="AX185" s="106"/>
      <c r="AY185" s="106"/>
    </row>
    <row r="186" spans="1:51" s="20" customFormat="1" ht="21" customHeight="1">
      <c r="A186" s="197"/>
      <c r="B186" s="87"/>
      <c r="C186" s="87"/>
      <c r="D186" s="196"/>
      <c r="E186" s="108"/>
      <c r="F186" s="196"/>
      <c r="G186" s="87"/>
      <c r="H186" s="197"/>
      <c r="I186" s="89"/>
      <c r="J186" s="204"/>
      <c r="K186" s="87"/>
      <c r="L186" s="87" t="str" cm="1">
        <f t="array" ref="L186">IF($A186="","",_xlfn.LET(_xlpm.stat,CHOOSE({1,2,3,4,5},$P186,$T186,$X186,$AB186,$AF186),_xlpm.rate,CHOOSE({1,2,3,4,5},$R186,$V186,$Z186,$AD186,$AH186),_xlpm.trn,CHOOSE({1,2,3,4,5},$S186,$W186,$AA186,$AE186,$AI186),_xlpm.nsC,SUMPRODUCT(--(_xlpm.stat="Ready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DLR",IF(AND(_xlpm.actRS&gt;0,_xlpm.actDone&lt;_xlpm.actRS),"Training",IF(_xlpm.actRS&gt;0,"Active",IF(AND(_xlpm.decC&gt;0,_xlpm.inPlay+_xlpm.actC=0),"Dead",IF(AND($AJ186&lt;&gt;"",$AK186=FALSE),"Waiting on Dealer",IF(_xlpm.subC&gt;0,"Waiting on Lender",IF(AND(_xlpm.appC+_xlpm.actC&gt;0,_xlpm.nsC+_xlpm.wdC=0),"Rate Sheet","Application Submitted")))))))))</f>
        <v/>
      </c>
      <c r="M186" s="87"/>
      <c r="N186" s="87"/>
      <c r="O186" s="197"/>
      <c r="P186" s="87" t="str">
        <f>IF($A186="","",IF($AK186=TRUE,"Ready 2 Submit","Waiting on Dealer"))</f>
        <v/>
      </c>
      <c r="Q186" s="148"/>
      <c r="R186" s="87"/>
      <c r="S186" s="87"/>
      <c r="T186" s="87" t="str">
        <f>IF($A186="","",IF($AK186=TRUE,"Ready 2 Submit","Waiting on Dealer"))</f>
        <v/>
      </c>
      <c r="U186" s="148"/>
      <c r="V186" s="87"/>
      <c r="W186" s="87"/>
      <c r="X186" s="87" t="str">
        <f>IF($A186="","",IF($AK186=TRUE,"Ready 2 Submit","Waiting on Dealer"))</f>
        <v/>
      </c>
      <c r="Y186" s="148"/>
      <c r="Z186" s="87"/>
      <c r="AA186" s="87"/>
      <c r="AB186" s="87" t="str">
        <f>IF($A186="","",IF($AK186=TRUE,"Ready 2 Submit","Waiting on Dealer"))</f>
        <v/>
      </c>
      <c r="AC186" s="148"/>
      <c r="AD186" s="87"/>
      <c r="AE186" s="87"/>
      <c r="AF186" s="87" t="str">
        <f>IF($A186="","",IF($AK186=TRUE,"Ready 2 Submit","Waiting on Dealer"))</f>
        <v/>
      </c>
      <c r="AG186" s="148"/>
      <c r="AH186" s="87"/>
      <c r="AI186" s="87"/>
      <c r="AJ186" s="197"/>
      <c r="AK186" s="110" t="b">
        <v>0</v>
      </c>
      <c r="AL186" s="87" t="str" cm="1">
        <f t="array" ref="AL186">IF($A186="","",SUMPRODUCT((CHOOSE({1,2,3,4,5},$R186,$V186,$Z186,$AD186,$AH186)="Yes")*(((CHOOSE({1,2,3,4,5},$S186,$W186,$AA186,$AE186,$AI186)="Yes")+(CHOOSE({1,2,3,4,5},$S186,$W186,$AA186,$AE186,$AI186)=TRUE))&gt;0)))</f>
        <v/>
      </c>
      <c r="AM186" s="87"/>
      <c r="AN186" s="87" t="str">
        <f ca="1">IF(OR($A186="",$AM186=""),"",TODAY()-$AM186)</f>
        <v/>
      </c>
      <c r="AO186" s="87"/>
      <c r="AP186" s="106"/>
      <c r="AQ186" s="106"/>
      <c r="AR186" s="106"/>
      <c r="AS186" s="106"/>
      <c r="AT186" s="106"/>
      <c r="AU186" s="106"/>
      <c r="AV186" s="106"/>
      <c r="AW186" s="106"/>
      <c r="AX186" s="106"/>
      <c r="AY186" s="106"/>
    </row>
    <row r="187" spans="1:51" s="20" customFormat="1" ht="21" customHeight="1">
      <c r="A187" s="197"/>
      <c r="B187" s="87"/>
      <c r="C187" s="87"/>
      <c r="D187" s="196"/>
      <c r="E187" s="108"/>
      <c r="F187" s="196"/>
      <c r="G187" s="87"/>
      <c r="H187" s="197"/>
      <c r="I187" s="89"/>
      <c r="J187" s="204"/>
      <c r="K187" s="87"/>
      <c r="L187" s="87" t="str" cm="1">
        <f t="array" ref="L187">IF($A187="","",_xlfn.LET(_xlpm.stat,CHOOSE({1,2,3,4,5},$P187,$T187,$X187,$AB187,$AF187),_xlpm.rate,CHOOSE({1,2,3,4,5},$R187,$V187,$Z187,$AD187,$AH187),_xlpm.trn,CHOOSE({1,2,3,4,5},$S187,$W187,$AA187,$AE187,$AI187),_xlpm.nsC,SUMPRODUCT(--(_xlpm.stat="Ready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DLR",IF(AND(_xlpm.actRS&gt;0,_xlpm.actDone&lt;_xlpm.actRS),"Training",IF(_xlpm.actRS&gt;0,"Active",IF(AND(_xlpm.decC&gt;0,_xlpm.inPlay+_xlpm.actC=0),"Dead",IF(AND($AJ187&lt;&gt;"",$AK187=FALSE),"Waiting on Dealer",IF(_xlpm.subC&gt;0,"Waiting on Lender",IF(AND(_xlpm.appC+_xlpm.actC&gt;0,_xlpm.nsC+_xlpm.wdC=0),"Rate Sheet","Application Submitted")))))))))</f>
        <v/>
      </c>
      <c r="M187" s="87"/>
      <c r="N187" s="87"/>
      <c r="O187" s="197"/>
      <c r="P187" s="87" t="str">
        <f>IF($A187="","",IF($AK187=TRUE,"Ready 2 Submit","Waiting on Dealer"))</f>
        <v/>
      </c>
      <c r="Q187" s="148"/>
      <c r="R187" s="87"/>
      <c r="S187" s="87"/>
      <c r="T187" s="87" t="str">
        <f>IF($A187="","",IF($AK187=TRUE,"Ready 2 Submit","Waiting on Dealer"))</f>
        <v/>
      </c>
      <c r="U187" s="148"/>
      <c r="V187" s="87"/>
      <c r="W187" s="87"/>
      <c r="X187" s="87" t="str">
        <f>IF($A187="","",IF($AK187=TRUE,"Ready 2 Submit","Waiting on Dealer"))</f>
        <v/>
      </c>
      <c r="Y187" s="148"/>
      <c r="Z187" s="87"/>
      <c r="AA187" s="87"/>
      <c r="AB187" s="87" t="str">
        <f>IF($A187="","",IF($AK187=TRUE,"Ready 2 Submit","Waiting on Dealer"))</f>
        <v/>
      </c>
      <c r="AC187" s="148"/>
      <c r="AD187" s="87"/>
      <c r="AE187" s="87"/>
      <c r="AF187" s="87" t="str">
        <f>IF($A187="","",IF($AK187=TRUE,"Ready 2 Submit","Waiting on Dealer"))</f>
        <v/>
      </c>
      <c r="AG187" s="148"/>
      <c r="AH187" s="87"/>
      <c r="AI187" s="87"/>
      <c r="AJ187" s="197"/>
      <c r="AK187" s="110" t="b">
        <v>0</v>
      </c>
      <c r="AL187" s="87" t="str" cm="1">
        <f t="array" ref="AL187">IF($A187="","",SUMPRODUCT((CHOOSE({1,2,3,4,5},$R187,$V187,$Z187,$AD187,$AH187)="Yes")*(((CHOOSE({1,2,3,4,5},$S187,$W187,$AA187,$AE187,$AI187)="Yes")+(CHOOSE({1,2,3,4,5},$S187,$W187,$AA187,$AE187,$AI187)=TRUE))&gt;0)))</f>
        <v/>
      </c>
      <c r="AM187" s="87"/>
      <c r="AN187" s="87" t="str">
        <f ca="1">IF(OR($A187="",$AM187=""),"",TODAY()-$AM187)</f>
        <v/>
      </c>
      <c r="AO187" s="87"/>
      <c r="AP187" s="106"/>
      <c r="AQ187" s="106"/>
      <c r="AR187" s="106"/>
      <c r="AS187" s="106"/>
      <c r="AT187" s="106"/>
      <c r="AU187" s="106"/>
      <c r="AV187" s="106"/>
      <c r="AW187" s="106"/>
      <c r="AX187" s="106"/>
      <c r="AY187" s="106"/>
    </row>
    <row r="188" spans="1:51" s="20" customFormat="1" ht="21" customHeight="1">
      <c r="A188" s="197"/>
      <c r="B188" s="87"/>
      <c r="C188" s="87"/>
      <c r="D188" s="196"/>
      <c r="E188" s="108"/>
      <c r="F188" s="196"/>
      <c r="G188" s="87"/>
      <c r="H188" s="197"/>
      <c r="I188" s="89"/>
      <c r="J188" s="204"/>
      <c r="K188" s="87"/>
      <c r="L188" s="87" t="str" cm="1">
        <f t="array" ref="L188">IF($A188="","",_xlfn.LET(_xlpm.stat,CHOOSE({1,2,3,4,5},$P188,$T188,$X188,$AB188,$AF188),_xlpm.rate,CHOOSE({1,2,3,4,5},$R188,$V188,$Z188,$AD188,$AH188),_xlpm.trn,CHOOSE({1,2,3,4,5},$S188,$W188,$AA188,$AE188,$AI188),_xlpm.nsC,SUMPRODUCT(--(_xlpm.stat="Ready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DLR",IF(AND(_xlpm.actRS&gt;0,_xlpm.actDone&lt;_xlpm.actRS),"Training",IF(_xlpm.actRS&gt;0,"Active",IF(AND(_xlpm.decC&gt;0,_xlpm.inPlay+_xlpm.actC=0),"Dead",IF(AND($AJ188&lt;&gt;"",$AK188=FALSE),"Waiting on Dealer",IF(_xlpm.subC&gt;0,"Waiting on Lender",IF(AND(_xlpm.appC+_xlpm.actC&gt;0,_xlpm.nsC+_xlpm.wdC=0),"Rate Sheet","Application Submitted")))))))))</f>
        <v/>
      </c>
      <c r="M188" s="87"/>
      <c r="N188" s="87"/>
      <c r="O188" s="197"/>
      <c r="P188" s="87" t="str">
        <f>IF($A188="","",IF($AK188=TRUE,"Ready 2 Submit","Waiting on Dealer"))</f>
        <v/>
      </c>
      <c r="Q188" s="148"/>
      <c r="R188" s="87"/>
      <c r="S188" s="87"/>
      <c r="T188" s="87" t="str">
        <f>IF($A188="","",IF($AK188=TRUE,"Ready 2 Submit","Waiting on Dealer"))</f>
        <v/>
      </c>
      <c r="U188" s="148"/>
      <c r="V188" s="87"/>
      <c r="W188" s="87"/>
      <c r="X188" s="87" t="str">
        <f>IF($A188="","",IF($AK188=TRUE,"Ready 2 Submit","Waiting on Dealer"))</f>
        <v/>
      </c>
      <c r="Y188" s="148"/>
      <c r="Z188" s="87"/>
      <c r="AA188" s="87"/>
      <c r="AB188" s="87" t="str">
        <f>IF($A188="","",IF($AK188=TRUE,"Ready 2 Submit","Waiting on Dealer"))</f>
        <v/>
      </c>
      <c r="AC188" s="148"/>
      <c r="AD188" s="87"/>
      <c r="AE188" s="87"/>
      <c r="AF188" s="87" t="str">
        <f>IF($A188="","",IF($AK188=TRUE,"Ready 2 Submit","Waiting on Dealer"))</f>
        <v/>
      </c>
      <c r="AG188" s="148"/>
      <c r="AH188" s="87"/>
      <c r="AI188" s="87"/>
      <c r="AJ188" s="197"/>
      <c r="AK188" s="110" t="b">
        <v>0</v>
      </c>
      <c r="AL188" s="87" t="str" cm="1">
        <f t="array" ref="AL188">IF($A188="","",SUMPRODUCT((CHOOSE({1,2,3,4,5},$R188,$V188,$Z188,$AD188,$AH188)="Yes")*(((CHOOSE({1,2,3,4,5},$S188,$W188,$AA188,$AE188,$AI188)="Yes")+(CHOOSE({1,2,3,4,5},$S188,$W188,$AA188,$AE188,$AI188)=TRUE))&gt;0)))</f>
        <v/>
      </c>
      <c r="AM188" s="87"/>
      <c r="AN188" s="87" t="str">
        <f ca="1">IF(OR($A188="",$AM188=""),"",TODAY()-$AM188)</f>
        <v/>
      </c>
      <c r="AO188" s="87"/>
      <c r="AP188" s="106"/>
      <c r="AQ188" s="106"/>
      <c r="AR188" s="106"/>
      <c r="AS188" s="106"/>
      <c r="AT188" s="106"/>
      <c r="AU188" s="106"/>
      <c r="AV188" s="106"/>
      <c r="AW188" s="106"/>
      <c r="AX188" s="106"/>
      <c r="AY188" s="106"/>
    </row>
    <row r="189" spans="1:51" s="20" customFormat="1" ht="21" customHeight="1">
      <c r="A189" s="197"/>
      <c r="B189" s="87"/>
      <c r="C189" s="87"/>
      <c r="D189" s="196"/>
      <c r="E189" s="108"/>
      <c r="F189" s="196"/>
      <c r="G189" s="87"/>
      <c r="H189" s="197"/>
      <c r="I189" s="89"/>
      <c r="J189" s="204"/>
      <c r="K189" s="87"/>
      <c r="L189" s="87" t="str" cm="1">
        <f t="array" ref="L189">IF($A189="","",_xlfn.LET(_xlpm.stat,CHOOSE({1,2,3,4,5},$P189,$T189,$X189,$AB189,$AF189),_xlpm.rate,CHOOSE({1,2,3,4,5},$R189,$V189,$Z189,$AD189,$AH189),_xlpm.trn,CHOOSE({1,2,3,4,5},$S189,$W189,$AA189,$AE189,$AI189),_xlpm.nsC,SUMPRODUCT(--(_xlpm.stat="Ready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DLR",IF(AND(_xlpm.actRS&gt;0,_xlpm.actDone&lt;_xlpm.actRS),"Training",IF(_xlpm.actRS&gt;0,"Active",IF(AND(_xlpm.decC&gt;0,_xlpm.inPlay+_xlpm.actC=0),"Dead",IF(AND($AJ189&lt;&gt;"",$AK189=FALSE),"Waiting on Dealer",IF(_xlpm.subC&gt;0,"Waiting on Lender",IF(AND(_xlpm.appC+_xlpm.actC&gt;0,_xlpm.nsC+_xlpm.wdC=0),"Rate Sheet","Application Submitted")))))))))</f>
        <v/>
      </c>
      <c r="M189" s="87"/>
      <c r="N189" s="87"/>
      <c r="O189" s="197"/>
      <c r="P189" s="87" t="str">
        <f>IF($A189="","",IF($AK189=TRUE,"Ready 2 Submit","Waiting on Dealer"))</f>
        <v/>
      </c>
      <c r="Q189" s="148"/>
      <c r="R189" s="87"/>
      <c r="S189" s="87"/>
      <c r="T189" s="87" t="str">
        <f>IF($A189="","",IF($AK189=TRUE,"Ready 2 Submit","Waiting on Dealer"))</f>
        <v/>
      </c>
      <c r="U189" s="148"/>
      <c r="V189" s="87"/>
      <c r="W189" s="87"/>
      <c r="X189" s="87" t="str">
        <f>IF($A189="","",IF($AK189=TRUE,"Ready 2 Submit","Waiting on Dealer"))</f>
        <v/>
      </c>
      <c r="Y189" s="148"/>
      <c r="Z189" s="87"/>
      <c r="AA189" s="87"/>
      <c r="AB189" s="87" t="str">
        <f>IF($A189="","",IF($AK189=TRUE,"Ready 2 Submit","Waiting on Dealer"))</f>
        <v/>
      </c>
      <c r="AC189" s="148"/>
      <c r="AD189" s="87"/>
      <c r="AE189" s="87"/>
      <c r="AF189" s="87" t="str">
        <f>IF($A189="","",IF($AK189=TRUE,"Ready 2 Submit","Waiting on Dealer"))</f>
        <v/>
      </c>
      <c r="AG189" s="148"/>
      <c r="AH189" s="87"/>
      <c r="AI189" s="87"/>
      <c r="AJ189" s="197"/>
      <c r="AK189" s="110" t="b">
        <v>0</v>
      </c>
      <c r="AL189" s="87" t="str" cm="1">
        <f t="array" ref="AL189">IF($A189="","",SUMPRODUCT((CHOOSE({1,2,3,4,5},$R189,$V189,$Z189,$AD189,$AH189)="Yes")*(((CHOOSE({1,2,3,4,5},$S189,$W189,$AA189,$AE189,$AI189)="Yes")+(CHOOSE({1,2,3,4,5},$S189,$W189,$AA189,$AE189,$AI189)=TRUE))&gt;0)))</f>
        <v/>
      </c>
      <c r="AM189" s="87"/>
      <c r="AN189" s="87" t="str">
        <f ca="1">IF(OR($A189="",$AM189=""),"",TODAY()-$AM189)</f>
        <v/>
      </c>
      <c r="AO189" s="87"/>
      <c r="AP189" s="106"/>
      <c r="AQ189" s="106"/>
      <c r="AR189" s="106"/>
      <c r="AS189" s="106"/>
      <c r="AT189" s="106"/>
      <c r="AU189" s="106"/>
      <c r="AV189" s="106"/>
      <c r="AW189" s="106"/>
      <c r="AX189" s="106"/>
      <c r="AY189" s="106"/>
    </row>
    <row r="190" spans="1:51" s="20" customFormat="1" ht="21" customHeight="1">
      <c r="A190" s="197"/>
      <c r="B190" s="87"/>
      <c r="C190" s="87"/>
      <c r="D190" s="196"/>
      <c r="E190" s="108"/>
      <c r="F190" s="196"/>
      <c r="G190" s="87"/>
      <c r="H190" s="197"/>
      <c r="I190" s="89"/>
      <c r="J190" s="204"/>
      <c r="K190" s="87"/>
      <c r="L190" s="87" t="str" cm="1">
        <f t="array" ref="L190">IF($A190="","",_xlfn.LET(_xlpm.stat,CHOOSE({1,2,3,4,5},$P190,$T190,$X190,$AB190,$AF190),_xlpm.rate,CHOOSE({1,2,3,4,5},$R190,$V190,$Z190,$AD190,$AH190),_xlpm.trn,CHOOSE({1,2,3,4,5},$S190,$W190,$AA190,$AE190,$AI190),_xlpm.nsC,SUMPRODUCT(--(_xlpm.stat="Ready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DLR",IF(AND(_xlpm.actRS&gt;0,_xlpm.actDone&lt;_xlpm.actRS),"Training",IF(_xlpm.actRS&gt;0,"Active",IF(AND(_xlpm.decC&gt;0,_xlpm.inPlay+_xlpm.actC=0),"Dead",IF(AND($AJ190&lt;&gt;"",$AK190=FALSE),"Waiting on Dealer",IF(_xlpm.subC&gt;0,"Waiting on Lender",IF(AND(_xlpm.appC+_xlpm.actC&gt;0,_xlpm.nsC+_xlpm.wdC=0),"Rate Sheet","Application Submitted")))))))))</f>
        <v/>
      </c>
      <c r="M190" s="87"/>
      <c r="N190" s="87"/>
      <c r="O190" s="197"/>
      <c r="P190" s="87" t="str">
        <f>IF($A190="","",IF($AK190=TRUE,"Ready 2 Submit","Waiting on Dealer"))</f>
        <v/>
      </c>
      <c r="Q190" s="148"/>
      <c r="R190" s="87"/>
      <c r="S190" s="87"/>
      <c r="T190" s="87" t="str">
        <f>IF($A190="","",IF($AK190=TRUE,"Ready 2 Submit","Waiting on Dealer"))</f>
        <v/>
      </c>
      <c r="U190" s="148"/>
      <c r="V190" s="87"/>
      <c r="W190" s="87"/>
      <c r="X190" s="87" t="str">
        <f>IF($A190="","",IF($AK190=TRUE,"Ready 2 Submit","Waiting on Dealer"))</f>
        <v/>
      </c>
      <c r="Y190" s="148"/>
      <c r="Z190" s="87"/>
      <c r="AA190" s="87"/>
      <c r="AB190" s="87" t="str">
        <f>IF($A190="","",IF($AK190=TRUE,"Ready 2 Submit","Waiting on Dealer"))</f>
        <v/>
      </c>
      <c r="AC190" s="148"/>
      <c r="AD190" s="87"/>
      <c r="AE190" s="87"/>
      <c r="AF190" s="87" t="str">
        <f>IF($A190="","",IF($AK190=TRUE,"Ready 2 Submit","Waiting on Dealer"))</f>
        <v/>
      </c>
      <c r="AG190" s="148"/>
      <c r="AH190" s="87"/>
      <c r="AI190" s="87"/>
      <c r="AJ190" s="197"/>
      <c r="AK190" s="110" t="b">
        <v>0</v>
      </c>
      <c r="AL190" s="87" t="str" cm="1">
        <f t="array" ref="AL190">IF($A190="","",SUMPRODUCT((CHOOSE({1,2,3,4,5},$R190,$V190,$Z190,$AD190,$AH190)="Yes")*(((CHOOSE({1,2,3,4,5},$S190,$W190,$AA190,$AE190,$AI190)="Yes")+(CHOOSE({1,2,3,4,5},$S190,$W190,$AA190,$AE190,$AI190)=TRUE))&gt;0)))</f>
        <v/>
      </c>
      <c r="AM190" s="87"/>
      <c r="AN190" s="87" t="str">
        <f ca="1">IF(OR($A190="",$AM190=""),"",TODAY()-$AM190)</f>
        <v/>
      </c>
      <c r="AO190" s="87"/>
      <c r="AP190" s="106"/>
      <c r="AQ190" s="106"/>
      <c r="AR190" s="106"/>
      <c r="AS190" s="106"/>
      <c r="AT190" s="106"/>
      <c r="AU190" s="106"/>
      <c r="AV190" s="106"/>
      <c r="AW190" s="106"/>
      <c r="AX190" s="106"/>
      <c r="AY190" s="106"/>
    </row>
    <row r="191" spans="1:51" s="20" customFormat="1" ht="21" customHeight="1">
      <c r="A191" s="197"/>
      <c r="B191" s="87"/>
      <c r="C191" s="87"/>
      <c r="D191" s="196"/>
      <c r="E191" s="108"/>
      <c r="F191" s="196"/>
      <c r="G191" s="87"/>
      <c r="H191" s="197"/>
      <c r="I191" s="89"/>
      <c r="J191" s="204"/>
      <c r="K191" s="87"/>
      <c r="L191" s="87" t="str" cm="1">
        <f t="array" ref="L191">IF($A191="","",_xlfn.LET(_xlpm.stat,CHOOSE({1,2,3,4,5},$P191,$T191,$X191,$AB191,$AF191),_xlpm.rate,CHOOSE({1,2,3,4,5},$R191,$V191,$Z191,$AD191,$AH191),_xlpm.trn,CHOOSE({1,2,3,4,5},$S191,$W191,$AA191,$AE191,$AI191),_xlpm.nsC,SUMPRODUCT(--(_xlpm.stat="Ready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DLR",IF(AND(_xlpm.actRS&gt;0,_xlpm.actDone&lt;_xlpm.actRS),"Training",IF(_xlpm.actRS&gt;0,"Active",IF(AND(_xlpm.decC&gt;0,_xlpm.inPlay+_xlpm.actC=0),"Dead",IF(AND($AJ191&lt;&gt;"",$AK191=FALSE),"Waiting on Dealer",IF(_xlpm.subC&gt;0,"Waiting on Lender",IF(AND(_xlpm.appC+_xlpm.actC&gt;0,_xlpm.nsC+_xlpm.wdC=0),"Rate Sheet","Application Submitted")))))))))</f>
        <v/>
      </c>
      <c r="M191" s="87"/>
      <c r="N191" s="87"/>
      <c r="O191" s="197"/>
      <c r="P191" s="87" t="str">
        <f>IF($A191="","",IF($AK191=TRUE,"Ready 2 Submit","Waiting on Dealer"))</f>
        <v/>
      </c>
      <c r="Q191" s="148"/>
      <c r="R191" s="87"/>
      <c r="S191" s="87"/>
      <c r="T191" s="87" t="str">
        <f>IF($A191="","",IF($AK191=TRUE,"Ready 2 Submit","Waiting on Dealer"))</f>
        <v/>
      </c>
      <c r="U191" s="148"/>
      <c r="V191" s="87"/>
      <c r="W191" s="87"/>
      <c r="X191" s="87" t="str">
        <f>IF($A191="","",IF($AK191=TRUE,"Ready 2 Submit","Waiting on Dealer"))</f>
        <v/>
      </c>
      <c r="Y191" s="148"/>
      <c r="Z191" s="87"/>
      <c r="AA191" s="87"/>
      <c r="AB191" s="87" t="str">
        <f>IF($A191="","",IF($AK191=TRUE,"Ready 2 Submit","Waiting on Dealer"))</f>
        <v/>
      </c>
      <c r="AC191" s="148"/>
      <c r="AD191" s="87"/>
      <c r="AE191" s="87"/>
      <c r="AF191" s="87" t="str">
        <f>IF($A191="","",IF($AK191=TRUE,"Ready 2 Submit","Waiting on Dealer"))</f>
        <v/>
      </c>
      <c r="AG191" s="148"/>
      <c r="AH191" s="87"/>
      <c r="AI191" s="87"/>
      <c r="AJ191" s="197"/>
      <c r="AK191" s="110" t="b">
        <v>0</v>
      </c>
      <c r="AL191" s="87" t="str" cm="1">
        <f t="array" ref="AL191">IF($A191="","",SUMPRODUCT((CHOOSE({1,2,3,4,5},$R191,$V191,$Z191,$AD191,$AH191)="Yes")*(((CHOOSE({1,2,3,4,5},$S191,$W191,$AA191,$AE191,$AI191)="Yes")+(CHOOSE({1,2,3,4,5},$S191,$W191,$AA191,$AE191,$AI191)=TRUE))&gt;0)))</f>
        <v/>
      </c>
      <c r="AM191" s="87"/>
      <c r="AN191" s="87" t="str">
        <f ca="1">IF(OR($A191="",$AM191=""),"",TODAY()-$AM191)</f>
        <v/>
      </c>
      <c r="AO191" s="87"/>
      <c r="AP191" s="106"/>
      <c r="AQ191" s="106"/>
      <c r="AR191" s="106"/>
      <c r="AS191" s="106"/>
      <c r="AT191" s="106"/>
      <c r="AU191" s="106"/>
      <c r="AV191" s="106"/>
      <c r="AW191" s="106"/>
      <c r="AX191" s="106"/>
      <c r="AY191" s="106"/>
    </row>
    <row r="192" spans="1:51" s="20" customFormat="1" ht="21" customHeight="1">
      <c r="A192" s="197"/>
      <c r="B192" s="87"/>
      <c r="C192" s="87"/>
      <c r="D192" s="196"/>
      <c r="E192" s="108"/>
      <c r="F192" s="196"/>
      <c r="G192" s="87"/>
      <c r="H192" s="197"/>
      <c r="I192" s="89"/>
      <c r="J192" s="204"/>
      <c r="K192" s="87"/>
      <c r="L192" s="87" t="str" cm="1">
        <f t="array" ref="L192">IF($A192="","",_xlfn.LET(_xlpm.stat,CHOOSE({1,2,3,4,5},$P192,$T192,$X192,$AB192,$AF192),_xlpm.rate,CHOOSE({1,2,3,4,5},$R192,$V192,$Z192,$AD192,$AH192),_xlpm.trn,CHOOSE({1,2,3,4,5},$S192,$W192,$AA192,$AE192,$AI192),_xlpm.nsC,SUMPRODUCT(--(_xlpm.stat="Ready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DLR",IF(AND(_xlpm.actRS&gt;0,_xlpm.actDone&lt;_xlpm.actRS),"Training",IF(_xlpm.actRS&gt;0,"Active",IF(AND(_xlpm.decC&gt;0,_xlpm.inPlay+_xlpm.actC=0),"Dead",IF(AND($AJ192&lt;&gt;"",$AK192=FALSE),"Waiting on Dealer",IF(_xlpm.subC&gt;0,"Waiting on Lender",IF(AND(_xlpm.appC+_xlpm.actC&gt;0,_xlpm.nsC+_xlpm.wdC=0),"Rate Sheet","Application Submitted")))))))))</f>
        <v/>
      </c>
      <c r="M192" s="87"/>
      <c r="N192" s="87"/>
      <c r="O192" s="197"/>
      <c r="P192" s="87" t="str">
        <f>IF($A192="","",IF($AK192=TRUE,"Ready 2 Submit","Waiting on Dealer"))</f>
        <v/>
      </c>
      <c r="Q192" s="148"/>
      <c r="R192" s="87"/>
      <c r="S192" s="87"/>
      <c r="T192" s="87" t="str">
        <f>IF($A192="","",IF($AK192=TRUE,"Ready 2 Submit","Waiting on Dealer"))</f>
        <v/>
      </c>
      <c r="U192" s="148"/>
      <c r="V192" s="87"/>
      <c r="W192" s="87"/>
      <c r="X192" s="87" t="str">
        <f>IF($A192="","",IF($AK192=TRUE,"Ready 2 Submit","Waiting on Dealer"))</f>
        <v/>
      </c>
      <c r="Y192" s="148"/>
      <c r="Z192" s="87"/>
      <c r="AA192" s="87"/>
      <c r="AB192" s="87" t="str">
        <f>IF($A192="","",IF($AK192=TRUE,"Ready 2 Submit","Waiting on Dealer"))</f>
        <v/>
      </c>
      <c r="AC192" s="148"/>
      <c r="AD192" s="87"/>
      <c r="AE192" s="87"/>
      <c r="AF192" s="87" t="str">
        <f>IF($A192="","",IF($AK192=TRUE,"Ready 2 Submit","Waiting on Dealer"))</f>
        <v/>
      </c>
      <c r="AG192" s="148"/>
      <c r="AH192" s="87"/>
      <c r="AI192" s="87"/>
      <c r="AJ192" s="197"/>
      <c r="AK192" s="110" t="b">
        <v>0</v>
      </c>
      <c r="AL192" s="87" t="str" cm="1">
        <f t="array" ref="AL192">IF($A192="","",SUMPRODUCT((CHOOSE({1,2,3,4,5},$R192,$V192,$Z192,$AD192,$AH192)="Yes")*(((CHOOSE({1,2,3,4,5},$S192,$W192,$AA192,$AE192,$AI192)="Yes")+(CHOOSE({1,2,3,4,5},$S192,$W192,$AA192,$AE192,$AI192)=TRUE))&gt;0)))</f>
        <v/>
      </c>
      <c r="AM192" s="87"/>
      <c r="AN192" s="87" t="str">
        <f ca="1">IF(OR($A192="",$AM192=""),"",TODAY()-$AM192)</f>
        <v/>
      </c>
      <c r="AO192" s="87"/>
      <c r="AP192" s="106"/>
      <c r="AQ192" s="106"/>
      <c r="AR192" s="106"/>
      <c r="AS192" s="106"/>
      <c r="AT192" s="106"/>
      <c r="AU192" s="106"/>
      <c r="AV192" s="106"/>
      <c r="AW192" s="106"/>
      <c r="AX192" s="106"/>
      <c r="AY192" s="106"/>
    </row>
    <row r="193" spans="1:51" s="20" customFormat="1" ht="21" customHeight="1">
      <c r="A193" s="197"/>
      <c r="B193" s="87"/>
      <c r="C193" s="87"/>
      <c r="D193" s="196"/>
      <c r="E193" s="108"/>
      <c r="F193" s="196"/>
      <c r="G193" s="87"/>
      <c r="H193" s="197"/>
      <c r="I193" s="89"/>
      <c r="J193" s="204"/>
      <c r="K193" s="87"/>
      <c r="L193" s="87" t="str" cm="1">
        <f t="array" ref="L193">IF($A193="","",_xlfn.LET(_xlpm.stat,CHOOSE({1,2,3,4,5},$P193,$T193,$X193,$AB193,$AF193),_xlpm.rate,CHOOSE({1,2,3,4,5},$R193,$V193,$Z193,$AD193,$AH193),_xlpm.trn,CHOOSE({1,2,3,4,5},$S193,$W193,$AA193,$AE193,$AI193),_xlpm.nsC,SUMPRODUCT(--(_xlpm.stat="Ready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DLR",IF(AND(_xlpm.actRS&gt;0,_xlpm.actDone&lt;_xlpm.actRS),"Training",IF(_xlpm.actRS&gt;0,"Active",IF(AND(_xlpm.decC&gt;0,_xlpm.inPlay+_xlpm.actC=0),"Dead",IF(AND($AJ193&lt;&gt;"",$AK193=FALSE),"Waiting on Dealer",IF(_xlpm.subC&gt;0,"Waiting on Lender",IF(AND(_xlpm.appC+_xlpm.actC&gt;0,_xlpm.nsC+_xlpm.wdC=0),"Rate Sheet","Application Submitted")))))))))</f>
        <v/>
      </c>
      <c r="M193" s="87"/>
      <c r="N193" s="87"/>
      <c r="O193" s="197"/>
      <c r="P193" s="87" t="str">
        <f>IF($A193="","",IF($AK193=TRUE,"Ready 2 Submit","Waiting on Dealer"))</f>
        <v/>
      </c>
      <c r="Q193" s="148"/>
      <c r="R193" s="87"/>
      <c r="S193" s="87"/>
      <c r="T193" s="87" t="str">
        <f>IF($A193="","",IF($AK193=TRUE,"Ready 2 Submit","Waiting on Dealer"))</f>
        <v/>
      </c>
      <c r="U193" s="148"/>
      <c r="V193" s="87"/>
      <c r="W193" s="87"/>
      <c r="X193" s="87" t="str">
        <f>IF($A193="","",IF($AK193=TRUE,"Ready 2 Submit","Waiting on Dealer"))</f>
        <v/>
      </c>
      <c r="Y193" s="148"/>
      <c r="Z193" s="87"/>
      <c r="AA193" s="87"/>
      <c r="AB193" s="87" t="str">
        <f>IF($A193="","",IF($AK193=TRUE,"Ready 2 Submit","Waiting on Dealer"))</f>
        <v/>
      </c>
      <c r="AC193" s="148"/>
      <c r="AD193" s="87"/>
      <c r="AE193" s="87"/>
      <c r="AF193" s="87" t="str">
        <f>IF($A193="","",IF($AK193=TRUE,"Ready 2 Submit","Waiting on Dealer"))</f>
        <v/>
      </c>
      <c r="AG193" s="148"/>
      <c r="AH193" s="87"/>
      <c r="AI193" s="87"/>
      <c r="AJ193" s="197"/>
      <c r="AK193" s="110" t="b">
        <v>0</v>
      </c>
      <c r="AL193" s="87" t="str" cm="1">
        <f t="array" ref="AL193">IF($A193="","",SUMPRODUCT((CHOOSE({1,2,3,4,5},$R193,$V193,$Z193,$AD193,$AH193)="Yes")*(((CHOOSE({1,2,3,4,5},$S193,$W193,$AA193,$AE193,$AI193)="Yes")+(CHOOSE({1,2,3,4,5},$S193,$W193,$AA193,$AE193,$AI193)=TRUE))&gt;0)))</f>
        <v/>
      </c>
      <c r="AM193" s="87"/>
      <c r="AN193" s="87" t="str">
        <f ca="1">IF(OR($A193="",$AM193=""),"",TODAY()-$AM193)</f>
        <v/>
      </c>
      <c r="AO193" s="87"/>
      <c r="AP193" s="106"/>
      <c r="AQ193" s="106"/>
      <c r="AR193" s="106"/>
      <c r="AS193" s="106"/>
      <c r="AT193" s="106"/>
      <c r="AU193" s="106"/>
      <c r="AV193" s="106"/>
      <c r="AW193" s="106"/>
      <c r="AX193" s="106"/>
      <c r="AY193" s="106"/>
    </row>
    <row r="194" spans="1:51" s="20" customFormat="1" ht="21" customHeight="1">
      <c r="A194" s="197"/>
      <c r="B194" s="87"/>
      <c r="C194" s="87"/>
      <c r="D194" s="196"/>
      <c r="E194" s="108"/>
      <c r="F194" s="196"/>
      <c r="G194" s="87"/>
      <c r="H194" s="197"/>
      <c r="I194" s="89"/>
      <c r="J194" s="204"/>
      <c r="K194" s="87"/>
      <c r="L194" s="87" t="str" cm="1">
        <f t="array" ref="L194">IF($A194="","",_xlfn.LET(_xlpm.stat,CHOOSE({1,2,3,4,5},$P194,$T194,$X194,$AB194,$AF194),_xlpm.rate,CHOOSE({1,2,3,4,5},$R194,$V194,$Z194,$AD194,$AH194),_xlpm.trn,CHOOSE({1,2,3,4,5},$S194,$W194,$AA194,$AE194,$AI194),_xlpm.nsC,SUMPRODUCT(--(_xlpm.stat="Ready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DLR",IF(AND(_xlpm.actRS&gt;0,_xlpm.actDone&lt;_xlpm.actRS),"Training",IF(_xlpm.actRS&gt;0,"Active",IF(AND(_xlpm.decC&gt;0,_xlpm.inPlay+_xlpm.actC=0),"Dead",IF(AND($AJ194&lt;&gt;"",$AK194=FALSE),"Waiting on Dealer",IF(_xlpm.subC&gt;0,"Waiting on Lender",IF(AND(_xlpm.appC+_xlpm.actC&gt;0,_xlpm.nsC+_xlpm.wdC=0),"Rate Sheet","Application Submitted")))))))))</f>
        <v/>
      </c>
      <c r="M194" s="87"/>
      <c r="N194" s="87"/>
      <c r="O194" s="197"/>
      <c r="P194" s="87" t="str">
        <f>IF($A194="","",IF($AK194=TRUE,"Ready 2 Submit","Waiting on Dealer"))</f>
        <v/>
      </c>
      <c r="Q194" s="148"/>
      <c r="R194" s="87"/>
      <c r="S194" s="87"/>
      <c r="T194" s="87" t="str">
        <f>IF($A194="","",IF($AK194=TRUE,"Ready 2 Submit","Waiting on Dealer"))</f>
        <v/>
      </c>
      <c r="U194" s="148"/>
      <c r="V194" s="87"/>
      <c r="W194" s="87"/>
      <c r="X194" s="87" t="str">
        <f>IF($A194="","",IF($AK194=TRUE,"Ready 2 Submit","Waiting on Dealer"))</f>
        <v/>
      </c>
      <c r="Y194" s="148"/>
      <c r="Z194" s="87"/>
      <c r="AA194" s="87"/>
      <c r="AB194" s="87" t="str">
        <f>IF($A194="","",IF($AK194=TRUE,"Ready 2 Submit","Waiting on Dealer"))</f>
        <v/>
      </c>
      <c r="AC194" s="148"/>
      <c r="AD194" s="87"/>
      <c r="AE194" s="87"/>
      <c r="AF194" s="87" t="str">
        <f>IF($A194="","",IF($AK194=TRUE,"Ready 2 Submit","Waiting on Dealer"))</f>
        <v/>
      </c>
      <c r="AG194" s="148"/>
      <c r="AH194" s="87"/>
      <c r="AI194" s="87"/>
      <c r="AJ194" s="197"/>
      <c r="AK194" s="110" t="b">
        <v>0</v>
      </c>
      <c r="AL194" s="87" t="str" cm="1">
        <f t="array" ref="AL194">IF($A194="","",SUMPRODUCT((CHOOSE({1,2,3,4,5},$R194,$V194,$Z194,$AD194,$AH194)="Yes")*(((CHOOSE({1,2,3,4,5},$S194,$W194,$AA194,$AE194,$AI194)="Yes")+(CHOOSE({1,2,3,4,5},$S194,$W194,$AA194,$AE194,$AI194)=TRUE))&gt;0)))</f>
        <v/>
      </c>
      <c r="AM194" s="87"/>
      <c r="AN194" s="87" t="str">
        <f ca="1">IF(OR($A194="",$AM194=""),"",TODAY()-$AM194)</f>
        <v/>
      </c>
      <c r="AO194" s="87"/>
      <c r="AP194" s="106"/>
      <c r="AQ194" s="106"/>
      <c r="AR194" s="106"/>
      <c r="AS194" s="106"/>
      <c r="AT194" s="106"/>
      <c r="AU194" s="106"/>
      <c r="AV194" s="106"/>
      <c r="AW194" s="106"/>
      <c r="AX194" s="106"/>
      <c r="AY194" s="106"/>
    </row>
    <row r="195" spans="1:51" s="20" customFormat="1" ht="21" customHeight="1">
      <c r="A195" s="197"/>
      <c r="B195" s="87"/>
      <c r="C195" s="87"/>
      <c r="D195" s="196"/>
      <c r="E195" s="108"/>
      <c r="F195" s="196"/>
      <c r="G195" s="87"/>
      <c r="H195" s="197"/>
      <c r="I195" s="89"/>
      <c r="J195" s="204"/>
      <c r="K195" s="87"/>
      <c r="L195" s="87" t="str" cm="1">
        <f t="array" ref="L195">IF($A195="","",_xlfn.LET(_xlpm.stat,CHOOSE({1,2,3,4,5},$P195,$T195,$X195,$AB195,$AF195),_xlpm.rate,CHOOSE({1,2,3,4,5},$R195,$V195,$Z195,$AD195,$AH195),_xlpm.trn,CHOOSE({1,2,3,4,5},$S195,$W195,$AA195,$AE195,$AI195),_xlpm.nsC,SUMPRODUCT(--(_xlpm.stat="Ready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DLR",IF(AND(_xlpm.actRS&gt;0,_xlpm.actDone&lt;_xlpm.actRS),"Training",IF(_xlpm.actRS&gt;0,"Active",IF(AND(_xlpm.decC&gt;0,_xlpm.inPlay+_xlpm.actC=0),"Dead",IF(AND($AJ195&lt;&gt;"",$AK195=FALSE),"Waiting on Dealer",IF(_xlpm.subC&gt;0,"Waiting on Lender",IF(AND(_xlpm.appC+_xlpm.actC&gt;0,_xlpm.nsC+_xlpm.wdC=0),"Rate Sheet","Application Submitted")))))))))</f>
        <v/>
      </c>
      <c r="M195" s="87"/>
      <c r="N195" s="87"/>
      <c r="O195" s="197"/>
      <c r="P195" s="87" t="str">
        <f>IF($A195="","",IF($AK195=TRUE,"Ready 2 Submit","Waiting on Dealer"))</f>
        <v/>
      </c>
      <c r="Q195" s="148"/>
      <c r="R195" s="87"/>
      <c r="S195" s="87"/>
      <c r="T195" s="87" t="str">
        <f>IF($A195="","",IF($AK195=TRUE,"Ready 2 Submit","Waiting on Dealer"))</f>
        <v/>
      </c>
      <c r="U195" s="148"/>
      <c r="V195" s="87"/>
      <c r="W195" s="87"/>
      <c r="X195" s="87" t="str">
        <f>IF($A195="","",IF($AK195=TRUE,"Ready 2 Submit","Waiting on Dealer"))</f>
        <v/>
      </c>
      <c r="Y195" s="148"/>
      <c r="Z195" s="87"/>
      <c r="AA195" s="87"/>
      <c r="AB195" s="87" t="str">
        <f>IF($A195="","",IF($AK195=TRUE,"Ready 2 Submit","Waiting on Dealer"))</f>
        <v/>
      </c>
      <c r="AC195" s="148"/>
      <c r="AD195" s="87"/>
      <c r="AE195" s="87"/>
      <c r="AF195" s="87" t="str">
        <f>IF($A195="","",IF($AK195=TRUE,"Ready 2 Submit","Waiting on Dealer"))</f>
        <v/>
      </c>
      <c r="AG195" s="148"/>
      <c r="AH195" s="87"/>
      <c r="AI195" s="87"/>
      <c r="AJ195" s="197"/>
      <c r="AK195" s="110" t="b">
        <v>0</v>
      </c>
      <c r="AL195" s="87" t="str" cm="1">
        <f t="array" ref="AL195">IF($A195="","",SUMPRODUCT((CHOOSE({1,2,3,4,5},$R195,$V195,$Z195,$AD195,$AH195)="Yes")*(((CHOOSE({1,2,3,4,5},$S195,$W195,$AA195,$AE195,$AI195)="Yes")+(CHOOSE({1,2,3,4,5},$S195,$W195,$AA195,$AE195,$AI195)=TRUE))&gt;0)))</f>
        <v/>
      </c>
      <c r="AM195" s="87"/>
      <c r="AN195" s="87" t="str">
        <f ca="1">IF(OR($A195="",$AM195=""),"",TODAY()-$AM195)</f>
        <v/>
      </c>
      <c r="AO195" s="87"/>
      <c r="AP195" s="106"/>
      <c r="AQ195" s="106"/>
      <c r="AR195" s="106"/>
      <c r="AS195" s="106"/>
      <c r="AT195" s="106"/>
      <c r="AU195" s="106"/>
      <c r="AV195" s="106"/>
      <c r="AW195" s="106"/>
      <c r="AX195" s="106"/>
      <c r="AY195" s="106"/>
    </row>
    <row r="196" spans="1:51" s="20" customFormat="1" ht="21" customHeight="1">
      <c r="A196" s="197"/>
      <c r="B196" s="87"/>
      <c r="C196" s="87"/>
      <c r="D196" s="196"/>
      <c r="E196" s="108"/>
      <c r="F196" s="196"/>
      <c r="G196" s="87"/>
      <c r="H196" s="197"/>
      <c r="I196" s="89"/>
      <c r="J196" s="204"/>
      <c r="K196" s="87"/>
      <c r="L196" s="87" t="str" cm="1">
        <f t="array" ref="L196">IF($A196="","",_xlfn.LET(_xlpm.stat,CHOOSE({1,2,3,4,5},$P196,$T196,$X196,$AB196,$AF196),_xlpm.rate,CHOOSE({1,2,3,4,5},$R196,$V196,$Z196,$AD196,$AH196),_xlpm.trn,CHOOSE({1,2,3,4,5},$S196,$W196,$AA196,$AE196,$AI196),_xlpm.nsC,SUMPRODUCT(--(_xlpm.stat="Ready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DLR",IF(AND(_xlpm.actRS&gt;0,_xlpm.actDone&lt;_xlpm.actRS),"Training",IF(_xlpm.actRS&gt;0,"Active",IF(AND(_xlpm.decC&gt;0,_xlpm.inPlay+_xlpm.actC=0),"Dead",IF(AND($AJ196&lt;&gt;"",$AK196=FALSE),"Waiting on Dealer",IF(_xlpm.subC&gt;0,"Waiting on Lender",IF(AND(_xlpm.appC+_xlpm.actC&gt;0,_xlpm.nsC+_xlpm.wdC=0),"Rate Sheet","Application Submitted")))))))))</f>
        <v/>
      </c>
      <c r="M196" s="87"/>
      <c r="N196" s="87"/>
      <c r="O196" s="197"/>
      <c r="P196" s="87" t="str">
        <f>IF($A196="","",IF($AK196=TRUE,"Ready 2 Submit","Waiting on Dealer"))</f>
        <v/>
      </c>
      <c r="Q196" s="148"/>
      <c r="R196" s="87"/>
      <c r="S196" s="87"/>
      <c r="T196" s="87" t="str">
        <f>IF($A196="","",IF($AK196=TRUE,"Ready 2 Submit","Waiting on Dealer"))</f>
        <v/>
      </c>
      <c r="U196" s="148"/>
      <c r="V196" s="87"/>
      <c r="W196" s="87"/>
      <c r="X196" s="87" t="str">
        <f>IF($A196="","",IF($AK196=TRUE,"Ready 2 Submit","Waiting on Dealer"))</f>
        <v/>
      </c>
      <c r="Y196" s="148"/>
      <c r="Z196" s="87"/>
      <c r="AA196" s="87"/>
      <c r="AB196" s="87" t="str">
        <f>IF($A196="","",IF($AK196=TRUE,"Ready 2 Submit","Waiting on Dealer"))</f>
        <v/>
      </c>
      <c r="AC196" s="148"/>
      <c r="AD196" s="87"/>
      <c r="AE196" s="87"/>
      <c r="AF196" s="87" t="str">
        <f>IF($A196="","",IF($AK196=TRUE,"Ready 2 Submit","Waiting on Dealer"))</f>
        <v/>
      </c>
      <c r="AG196" s="148"/>
      <c r="AH196" s="87"/>
      <c r="AI196" s="87"/>
      <c r="AJ196" s="197"/>
      <c r="AK196" s="110" t="b">
        <v>0</v>
      </c>
      <c r="AL196" s="87" t="str" cm="1">
        <f t="array" ref="AL196">IF($A196="","",SUMPRODUCT((CHOOSE({1,2,3,4,5},$R196,$V196,$Z196,$AD196,$AH196)="Yes")*(((CHOOSE({1,2,3,4,5},$S196,$W196,$AA196,$AE196,$AI196)="Yes")+(CHOOSE({1,2,3,4,5},$S196,$W196,$AA196,$AE196,$AI196)=TRUE))&gt;0)))</f>
        <v/>
      </c>
      <c r="AM196" s="87"/>
      <c r="AN196" s="87" t="str">
        <f ca="1">IF(OR($A196="",$AM196=""),"",TODAY()-$AM196)</f>
        <v/>
      </c>
      <c r="AO196" s="87"/>
      <c r="AP196" s="106"/>
      <c r="AQ196" s="106"/>
      <c r="AR196" s="106"/>
      <c r="AS196" s="106"/>
      <c r="AT196" s="106"/>
      <c r="AU196" s="106"/>
      <c r="AV196" s="106"/>
      <c r="AW196" s="106"/>
      <c r="AX196" s="106"/>
      <c r="AY196" s="106"/>
    </row>
    <row r="197" spans="1:51" s="20" customFormat="1" ht="21" customHeight="1">
      <c r="A197" s="197"/>
      <c r="B197" s="87"/>
      <c r="C197" s="87"/>
      <c r="D197" s="196"/>
      <c r="E197" s="108"/>
      <c r="F197" s="196"/>
      <c r="G197" s="87"/>
      <c r="H197" s="197"/>
      <c r="I197" s="89"/>
      <c r="J197" s="204"/>
      <c r="K197" s="87"/>
      <c r="L197" s="87" t="str" cm="1">
        <f t="array" ref="L197">IF($A197="","",_xlfn.LET(_xlpm.stat,CHOOSE({1,2,3,4,5},$P197,$T197,$X197,$AB197,$AF197),_xlpm.rate,CHOOSE({1,2,3,4,5},$R197,$V197,$Z197,$AD197,$AH197),_xlpm.trn,CHOOSE({1,2,3,4,5},$S197,$W197,$AA197,$AE197,$AI197),_xlpm.nsC,SUMPRODUCT(--(_xlpm.stat="Ready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DLR",IF(AND(_xlpm.actRS&gt;0,_xlpm.actDone&lt;_xlpm.actRS),"Training",IF(_xlpm.actRS&gt;0,"Active",IF(AND(_xlpm.decC&gt;0,_xlpm.inPlay+_xlpm.actC=0),"Dead",IF(AND($AJ197&lt;&gt;"",$AK197=FALSE),"Waiting on Dealer",IF(_xlpm.subC&gt;0,"Waiting on Lender",IF(AND(_xlpm.appC+_xlpm.actC&gt;0,_xlpm.nsC+_xlpm.wdC=0),"Rate Sheet","Application Submitted")))))))))</f>
        <v/>
      </c>
      <c r="M197" s="87"/>
      <c r="N197" s="87"/>
      <c r="O197" s="197"/>
      <c r="P197" s="87" t="str">
        <f>IF($A197="","",IF($AK197=TRUE,"Ready 2 Submit","Waiting on Dealer"))</f>
        <v/>
      </c>
      <c r="Q197" s="148"/>
      <c r="R197" s="87"/>
      <c r="S197" s="87"/>
      <c r="T197" s="87" t="str">
        <f>IF($A197="","",IF($AK197=TRUE,"Ready 2 Submit","Waiting on Dealer"))</f>
        <v/>
      </c>
      <c r="U197" s="148"/>
      <c r="V197" s="87"/>
      <c r="W197" s="87"/>
      <c r="X197" s="87" t="str">
        <f>IF($A197="","",IF($AK197=TRUE,"Ready 2 Submit","Waiting on Dealer"))</f>
        <v/>
      </c>
      <c r="Y197" s="148"/>
      <c r="Z197" s="87"/>
      <c r="AA197" s="87"/>
      <c r="AB197" s="87" t="str">
        <f>IF($A197="","",IF($AK197=TRUE,"Ready 2 Submit","Waiting on Dealer"))</f>
        <v/>
      </c>
      <c r="AC197" s="148"/>
      <c r="AD197" s="87"/>
      <c r="AE197" s="87"/>
      <c r="AF197" s="87" t="str">
        <f>IF($A197="","",IF($AK197=TRUE,"Ready 2 Submit","Waiting on Dealer"))</f>
        <v/>
      </c>
      <c r="AG197" s="148"/>
      <c r="AH197" s="87"/>
      <c r="AI197" s="87"/>
      <c r="AJ197" s="197"/>
      <c r="AK197" s="110" t="b">
        <v>0</v>
      </c>
      <c r="AL197" s="87" t="str" cm="1">
        <f t="array" ref="AL197">IF($A197="","",SUMPRODUCT((CHOOSE({1,2,3,4,5},$R197,$V197,$Z197,$AD197,$AH197)="Yes")*(((CHOOSE({1,2,3,4,5},$S197,$W197,$AA197,$AE197,$AI197)="Yes")+(CHOOSE({1,2,3,4,5},$S197,$W197,$AA197,$AE197,$AI197)=TRUE))&gt;0)))</f>
        <v/>
      </c>
      <c r="AM197" s="87"/>
      <c r="AN197" s="87" t="str">
        <f ca="1">IF(OR($A197="",$AM197=""),"",TODAY()-$AM197)</f>
        <v/>
      </c>
      <c r="AO197" s="87"/>
      <c r="AP197" s="106"/>
      <c r="AQ197" s="106"/>
      <c r="AR197" s="106"/>
      <c r="AS197" s="106"/>
      <c r="AT197" s="106"/>
      <c r="AU197" s="106"/>
      <c r="AV197" s="106"/>
      <c r="AW197" s="106"/>
      <c r="AX197" s="106"/>
      <c r="AY197" s="106"/>
    </row>
    <row r="198" spans="1:51" s="20" customFormat="1" ht="21" customHeight="1">
      <c r="A198" s="197"/>
      <c r="B198" s="87"/>
      <c r="C198" s="87"/>
      <c r="D198" s="196"/>
      <c r="E198" s="108"/>
      <c r="F198" s="196"/>
      <c r="G198" s="87"/>
      <c r="H198" s="197"/>
      <c r="I198" s="89"/>
      <c r="J198" s="204"/>
      <c r="K198" s="87"/>
      <c r="L198" s="87" t="str" cm="1">
        <f t="array" ref="L198">IF($A198="","",_xlfn.LET(_xlpm.stat,CHOOSE({1,2,3,4,5},$P198,$T198,$X198,$AB198,$AF198),_xlpm.rate,CHOOSE({1,2,3,4,5},$R198,$V198,$Z198,$AD198,$AH198),_xlpm.trn,CHOOSE({1,2,3,4,5},$S198,$W198,$AA198,$AE198,$AI198),_xlpm.nsC,SUMPRODUCT(--(_xlpm.stat="Ready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DLR",IF(AND(_xlpm.actRS&gt;0,_xlpm.actDone&lt;_xlpm.actRS),"Training",IF(_xlpm.actRS&gt;0,"Active",IF(AND(_xlpm.decC&gt;0,_xlpm.inPlay+_xlpm.actC=0),"Dead",IF(AND($AJ198&lt;&gt;"",$AK198=FALSE),"Waiting on Dealer",IF(_xlpm.subC&gt;0,"Waiting on Lender",IF(AND(_xlpm.appC+_xlpm.actC&gt;0,_xlpm.nsC+_xlpm.wdC=0),"Rate Sheet","Application Submitted")))))))))</f>
        <v/>
      </c>
      <c r="M198" s="87"/>
      <c r="N198" s="87"/>
      <c r="O198" s="197"/>
      <c r="P198" s="87" t="str">
        <f>IF($A198="","",IF($AK198=TRUE,"Ready 2 Submit","Waiting on Dealer"))</f>
        <v/>
      </c>
      <c r="Q198" s="148"/>
      <c r="R198" s="87"/>
      <c r="S198" s="87"/>
      <c r="T198" s="87" t="str">
        <f>IF($A198="","",IF($AK198=TRUE,"Ready 2 Submit","Waiting on Dealer"))</f>
        <v/>
      </c>
      <c r="U198" s="148"/>
      <c r="V198" s="87"/>
      <c r="W198" s="87"/>
      <c r="X198" s="87" t="str">
        <f>IF($A198="","",IF($AK198=TRUE,"Ready 2 Submit","Waiting on Dealer"))</f>
        <v/>
      </c>
      <c r="Y198" s="148"/>
      <c r="Z198" s="87"/>
      <c r="AA198" s="87"/>
      <c r="AB198" s="87" t="str">
        <f>IF($A198="","",IF($AK198=TRUE,"Ready 2 Submit","Waiting on Dealer"))</f>
        <v/>
      </c>
      <c r="AC198" s="148"/>
      <c r="AD198" s="87"/>
      <c r="AE198" s="87"/>
      <c r="AF198" s="87" t="str">
        <f>IF($A198="","",IF($AK198=TRUE,"Ready 2 Submit","Waiting on Dealer"))</f>
        <v/>
      </c>
      <c r="AG198" s="148"/>
      <c r="AH198" s="87"/>
      <c r="AI198" s="87"/>
      <c r="AJ198" s="197"/>
      <c r="AK198" s="110" t="b">
        <v>0</v>
      </c>
      <c r="AL198" s="87" t="str" cm="1">
        <f t="array" ref="AL198">IF($A198="","",SUMPRODUCT((CHOOSE({1,2,3,4,5},$R198,$V198,$Z198,$AD198,$AH198)="Yes")*(((CHOOSE({1,2,3,4,5},$S198,$W198,$AA198,$AE198,$AI198)="Yes")+(CHOOSE({1,2,3,4,5},$S198,$W198,$AA198,$AE198,$AI198)=TRUE))&gt;0)))</f>
        <v/>
      </c>
      <c r="AM198" s="87"/>
      <c r="AN198" s="87" t="str">
        <f ca="1">IF(OR($A198="",$AM198=""),"",TODAY()-$AM198)</f>
        <v/>
      </c>
      <c r="AO198" s="87"/>
      <c r="AP198" s="106"/>
      <c r="AQ198" s="106"/>
      <c r="AR198" s="106"/>
      <c r="AS198" s="106"/>
      <c r="AT198" s="106"/>
      <c r="AU198" s="106"/>
      <c r="AV198" s="106"/>
      <c r="AW198" s="106"/>
      <c r="AX198" s="106"/>
      <c r="AY198" s="106"/>
    </row>
    <row r="199" spans="1:51" s="20" customFormat="1" ht="21" customHeight="1">
      <c r="A199" s="197"/>
      <c r="B199" s="87"/>
      <c r="C199" s="87"/>
      <c r="D199" s="196"/>
      <c r="E199" s="108"/>
      <c r="F199" s="196"/>
      <c r="G199" s="87"/>
      <c r="H199" s="197"/>
      <c r="I199" s="89"/>
      <c r="J199" s="204"/>
      <c r="K199" s="87"/>
      <c r="L199" s="87" t="str" cm="1">
        <f t="array" ref="L199">IF($A199="","",_xlfn.LET(_xlpm.stat,CHOOSE({1,2,3,4,5},$P199,$T199,$X199,$AB199,$AF199),_xlpm.rate,CHOOSE({1,2,3,4,5},$R199,$V199,$Z199,$AD199,$AH199),_xlpm.trn,CHOOSE({1,2,3,4,5},$S199,$W199,$AA199,$AE199,$AI199),_xlpm.nsC,SUMPRODUCT(--(_xlpm.stat="Ready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DLR",IF(AND(_xlpm.actRS&gt;0,_xlpm.actDone&lt;_xlpm.actRS),"Training",IF(_xlpm.actRS&gt;0,"Active",IF(AND(_xlpm.decC&gt;0,_xlpm.inPlay+_xlpm.actC=0),"Dead",IF(AND($AJ199&lt;&gt;"",$AK199=FALSE),"Waiting on Dealer",IF(_xlpm.subC&gt;0,"Waiting on Lender",IF(AND(_xlpm.appC+_xlpm.actC&gt;0,_xlpm.nsC+_xlpm.wdC=0),"Rate Sheet","Application Submitted")))))))))</f>
        <v/>
      </c>
      <c r="M199" s="87"/>
      <c r="N199" s="87"/>
      <c r="O199" s="197"/>
      <c r="P199" s="87" t="str">
        <f>IF($A199="","",IF($AK199=TRUE,"Ready 2 Submit","Waiting on Dealer"))</f>
        <v/>
      </c>
      <c r="Q199" s="148"/>
      <c r="R199" s="87"/>
      <c r="S199" s="87"/>
      <c r="T199" s="87" t="str">
        <f>IF($A199="","",IF($AK199=TRUE,"Ready 2 Submit","Waiting on Dealer"))</f>
        <v/>
      </c>
      <c r="U199" s="148"/>
      <c r="V199" s="87"/>
      <c r="W199" s="87"/>
      <c r="X199" s="87" t="str">
        <f>IF($A199="","",IF($AK199=TRUE,"Ready 2 Submit","Waiting on Dealer"))</f>
        <v/>
      </c>
      <c r="Y199" s="148"/>
      <c r="Z199" s="87"/>
      <c r="AA199" s="87"/>
      <c r="AB199" s="87" t="str">
        <f>IF($A199="","",IF($AK199=TRUE,"Ready 2 Submit","Waiting on Dealer"))</f>
        <v/>
      </c>
      <c r="AC199" s="148"/>
      <c r="AD199" s="87"/>
      <c r="AE199" s="87"/>
      <c r="AF199" s="87" t="str">
        <f>IF($A199="","",IF($AK199=TRUE,"Ready 2 Submit","Waiting on Dealer"))</f>
        <v/>
      </c>
      <c r="AG199" s="148"/>
      <c r="AH199" s="87"/>
      <c r="AI199" s="87"/>
      <c r="AJ199" s="197"/>
      <c r="AK199" s="110" t="b">
        <v>0</v>
      </c>
      <c r="AL199" s="87" t="str" cm="1">
        <f t="array" ref="AL199">IF($A199="","",SUMPRODUCT((CHOOSE({1,2,3,4,5},$R199,$V199,$Z199,$AD199,$AH199)="Yes")*(((CHOOSE({1,2,3,4,5},$S199,$W199,$AA199,$AE199,$AI199)="Yes")+(CHOOSE({1,2,3,4,5},$S199,$W199,$AA199,$AE199,$AI199)=TRUE))&gt;0)))</f>
        <v/>
      </c>
      <c r="AM199" s="87"/>
      <c r="AN199" s="87" t="str">
        <f ca="1">IF(OR($A199="",$AM199=""),"",TODAY()-$AM199)</f>
        <v/>
      </c>
      <c r="AO199" s="87"/>
      <c r="AP199" s="106"/>
      <c r="AQ199" s="106"/>
      <c r="AR199" s="106"/>
      <c r="AS199" s="106"/>
      <c r="AT199" s="106"/>
      <c r="AU199" s="106"/>
      <c r="AV199" s="106"/>
      <c r="AW199" s="106"/>
      <c r="AX199" s="106"/>
      <c r="AY199" s="106"/>
    </row>
    <row r="200" spans="1:51" s="20" customFormat="1" ht="21" customHeight="1">
      <c r="A200" s="197"/>
      <c r="B200" s="87"/>
      <c r="C200" s="87"/>
      <c r="D200" s="196"/>
      <c r="E200" s="108"/>
      <c r="F200" s="196"/>
      <c r="G200" s="87"/>
      <c r="H200" s="197"/>
      <c r="I200" s="89"/>
      <c r="J200" s="204"/>
      <c r="K200" s="87"/>
      <c r="L200" s="87" t="str" cm="1">
        <f t="array" ref="L200">IF($A200="","",_xlfn.LET(_xlpm.stat,CHOOSE({1,2,3,4,5},$P200,$T200,$X200,$AB200,$AF200),_xlpm.rate,CHOOSE({1,2,3,4,5},$R200,$V200,$Z200,$AD200,$AH200),_xlpm.trn,CHOOSE({1,2,3,4,5},$S200,$W200,$AA200,$AE200,$AI200),_xlpm.nsC,SUMPRODUCT(--(_xlpm.stat="Ready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DLR",IF(AND(_xlpm.actRS&gt;0,_xlpm.actDone&lt;_xlpm.actRS),"Training",IF(_xlpm.actRS&gt;0,"Active",IF(AND(_xlpm.decC&gt;0,_xlpm.inPlay+_xlpm.actC=0),"Dead",IF(AND($AJ200&lt;&gt;"",$AK200=FALSE),"Waiting on Dealer",IF(_xlpm.subC&gt;0,"Waiting on Lender",IF(AND(_xlpm.appC+_xlpm.actC&gt;0,_xlpm.nsC+_xlpm.wdC=0),"Rate Sheet","Application Submitted")))))))))</f>
        <v/>
      </c>
      <c r="M200" s="87"/>
      <c r="N200" s="87"/>
      <c r="O200" s="197"/>
      <c r="P200" s="87" t="str">
        <f>IF($A200="","",IF($AK200=TRUE,"Ready 2 Submit","Waiting on Dealer"))</f>
        <v/>
      </c>
      <c r="Q200" s="148"/>
      <c r="R200" s="87"/>
      <c r="S200" s="87"/>
      <c r="T200" s="87" t="str">
        <f>IF($A200="","",IF($AK200=TRUE,"Ready 2 Submit","Waiting on Dealer"))</f>
        <v/>
      </c>
      <c r="U200" s="148"/>
      <c r="V200" s="87"/>
      <c r="W200" s="87"/>
      <c r="X200" s="87" t="str">
        <f>IF($A200="","",IF($AK200=TRUE,"Ready 2 Submit","Waiting on Dealer"))</f>
        <v/>
      </c>
      <c r="Y200" s="148"/>
      <c r="Z200" s="87"/>
      <c r="AA200" s="87"/>
      <c r="AB200" s="87" t="str">
        <f>IF($A200="","",IF($AK200=TRUE,"Ready 2 Submit","Waiting on Dealer"))</f>
        <v/>
      </c>
      <c r="AC200" s="148"/>
      <c r="AD200" s="87"/>
      <c r="AE200" s="87"/>
      <c r="AF200" s="87" t="str">
        <f>IF($A200="","",IF($AK200=TRUE,"Ready 2 Submit","Waiting on Dealer"))</f>
        <v/>
      </c>
      <c r="AG200" s="148"/>
      <c r="AH200" s="87"/>
      <c r="AI200" s="87"/>
      <c r="AJ200" s="197"/>
      <c r="AK200" s="110" t="b">
        <v>0</v>
      </c>
      <c r="AL200" s="87" t="str" cm="1">
        <f t="array" ref="AL200">IF($A200="","",SUMPRODUCT((CHOOSE({1,2,3,4,5},$R200,$V200,$Z200,$AD200,$AH200)="Yes")*(((CHOOSE({1,2,3,4,5},$S200,$W200,$AA200,$AE200,$AI200)="Yes")+(CHOOSE({1,2,3,4,5},$S200,$W200,$AA200,$AE200,$AI200)=TRUE))&gt;0)))</f>
        <v/>
      </c>
      <c r="AM200" s="87"/>
      <c r="AN200" s="87" t="str">
        <f ca="1">IF(OR($A200="",$AM200=""),"",TODAY()-$AM200)</f>
        <v/>
      </c>
      <c r="AO200" s="87"/>
      <c r="AP200" s="106"/>
      <c r="AQ200" s="106"/>
      <c r="AR200" s="106"/>
      <c r="AS200" s="106"/>
      <c r="AT200" s="106"/>
      <c r="AU200" s="106"/>
      <c r="AV200" s="106"/>
      <c r="AW200" s="106"/>
      <c r="AX200" s="106"/>
      <c r="AY200" s="106"/>
    </row>
    <row r="201" spans="1:51" s="20" customFormat="1" ht="21" customHeight="1">
      <c r="A201" s="197"/>
      <c r="B201" s="87"/>
      <c r="C201" s="87"/>
      <c r="D201" s="196"/>
      <c r="E201" s="108"/>
      <c r="F201" s="196"/>
      <c r="G201" s="87"/>
      <c r="H201" s="197"/>
      <c r="I201" s="89"/>
      <c r="J201" s="204"/>
      <c r="K201" s="87"/>
      <c r="L201" s="87" t="str" cm="1">
        <f t="array" ref="L201">IF($A201="","",_xlfn.LET(_xlpm.stat,CHOOSE({1,2,3,4,5},$P201,$T201,$X201,$AB201,$AF201),_xlpm.rate,CHOOSE({1,2,3,4,5},$R201,$V201,$Z201,$AD201,$AH201),_xlpm.trn,CHOOSE({1,2,3,4,5},$S201,$W201,$AA201,$AE201,$AI201),_xlpm.nsC,SUMPRODUCT(--(_xlpm.stat="Ready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DLR",IF(AND(_xlpm.actRS&gt;0,_xlpm.actDone&lt;_xlpm.actRS),"Training",IF(_xlpm.actRS&gt;0,"Active",IF(AND(_xlpm.decC&gt;0,_xlpm.inPlay+_xlpm.actC=0),"Dead",IF(AND($AJ201&lt;&gt;"",$AK201=FALSE),"Waiting on Dealer",IF(_xlpm.subC&gt;0,"Waiting on Lender",IF(AND(_xlpm.appC+_xlpm.actC&gt;0,_xlpm.nsC+_xlpm.wdC=0),"Rate Sheet","Application Submitted")))))))))</f>
        <v/>
      </c>
      <c r="M201" s="87"/>
      <c r="N201" s="87"/>
      <c r="O201" s="197"/>
      <c r="P201" s="87" t="str">
        <f>IF($A201="","",IF($AK201=TRUE,"Ready 2 Submit","Waiting on Dealer"))</f>
        <v/>
      </c>
      <c r="Q201" s="148"/>
      <c r="R201" s="87"/>
      <c r="S201" s="87"/>
      <c r="T201" s="87" t="str">
        <f>IF($A201="","",IF($AK201=TRUE,"Ready 2 Submit","Waiting on Dealer"))</f>
        <v/>
      </c>
      <c r="U201" s="148"/>
      <c r="V201" s="87"/>
      <c r="W201" s="87"/>
      <c r="X201" s="87" t="str">
        <f>IF($A201="","",IF($AK201=TRUE,"Ready 2 Submit","Waiting on Dealer"))</f>
        <v/>
      </c>
      <c r="Y201" s="148"/>
      <c r="Z201" s="87"/>
      <c r="AA201" s="87"/>
      <c r="AB201" s="87" t="str">
        <f>IF($A201="","",IF($AK201=TRUE,"Ready 2 Submit","Waiting on Dealer"))</f>
        <v/>
      </c>
      <c r="AC201" s="148"/>
      <c r="AD201" s="87"/>
      <c r="AE201" s="87"/>
      <c r="AF201" s="87" t="str">
        <f>IF($A201="","",IF($AK201=TRUE,"Ready 2 Submit","Waiting on Dealer"))</f>
        <v/>
      </c>
      <c r="AG201" s="148"/>
      <c r="AH201" s="87"/>
      <c r="AI201" s="87"/>
      <c r="AJ201" s="197"/>
      <c r="AK201" s="110" t="b">
        <v>0</v>
      </c>
      <c r="AL201" s="87" t="str" cm="1">
        <f t="array" ref="AL201">IF($A201="","",SUMPRODUCT((CHOOSE({1,2,3,4,5},$R201,$V201,$Z201,$AD201,$AH201)="Yes")*(((CHOOSE({1,2,3,4,5},$S201,$W201,$AA201,$AE201,$AI201)="Yes")+(CHOOSE({1,2,3,4,5},$S201,$W201,$AA201,$AE201,$AI201)=TRUE))&gt;0)))</f>
        <v/>
      </c>
      <c r="AM201" s="87"/>
      <c r="AN201" s="87" t="str">
        <f ca="1">IF(OR($A201="",$AM201=""),"",TODAY()-$AM201)</f>
        <v/>
      </c>
      <c r="AO201" s="87"/>
      <c r="AP201" s="106"/>
      <c r="AQ201" s="106"/>
      <c r="AR201" s="106"/>
      <c r="AS201" s="106"/>
      <c r="AT201" s="106"/>
      <c r="AU201" s="106"/>
      <c r="AV201" s="106"/>
      <c r="AW201" s="106"/>
      <c r="AX201" s="106"/>
      <c r="AY201" s="106"/>
    </row>
    <row r="202" spans="1:51" s="20" customFormat="1" ht="21" customHeight="1">
      <c r="A202" s="197"/>
      <c r="B202" s="87"/>
      <c r="C202" s="87"/>
      <c r="D202" s="196"/>
      <c r="E202" s="108"/>
      <c r="F202" s="196"/>
      <c r="G202" s="87"/>
      <c r="H202" s="197"/>
      <c r="I202" s="89"/>
      <c r="J202" s="204"/>
      <c r="K202" s="87"/>
      <c r="L202" s="87" t="str" cm="1">
        <f t="array" ref="L202">IF($A202="","",_xlfn.LET(_xlpm.stat,CHOOSE({1,2,3,4,5},$P202,$T202,$X202,$AB202,$AF202),_xlpm.rate,CHOOSE({1,2,3,4,5},$R202,$V202,$Z202,$AD202,$AH202),_xlpm.trn,CHOOSE({1,2,3,4,5},$S202,$W202,$AA202,$AE202,$AI202),_xlpm.nsC,SUMPRODUCT(--(_xlpm.stat="Ready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DLR",IF(AND(_xlpm.actRS&gt;0,_xlpm.actDone&lt;_xlpm.actRS),"Training",IF(_xlpm.actRS&gt;0,"Active",IF(AND(_xlpm.decC&gt;0,_xlpm.inPlay+_xlpm.actC=0),"Dead",IF(AND($AJ202&lt;&gt;"",$AK202=FALSE),"Waiting on Dealer",IF(_xlpm.subC&gt;0,"Waiting on Lender",IF(AND(_xlpm.appC+_xlpm.actC&gt;0,_xlpm.nsC+_xlpm.wdC=0),"Rate Sheet","Application Submitted")))))))))</f>
        <v/>
      </c>
      <c r="M202" s="87"/>
      <c r="N202" s="87"/>
      <c r="O202" s="197"/>
      <c r="P202" s="87" t="str">
        <f>IF($A202="","",IF($AK202=TRUE,"Ready 2 Submit","Waiting on Dealer"))</f>
        <v/>
      </c>
      <c r="Q202" s="148"/>
      <c r="R202" s="87"/>
      <c r="S202" s="87"/>
      <c r="T202" s="87" t="str">
        <f>IF($A202="","",IF($AK202=TRUE,"Ready 2 Submit","Waiting on Dealer"))</f>
        <v/>
      </c>
      <c r="U202" s="148"/>
      <c r="V202" s="87"/>
      <c r="W202" s="87"/>
      <c r="X202" s="87" t="str">
        <f>IF($A202="","",IF($AK202=TRUE,"Ready 2 Submit","Waiting on Dealer"))</f>
        <v/>
      </c>
      <c r="Y202" s="148"/>
      <c r="Z202" s="87"/>
      <c r="AA202" s="87"/>
      <c r="AB202" s="87" t="str">
        <f>IF($A202="","",IF($AK202=TRUE,"Ready 2 Submit","Waiting on Dealer"))</f>
        <v/>
      </c>
      <c r="AC202" s="148"/>
      <c r="AD202" s="87"/>
      <c r="AE202" s="87"/>
      <c r="AF202" s="87" t="str">
        <f>IF($A202="","",IF($AK202=TRUE,"Ready 2 Submit","Waiting on Dealer"))</f>
        <v/>
      </c>
      <c r="AG202" s="148"/>
      <c r="AH202" s="87"/>
      <c r="AI202" s="87"/>
      <c r="AJ202" s="197"/>
      <c r="AK202" s="110" t="b">
        <v>0</v>
      </c>
      <c r="AL202" s="87" t="str" cm="1">
        <f t="array" ref="AL202">IF($A202="","",SUMPRODUCT((CHOOSE({1,2,3,4,5},$R202,$V202,$Z202,$AD202,$AH202)="Yes")*(((CHOOSE({1,2,3,4,5},$S202,$W202,$AA202,$AE202,$AI202)="Yes")+(CHOOSE({1,2,3,4,5},$S202,$W202,$AA202,$AE202,$AI202)=TRUE))&gt;0)))</f>
        <v/>
      </c>
      <c r="AM202" s="87"/>
      <c r="AN202" s="87" t="str">
        <f ca="1">IF(OR($A202="",$AM202=""),"",TODAY()-$AM202)</f>
        <v/>
      </c>
      <c r="AO202" s="87"/>
      <c r="AP202" s="106"/>
      <c r="AQ202" s="106"/>
      <c r="AR202" s="106"/>
      <c r="AS202" s="106"/>
      <c r="AT202" s="106"/>
      <c r="AU202" s="106"/>
      <c r="AV202" s="106"/>
      <c r="AW202" s="106"/>
      <c r="AX202" s="106"/>
      <c r="AY202" s="106"/>
    </row>
    <row r="203" spans="1:51" s="20" customFormat="1" ht="21" customHeight="1">
      <c r="A203" s="197"/>
      <c r="B203" s="87"/>
      <c r="C203" s="87"/>
      <c r="D203" s="196"/>
      <c r="E203" s="108"/>
      <c r="F203" s="196"/>
      <c r="G203" s="87"/>
      <c r="H203" s="197"/>
      <c r="I203" s="89"/>
      <c r="J203" s="204"/>
      <c r="K203" s="87"/>
      <c r="L203" s="87" t="str" cm="1">
        <f t="array" ref="L203">IF($A203="","",_xlfn.LET(_xlpm.stat,CHOOSE({1,2,3,4,5},$P203,$T203,$X203,$AB203,$AF203),_xlpm.rate,CHOOSE({1,2,3,4,5},$R203,$V203,$Z203,$AD203,$AH203),_xlpm.trn,CHOOSE({1,2,3,4,5},$S203,$W203,$AA203,$AE203,$AI203),_xlpm.nsC,SUMPRODUCT(--(_xlpm.stat="Ready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DLR",IF(AND(_xlpm.actRS&gt;0,_xlpm.actDone&lt;_xlpm.actRS),"Training",IF(_xlpm.actRS&gt;0,"Active",IF(AND(_xlpm.decC&gt;0,_xlpm.inPlay+_xlpm.actC=0),"Dead",IF(AND($AJ203&lt;&gt;"",$AK203=FALSE),"Waiting on Dealer",IF(_xlpm.subC&gt;0,"Waiting on Lender",IF(AND(_xlpm.appC+_xlpm.actC&gt;0,_xlpm.nsC+_xlpm.wdC=0),"Rate Sheet","Application Submitted")))))))))</f>
        <v/>
      </c>
      <c r="M203" s="87"/>
      <c r="N203" s="87"/>
      <c r="O203" s="197"/>
      <c r="P203" s="87" t="str">
        <f>IF($A203="","",IF($AK203=TRUE,"Ready 2 Submit","Waiting on Dealer"))</f>
        <v/>
      </c>
      <c r="Q203" s="148"/>
      <c r="R203" s="87"/>
      <c r="S203" s="87"/>
      <c r="T203" s="87" t="str">
        <f>IF($A203="","",IF($AK203=TRUE,"Ready 2 Submit","Waiting on Dealer"))</f>
        <v/>
      </c>
      <c r="U203" s="148"/>
      <c r="V203" s="87"/>
      <c r="W203" s="87"/>
      <c r="X203" s="87" t="str">
        <f>IF($A203="","",IF($AK203=TRUE,"Ready 2 Submit","Waiting on Dealer"))</f>
        <v/>
      </c>
      <c r="Y203" s="148"/>
      <c r="Z203" s="87"/>
      <c r="AA203" s="87"/>
      <c r="AB203" s="87" t="str">
        <f>IF($A203="","",IF($AK203=TRUE,"Ready 2 Submit","Waiting on Dealer"))</f>
        <v/>
      </c>
      <c r="AC203" s="148"/>
      <c r="AD203" s="87"/>
      <c r="AE203" s="87"/>
      <c r="AF203" s="87" t="str">
        <f>IF($A203="","",IF($AK203=TRUE,"Ready 2 Submit","Waiting on Dealer"))</f>
        <v/>
      </c>
      <c r="AG203" s="148"/>
      <c r="AH203" s="87"/>
      <c r="AI203" s="87"/>
      <c r="AJ203" s="197"/>
      <c r="AK203" s="110" t="b">
        <v>0</v>
      </c>
      <c r="AL203" s="87" t="str" cm="1">
        <f t="array" ref="AL203">IF($A203="","",SUMPRODUCT((CHOOSE({1,2,3,4,5},$R203,$V203,$Z203,$AD203,$AH203)="Yes")*(((CHOOSE({1,2,3,4,5},$S203,$W203,$AA203,$AE203,$AI203)="Yes")+(CHOOSE({1,2,3,4,5},$S203,$W203,$AA203,$AE203,$AI203)=TRUE))&gt;0)))</f>
        <v/>
      </c>
      <c r="AM203" s="87"/>
      <c r="AN203" s="87" t="str">
        <f ca="1">IF(OR($A203="",$AM203=""),"",TODAY()-$AM203)</f>
        <v/>
      </c>
      <c r="AO203" s="87"/>
      <c r="AP203" s="106"/>
      <c r="AQ203" s="106"/>
      <c r="AR203" s="106"/>
      <c r="AS203" s="106"/>
      <c r="AT203" s="106"/>
      <c r="AU203" s="106"/>
      <c r="AV203" s="106"/>
      <c r="AW203" s="106"/>
      <c r="AX203" s="106"/>
      <c r="AY203" s="106"/>
    </row>
    <row r="204" spans="1:51" s="20" customFormat="1" ht="21" customHeight="1">
      <c r="A204" s="197"/>
      <c r="B204" s="87"/>
      <c r="C204" s="87"/>
      <c r="D204" s="196"/>
      <c r="E204" s="108"/>
      <c r="F204" s="196"/>
      <c r="G204" s="87"/>
      <c r="H204" s="197"/>
      <c r="I204" s="89"/>
      <c r="J204" s="204"/>
      <c r="K204" s="87"/>
      <c r="L204" s="87" t="str" cm="1">
        <f t="array" ref="L204">IF($A204="","",_xlfn.LET(_xlpm.stat,CHOOSE({1,2,3,4,5},$P204,$T204,$X204,$AB204,$AF204),_xlpm.rate,CHOOSE({1,2,3,4,5},$R204,$V204,$Z204,$AD204,$AH204),_xlpm.trn,CHOOSE({1,2,3,4,5},$S204,$W204,$AA204,$AE204,$AI204),_xlpm.nsC,SUMPRODUCT(--(_xlpm.stat="Ready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DLR",IF(AND(_xlpm.actRS&gt;0,_xlpm.actDone&lt;_xlpm.actRS),"Training",IF(_xlpm.actRS&gt;0,"Active",IF(AND(_xlpm.decC&gt;0,_xlpm.inPlay+_xlpm.actC=0),"Dead",IF(AND($AJ204&lt;&gt;"",$AK204=FALSE),"Waiting on Dealer",IF(_xlpm.subC&gt;0,"Waiting on Lender",IF(AND(_xlpm.appC+_xlpm.actC&gt;0,_xlpm.nsC+_xlpm.wdC=0),"Rate Sheet","Application Submitted")))))))))</f>
        <v/>
      </c>
      <c r="M204" s="87"/>
      <c r="N204" s="87"/>
      <c r="O204" s="197"/>
      <c r="P204" s="87" t="str">
        <f>IF($A204="","",IF($AK204=TRUE,"Ready 2 Submit","Waiting on Dealer"))</f>
        <v/>
      </c>
      <c r="Q204" s="148"/>
      <c r="R204" s="87"/>
      <c r="S204" s="87"/>
      <c r="T204" s="87" t="str">
        <f>IF($A204="","",IF($AK204=TRUE,"Ready 2 Submit","Waiting on Dealer"))</f>
        <v/>
      </c>
      <c r="U204" s="148"/>
      <c r="V204" s="87"/>
      <c r="W204" s="87"/>
      <c r="X204" s="87" t="str">
        <f>IF($A204="","",IF($AK204=TRUE,"Ready 2 Submit","Waiting on Dealer"))</f>
        <v/>
      </c>
      <c r="Y204" s="148"/>
      <c r="Z204" s="87"/>
      <c r="AA204" s="87"/>
      <c r="AB204" s="87" t="str">
        <f>IF($A204="","",IF($AK204=TRUE,"Ready 2 Submit","Waiting on Dealer"))</f>
        <v/>
      </c>
      <c r="AC204" s="148"/>
      <c r="AD204" s="87"/>
      <c r="AE204" s="87"/>
      <c r="AF204" s="87" t="str">
        <f>IF($A204="","",IF($AK204=TRUE,"Ready 2 Submit","Waiting on Dealer"))</f>
        <v/>
      </c>
      <c r="AG204" s="148"/>
      <c r="AH204" s="87"/>
      <c r="AI204" s="87"/>
      <c r="AJ204" s="197"/>
      <c r="AK204" s="110" t="b">
        <v>0</v>
      </c>
      <c r="AL204" s="87" t="str" cm="1">
        <f t="array" ref="AL204">IF($A204="","",SUMPRODUCT((CHOOSE({1,2,3,4,5},$R204,$V204,$Z204,$AD204,$AH204)="Yes")*(((CHOOSE({1,2,3,4,5},$S204,$W204,$AA204,$AE204,$AI204)="Yes")+(CHOOSE({1,2,3,4,5},$S204,$W204,$AA204,$AE204,$AI204)=TRUE))&gt;0)))</f>
        <v/>
      </c>
      <c r="AM204" s="87"/>
      <c r="AN204" s="87" t="str">
        <f ca="1">IF(OR($A204="",$AM204=""),"",TODAY()-$AM204)</f>
        <v/>
      </c>
      <c r="AO204" s="87"/>
      <c r="AP204" s="106"/>
      <c r="AQ204" s="106"/>
      <c r="AR204" s="106"/>
      <c r="AS204" s="106"/>
      <c r="AT204" s="106"/>
      <c r="AU204" s="106"/>
      <c r="AV204" s="106"/>
      <c r="AW204" s="106"/>
      <c r="AX204" s="106"/>
      <c r="AY204" s="106"/>
    </row>
    <row r="205" spans="1:51" s="20" customFormat="1" ht="21" customHeight="1">
      <c r="A205" s="197"/>
      <c r="B205" s="87"/>
      <c r="C205" s="87"/>
      <c r="D205" s="196"/>
      <c r="E205" s="108"/>
      <c r="F205" s="196"/>
      <c r="G205" s="87"/>
      <c r="H205" s="197"/>
      <c r="I205" s="89"/>
      <c r="J205" s="204"/>
      <c r="K205" s="87"/>
      <c r="L205" s="87" t="str" cm="1">
        <f t="array" ref="L205">IF($A205="","",_xlfn.LET(_xlpm.stat,CHOOSE({1,2,3,4,5},$P205,$T205,$X205,$AB205,$AF205),_xlpm.rate,CHOOSE({1,2,3,4,5},$R205,$V205,$Z205,$AD205,$AH205),_xlpm.trn,CHOOSE({1,2,3,4,5},$S205,$W205,$AA205,$AE205,$AI205),_xlpm.nsC,SUMPRODUCT(--(_xlpm.stat="Ready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DLR",IF(AND(_xlpm.actRS&gt;0,_xlpm.actDone&lt;_xlpm.actRS),"Training",IF(_xlpm.actRS&gt;0,"Active",IF(AND(_xlpm.decC&gt;0,_xlpm.inPlay+_xlpm.actC=0),"Dead",IF(AND($AJ205&lt;&gt;"",$AK205=FALSE),"Waiting on Dealer",IF(_xlpm.subC&gt;0,"Waiting on Lender",IF(AND(_xlpm.appC+_xlpm.actC&gt;0,_xlpm.nsC+_xlpm.wdC=0),"Rate Sheet","Application Submitted")))))))))</f>
        <v/>
      </c>
      <c r="M205" s="87"/>
      <c r="N205" s="87"/>
      <c r="O205" s="197"/>
      <c r="P205" s="87" t="str">
        <f>IF($A205="","",IF($AK205=TRUE,"Ready 2 Submit","Waiting on Dealer"))</f>
        <v/>
      </c>
      <c r="Q205" s="148"/>
      <c r="R205" s="87"/>
      <c r="S205" s="87"/>
      <c r="T205" s="87" t="str">
        <f>IF($A205="","",IF($AK205=TRUE,"Ready 2 Submit","Waiting on Dealer"))</f>
        <v/>
      </c>
      <c r="U205" s="148"/>
      <c r="V205" s="87"/>
      <c r="W205" s="87"/>
      <c r="X205" s="87" t="str">
        <f>IF($A205="","",IF($AK205=TRUE,"Ready 2 Submit","Waiting on Dealer"))</f>
        <v/>
      </c>
      <c r="Y205" s="148"/>
      <c r="Z205" s="87"/>
      <c r="AA205" s="87"/>
      <c r="AB205" s="87" t="str">
        <f>IF($A205="","",IF($AK205=TRUE,"Ready 2 Submit","Waiting on Dealer"))</f>
        <v/>
      </c>
      <c r="AC205" s="148"/>
      <c r="AD205" s="87"/>
      <c r="AE205" s="87"/>
      <c r="AF205" s="87" t="str">
        <f>IF($A205="","",IF($AK205=TRUE,"Ready 2 Submit","Waiting on Dealer"))</f>
        <v/>
      </c>
      <c r="AG205" s="148"/>
      <c r="AH205" s="87"/>
      <c r="AI205" s="87"/>
      <c r="AJ205" s="197"/>
      <c r="AK205" s="110" t="b">
        <v>0</v>
      </c>
      <c r="AL205" s="87" t="str" cm="1">
        <f t="array" ref="AL205">IF($A205="","",SUMPRODUCT((CHOOSE({1,2,3,4,5},$R205,$V205,$Z205,$AD205,$AH205)="Yes")*(((CHOOSE({1,2,3,4,5},$S205,$W205,$AA205,$AE205,$AI205)="Yes")+(CHOOSE({1,2,3,4,5},$S205,$W205,$AA205,$AE205,$AI205)=TRUE))&gt;0)))</f>
        <v/>
      </c>
      <c r="AM205" s="87"/>
      <c r="AN205" s="87" t="str">
        <f ca="1">IF(OR($A205="",$AM205=""),"",TODAY()-$AM205)</f>
        <v/>
      </c>
      <c r="AO205" s="87"/>
      <c r="AP205" s="106"/>
      <c r="AQ205" s="106"/>
      <c r="AR205" s="106"/>
      <c r="AS205" s="106"/>
      <c r="AT205" s="106"/>
      <c r="AU205" s="106"/>
      <c r="AV205" s="106"/>
      <c r="AW205" s="106"/>
      <c r="AX205" s="106"/>
      <c r="AY205" s="106"/>
    </row>
    <row r="206" spans="1:51" s="20" customFormat="1" ht="21" customHeight="1">
      <c r="A206" s="197"/>
      <c r="B206" s="87"/>
      <c r="C206" s="87"/>
      <c r="D206" s="196"/>
      <c r="E206" s="108"/>
      <c r="F206" s="196"/>
      <c r="G206" s="87"/>
      <c r="H206" s="197"/>
      <c r="I206" s="89"/>
      <c r="J206" s="204"/>
      <c r="K206" s="87"/>
      <c r="L206" s="87" t="str" cm="1">
        <f t="array" ref="L206">IF($A206="","",_xlfn.LET(_xlpm.stat,CHOOSE({1,2,3,4,5},$P206,$T206,$X206,$AB206,$AF206),_xlpm.rate,CHOOSE({1,2,3,4,5},$R206,$V206,$Z206,$AD206,$AH206),_xlpm.trn,CHOOSE({1,2,3,4,5},$S206,$W206,$AA206,$AE206,$AI206),_xlpm.nsC,SUMPRODUCT(--(_xlpm.stat="Ready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DLR",IF(AND(_xlpm.actRS&gt;0,_xlpm.actDone&lt;_xlpm.actRS),"Training",IF(_xlpm.actRS&gt;0,"Active",IF(AND(_xlpm.decC&gt;0,_xlpm.inPlay+_xlpm.actC=0),"Dead",IF(AND($AJ206&lt;&gt;"",$AK206=FALSE),"Waiting on Dealer",IF(_xlpm.subC&gt;0,"Waiting on Lender",IF(AND(_xlpm.appC+_xlpm.actC&gt;0,_xlpm.nsC+_xlpm.wdC=0),"Rate Sheet","Application Submitted")))))))))</f>
        <v/>
      </c>
      <c r="M206" s="87"/>
      <c r="N206" s="87"/>
      <c r="O206" s="197"/>
      <c r="P206" s="87" t="str">
        <f>IF($A206="","",IF($AK206=TRUE,"Ready 2 Submit","Waiting on Dealer"))</f>
        <v/>
      </c>
      <c r="Q206" s="148"/>
      <c r="R206" s="87"/>
      <c r="S206" s="87"/>
      <c r="T206" s="87" t="str">
        <f>IF($A206="","",IF($AK206=TRUE,"Ready 2 Submit","Waiting on Dealer"))</f>
        <v/>
      </c>
      <c r="U206" s="148"/>
      <c r="V206" s="87"/>
      <c r="W206" s="87"/>
      <c r="X206" s="87" t="str">
        <f>IF($A206="","",IF($AK206=TRUE,"Ready 2 Submit","Waiting on Dealer"))</f>
        <v/>
      </c>
      <c r="Y206" s="148"/>
      <c r="Z206" s="87"/>
      <c r="AA206" s="87"/>
      <c r="AB206" s="87" t="str">
        <f>IF($A206="","",IF($AK206=TRUE,"Ready 2 Submit","Waiting on Dealer"))</f>
        <v/>
      </c>
      <c r="AC206" s="148"/>
      <c r="AD206" s="87"/>
      <c r="AE206" s="87"/>
      <c r="AF206" s="87" t="str">
        <f>IF($A206="","",IF($AK206=TRUE,"Ready 2 Submit","Waiting on Dealer"))</f>
        <v/>
      </c>
      <c r="AG206" s="148"/>
      <c r="AH206" s="87"/>
      <c r="AI206" s="87"/>
      <c r="AJ206" s="197"/>
      <c r="AK206" s="110" t="b">
        <v>0</v>
      </c>
      <c r="AL206" s="87" t="str" cm="1">
        <f t="array" ref="AL206">IF($A206="","",SUMPRODUCT((CHOOSE({1,2,3,4,5},$R206,$V206,$Z206,$AD206,$AH206)="Yes")*(((CHOOSE({1,2,3,4,5},$S206,$W206,$AA206,$AE206,$AI206)="Yes")+(CHOOSE({1,2,3,4,5},$S206,$W206,$AA206,$AE206,$AI206)=TRUE))&gt;0)))</f>
        <v/>
      </c>
      <c r="AM206" s="87"/>
      <c r="AN206" s="87" t="str">
        <f ca="1">IF(OR($A206="",$AM206=""),"",TODAY()-$AM206)</f>
        <v/>
      </c>
      <c r="AO206" s="87"/>
      <c r="AP206" s="106"/>
      <c r="AQ206" s="106"/>
      <c r="AR206" s="106"/>
      <c r="AS206" s="106"/>
      <c r="AT206" s="106"/>
      <c r="AU206" s="106"/>
      <c r="AV206" s="106"/>
      <c r="AW206" s="106"/>
      <c r="AX206" s="106"/>
      <c r="AY206" s="106"/>
    </row>
    <row r="207" spans="1:51" s="20" customFormat="1" ht="21" customHeight="1">
      <c r="A207" s="197"/>
      <c r="B207" s="87"/>
      <c r="C207" s="87"/>
      <c r="D207" s="196"/>
      <c r="E207" s="108"/>
      <c r="F207" s="196"/>
      <c r="G207" s="87"/>
      <c r="H207" s="197"/>
      <c r="I207" s="89"/>
      <c r="J207" s="204"/>
      <c r="K207" s="87"/>
      <c r="L207" s="87" t="str" cm="1">
        <f t="array" ref="L207">IF($A207="","",_xlfn.LET(_xlpm.stat,CHOOSE({1,2,3,4,5},$P207,$T207,$X207,$AB207,$AF207),_xlpm.rate,CHOOSE({1,2,3,4,5},$R207,$V207,$Z207,$AD207,$AH207),_xlpm.trn,CHOOSE({1,2,3,4,5},$S207,$W207,$AA207,$AE207,$AI207),_xlpm.nsC,SUMPRODUCT(--(_xlpm.stat="Ready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DLR",IF(AND(_xlpm.actRS&gt;0,_xlpm.actDone&lt;_xlpm.actRS),"Training",IF(_xlpm.actRS&gt;0,"Active",IF(AND(_xlpm.decC&gt;0,_xlpm.inPlay+_xlpm.actC=0),"Dead",IF(AND($AJ207&lt;&gt;"",$AK207=FALSE),"Waiting on Dealer",IF(_xlpm.subC&gt;0,"Waiting on Lender",IF(AND(_xlpm.appC+_xlpm.actC&gt;0,_xlpm.nsC+_xlpm.wdC=0),"Rate Sheet","Application Submitted")))))))))</f>
        <v/>
      </c>
      <c r="M207" s="87"/>
      <c r="N207" s="87"/>
      <c r="O207" s="197"/>
      <c r="P207" s="87" t="str">
        <f>IF($A207="","",IF($AK207=TRUE,"Ready 2 Submit","Waiting on Dealer"))</f>
        <v/>
      </c>
      <c r="Q207" s="148"/>
      <c r="R207" s="87"/>
      <c r="S207" s="87"/>
      <c r="T207" s="87" t="str">
        <f>IF($A207="","",IF($AK207=TRUE,"Ready 2 Submit","Waiting on Dealer"))</f>
        <v/>
      </c>
      <c r="U207" s="148"/>
      <c r="V207" s="87"/>
      <c r="W207" s="87"/>
      <c r="X207" s="87" t="str">
        <f>IF($A207="","",IF($AK207=TRUE,"Ready 2 Submit","Waiting on Dealer"))</f>
        <v/>
      </c>
      <c r="Y207" s="148"/>
      <c r="Z207" s="87"/>
      <c r="AA207" s="87"/>
      <c r="AB207" s="87" t="str">
        <f>IF($A207="","",IF($AK207=TRUE,"Ready 2 Submit","Waiting on Dealer"))</f>
        <v/>
      </c>
      <c r="AC207" s="148"/>
      <c r="AD207" s="87"/>
      <c r="AE207" s="87"/>
      <c r="AF207" s="87" t="str">
        <f>IF($A207="","",IF($AK207=TRUE,"Ready 2 Submit","Waiting on Dealer"))</f>
        <v/>
      </c>
      <c r="AG207" s="148"/>
      <c r="AH207" s="87"/>
      <c r="AI207" s="87"/>
      <c r="AJ207" s="197"/>
      <c r="AK207" s="110" t="b">
        <v>0</v>
      </c>
      <c r="AL207" s="87" t="str" cm="1">
        <f t="array" ref="AL207">IF($A207="","",SUMPRODUCT((CHOOSE({1,2,3,4,5},$R207,$V207,$Z207,$AD207,$AH207)="Yes")*(((CHOOSE({1,2,3,4,5},$S207,$W207,$AA207,$AE207,$AI207)="Yes")+(CHOOSE({1,2,3,4,5},$S207,$W207,$AA207,$AE207,$AI207)=TRUE))&gt;0)))</f>
        <v/>
      </c>
      <c r="AM207" s="87"/>
      <c r="AN207" s="87" t="str">
        <f ca="1">IF(OR($A207="",$AM207=""),"",TODAY()-$AM207)</f>
        <v/>
      </c>
      <c r="AO207" s="87"/>
      <c r="AP207" s="106"/>
      <c r="AQ207" s="106"/>
      <c r="AR207" s="106"/>
      <c r="AS207" s="106"/>
      <c r="AT207" s="106"/>
      <c r="AU207" s="106"/>
      <c r="AV207" s="106"/>
      <c r="AW207" s="106"/>
      <c r="AX207" s="106"/>
      <c r="AY207" s="106"/>
    </row>
    <row r="208" spans="1:51" s="20" customFormat="1" ht="21" customHeight="1">
      <c r="A208" s="197"/>
      <c r="B208" s="87"/>
      <c r="C208" s="87"/>
      <c r="D208" s="196"/>
      <c r="E208" s="108"/>
      <c r="F208" s="196"/>
      <c r="G208" s="87"/>
      <c r="H208" s="197"/>
      <c r="I208" s="89"/>
      <c r="J208" s="204"/>
      <c r="K208" s="87"/>
      <c r="L208" s="87" t="str" cm="1">
        <f t="array" ref="L208">IF($A208="","",_xlfn.LET(_xlpm.stat,CHOOSE({1,2,3,4,5},$P208,$T208,$X208,$AB208,$AF208),_xlpm.rate,CHOOSE({1,2,3,4,5},$R208,$V208,$Z208,$AD208,$AH208),_xlpm.trn,CHOOSE({1,2,3,4,5},$S208,$W208,$AA208,$AE208,$AI208),_xlpm.nsC,SUMPRODUCT(--(_xlpm.stat="Ready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DLR",IF(AND(_xlpm.actRS&gt;0,_xlpm.actDone&lt;_xlpm.actRS),"Training",IF(_xlpm.actRS&gt;0,"Active",IF(AND(_xlpm.decC&gt;0,_xlpm.inPlay+_xlpm.actC=0),"Dead",IF(AND($AJ208&lt;&gt;"",$AK208=FALSE),"Waiting on Dealer",IF(_xlpm.subC&gt;0,"Waiting on Lender",IF(AND(_xlpm.appC+_xlpm.actC&gt;0,_xlpm.nsC+_xlpm.wdC=0),"Rate Sheet","Application Submitted")))))))))</f>
        <v/>
      </c>
      <c r="M208" s="87"/>
      <c r="N208" s="87"/>
      <c r="O208" s="197"/>
      <c r="P208" s="87" t="str">
        <f>IF($A208="","",IF($AK208=TRUE,"Ready 2 Submit","Waiting on Dealer"))</f>
        <v/>
      </c>
      <c r="Q208" s="148"/>
      <c r="R208" s="87"/>
      <c r="S208" s="87"/>
      <c r="T208" s="87" t="str">
        <f>IF($A208="","",IF($AK208=TRUE,"Ready 2 Submit","Waiting on Dealer"))</f>
        <v/>
      </c>
      <c r="U208" s="148"/>
      <c r="V208" s="87"/>
      <c r="W208" s="87"/>
      <c r="X208" s="87" t="str">
        <f>IF($A208="","",IF($AK208=TRUE,"Ready 2 Submit","Waiting on Dealer"))</f>
        <v/>
      </c>
      <c r="Y208" s="148"/>
      <c r="Z208" s="87"/>
      <c r="AA208" s="87"/>
      <c r="AB208" s="87" t="str">
        <f>IF($A208="","",IF($AK208=TRUE,"Ready 2 Submit","Waiting on Dealer"))</f>
        <v/>
      </c>
      <c r="AC208" s="148"/>
      <c r="AD208" s="87"/>
      <c r="AE208" s="87"/>
      <c r="AF208" s="87" t="str">
        <f>IF($A208="","",IF($AK208=TRUE,"Ready 2 Submit","Waiting on Dealer"))</f>
        <v/>
      </c>
      <c r="AG208" s="148"/>
      <c r="AH208" s="87"/>
      <c r="AI208" s="87"/>
      <c r="AJ208" s="197"/>
      <c r="AK208" s="110" t="b">
        <v>0</v>
      </c>
      <c r="AL208" s="87" t="str" cm="1">
        <f t="array" ref="AL208">IF($A208="","",SUMPRODUCT((CHOOSE({1,2,3,4,5},$R208,$V208,$Z208,$AD208,$AH208)="Yes")*(((CHOOSE({1,2,3,4,5},$S208,$W208,$AA208,$AE208,$AI208)="Yes")+(CHOOSE({1,2,3,4,5},$S208,$W208,$AA208,$AE208,$AI208)=TRUE))&gt;0)))</f>
        <v/>
      </c>
      <c r="AM208" s="87"/>
      <c r="AN208" s="87" t="str">
        <f ca="1">IF(OR($A208="",$AM208=""),"",TODAY()-$AM208)</f>
        <v/>
      </c>
      <c r="AO208" s="87"/>
      <c r="AP208" s="106"/>
      <c r="AQ208" s="106"/>
      <c r="AR208" s="106"/>
      <c r="AS208" s="106"/>
      <c r="AT208" s="106"/>
      <c r="AU208" s="106"/>
      <c r="AV208" s="106"/>
      <c r="AW208" s="106"/>
      <c r="AX208" s="106"/>
      <c r="AY208" s="106"/>
    </row>
    <row r="209" spans="1:51" s="20" customFormat="1" ht="21" customHeight="1">
      <c r="A209" s="197"/>
      <c r="B209" s="87"/>
      <c r="C209" s="87"/>
      <c r="D209" s="196"/>
      <c r="E209" s="108"/>
      <c r="F209" s="196"/>
      <c r="G209" s="87"/>
      <c r="H209" s="197"/>
      <c r="I209" s="89"/>
      <c r="J209" s="204"/>
      <c r="K209" s="87"/>
      <c r="L209" s="87" t="str" cm="1">
        <f t="array" ref="L209">IF($A209="","",_xlfn.LET(_xlpm.stat,CHOOSE({1,2,3,4,5},$P209,$T209,$X209,$AB209,$AF209),_xlpm.rate,CHOOSE({1,2,3,4,5},$R209,$V209,$Z209,$AD209,$AH209),_xlpm.trn,CHOOSE({1,2,3,4,5},$S209,$W209,$AA209,$AE209,$AI209),_xlpm.nsC,SUMPRODUCT(--(_xlpm.stat="Ready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DLR",IF(AND(_xlpm.actRS&gt;0,_xlpm.actDone&lt;_xlpm.actRS),"Training",IF(_xlpm.actRS&gt;0,"Active",IF(AND(_xlpm.decC&gt;0,_xlpm.inPlay+_xlpm.actC=0),"Dead",IF(AND($AJ209&lt;&gt;"",$AK209=FALSE),"Waiting on Dealer",IF(_xlpm.subC&gt;0,"Waiting on Lender",IF(AND(_xlpm.appC+_xlpm.actC&gt;0,_xlpm.nsC+_xlpm.wdC=0),"Rate Sheet","Application Submitted")))))))))</f>
        <v/>
      </c>
      <c r="M209" s="87"/>
      <c r="N209" s="87"/>
      <c r="O209" s="197"/>
      <c r="P209" s="87" t="str">
        <f>IF($A209="","",IF($AK209=TRUE,"Ready 2 Submit","Waiting on Dealer"))</f>
        <v/>
      </c>
      <c r="Q209" s="148"/>
      <c r="R209" s="87"/>
      <c r="S209" s="87"/>
      <c r="T209" s="87" t="str">
        <f>IF($A209="","",IF($AK209=TRUE,"Ready 2 Submit","Waiting on Dealer"))</f>
        <v/>
      </c>
      <c r="U209" s="148"/>
      <c r="V209" s="87"/>
      <c r="W209" s="87"/>
      <c r="X209" s="87" t="str">
        <f>IF($A209="","",IF($AK209=TRUE,"Ready 2 Submit","Waiting on Dealer"))</f>
        <v/>
      </c>
      <c r="Y209" s="148"/>
      <c r="Z209" s="87"/>
      <c r="AA209" s="87"/>
      <c r="AB209" s="87" t="str">
        <f>IF($A209="","",IF($AK209=TRUE,"Ready 2 Submit","Waiting on Dealer"))</f>
        <v/>
      </c>
      <c r="AC209" s="148"/>
      <c r="AD209" s="87"/>
      <c r="AE209" s="87"/>
      <c r="AF209" s="87" t="str">
        <f>IF($A209="","",IF($AK209=TRUE,"Ready 2 Submit","Waiting on Dealer"))</f>
        <v/>
      </c>
      <c r="AG209" s="148"/>
      <c r="AH209" s="87"/>
      <c r="AI209" s="87"/>
      <c r="AJ209" s="197"/>
      <c r="AK209" s="110" t="b">
        <v>0</v>
      </c>
      <c r="AL209" s="87" t="str" cm="1">
        <f t="array" ref="AL209">IF($A209="","",SUMPRODUCT((CHOOSE({1,2,3,4,5},$R209,$V209,$Z209,$AD209,$AH209)="Yes")*(((CHOOSE({1,2,3,4,5},$S209,$W209,$AA209,$AE209,$AI209)="Yes")+(CHOOSE({1,2,3,4,5},$S209,$W209,$AA209,$AE209,$AI209)=TRUE))&gt;0)))</f>
        <v/>
      </c>
      <c r="AM209" s="87"/>
      <c r="AN209" s="87" t="str">
        <f ca="1">IF(OR($A209="",$AM209=""),"",TODAY()-$AM209)</f>
        <v/>
      </c>
      <c r="AO209" s="87"/>
      <c r="AP209" s="106"/>
      <c r="AQ209" s="106"/>
      <c r="AR209" s="106"/>
      <c r="AS209" s="106"/>
      <c r="AT209" s="106"/>
      <c r="AU209" s="106"/>
      <c r="AV209" s="106"/>
      <c r="AW209" s="106"/>
      <c r="AX209" s="106"/>
      <c r="AY209" s="106"/>
    </row>
    <row r="210" spans="1:51" s="20" customFormat="1" ht="21" customHeight="1">
      <c r="A210" s="197"/>
      <c r="B210" s="87"/>
      <c r="C210" s="87"/>
      <c r="D210" s="196"/>
      <c r="E210" s="108"/>
      <c r="F210" s="196"/>
      <c r="G210" s="87"/>
      <c r="H210" s="197"/>
      <c r="I210" s="89"/>
      <c r="J210" s="204"/>
      <c r="K210" s="87"/>
      <c r="L210" s="87" t="str" cm="1">
        <f t="array" ref="L210">IF($A210="","",_xlfn.LET(_xlpm.stat,CHOOSE({1,2,3,4,5},$P210,$T210,$X210,$AB210,$AF210),_xlpm.rate,CHOOSE({1,2,3,4,5},$R210,$V210,$Z210,$AD210,$AH210),_xlpm.trn,CHOOSE({1,2,3,4,5},$S210,$W210,$AA210,$AE210,$AI210),_xlpm.nsC,SUMPRODUCT(--(_xlpm.stat="Ready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DLR",IF(AND(_xlpm.actRS&gt;0,_xlpm.actDone&lt;_xlpm.actRS),"Training",IF(_xlpm.actRS&gt;0,"Active",IF(AND(_xlpm.decC&gt;0,_xlpm.inPlay+_xlpm.actC=0),"Dead",IF(AND($AJ210&lt;&gt;"",$AK210=FALSE),"Waiting on Dealer",IF(_xlpm.subC&gt;0,"Waiting on Lender",IF(AND(_xlpm.appC+_xlpm.actC&gt;0,_xlpm.nsC+_xlpm.wdC=0),"Rate Sheet","Application Submitted")))))))))</f>
        <v/>
      </c>
      <c r="M210" s="87"/>
      <c r="N210" s="87"/>
      <c r="O210" s="197"/>
      <c r="P210" s="87" t="str">
        <f>IF($A210="","",IF($AK210=TRUE,"Ready 2 Submit","Waiting on Dealer"))</f>
        <v/>
      </c>
      <c r="Q210" s="148"/>
      <c r="R210" s="87"/>
      <c r="S210" s="87"/>
      <c r="T210" s="87" t="str">
        <f>IF($A210="","",IF($AK210=TRUE,"Ready 2 Submit","Waiting on Dealer"))</f>
        <v/>
      </c>
      <c r="U210" s="148"/>
      <c r="V210" s="87"/>
      <c r="W210" s="87"/>
      <c r="X210" s="87" t="str">
        <f>IF($A210="","",IF($AK210=TRUE,"Ready 2 Submit","Waiting on Dealer"))</f>
        <v/>
      </c>
      <c r="Y210" s="148"/>
      <c r="Z210" s="87"/>
      <c r="AA210" s="87"/>
      <c r="AB210" s="87" t="str">
        <f>IF($A210="","",IF($AK210=TRUE,"Ready 2 Submit","Waiting on Dealer"))</f>
        <v/>
      </c>
      <c r="AC210" s="148"/>
      <c r="AD210" s="87"/>
      <c r="AE210" s="87"/>
      <c r="AF210" s="87" t="str">
        <f>IF($A210="","",IF($AK210=TRUE,"Ready 2 Submit","Waiting on Dealer"))</f>
        <v/>
      </c>
      <c r="AG210" s="148"/>
      <c r="AH210" s="87"/>
      <c r="AI210" s="87"/>
      <c r="AJ210" s="197"/>
      <c r="AK210" s="110" t="b">
        <v>0</v>
      </c>
      <c r="AL210" s="87" t="str" cm="1">
        <f t="array" ref="AL210">IF($A210="","",SUMPRODUCT((CHOOSE({1,2,3,4,5},$R210,$V210,$Z210,$AD210,$AH210)="Yes")*(((CHOOSE({1,2,3,4,5},$S210,$W210,$AA210,$AE210,$AI210)="Yes")+(CHOOSE({1,2,3,4,5},$S210,$W210,$AA210,$AE210,$AI210)=TRUE))&gt;0)))</f>
        <v/>
      </c>
      <c r="AM210" s="87"/>
      <c r="AN210" s="87" t="str">
        <f ca="1">IF(OR($A210="",$AM210=""),"",TODAY()-$AM210)</f>
        <v/>
      </c>
      <c r="AO210" s="87"/>
      <c r="AP210" s="106"/>
      <c r="AQ210" s="106"/>
      <c r="AR210" s="106"/>
      <c r="AS210" s="106"/>
      <c r="AT210" s="106"/>
      <c r="AU210" s="106"/>
      <c r="AV210" s="106"/>
      <c r="AW210" s="106"/>
      <c r="AX210" s="106"/>
      <c r="AY210" s="106"/>
    </row>
    <row r="211" spans="1:51" s="20" customFormat="1" ht="21" customHeight="1">
      <c r="A211" s="197"/>
      <c r="B211" s="87"/>
      <c r="C211" s="87"/>
      <c r="D211" s="196"/>
      <c r="E211" s="108"/>
      <c r="F211" s="196"/>
      <c r="G211" s="87"/>
      <c r="H211" s="197"/>
      <c r="I211" s="89"/>
      <c r="J211" s="204"/>
      <c r="K211" s="87"/>
      <c r="L211" s="87" t="str" cm="1">
        <f t="array" ref="L211">IF($A211="","",_xlfn.LET(_xlpm.stat,CHOOSE({1,2,3,4,5},$P211,$T211,$X211,$AB211,$AF211),_xlpm.rate,CHOOSE({1,2,3,4,5},$R211,$V211,$Z211,$AD211,$AH211),_xlpm.trn,CHOOSE({1,2,3,4,5},$S211,$W211,$AA211,$AE211,$AI211),_xlpm.nsC,SUMPRODUCT(--(_xlpm.stat="Ready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DLR",IF(AND(_xlpm.actRS&gt;0,_xlpm.actDone&lt;_xlpm.actRS),"Training",IF(_xlpm.actRS&gt;0,"Active",IF(AND(_xlpm.decC&gt;0,_xlpm.inPlay+_xlpm.actC=0),"Dead",IF(AND($AJ211&lt;&gt;"",$AK211=FALSE),"Waiting on Dealer",IF(_xlpm.subC&gt;0,"Waiting on Lender",IF(AND(_xlpm.appC+_xlpm.actC&gt;0,_xlpm.nsC+_xlpm.wdC=0),"Rate Sheet","Application Submitted")))))))))</f>
        <v/>
      </c>
      <c r="M211" s="87"/>
      <c r="N211" s="87"/>
      <c r="O211" s="197"/>
      <c r="P211" s="87" t="str">
        <f>IF($A211="","",IF($AK211=TRUE,"Ready 2 Submit","Waiting on Dealer"))</f>
        <v/>
      </c>
      <c r="Q211" s="148"/>
      <c r="R211" s="87"/>
      <c r="S211" s="87"/>
      <c r="T211" s="87" t="str">
        <f>IF($A211="","",IF($AK211=TRUE,"Ready 2 Submit","Waiting on Dealer"))</f>
        <v/>
      </c>
      <c r="U211" s="148"/>
      <c r="V211" s="87"/>
      <c r="W211" s="87"/>
      <c r="X211" s="87" t="str">
        <f>IF($A211="","",IF($AK211=TRUE,"Ready 2 Submit","Waiting on Dealer"))</f>
        <v/>
      </c>
      <c r="Y211" s="148"/>
      <c r="Z211" s="87"/>
      <c r="AA211" s="87"/>
      <c r="AB211" s="87" t="str">
        <f>IF($A211="","",IF($AK211=TRUE,"Ready 2 Submit","Waiting on Dealer"))</f>
        <v/>
      </c>
      <c r="AC211" s="148"/>
      <c r="AD211" s="87"/>
      <c r="AE211" s="87"/>
      <c r="AF211" s="87" t="str">
        <f>IF($A211="","",IF($AK211=TRUE,"Ready 2 Submit","Waiting on Dealer"))</f>
        <v/>
      </c>
      <c r="AG211" s="148"/>
      <c r="AH211" s="87"/>
      <c r="AI211" s="87"/>
      <c r="AJ211" s="197"/>
      <c r="AK211" s="110" t="b">
        <v>0</v>
      </c>
      <c r="AL211" s="87" t="str" cm="1">
        <f t="array" ref="AL211">IF($A211="","",SUMPRODUCT((CHOOSE({1,2,3,4,5},$R211,$V211,$Z211,$AD211,$AH211)="Yes")*(((CHOOSE({1,2,3,4,5},$S211,$W211,$AA211,$AE211,$AI211)="Yes")+(CHOOSE({1,2,3,4,5},$S211,$W211,$AA211,$AE211,$AI211)=TRUE))&gt;0)))</f>
        <v/>
      </c>
      <c r="AM211" s="87"/>
      <c r="AN211" s="87" t="str">
        <f ca="1">IF(OR($A211="",$AM211=""),"",TODAY()-$AM211)</f>
        <v/>
      </c>
      <c r="AO211" s="87"/>
      <c r="AP211" s="106"/>
      <c r="AQ211" s="106"/>
      <c r="AR211" s="106"/>
      <c r="AS211" s="106"/>
      <c r="AT211" s="106"/>
      <c r="AU211" s="106"/>
      <c r="AV211" s="106"/>
      <c r="AW211" s="106"/>
      <c r="AX211" s="106"/>
      <c r="AY211" s="106"/>
    </row>
    <row r="212" spans="1:51" s="20" customFormat="1" ht="21" customHeight="1">
      <c r="A212" s="197"/>
      <c r="B212" s="87"/>
      <c r="C212" s="87"/>
      <c r="D212" s="196"/>
      <c r="E212" s="108"/>
      <c r="F212" s="196"/>
      <c r="G212" s="87"/>
      <c r="H212" s="197"/>
      <c r="I212" s="89"/>
      <c r="J212" s="204"/>
      <c r="K212" s="87"/>
      <c r="L212" s="87" t="str" cm="1">
        <f t="array" ref="L212">IF($A212="","",_xlfn.LET(_xlpm.stat,CHOOSE({1,2,3,4,5},$P212,$T212,$X212,$AB212,$AF212),_xlpm.rate,CHOOSE({1,2,3,4,5},$R212,$V212,$Z212,$AD212,$AH212),_xlpm.trn,CHOOSE({1,2,3,4,5},$S212,$W212,$AA212,$AE212,$AI212),_xlpm.nsC,SUMPRODUCT(--(_xlpm.stat="Ready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DLR",IF(AND(_xlpm.actRS&gt;0,_xlpm.actDone&lt;_xlpm.actRS),"Training",IF(_xlpm.actRS&gt;0,"Active",IF(AND(_xlpm.decC&gt;0,_xlpm.inPlay+_xlpm.actC=0),"Dead",IF(AND($AJ212&lt;&gt;"",$AK212=FALSE),"Waiting on Dealer",IF(_xlpm.subC&gt;0,"Waiting on Lender",IF(AND(_xlpm.appC+_xlpm.actC&gt;0,_xlpm.nsC+_xlpm.wdC=0),"Rate Sheet","Application Submitted")))))))))</f>
        <v/>
      </c>
      <c r="M212" s="87"/>
      <c r="N212" s="87"/>
      <c r="O212" s="197"/>
      <c r="P212" s="87" t="str">
        <f>IF($A212="","",IF($AK212=TRUE,"Ready 2 Submit","Waiting on Dealer"))</f>
        <v/>
      </c>
      <c r="Q212" s="148"/>
      <c r="R212" s="87"/>
      <c r="S212" s="87"/>
      <c r="T212" s="87" t="str">
        <f>IF($A212="","",IF($AK212=TRUE,"Ready 2 Submit","Waiting on Dealer"))</f>
        <v/>
      </c>
      <c r="U212" s="148"/>
      <c r="V212" s="87"/>
      <c r="W212" s="87"/>
      <c r="X212" s="87" t="str">
        <f>IF($A212="","",IF($AK212=TRUE,"Ready 2 Submit","Waiting on Dealer"))</f>
        <v/>
      </c>
      <c r="Y212" s="148"/>
      <c r="Z212" s="87"/>
      <c r="AA212" s="87"/>
      <c r="AB212" s="87" t="str">
        <f>IF($A212="","",IF($AK212=TRUE,"Ready 2 Submit","Waiting on Dealer"))</f>
        <v/>
      </c>
      <c r="AC212" s="148"/>
      <c r="AD212" s="87"/>
      <c r="AE212" s="87"/>
      <c r="AF212" s="87" t="str">
        <f>IF($A212="","",IF($AK212=TRUE,"Ready 2 Submit","Waiting on Dealer"))</f>
        <v/>
      </c>
      <c r="AG212" s="148"/>
      <c r="AH212" s="87"/>
      <c r="AI212" s="87"/>
      <c r="AJ212" s="197"/>
      <c r="AK212" s="110" t="b">
        <v>0</v>
      </c>
      <c r="AL212" s="87" t="str" cm="1">
        <f t="array" ref="AL212">IF($A212="","",SUMPRODUCT((CHOOSE({1,2,3,4,5},$R212,$V212,$Z212,$AD212,$AH212)="Yes")*(((CHOOSE({1,2,3,4,5},$S212,$W212,$AA212,$AE212,$AI212)="Yes")+(CHOOSE({1,2,3,4,5},$S212,$W212,$AA212,$AE212,$AI212)=TRUE))&gt;0)))</f>
        <v/>
      </c>
      <c r="AM212" s="87"/>
      <c r="AN212" s="87" t="str">
        <f ca="1">IF(OR($A212="",$AM212=""),"",TODAY()-$AM212)</f>
        <v/>
      </c>
      <c r="AO212" s="87"/>
      <c r="AP212" s="106"/>
      <c r="AQ212" s="106"/>
      <c r="AR212" s="106"/>
      <c r="AS212" s="106"/>
      <c r="AT212" s="106"/>
      <c r="AU212" s="106"/>
      <c r="AV212" s="106"/>
      <c r="AW212" s="106"/>
      <c r="AX212" s="106"/>
      <c r="AY212" s="106"/>
    </row>
    <row r="213" spans="1:51" s="20" customFormat="1" ht="21" customHeight="1">
      <c r="A213" s="197"/>
      <c r="B213" s="87"/>
      <c r="C213" s="87"/>
      <c r="D213" s="196"/>
      <c r="E213" s="108"/>
      <c r="F213" s="196"/>
      <c r="G213" s="87"/>
      <c r="H213" s="197"/>
      <c r="I213" s="89"/>
      <c r="J213" s="204"/>
      <c r="K213" s="87"/>
      <c r="L213" s="87" t="str" cm="1">
        <f t="array" ref="L213">IF($A213="","",_xlfn.LET(_xlpm.stat,CHOOSE({1,2,3,4,5},$P213,$T213,$X213,$AB213,$AF213),_xlpm.rate,CHOOSE({1,2,3,4,5},$R213,$V213,$Z213,$AD213,$AH213),_xlpm.trn,CHOOSE({1,2,3,4,5},$S213,$W213,$AA213,$AE213,$AI213),_xlpm.nsC,SUMPRODUCT(--(_xlpm.stat="Ready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DLR",IF(AND(_xlpm.actRS&gt;0,_xlpm.actDone&lt;_xlpm.actRS),"Training",IF(_xlpm.actRS&gt;0,"Active",IF(AND(_xlpm.decC&gt;0,_xlpm.inPlay+_xlpm.actC=0),"Dead",IF(AND($AJ213&lt;&gt;"",$AK213=FALSE),"Waiting on Dealer",IF(_xlpm.subC&gt;0,"Waiting on Lender",IF(AND(_xlpm.appC+_xlpm.actC&gt;0,_xlpm.nsC+_xlpm.wdC=0),"Rate Sheet","Application Submitted")))))))))</f>
        <v/>
      </c>
      <c r="M213" s="87"/>
      <c r="N213" s="87"/>
      <c r="O213" s="197"/>
      <c r="P213" s="87" t="str">
        <f>IF($A213="","",IF($AK213=TRUE,"Ready 2 Submit","Waiting on Dealer"))</f>
        <v/>
      </c>
      <c r="Q213" s="148"/>
      <c r="R213" s="87"/>
      <c r="S213" s="87"/>
      <c r="T213" s="87" t="str">
        <f>IF($A213="","",IF($AK213=TRUE,"Ready 2 Submit","Waiting on Dealer"))</f>
        <v/>
      </c>
      <c r="U213" s="148"/>
      <c r="V213" s="87"/>
      <c r="W213" s="87"/>
      <c r="X213" s="87" t="str">
        <f>IF($A213="","",IF($AK213=TRUE,"Ready 2 Submit","Waiting on Dealer"))</f>
        <v/>
      </c>
      <c r="Y213" s="148"/>
      <c r="Z213" s="87"/>
      <c r="AA213" s="87"/>
      <c r="AB213" s="87" t="str">
        <f>IF($A213="","",IF($AK213=TRUE,"Ready 2 Submit","Waiting on Dealer"))</f>
        <v/>
      </c>
      <c r="AC213" s="148"/>
      <c r="AD213" s="87"/>
      <c r="AE213" s="87"/>
      <c r="AF213" s="87" t="str">
        <f>IF($A213="","",IF($AK213=TRUE,"Ready 2 Submit","Waiting on Dealer"))</f>
        <v/>
      </c>
      <c r="AG213" s="148"/>
      <c r="AH213" s="87"/>
      <c r="AI213" s="87"/>
      <c r="AJ213" s="197"/>
      <c r="AK213" s="110" t="b">
        <v>0</v>
      </c>
      <c r="AL213" s="87" t="str" cm="1">
        <f t="array" ref="AL213">IF($A213="","",SUMPRODUCT((CHOOSE({1,2,3,4,5},$R213,$V213,$Z213,$AD213,$AH213)="Yes")*(((CHOOSE({1,2,3,4,5},$S213,$W213,$AA213,$AE213,$AI213)="Yes")+(CHOOSE({1,2,3,4,5},$S213,$W213,$AA213,$AE213,$AI213)=TRUE))&gt;0)))</f>
        <v/>
      </c>
      <c r="AM213" s="87"/>
      <c r="AN213" s="87" t="str">
        <f ca="1">IF(OR($A213="",$AM213=""),"",TODAY()-$AM213)</f>
        <v/>
      </c>
      <c r="AO213" s="87"/>
      <c r="AP213" s="106"/>
      <c r="AQ213" s="106"/>
      <c r="AR213" s="106"/>
      <c r="AS213" s="106"/>
      <c r="AT213" s="106"/>
      <c r="AU213" s="106"/>
      <c r="AV213" s="106"/>
      <c r="AW213" s="106"/>
      <c r="AX213" s="106"/>
      <c r="AY213" s="106"/>
    </row>
    <row r="214" spans="1:51" s="20" customFormat="1" ht="21" customHeight="1">
      <c r="A214" s="197"/>
      <c r="B214" s="87"/>
      <c r="C214" s="87"/>
      <c r="D214" s="196"/>
      <c r="E214" s="108"/>
      <c r="F214" s="196"/>
      <c r="G214" s="87"/>
      <c r="H214" s="197"/>
      <c r="I214" s="89"/>
      <c r="J214" s="204"/>
      <c r="K214" s="87"/>
      <c r="L214" s="87" t="str" cm="1">
        <f t="array" ref="L214">IF($A214="","",_xlfn.LET(_xlpm.stat,CHOOSE({1,2,3,4,5},$P214,$T214,$X214,$AB214,$AF214),_xlpm.rate,CHOOSE({1,2,3,4,5},$R214,$V214,$Z214,$AD214,$AH214),_xlpm.trn,CHOOSE({1,2,3,4,5},$S214,$W214,$AA214,$AE214,$AI214),_xlpm.nsC,SUMPRODUCT(--(_xlpm.stat="Ready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DLR",IF(AND(_xlpm.actRS&gt;0,_xlpm.actDone&lt;_xlpm.actRS),"Training",IF(_xlpm.actRS&gt;0,"Active",IF(AND(_xlpm.decC&gt;0,_xlpm.inPlay+_xlpm.actC=0),"Dead",IF(AND($AJ214&lt;&gt;"",$AK214=FALSE),"Waiting on Dealer",IF(_xlpm.subC&gt;0,"Waiting on Lender",IF(AND(_xlpm.appC+_xlpm.actC&gt;0,_xlpm.nsC+_xlpm.wdC=0),"Rate Sheet","Application Submitted")))))))))</f>
        <v/>
      </c>
      <c r="M214" s="87"/>
      <c r="N214" s="87"/>
      <c r="O214" s="197"/>
      <c r="P214" s="87" t="str">
        <f>IF($A214="","",IF($AK214=TRUE,"Ready 2 Submit","Waiting on Dealer"))</f>
        <v/>
      </c>
      <c r="Q214" s="148"/>
      <c r="R214" s="87"/>
      <c r="S214" s="87"/>
      <c r="T214" s="87" t="str">
        <f>IF($A214="","",IF($AK214=TRUE,"Ready 2 Submit","Waiting on Dealer"))</f>
        <v/>
      </c>
      <c r="U214" s="148"/>
      <c r="V214" s="87"/>
      <c r="W214" s="87"/>
      <c r="X214" s="87" t="str">
        <f>IF($A214="","",IF($AK214=TRUE,"Ready 2 Submit","Waiting on Dealer"))</f>
        <v/>
      </c>
      <c r="Y214" s="148"/>
      <c r="Z214" s="87"/>
      <c r="AA214" s="87"/>
      <c r="AB214" s="87" t="str">
        <f>IF($A214="","",IF($AK214=TRUE,"Ready 2 Submit","Waiting on Dealer"))</f>
        <v/>
      </c>
      <c r="AC214" s="148"/>
      <c r="AD214" s="87"/>
      <c r="AE214" s="87"/>
      <c r="AF214" s="87" t="str">
        <f>IF($A214="","",IF($AK214=TRUE,"Ready 2 Submit","Waiting on Dealer"))</f>
        <v/>
      </c>
      <c r="AG214" s="148"/>
      <c r="AH214" s="87"/>
      <c r="AI214" s="87"/>
      <c r="AJ214" s="197"/>
      <c r="AK214" s="110" t="b">
        <v>0</v>
      </c>
      <c r="AL214" s="87" t="str" cm="1">
        <f t="array" ref="AL214">IF($A214="","",SUMPRODUCT((CHOOSE({1,2,3,4,5},$R214,$V214,$Z214,$AD214,$AH214)="Yes")*(((CHOOSE({1,2,3,4,5},$S214,$W214,$AA214,$AE214,$AI214)="Yes")+(CHOOSE({1,2,3,4,5},$S214,$W214,$AA214,$AE214,$AI214)=TRUE))&gt;0)))</f>
        <v/>
      </c>
      <c r="AM214" s="87"/>
      <c r="AN214" s="87" t="str">
        <f ca="1">IF(OR($A214="",$AM214=""),"",TODAY()-$AM214)</f>
        <v/>
      </c>
      <c r="AO214" s="87"/>
      <c r="AP214" s="106"/>
      <c r="AQ214" s="106"/>
      <c r="AR214" s="106"/>
      <c r="AS214" s="106"/>
      <c r="AT214" s="106"/>
      <c r="AU214" s="106"/>
      <c r="AV214" s="106"/>
      <c r="AW214" s="106"/>
      <c r="AX214" s="106"/>
      <c r="AY214" s="106"/>
    </row>
    <row r="215" spans="1:51" s="20" customFormat="1" ht="21" customHeight="1">
      <c r="A215" s="197"/>
      <c r="B215" s="87"/>
      <c r="C215" s="87"/>
      <c r="D215" s="196"/>
      <c r="E215" s="108"/>
      <c r="F215" s="196"/>
      <c r="G215" s="87"/>
      <c r="H215" s="197"/>
      <c r="I215" s="89"/>
      <c r="J215" s="204"/>
      <c r="K215" s="87"/>
      <c r="L215" s="87" t="str" cm="1">
        <f t="array" ref="L215">IF($A215="","",_xlfn.LET(_xlpm.stat,CHOOSE({1,2,3,4,5},$P215,$T215,$X215,$AB215,$AF215),_xlpm.rate,CHOOSE({1,2,3,4,5},$R215,$V215,$Z215,$AD215,$AH215),_xlpm.trn,CHOOSE({1,2,3,4,5},$S215,$W215,$AA215,$AE215,$AI215),_xlpm.nsC,SUMPRODUCT(--(_xlpm.stat="Ready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DLR",IF(AND(_xlpm.actRS&gt;0,_xlpm.actDone&lt;_xlpm.actRS),"Training",IF(_xlpm.actRS&gt;0,"Active",IF(AND(_xlpm.decC&gt;0,_xlpm.inPlay+_xlpm.actC=0),"Dead",IF(AND($AJ215&lt;&gt;"",$AK215=FALSE),"Waiting on Dealer",IF(_xlpm.subC&gt;0,"Waiting on Lender",IF(AND(_xlpm.appC+_xlpm.actC&gt;0,_xlpm.nsC+_xlpm.wdC=0),"Rate Sheet","Application Submitted")))))))))</f>
        <v/>
      </c>
      <c r="M215" s="87"/>
      <c r="N215" s="87"/>
      <c r="O215" s="197"/>
      <c r="P215" s="87" t="str">
        <f>IF($A215="","",IF($AK215=TRUE,"Ready 2 Submit","Waiting on Dealer"))</f>
        <v/>
      </c>
      <c r="Q215" s="148"/>
      <c r="R215" s="87"/>
      <c r="S215" s="87"/>
      <c r="T215" s="87" t="str">
        <f>IF($A215="","",IF($AK215=TRUE,"Ready 2 Submit","Waiting on Dealer"))</f>
        <v/>
      </c>
      <c r="U215" s="148"/>
      <c r="V215" s="87"/>
      <c r="W215" s="87"/>
      <c r="X215" s="87" t="str">
        <f>IF($A215="","",IF($AK215=TRUE,"Ready 2 Submit","Waiting on Dealer"))</f>
        <v/>
      </c>
      <c r="Y215" s="148"/>
      <c r="Z215" s="87"/>
      <c r="AA215" s="87"/>
      <c r="AB215" s="87" t="str">
        <f>IF($A215="","",IF($AK215=TRUE,"Ready 2 Submit","Waiting on Dealer"))</f>
        <v/>
      </c>
      <c r="AC215" s="148"/>
      <c r="AD215" s="87"/>
      <c r="AE215" s="87"/>
      <c r="AF215" s="87" t="str">
        <f>IF($A215="","",IF($AK215=TRUE,"Ready 2 Submit","Waiting on Dealer"))</f>
        <v/>
      </c>
      <c r="AG215" s="148"/>
      <c r="AH215" s="87"/>
      <c r="AI215" s="87"/>
      <c r="AJ215" s="197"/>
      <c r="AK215" s="110" t="b">
        <v>0</v>
      </c>
      <c r="AL215" s="87" t="str" cm="1">
        <f t="array" ref="AL215">IF($A215="","",SUMPRODUCT((CHOOSE({1,2,3,4,5},$R215,$V215,$Z215,$AD215,$AH215)="Yes")*(((CHOOSE({1,2,3,4,5},$S215,$W215,$AA215,$AE215,$AI215)="Yes")+(CHOOSE({1,2,3,4,5},$S215,$W215,$AA215,$AE215,$AI215)=TRUE))&gt;0)))</f>
        <v/>
      </c>
      <c r="AM215" s="87"/>
      <c r="AN215" s="87" t="str">
        <f ca="1">IF(OR($A215="",$AM215=""),"",TODAY()-$AM215)</f>
        <v/>
      </c>
      <c r="AO215" s="87"/>
      <c r="AP215" s="106"/>
      <c r="AQ215" s="106"/>
      <c r="AR215" s="106"/>
      <c r="AS215" s="106"/>
      <c r="AT215" s="106"/>
      <c r="AU215" s="106"/>
      <c r="AV215" s="106"/>
      <c r="AW215" s="106"/>
      <c r="AX215" s="106"/>
      <c r="AY215" s="106"/>
    </row>
    <row r="216" spans="1:51" s="20" customFormat="1" ht="21" customHeight="1">
      <c r="A216" s="197"/>
      <c r="B216" s="87"/>
      <c r="C216" s="87"/>
      <c r="D216" s="196"/>
      <c r="E216" s="108"/>
      <c r="F216" s="196"/>
      <c r="G216" s="87"/>
      <c r="H216" s="197"/>
      <c r="I216" s="89"/>
      <c r="J216" s="204"/>
      <c r="K216" s="87"/>
      <c r="L216" s="87" t="str" cm="1">
        <f t="array" ref="L216">IF($A216="","",_xlfn.LET(_xlpm.stat,CHOOSE({1,2,3,4,5},$P216,$T216,$X216,$AB216,$AF216),_xlpm.rate,CHOOSE({1,2,3,4,5},$R216,$V216,$Z216,$AD216,$AH216),_xlpm.trn,CHOOSE({1,2,3,4,5},$S216,$W216,$AA216,$AE216,$AI216),_xlpm.nsC,SUMPRODUCT(--(_xlpm.stat="Ready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DLR",IF(AND(_xlpm.actRS&gt;0,_xlpm.actDone&lt;_xlpm.actRS),"Training",IF(_xlpm.actRS&gt;0,"Active",IF(AND(_xlpm.decC&gt;0,_xlpm.inPlay+_xlpm.actC=0),"Dead",IF(AND($AJ216&lt;&gt;"",$AK216=FALSE),"Waiting on Dealer",IF(_xlpm.subC&gt;0,"Waiting on Lender",IF(AND(_xlpm.appC+_xlpm.actC&gt;0,_xlpm.nsC+_xlpm.wdC=0),"Rate Sheet","Application Submitted")))))))))</f>
        <v/>
      </c>
      <c r="M216" s="87"/>
      <c r="N216" s="87"/>
      <c r="O216" s="197"/>
      <c r="P216" s="87" t="str">
        <f>IF($A216="","",IF($AK216=TRUE,"Ready 2 Submit","Waiting on Dealer"))</f>
        <v/>
      </c>
      <c r="Q216" s="148"/>
      <c r="R216" s="87"/>
      <c r="S216" s="87"/>
      <c r="T216" s="87" t="str">
        <f>IF($A216="","",IF($AK216=TRUE,"Ready 2 Submit","Waiting on Dealer"))</f>
        <v/>
      </c>
      <c r="U216" s="148"/>
      <c r="V216" s="87"/>
      <c r="W216" s="87"/>
      <c r="X216" s="87" t="str">
        <f>IF($A216="","",IF($AK216=TRUE,"Ready 2 Submit","Waiting on Dealer"))</f>
        <v/>
      </c>
      <c r="Y216" s="148"/>
      <c r="Z216" s="87"/>
      <c r="AA216" s="87"/>
      <c r="AB216" s="87" t="str">
        <f>IF($A216="","",IF($AK216=TRUE,"Ready 2 Submit","Waiting on Dealer"))</f>
        <v/>
      </c>
      <c r="AC216" s="148"/>
      <c r="AD216" s="87"/>
      <c r="AE216" s="87"/>
      <c r="AF216" s="87" t="str">
        <f>IF($A216="","",IF($AK216=TRUE,"Ready 2 Submit","Waiting on Dealer"))</f>
        <v/>
      </c>
      <c r="AG216" s="148"/>
      <c r="AH216" s="87"/>
      <c r="AI216" s="87"/>
      <c r="AJ216" s="197"/>
      <c r="AK216" s="110" t="b">
        <v>0</v>
      </c>
      <c r="AL216" s="87" t="str" cm="1">
        <f t="array" ref="AL216">IF($A216="","",SUMPRODUCT((CHOOSE({1,2,3,4,5},$R216,$V216,$Z216,$AD216,$AH216)="Yes")*(((CHOOSE({1,2,3,4,5},$S216,$W216,$AA216,$AE216,$AI216)="Yes")+(CHOOSE({1,2,3,4,5},$S216,$W216,$AA216,$AE216,$AI216)=TRUE))&gt;0)))</f>
        <v/>
      </c>
      <c r="AM216" s="87"/>
      <c r="AN216" s="87" t="str">
        <f ca="1">IF(OR($A216="",$AM216=""),"",TODAY()-$AM216)</f>
        <v/>
      </c>
      <c r="AO216" s="87"/>
      <c r="AP216" s="106"/>
      <c r="AQ216" s="106"/>
      <c r="AR216" s="106"/>
      <c r="AS216" s="106"/>
      <c r="AT216" s="106"/>
      <c r="AU216" s="106"/>
      <c r="AV216" s="106"/>
      <c r="AW216" s="106"/>
      <c r="AX216" s="106"/>
      <c r="AY216" s="106"/>
    </row>
    <row r="217" spans="1:51" s="20" customFormat="1" ht="21" customHeight="1">
      <c r="A217" s="197"/>
      <c r="B217" s="87"/>
      <c r="C217" s="87"/>
      <c r="D217" s="196"/>
      <c r="E217" s="108"/>
      <c r="F217" s="196"/>
      <c r="G217" s="87"/>
      <c r="H217" s="197"/>
      <c r="I217" s="89"/>
      <c r="J217" s="204"/>
      <c r="K217" s="87"/>
      <c r="L217" s="87" t="str" cm="1">
        <f t="array" ref="L217">IF($A217="","",_xlfn.LET(_xlpm.stat,CHOOSE({1,2,3,4,5},$P217,$T217,$X217,$AB217,$AF217),_xlpm.rate,CHOOSE({1,2,3,4,5},$R217,$V217,$Z217,$AD217,$AH217),_xlpm.trn,CHOOSE({1,2,3,4,5},$S217,$W217,$AA217,$AE217,$AI217),_xlpm.nsC,SUMPRODUCT(--(_xlpm.stat="Ready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DLR",IF(AND(_xlpm.actRS&gt;0,_xlpm.actDone&lt;_xlpm.actRS),"Training",IF(_xlpm.actRS&gt;0,"Active",IF(AND(_xlpm.decC&gt;0,_xlpm.inPlay+_xlpm.actC=0),"Dead",IF(AND($AJ217&lt;&gt;"",$AK217=FALSE),"Waiting on Dealer",IF(_xlpm.subC&gt;0,"Waiting on Lender",IF(AND(_xlpm.appC+_xlpm.actC&gt;0,_xlpm.nsC+_xlpm.wdC=0),"Rate Sheet","Application Submitted")))))))))</f>
        <v/>
      </c>
      <c r="M217" s="87"/>
      <c r="N217" s="87"/>
      <c r="O217" s="197"/>
      <c r="P217" s="87" t="str">
        <f>IF($A217="","",IF($AK217=TRUE,"Ready 2 Submit","Waiting on Dealer"))</f>
        <v/>
      </c>
      <c r="Q217" s="148"/>
      <c r="R217" s="87"/>
      <c r="S217" s="87"/>
      <c r="T217" s="87" t="str">
        <f>IF($A217="","",IF($AK217=TRUE,"Ready 2 Submit","Waiting on Dealer"))</f>
        <v/>
      </c>
      <c r="U217" s="148"/>
      <c r="V217" s="87"/>
      <c r="W217" s="87"/>
      <c r="X217" s="87" t="str">
        <f>IF($A217="","",IF($AK217=TRUE,"Ready 2 Submit","Waiting on Dealer"))</f>
        <v/>
      </c>
      <c r="Y217" s="148"/>
      <c r="Z217" s="87"/>
      <c r="AA217" s="87"/>
      <c r="AB217" s="87" t="str">
        <f>IF($A217="","",IF($AK217=TRUE,"Ready 2 Submit","Waiting on Dealer"))</f>
        <v/>
      </c>
      <c r="AC217" s="148"/>
      <c r="AD217" s="87"/>
      <c r="AE217" s="87"/>
      <c r="AF217" s="87" t="str">
        <f>IF($A217="","",IF($AK217=TRUE,"Ready 2 Submit","Waiting on Dealer"))</f>
        <v/>
      </c>
      <c r="AG217" s="148"/>
      <c r="AH217" s="87"/>
      <c r="AI217" s="87"/>
      <c r="AJ217" s="197"/>
      <c r="AK217" s="110" t="b">
        <v>0</v>
      </c>
      <c r="AL217" s="87" t="str" cm="1">
        <f t="array" ref="AL217">IF($A217="","",SUMPRODUCT((CHOOSE({1,2,3,4,5},$R217,$V217,$Z217,$AD217,$AH217)="Yes")*(((CHOOSE({1,2,3,4,5},$S217,$W217,$AA217,$AE217,$AI217)="Yes")+(CHOOSE({1,2,3,4,5},$S217,$W217,$AA217,$AE217,$AI217)=TRUE))&gt;0)))</f>
        <v/>
      </c>
      <c r="AM217" s="87"/>
      <c r="AN217" s="87" t="str">
        <f ca="1">IF(OR($A217="",$AM217=""),"",TODAY()-$AM217)</f>
        <v/>
      </c>
      <c r="AO217" s="87"/>
      <c r="AP217" s="106"/>
      <c r="AQ217" s="106"/>
      <c r="AR217" s="106"/>
      <c r="AS217" s="106"/>
      <c r="AT217" s="106"/>
      <c r="AU217" s="106"/>
      <c r="AV217" s="106"/>
      <c r="AW217" s="106"/>
      <c r="AX217" s="106"/>
      <c r="AY217" s="106"/>
    </row>
    <row r="218" spans="1:51" s="20" customFormat="1" ht="21" customHeight="1">
      <c r="A218" s="197"/>
      <c r="B218" s="87"/>
      <c r="C218" s="87"/>
      <c r="D218" s="196"/>
      <c r="E218" s="108"/>
      <c r="F218" s="196"/>
      <c r="G218" s="87"/>
      <c r="H218" s="197"/>
      <c r="I218" s="89"/>
      <c r="J218" s="204"/>
      <c r="K218" s="87"/>
      <c r="L218" s="87" t="str" cm="1">
        <f t="array" ref="L218">IF($A218="","",_xlfn.LET(_xlpm.stat,CHOOSE({1,2,3,4,5},$P218,$T218,$X218,$AB218,$AF218),_xlpm.rate,CHOOSE({1,2,3,4,5},$R218,$V218,$Z218,$AD218,$AH218),_xlpm.trn,CHOOSE({1,2,3,4,5},$S218,$W218,$AA218,$AE218,$AI218),_xlpm.nsC,SUMPRODUCT(--(_xlpm.stat="Ready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DLR",IF(AND(_xlpm.actRS&gt;0,_xlpm.actDone&lt;_xlpm.actRS),"Training",IF(_xlpm.actRS&gt;0,"Active",IF(AND(_xlpm.decC&gt;0,_xlpm.inPlay+_xlpm.actC=0),"Dead",IF(AND($AJ218&lt;&gt;"",$AK218=FALSE),"Waiting on Dealer",IF(_xlpm.subC&gt;0,"Waiting on Lender",IF(AND(_xlpm.appC+_xlpm.actC&gt;0,_xlpm.nsC+_xlpm.wdC=0),"Rate Sheet","Application Submitted")))))))))</f>
        <v/>
      </c>
      <c r="M218" s="87"/>
      <c r="N218" s="87"/>
      <c r="O218" s="197"/>
      <c r="P218" s="87" t="str">
        <f>IF($A218="","",IF($AK218=TRUE,"Ready 2 Submit","Waiting on Dealer"))</f>
        <v/>
      </c>
      <c r="Q218" s="148"/>
      <c r="R218" s="87"/>
      <c r="S218" s="87"/>
      <c r="T218" s="87" t="str">
        <f>IF($A218="","",IF($AK218=TRUE,"Ready 2 Submit","Waiting on Dealer"))</f>
        <v/>
      </c>
      <c r="U218" s="148"/>
      <c r="V218" s="87"/>
      <c r="W218" s="87"/>
      <c r="X218" s="87" t="str">
        <f>IF($A218="","",IF($AK218=TRUE,"Ready 2 Submit","Waiting on Dealer"))</f>
        <v/>
      </c>
      <c r="Y218" s="148"/>
      <c r="Z218" s="87"/>
      <c r="AA218" s="87"/>
      <c r="AB218" s="87" t="str">
        <f>IF($A218="","",IF($AK218=TRUE,"Ready 2 Submit","Waiting on Dealer"))</f>
        <v/>
      </c>
      <c r="AC218" s="148"/>
      <c r="AD218" s="87"/>
      <c r="AE218" s="87"/>
      <c r="AF218" s="87" t="str">
        <f>IF($A218="","",IF($AK218=TRUE,"Ready 2 Submit","Waiting on Dealer"))</f>
        <v/>
      </c>
      <c r="AG218" s="148"/>
      <c r="AH218" s="87"/>
      <c r="AI218" s="87"/>
      <c r="AJ218" s="197"/>
      <c r="AK218" s="110" t="b">
        <v>0</v>
      </c>
      <c r="AL218" s="87" t="str" cm="1">
        <f t="array" ref="AL218">IF($A218="","",SUMPRODUCT((CHOOSE({1,2,3,4,5},$R218,$V218,$Z218,$AD218,$AH218)="Yes")*(((CHOOSE({1,2,3,4,5},$S218,$W218,$AA218,$AE218,$AI218)="Yes")+(CHOOSE({1,2,3,4,5},$S218,$W218,$AA218,$AE218,$AI218)=TRUE))&gt;0)))</f>
        <v/>
      </c>
      <c r="AM218" s="87"/>
      <c r="AN218" s="87" t="str">
        <f ca="1">IF(OR($A218="",$AM218=""),"",TODAY()-$AM218)</f>
        <v/>
      </c>
      <c r="AO218" s="87"/>
      <c r="AP218" s="106"/>
      <c r="AQ218" s="106"/>
      <c r="AR218" s="106"/>
      <c r="AS218" s="106"/>
      <c r="AT218" s="106"/>
      <c r="AU218" s="106"/>
      <c r="AV218" s="106"/>
      <c r="AW218" s="106"/>
      <c r="AX218" s="106"/>
      <c r="AY218" s="106"/>
    </row>
    <row r="219" spans="1:51" s="20" customFormat="1" ht="21" customHeight="1">
      <c r="A219" s="197"/>
      <c r="B219" s="87"/>
      <c r="C219" s="87"/>
      <c r="D219" s="196"/>
      <c r="E219" s="108"/>
      <c r="F219" s="196"/>
      <c r="G219" s="87"/>
      <c r="H219" s="197"/>
      <c r="I219" s="89"/>
      <c r="J219" s="204"/>
      <c r="K219" s="87"/>
      <c r="L219" s="87" t="str" cm="1">
        <f t="array" ref="L219">IF($A219="","",_xlfn.LET(_xlpm.stat,CHOOSE({1,2,3,4,5},$P219,$T219,$X219,$AB219,$AF219),_xlpm.rate,CHOOSE({1,2,3,4,5},$R219,$V219,$Z219,$AD219,$AH219),_xlpm.trn,CHOOSE({1,2,3,4,5},$S219,$W219,$AA219,$AE219,$AI219),_xlpm.nsC,SUMPRODUCT(--(_xlpm.stat="Ready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DLR",IF(AND(_xlpm.actRS&gt;0,_xlpm.actDone&lt;_xlpm.actRS),"Training",IF(_xlpm.actRS&gt;0,"Active",IF(AND(_xlpm.decC&gt;0,_xlpm.inPlay+_xlpm.actC=0),"Dead",IF(AND($AJ219&lt;&gt;"",$AK219=FALSE),"Waiting on Dealer",IF(_xlpm.subC&gt;0,"Waiting on Lender",IF(AND(_xlpm.appC+_xlpm.actC&gt;0,_xlpm.nsC+_xlpm.wdC=0),"Rate Sheet","Application Submitted")))))))))</f>
        <v/>
      </c>
      <c r="M219" s="87"/>
      <c r="N219" s="87"/>
      <c r="O219" s="197"/>
      <c r="P219" s="87" t="str">
        <f>IF($A219="","",IF($AK219=TRUE,"Ready 2 Submit","Waiting on Dealer"))</f>
        <v/>
      </c>
      <c r="Q219" s="148"/>
      <c r="R219" s="87"/>
      <c r="S219" s="87"/>
      <c r="T219" s="87" t="str">
        <f>IF($A219="","",IF($AK219=TRUE,"Ready 2 Submit","Waiting on Dealer"))</f>
        <v/>
      </c>
      <c r="U219" s="148"/>
      <c r="V219" s="87"/>
      <c r="W219" s="87"/>
      <c r="X219" s="87" t="str">
        <f>IF($A219="","",IF($AK219=TRUE,"Ready 2 Submit","Waiting on Dealer"))</f>
        <v/>
      </c>
      <c r="Y219" s="148"/>
      <c r="Z219" s="87"/>
      <c r="AA219" s="87"/>
      <c r="AB219" s="87" t="str">
        <f>IF($A219="","",IF($AK219=TRUE,"Ready 2 Submit","Waiting on Dealer"))</f>
        <v/>
      </c>
      <c r="AC219" s="148"/>
      <c r="AD219" s="87"/>
      <c r="AE219" s="87"/>
      <c r="AF219" s="87" t="str">
        <f>IF($A219="","",IF($AK219=TRUE,"Ready 2 Submit","Waiting on Dealer"))</f>
        <v/>
      </c>
      <c r="AG219" s="148"/>
      <c r="AH219" s="87"/>
      <c r="AI219" s="87"/>
      <c r="AJ219" s="197"/>
      <c r="AK219" s="110" t="b">
        <v>0</v>
      </c>
      <c r="AL219" s="87" t="str" cm="1">
        <f t="array" ref="AL219">IF($A219="","",SUMPRODUCT((CHOOSE({1,2,3,4,5},$R219,$V219,$Z219,$AD219,$AH219)="Yes")*(((CHOOSE({1,2,3,4,5},$S219,$W219,$AA219,$AE219,$AI219)="Yes")+(CHOOSE({1,2,3,4,5},$S219,$W219,$AA219,$AE219,$AI219)=TRUE))&gt;0)))</f>
        <v/>
      </c>
      <c r="AM219" s="87"/>
      <c r="AN219" s="87" t="str">
        <f ca="1">IF(OR($A219="",$AM219=""),"",TODAY()-$AM219)</f>
        <v/>
      </c>
      <c r="AO219" s="87"/>
      <c r="AP219" s="106"/>
      <c r="AQ219" s="106"/>
      <c r="AR219" s="106"/>
      <c r="AS219" s="106"/>
      <c r="AT219" s="106"/>
      <c r="AU219" s="106"/>
      <c r="AV219" s="106"/>
      <c r="AW219" s="106"/>
      <c r="AX219" s="106"/>
      <c r="AY219" s="106"/>
    </row>
    <row r="220" spans="1:51" s="20" customFormat="1" ht="21" customHeight="1">
      <c r="A220" s="197"/>
      <c r="B220" s="87"/>
      <c r="C220" s="87"/>
      <c r="D220" s="196"/>
      <c r="E220" s="108"/>
      <c r="F220" s="196"/>
      <c r="G220" s="87"/>
      <c r="H220" s="197"/>
      <c r="I220" s="89"/>
      <c r="J220" s="204"/>
      <c r="K220" s="87"/>
      <c r="L220" s="87" t="str" cm="1">
        <f t="array" ref="L220">IF($A220="","",_xlfn.LET(_xlpm.stat,CHOOSE({1,2,3,4,5},$P220,$T220,$X220,$AB220,$AF220),_xlpm.rate,CHOOSE({1,2,3,4,5},$R220,$V220,$Z220,$AD220,$AH220),_xlpm.trn,CHOOSE({1,2,3,4,5},$S220,$W220,$AA220,$AE220,$AI220),_xlpm.nsC,SUMPRODUCT(--(_xlpm.stat="Ready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DLR",IF(AND(_xlpm.actRS&gt;0,_xlpm.actDone&lt;_xlpm.actRS),"Training",IF(_xlpm.actRS&gt;0,"Active",IF(AND(_xlpm.decC&gt;0,_xlpm.inPlay+_xlpm.actC=0),"Dead",IF(AND($AJ220&lt;&gt;"",$AK220=FALSE),"Waiting on Dealer",IF(_xlpm.subC&gt;0,"Waiting on Lender",IF(AND(_xlpm.appC+_xlpm.actC&gt;0,_xlpm.nsC+_xlpm.wdC=0),"Rate Sheet","Application Submitted")))))))))</f>
        <v/>
      </c>
      <c r="M220" s="87"/>
      <c r="N220" s="87"/>
      <c r="O220" s="197"/>
      <c r="P220" s="87" t="str">
        <f>IF($A220="","",IF($AK220=TRUE,"Ready 2 Submit","Waiting on Dealer"))</f>
        <v/>
      </c>
      <c r="Q220" s="148"/>
      <c r="R220" s="87"/>
      <c r="S220" s="87"/>
      <c r="T220" s="87" t="str">
        <f>IF($A220="","",IF($AK220=TRUE,"Ready 2 Submit","Waiting on Dealer"))</f>
        <v/>
      </c>
      <c r="U220" s="148"/>
      <c r="V220" s="87"/>
      <c r="W220" s="87"/>
      <c r="X220" s="87" t="str">
        <f>IF($A220="","",IF($AK220=TRUE,"Ready 2 Submit","Waiting on Dealer"))</f>
        <v/>
      </c>
      <c r="Y220" s="148"/>
      <c r="Z220" s="87"/>
      <c r="AA220" s="87"/>
      <c r="AB220" s="87" t="str">
        <f>IF($A220="","",IF($AK220=TRUE,"Ready 2 Submit","Waiting on Dealer"))</f>
        <v/>
      </c>
      <c r="AC220" s="148"/>
      <c r="AD220" s="87"/>
      <c r="AE220" s="87"/>
      <c r="AF220" s="87" t="str">
        <f>IF($A220="","",IF($AK220=TRUE,"Ready 2 Submit","Waiting on Dealer"))</f>
        <v/>
      </c>
      <c r="AG220" s="148"/>
      <c r="AH220" s="87"/>
      <c r="AI220" s="87"/>
      <c r="AJ220" s="197"/>
      <c r="AK220" s="110" t="b">
        <v>0</v>
      </c>
      <c r="AL220" s="87" t="str" cm="1">
        <f t="array" ref="AL220">IF($A220="","",SUMPRODUCT((CHOOSE({1,2,3,4,5},$R220,$V220,$Z220,$AD220,$AH220)="Yes")*(((CHOOSE({1,2,3,4,5},$S220,$W220,$AA220,$AE220,$AI220)="Yes")+(CHOOSE({1,2,3,4,5},$S220,$W220,$AA220,$AE220,$AI220)=TRUE))&gt;0)))</f>
        <v/>
      </c>
      <c r="AM220" s="87"/>
      <c r="AN220" s="87" t="str">
        <f ca="1">IF(OR($A220="",$AM220=""),"",TODAY()-$AM220)</f>
        <v/>
      </c>
      <c r="AO220" s="87"/>
      <c r="AP220" s="106"/>
      <c r="AQ220" s="106"/>
      <c r="AR220" s="106"/>
      <c r="AS220" s="106"/>
      <c r="AT220" s="106"/>
      <c r="AU220" s="106"/>
      <c r="AV220" s="106"/>
      <c r="AW220" s="106"/>
      <c r="AX220" s="106"/>
      <c r="AY220" s="106"/>
    </row>
    <row r="221" spans="1:51" s="20" customFormat="1" ht="21" customHeight="1">
      <c r="A221" s="197"/>
      <c r="B221" s="87"/>
      <c r="C221" s="87"/>
      <c r="D221" s="196"/>
      <c r="E221" s="108"/>
      <c r="F221" s="196"/>
      <c r="G221" s="87"/>
      <c r="H221" s="197"/>
      <c r="I221" s="89"/>
      <c r="J221" s="204"/>
      <c r="K221" s="87"/>
      <c r="L221" s="87" t="str" cm="1">
        <f t="array" ref="L221">IF($A221="","",_xlfn.LET(_xlpm.stat,CHOOSE({1,2,3,4,5},$P221,$T221,$X221,$AB221,$AF221),_xlpm.rate,CHOOSE({1,2,3,4,5},$R221,$V221,$Z221,$AD221,$AH221),_xlpm.trn,CHOOSE({1,2,3,4,5},$S221,$W221,$AA221,$AE221,$AI221),_xlpm.nsC,SUMPRODUCT(--(_xlpm.stat="Ready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DLR",IF(AND(_xlpm.actRS&gt;0,_xlpm.actDone&lt;_xlpm.actRS),"Training",IF(_xlpm.actRS&gt;0,"Active",IF(AND(_xlpm.decC&gt;0,_xlpm.inPlay+_xlpm.actC=0),"Dead",IF(AND($AJ221&lt;&gt;"",$AK221=FALSE),"Waiting on Dealer",IF(_xlpm.subC&gt;0,"Waiting on Lender",IF(AND(_xlpm.appC+_xlpm.actC&gt;0,_xlpm.nsC+_xlpm.wdC=0),"Rate Sheet","Application Submitted")))))))))</f>
        <v/>
      </c>
      <c r="M221" s="87"/>
      <c r="N221" s="87"/>
      <c r="O221" s="197"/>
      <c r="P221" s="87" t="str">
        <f>IF($A221="","",IF($AK221=TRUE,"Ready 2 Submit","Waiting on Dealer"))</f>
        <v/>
      </c>
      <c r="Q221" s="148"/>
      <c r="R221" s="87"/>
      <c r="S221" s="87"/>
      <c r="T221" s="87" t="str">
        <f>IF($A221="","",IF($AK221=TRUE,"Ready 2 Submit","Waiting on Dealer"))</f>
        <v/>
      </c>
      <c r="U221" s="148"/>
      <c r="V221" s="87"/>
      <c r="W221" s="87"/>
      <c r="X221" s="87" t="str">
        <f>IF($A221="","",IF($AK221=TRUE,"Ready 2 Submit","Waiting on Dealer"))</f>
        <v/>
      </c>
      <c r="Y221" s="148"/>
      <c r="Z221" s="87"/>
      <c r="AA221" s="87"/>
      <c r="AB221" s="87" t="str">
        <f>IF($A221="","",IF($AK221=TRUE,"Ready 2 Submit","Waiting on Dealer"))</f>
        <v/>
      </c>
      <c r="AC221" s="148"/>
      <c r="AD221" s="87"/>
      <c r="AE221" s="87"/>
      <c r="AF221" s="87" t="str">
        <f>IF($A221="","",IF($AK221=TRUE,"Ready 2 Submit","Waiting on Dealer"))</f>
        <v/>
      </c>
      <c r="AG221" s="148"/>
      <c r="AH221" s="87"/>
      <c r="AI221" s="87"/>
      <c r="AJ221" s="197"/>
      <c r="AK221" s="110" t="b">
        <v>0</v>
      </c>
      <c r="AL221" s="87" t="str" cm="1">
        <f t="array" ref="AL221">IF($A221="","",SUMPRODUCT((CHOOSE({1,2,3,4,5},$R221,$V221,$Z221,$AD221,$AH221)="Yes")*(((CHOOSE({1,2,3,4,5},$S221,$W221,$AA221,$AE221,$AI221)="Yes")+(CHOOSE({1,2,3,4,5},$S221,$W221,$AA221,$AE221,$AI221)=TRUE))&gt;0)))</f>
        <v/>
      </c>
      <c r="AM221" s="87"/>
      <c r="AN221" s="87" t="str">
        <f ca="1">IF(OR($A221="",$AM221=""),"",TODAY()-$AM221)</f>
        <v/>
      </c>
      <c r="AO221" s="87"/>
      <c r="AP221" s="106"/>
      <c r="AQ221" s="106"/>
      <c r="AR221" s="106"/>
      <c r="AS221" s="106"/>
      <c r="AT221" s="106"/>
      <c r="AU221" s="106"/>
      <c r="AV221" s="106"/>
      <c r="AW221" s="106"/>
      <c r="AX221" s="106"/>
      <c r="AY221" s="106"/>
    </row>
    <row r="222" spans="1:51" s="20" customFormat="1" ht="21" customHeight="1">
      <c r="A222" s="197"/>
      <c r="B222" s="87"/>
      <c r="C222" s="87"/>
      <c r="D222" s="196"/>
      <c r="E222" s="108"/>
      <c r="F222" s="196"/>
      <c r="G222" s="87"/>
      <c r="H222" s="197"/>
      <c r="I222" s="89"/>
      <c r="J222" s="204"/>
      <c r="K222" s="87"/>
      <c r="L222" s="87" t="str" cm="1">
        <f t="array" ref="L222">IF($A222="","",_xlfn.LET(_xlpm.stat,CHOOSE({1,2,3,4,5},$P222,$T222,$X222,$AB222,$AF222),_xlpm.rate,CHOOSE({1,2,3,4,5},$R222,$V222,$Z222,$AD222,$AH222),_xlpm.trn,CHOOSE({1,2,3,4,5},$S222,$W222,$AA222,$AE222,$AI222),_xlpm.nsC,SUMPRODUCT(--(_xlpm.stat="Ready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DLR",IF(AND(_xlpm.actRS&gt;0,_xlpm.actDone&lt;_xlpm.actRS),"Training",IF(_xlpm.actRS&gt;0,"Active",IF(AND(_xlpm.decC&gt;0,_xlpm.inPlay+_xlpm.actC=0),"Dead",IF(AND($AJ222&lt;&gt;"",$AK222=FALSE),"Waiting on Dealer",IF(_xlpm.subC&gt;0,"Waiting on Lender",IF(AND(_xlpm.appC+_xlpm.actC&gt;0,_xlpm.nsC+_xlpm.wdC=0),"Rate Sheet","Application Submitted")))))))))</f>
        <v/>
      </c>
      <c r="M222" s="87"/>
      <c r="N222" s="87"/>
      <c r="O222" s="197"/>
      <c r="P222" s="87" t="str">
        <f>IF($A222="","",IF($AK222=TRUE,"Ready 2 Submit","Waiting on Dealer"))</f>
        <v/>
      </c>
      <c r="Q222" s="148"/>
      <c r="R222" s="87"/>
      <c r="S222" s="87"/>
      <c r="T222" s="87" t="str">
        <f>IF($A222="","",IF($AK222=TRUE,"Ready 2 Submit","Waiting on Dealer"))</f>
        <v/>
      </c>
      <c r="U222" s="148"/>
      <c r="V222" s="87"/>
      <c r="W222" s="87"/>
      <c r="X222" s="87" t="str">
        <f>IF($A222="","",IF($AK222=TRUE,"Ready 2 Submit","Waiting on Dealer"))</f>
        <v/>
      </c>
      <c r="Y222" s="148"/>
      <c r="Z222" s="87"/>
      <c r="AA222" s="87"/>
      <c r="AB222" s="87" t="str">
        <f>IF($A222="","",IF($AK222=TRUE,"Ready 2 Submit","Waiting on Dealer"))</f>
        <v/>
      </c>
      <c r="AC222" s="148"/>
      <c r="AD222" s="87"/>
      <c r="AE222" s="87"/>
      <c r="AF222" s="87" t="str">
        <f>IF($A222="","",IF($AK222=TRUE,"Ready 2 Submit","Waiting on Dealer"))</f>
        <v/>
      </c>
      <c r="AG222" s="148"/>
      <c r="AH222" s="87"/>
      <c r="AI222" s="87"/>
      <c r="AJ222" s="197"/>
      <c r="AK222" s="110" t="b">
        <v>0</v>
      </c>
      <c r="AL222" s="87" t="str" cm="1">
        <f t="array" ref="AL222">IF($A222="","",SUMPRODUCT((CHOOSE({1,2,3,4,5},$R222,$V222,$Z222,$AD222,$AH222)="Yes")*(((CHOOSE({1,2,3,4,5},$S222,$W222,$AA222,$AE222,$AI222)="Yes")+(CHOOSE({1,2,3,4,5},$S222,$W222,$AA222,$AE222,$AI222)=TRUE))&gt;0)))</f>
        <v/>
      </c>
      <c r="AM222" s="87"/>
      <c r="AN222" s="87" t="str">
        <f ca="1">IF(OR($A222="",$AM222=""),"",TODAY()-$AM222)</f>
        <v/>
      </c>
      <c r="AO222" s="87"/>
      <c r="AP222" s="106"/>
      <c r="AQ222" s="106"/>
      <c r="AR222" s="106"/>
      <c r="AS222" s="106"/>
      <c r="AT222" s="106"/>
      <c r="AU222" s="106"/>
      <c r="AV222" s="106"/>
      <c r="AW222" s="106"/>
      <c r="AX222" s="106"/>
      <c r="AY222" s="106"/>
    </row>
    <row r="223" spans="1:51" s="20" customFormat="1" ht="21" customHeight="1">
      <c r="A223" s="197"/>
      <c r="B223" s="87"/>
      <c r="C223" s="87"/>
      <c r="D223" s="196"/>
      <c r="E223" s="108"/>
      <c r="F223" s="196"/>
      <c r="G223" s="87"/>
      <c r="H223" s="197"/>
      <c r="I223" s="89"/>
      <c r="J223" s="204"/>
      <c r="K223" s="87"/>
      <c r="L223" s="87" t="str" cm="1">
        <f t="array" ref="L223">IF($A223="","",_xlfn.LET(_xlpm.stat,CHOOSE({1,2,3,4,5},$P223,$T223,$X223,$AB223,$AF223),_xlpm.rate,CHOOSE({1,2,3,4,5},$R223,$V223,$Z223,$AD223,$AH223),_xlpm.trn,CHOOSE({1,2,3,4,5},$S223,$W223,$AA223,$AE223,$AI223),_xlpm.nsC,SUMPRODUCT(--(_xlpm.stat="Ready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DLR",IF(AND(_xlpm.actRS&gt;0,_xlpm.actDone&lt;_xlpm.actRS),"Training",IF(_xlpm.actRS&gt;0,"Active",IF(AND(_xlpm.decC&gt;0,_xlpm.inPlay+_xlpm.actC=0),"Dead",IF(AND($AJ223&lt;&gt;"",$AK223=FALSE),"Waiting on Dealer",IF(_xlpm.subC&gt;0,"Waiting on Lender",IF(AND(_xlpm.appC+_xlpm.actC&gt;0,_xlpm.nsC+_xlpm.wdC=0),"Rate Sheet","Application Submitted")))))))))</f>
        <v/>
      </c>
      <c r="M223" s="87"/>
      <c r="N223" s="87"/>
      <c r="O223" s="197"/>
      <c r="P223" s="87" t="str">
        <f>IF($A223="","",IF($AK223=TRUE,"Ready 2 Submit","Waiting on Dealer"))</f>
        <v/>
      </c>
      <c r="Q223" s="148"/>
      <c r="R223" s="87"/>
      <c r="S223" s="87"/>
      <c r="T223" s="87" t="str">
        <f>IF($A223="","",IF($AK223=TRUE,"Ready 2 Submit","Waiting on Dealer"))</f>
        <v/>
      </c>
      <c r="U223" s="148"/>
      <c r="V223" s="87"/>
      <c r="W223" s="87"/>
      <c r="X223" s="87" t="str">
        <f>IF($A223="","",IF($AK223=TRUE,"Ready 2 Submit","Waiting on Dealer"))</f>
        <v/>
      </c>
      <c r="Y223" s="148"/>
      <c r="Z223" s="87"/>
      <c r="AA223" s="87"/>
      <c r="AB223" s="87" t="str">
        <f>IF($A223="","",IF($AK223=TRUE,"Ready 2 Submit","Waiting on Dealer"))</f>
        <v/>
      </c>
      <c r="AC223" s="148"/>
      <c r="AD223" s="87"/>
      <c r="AE223" s="87"/>
      <c r="AF223" s="87" t="str">
        <f>IF($A223="","",IF($AK223=TRUE,"Ready 2 Submit","Waiting on Dealer"))</f>
        <v/>
      </c>
      <c r="AG223" s="148"/>
      <c r="AH223" s="87"/>
      <c r="AI223" s="87"/>
      <c r="AJ223" s="197"/>
      <c r="AK223" s="110" t="b">
        <v>0</v>
      </c>
      <c r="AL223" s="87" t="str" cm="1">
        <f t="array" ref="AL223">IF($A223="","",SUMPRODUCT((CHOOSE({1,2,3,4,5},$R223,$V223,$Z223,$AD223,$AH223)="Yes")*(((CHOOSE({1,2,3,4,5},$S223,$W223,$AA223,$AE223,$AI223)="Yes")+(CHOOSE({1,2,3,4,5},$S223,$W223,$AA223,$AE223,$AI223)=TRUE))&gt;0)))</f>
        <v/>
      </c>
      <c r="AM223" s="87"/>
      <c r="AN223" s="87" t="str">
        <f ca="1">IF(OR($A223="",$AM223=""),"",TODAY()-$AM223)</f>
        <v/>
      </c>
      <c r="AO223" s="87"/>
      <c r="AP223" s="106"/>
      <c r="AQ223" s="106"/>
      <c r="AR223" s="106"/>
      <c r="AS223" s="106"/>
      <c r="AT223" s="106"/>
      <c r="AU223" s="106"/>
      <c r="AV223" s="106"/>
      <c r="AW223" s="106"/>
      <c r="AX223" s="106"/>
      <c r="AY223" s="106"/>
    </row>
    <row r="224" spans="1:51" s="20" customFormat="1" ht="21" customHeight="1">
      <c r="A224" s="197"/>
      <c r="B224" s="87"/>
      <c r="C224" s="87"/>
      <c r="D224" s="196"/>
      <c r="E224" s="108"/>
      <c r="F224" s="196"/>
      <c r="G224" s="87"/>
      <c r="H224" s="197"/>
      <c r="I224" s="89"/>
      <c r="J224" s="204"/>
      <c r="K224" s="87"/>
      <c r="L224" s="87" t="str" cm="1">
        <f t="array" ref="L224">IF($A224="","",_xlfn.LET(_xlpm.stat,CHOOSE({1,2,3,4,5},$P224,$T224,$X224,$AB224,$AF224),_xlpm.rate,CHOOSE({1,2,3,4,5},$R224,$V224,$Z224,$AD224,$AH224),_xlpm.trn,CHOOSE({1,2,3,4,5},$S224,$W224,$AA224,$AE224,$AI224),_xlpm.nsC,SUMPRODUCT(--(_xlpm.stat="Ready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DLR",IF(AND(_xlpm.actRS&gt;0,_xlpm.actDone&lt;_xlpm.actRS),"Training",IF(_xlpm.actRS&gt;0,"Active",IF(AND(_xlpm.decC&gt;0,_xlpm.inPlay+_xlpm.actC=0),"Dead",IF(AND($AJ224&lt;&gt;"",$AK224=FALSE),"Waiting on Dealer",IF(_xlpm.subC&gt;0,"Waiting on Lender",IF(AND(_xlpm.appC+_xlpm.actC&gt;0,_xlpm.nsC+_xlpm.wdC=0),"Rate Sheet","Application Submitted")))))))))</f>
        <v/>
      </c>
      <c r="M224" s="87"/>
      <c r="N224" s="87"/>
      <c r="O224" s="197"/>
      <c r="P224" s="87" t="str">
        <f>IF($A224="","",IF($AK224=TRUE,"Ready 2 Submit","Waiting on Dealer"))</f>
        <v/>
      </c>
      <c r="Q224" s="148"/>
      <c r="R224" s="87"/>
      <c r="S224" s="87"/>
      <c r="T224" s="87" t="str">
        <f>IF($A224="","",IF($AK224=TRUE,"Ready 2 Submit","Waiting on Dealer"))</f>
        <v/>
      </c>
      <c r="U224" s="148"/>
      <c r="V224" s="87"/>
      <c r="W224" s="87"/>
      <c r="X224" s="87" t="str">
        <f>IF($A224="","",IF($AK224=TRUE,"Ready 2 Submit","Waiting on Dealer"))</f>
        <v/>
      </c>
      <c r="Y224" s="148"/>
      <c r="Z224" s="87"/>
      <c r="AA224" s="87"/>
      <c r="AB224" s="87" t="str">
        <f>IF($A224="","",IF($AK224=TRUE,"Ready 2 Submit","Waiting on Dealer"))</f>
        <v/>
      </c>
      <c r="AC224" s="148"/>
      <c r="AD224" s="87"/>
      <c r="AE224" s="87"/>
      <c r="AF224" s="87" t="str">
        <f>IF($A224="","",IF($AK224=TRUE,"Ready 2 Submit","Waiting on Dealer"))</f>
        <v/>
      </c>
      <c r="AG224" s="148"/>
      <c r="AH224" s="87"/>
      <c r="AI224" s="87"/>
      <c r="AJ224" s="197"/>
      <c r="AK224" s="110" t="b">
        <v>0</v>
      </c>
      <c r="AL224" s="87" t="str" cm="1">
        <f t="array" ref="AL224">IF($A224="","",SUMPRODUCT((CHOOSE({1,2,3,4,5},$R224,$V224,$Z224,$AD224,$AH224)="Yes")*(((CHOOSE({1,2,3,4,5},$S224,$W224,$AA224,$AE224,$AI224)="Yes")+(CHOOSE({1,2,3,4,5},$S224,$W224,$AA224,$AE224,$AI224)=TRUE))&gt;0)))</f>
        <v/>
      </c>
      <c r="AM224" s="87"/>
      <c r="AN224" s="87" t="str">
        <f ca="1">IF(OR($A224="",$AM224=""),"",TODAY()-$AM224)</f>
        <v/>
      </c>
      <c r="AO224" s="87"/>
      <c r="AP224" s="106"/>
      <c r="AQ224" s="106"/>
      <c r="AR224" s="106"/>
      <c r="AS224" s="106"/>
      <c r="AT224" s="106"/>
      <c r="AU224" s="106"/>
      <c r="AV224" s="106"/>
      <c r="AW224" s="106"/>
      <c r="AX224" s="106"/>
      <c r="AY224" s="106"/>
    </row>
    <row r="225" spans="1:51" s="20" customFormat="1" ht="21" customHeight="1">
      <c r="A225" s="197"/>
      <c r="B225" s="87"/>
      <c r="C225" s="87"/>
      <c r="D225" s="196"/>
      <c r="E225" s="108"/>
      <c r="F225" s="196"/>
      <c r="G225" s="87"/>
      <c r="H225" s="197"/>
      <c r="I225" s="89"/>
      <c r="J225" s="204"/>
      <c r="K225" s="87"/>
      <c r="L225" s="87" t="str" cm="1">
        <f t="array" ref="L225">IF($A225="","",_xlfn.LET(_xlpm.stat,CHOOSE({1,2,3,4,5},$P225,$T225,$X225,$AB225,$AF225),_xlpm.rate,CHOOSE({1,2,3,4,5},$R225,$V225,$Z225,$AD225,$AH225),_xlpm.trn,CHOOSE({1,2,3,4,5},$S225,$W225,$AA225,$AE225,$AI225),_xlpm.nsC,SUMPRODUCT(--(_xlpm.stat="Ready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DLR",IF(AND(_xlpm.actRS&gt;0,_xlpm.actDone&lt;_xlpm.actRS),"Training",IF(_xlpm.actRS&gt;0,"Active",IF(AND(_xlpm.decC&gt;0,_xlpm.inPlay+_xlpm.actC=0),"Dead",IF(AND($AJ225&lt;&gt;"",$AK225=FALSE),"Waiting on Dealer",IF(_xlpm.subC&gt;0,"Waiting on Lender",IF(AND(_xlpm.appC+_xlpm.actC&gt;0,_xlpm.nsC+_xlpm.wdC=0),"Rate Sheet","Application Submitted")))))))))</f>
        <v/>
      </c>
      <c r="M225" s="87"/>
      <c r="N225" s="87"/>
      <c r="O225" s="197"/>
      <c r="P225" s="87" t="str">
        <f>IF($A225="","",IF($AK225=TRUE,"Ready 2 Submit","Waiting on Dealer"))</f>
        <v/>
      </c>
      <c r="Q225" s="148"/>
      <c r="R225" s="87"/>
      <c r="S225" s="87"/>
      <c r="T225" s="87" t="str">
        <f>IF($A225="","",IF($AK225=TRUE,"Ready 2 Submit","Waiting on Dealer"))</f>
        <v/>
      </c>
      <c r="U225" s="148"/>
      <c r="V225" s="87"/>
      <c r="W225" s="87"/>
      <c r="X225" s="87" t="str">
        <f>IF($A225="","",IF($AK225=TRUE,"Ready 2 Submit","Waiting on Dealer"))</f>
        <v/>
      </c>
      <c r="Y225" s="148"/>
      <c r="Z225" s="87"/>
      <c r="AA225" s="87"/>
      <c r="AB225" s="87" t="str">
        <f>IF($A225="","",IF($AK225=TRUE,"Ready 2 Submit","Waiting on Dealer"))</f>
        <v/>
      </c>
      <c r="AC225" s="148"/>
      <c r="AD225" s="87"/>
      <c r="AE225" s="87"/>
      <c r="AF225" s="87" t="str">
        <f>IF($A225="","",IF($AK225=TRUE,"Ready 2 Submit","Waiting on Dealer"))</f>
        <v/>
      </c>
      <c r="AG225" s="148"/>
      <c r="AH225" s="87"/>
      <c r="AI225" s="87"/>
      <c r="AJ225" s="197"/>
      <c r="AK225" s="110" t="b">
        <v>0</v>
      </c>
      <c r="AL225" s="87" t="str" cm="1">
        <f t="array" ref="AL225">IF($A225="","",SUMPRODUCT((CHOOSE({1,2,3,4,5},$R225,$V225,$Z225,$AD225,$AH225)="Yes")*(((CHOOSE({1,2,3,4,5},$S225,$W225,$AA225,$AE225,$AI225)="Yes")+(CHOOSE({1,2,3,4,5},$S225,$W225,$AA225,$AE225,$AI225)=TRUE))&gt;0)))</f>
        <v/>
      </c>
      <c r="AM225" s="87"/>
      <c r="AN225" s="87" t="str">
        <f ca="1">IF(OR($A225="",$AM225=""),"",TODAY()-$AM225)</f>
        <v/>
      </c>
      <c r="AO225" s="87"/>
      <c r="AP225" s="106"/>
      <c r="AQ225" s="106"/>
      <c r="AR225" s="106"/>
      <c r="AS225" s="106"/>
      <c r="AT225" s="106"/>
      <c r="AU225" s="106"/>
      <c r="AV225" s="106"/>
      <c r="AW225" s="106"/>
      <c r="AX225" s="106"/>
      <c r="AY225" s="106"/>
    </row>
    <row r="226" spans="1:51" s="20" customFormat="1" ht="21" customHeight="1">
      <c r="A226" s="197"/>
      <c r="B226" s="87"/>
      <c r="C226" s="87"/>
      <c r="D226" s="196"/>
      <c r="E226" s="108"/>
      <c r="F226" s="196"/>
      <c r="G226" s="87"/>
      <c r="H226" s="197"/>
      <c r="I226" s="89"/>
      <c r="J226" s="204"/>
      <c r="K226" s="87"/>
      <c r="L226" s="87" t="str" cm="1">
        <f t="array" ref="L226">IF($A226="","",_xlfn.LET(_xlpm.stat,CHOOSE({1,2,3,4,5},$P226,$T226,$X226,$AB226,$AF226),_xlpm.rate,CHOOSE({1,2,3,4,5},$R226,$V226,$Z226,$AD226,$AH226),_xlpm.trn,CHOOSE({1,2,3,4,5},$S226,$W226,$AA226,$AE226,$AI226),_xlpm.nsC,SUMPRODUCT(--(_xlpm.stat="Ready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DLR",IF(AND(_xlpm.actRS&gt;0,_xlpm.actDone&lt;_xlpm.actRS),"Training",IF(_xlpm.actRS&gt;0,"Active",IF(AND(_xlpm.decC&gt;0,_xlpm.inPlay+_xlpm.actC=0),"Dead",IF(AND($AJ226&lt;&gt;"",$AK226=FALSE),"Waiting on Dealer",IF(_xlpm.subC&gt;0,"Waiting on Lender",IF(AND(_xlpm.appC+_xlpm.actC&gt;0,_xlpm.nsC+_xlpm.wdC=0),"Rate Sheet","Application Submitted")))))))))</f>
        <v/>
      </c>
      <c r="M226" s="87"/>
      <c r="N226" s="87"/>
      <c r="O226" s="197"/>
      <c r="P226" s="87" t="str">
        <f>IF($A226="","",IF($AK226=TRUE,"Ready 2 Submit","Waiting on Dealer"))</f>
        <v/>
      </c>
      <c r="Q226" s="148"/>
      <c r="R226" s="87"/>
      <c r="S226" s="87"/>
      <c r="T226" s="87" t="str">
        <f>IF($A226="","",IF($AK226=TRUE,"Ready 2 Submit","Waiting on Dealer"))</f>
        <v/>
      </c>
      <c r="U226" s="148"/>
      <c r="V226" s="87"/>
      <c r="W226" s="87"/>
      <c r="X226" s="87" t="str">
        <f>IF($A226="","",IF($AK226=TRUE,"Ready 2 Submit","Waiting on Dealer"))</f>
        <v/>
      </c>
      <c r="Y226" s="148"/>
      <c r="Z226" s="87"/>
      <c r="AA226" s="87"/>
      <c r="AB226" s="87" t="str">
        <f>IF($A226="","",IF($AK226=TRUE,"Ready 2 Submit","Waiting on Dealer"))</f>
        <v/>
      </c>
      <c r="AC226" s="148"/>
      <c r="AD226" s="87"/>
      <c r="AE226" s="87"/>
      <c r="AF226" s="87" t="str">
        <f>IF($A226="","",IF($AK226=TRUE,"Ready 2 Submit","Waiting on Dealer"))</f>
        <v/>
      </c>
      <c r="AG226" s="148"/>
      <c r="AH226" s="87"/>
      <c r="AI226" s="87"/>
      <c r="AJ226" s="197"/>
      <c r="AK226" s="110" t="b">
        <v>0</v>
      </c>
      <c r="AL226" s="87" t="str" cm="1">
        <f t="array" ref="AL226">IF($A226="","",SUMPRODUCT((CHOOSE({1,2,3,4,5},$R226,$V226,$Z226,$AD226,$AH226)="Yes")*(((CHOOSE({1,2,3,4,5},$S226,$W226,$AA226,$AE226,$AI226)="Yes")+(CHOOSE({1,2,3,4,5},$S226,$W226,$AA226,$AE226,$AI226)=TRUE))&gt;0)))</f>
        <v/>
      </c>
      <c r="AM226" s="87"/>
      <c r="AN226" s="87" t="str">
        <f ca="1">IF(OR($A226="",$AM226=""),"",TODAY()-$AM226)</f>
        <v/>
      </c>
      <c r="AO226" s="87"/>
      <c r="AP226" s="106"/>
      <c r="AQ226" s="106"/>
      <c r="AR226" s="106"/>
      <c r="AS226" s="106"/>
      <c r="AT226" s="106"/>
      <c r="AU226" s="106"/>
      <c r="AV226" s="106"/>
      <c r="AW226" s="106"/>
      <c r="AX226" s="106"/>
      <c r="AY226" s="106"/>
    </row>
    <row r="227" spans="1:51" s="20" customFormat="1" ht="21" customHeight="1">
      <c r="A227" s="197"/>
      <c r="B227" s="87"/>
      <c r="C227" s="87"/>
      <c r="D227" s="196"/>
      <c r="E227" s="108"/>
      <c r="F227" s="196"/>
      <c r="G227" s="87"/>
      <c r="H227" s="197"/>
      <c r="I227" s="89"/>
      <c r="J227" s="204"/>
      <c r="K227" s="87"/>
      <c r="L227" s="87" t="str" cm="1">
        <f t="array" ref="L227">IF($A227="","",_xlfn.LET(_xlpm.stat,CHOOSE({1,2,3,4,5},$P227,$T227,$X227,$AB227,$AF227),_xlpm.rate,CHOOSE({1,2,3,4,5},$R227,$V227,$Z227,$AD227,$AH227),_xlpm.trn,CHOOSE({1,2,3,4,5},$S227,$W227,$AA227,$AE227,$AI227),_xlpm.nsC,SUMPRODUCT(--(_xlpm.stat="Ready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DLR",IF(AND(_xlpm.actRS&gt;0,_xlpm.actDone&lt;_xlpm.actRS),"Training",IF(_xlpm.actRS&gt;0,"Active",IF(AND(_xlpm.decC&gt;0,_xlpm.inPlay+_xlpm.actC=0),"Dead",IF(AND($AJ227&lt;&gt;"",$AK227=FALSE),"Waiting on Dealer",IF(_xlpm.subC&gt;0,"Waiting on Lender",IF(AND(_xlpm.appC+_xlpm.actC&gt;0,_xlpm.nsC+_xlpm.wdC=0),"Rate Sheet","Application Submitted")))))))))</f>
        <v/>
      </c>
      <c r="M227" s="87"/>
      <c r="N227" s="87"/>
      <c r="O227" s="197"/>
      <c r="P227" s="87" t="str">
        <f>IF($A227="","",IF($AK227=TRUE,"Ready 2 Submit","Waiting on Dealer"))</f>
        <v/>
      </c>
      <c r="Q227" s="148"/>
      <c r="R227" s="87"/>
      <c r="S227" s="87"/>
      <c r="T227" s="87" t="str">
        <f>IF($A227="","",IF($AK227=TRUE,"Ready 2 Submit","Waiting on Dealer"))</f>
        <v/>
      </c>
      <c r="U227" s="148"/>
      <c r="V227" s="87"/>
      <c r="W227" s="87"/>
      <c r="X227" s="87" t="str">
        <f>IF($A227="","",IF($AK227=TRUE,"Ready 2 Submit","Waiting on Dealer"))</f>
        <v/>
      </c>
      <c r="Y227" s="148"/>
      <c r="Z227" s="87"/>
      <c r="AA227" s="87"/>
      <c r="AB227" s="87" t="str">
        <f>IF($A227="","",IF($AK227=TRUE,"Ready 2 Submit","Waiting on Dealer"))</f>
        <v/>
      </c>
      <c r="AC227" s="148"/>
      <c r="AD227" s="87"/>
      <c r="AE227" s="87"/>
      <c r="AF227" s="87" t="str">
        <f>IF($A227="","",IF($AK227=TRUE,"Ready 2 Submit","Waiting on Dealer"))</f>
        <v/>
      </c>
      <c r="AG227" s="148"/>
      <c r="AH227" s="87"/>
      <c r="AI227" s="87"/>
      <c r="AJ227" s="197"/>
      <c r="AK227" s="110" t="b">
        <v>0</v>
      </c>
      <c r="AL227" s="87" t="str" cm="1">
        <f t="array" ref="AL227">IF($A227="","",SUMPRODUCT((CHOOSE({1,2,3,4,5},$R227,$V227,$Z227,$AD227,$AH227)="Yes")*(((CHOOSE({1,2,3,4,5},$S227,$W227,$AA227,$AE227,$AI227)="Yes")+(CHOOSE({1,2,3,4,5},$S227,$W227,$AA227,$AE227,$AI227)=TRUE))&gt;0)))</f>
        <v/>
      </c>
      <c r="AM227" s="87"/>
      <c r="AN227" s="87" t="str">
        <f ca="1">IF(OR($A227="",$AM227=""),"",TODAY()-$AM227)</f>
        <v/>
      </c>
      <c r="AO227" s="87"/>
      <c r="AP227" s="106"/>
      <c r="AQ227" s="106"/>
      <c r="AR227" s="106"/>
      <c r="AS227" s="106"/>
      <c r="AT227" s="106"/>
      <c r="AU227" s="106"/>
      <c r="AV227" s="106"/>
      <c r="AW227" s="106"/>
      <c r="AX227" s="106"/>
      <c r="AY227" s="106"/>
    </row>
    <row r="228" spans="1:51" s="20" customFormat="1" ht="21" customHeight="1">
      <c r="A228" s="197"/>
      <c r="B228" s="87"/>
      <c r="C228" s="87"/>
      <c r="D228" s="196"/>
      <c r="E228" s="108"/>
      <c r="F228" s="196"/>
      <c r="G228" s="87"/>
      <c r="H228" s="197"/>
      <c r="I228" s="89"/>
      <c r="J228" s="204"/>
      <c r="K228" s="87"/>
      <c r="L228" s="87" t="str" cm="1">
        <f t="array" ref="L228">IF($A228="","",_xlfn.LET(_xlpm.stat,CHOOSE({1,2,3,4,5},$P228,$T228,$X228,$AB228,$AF228),_xlpm.rate,CHOOSE({1,2,3,4,5},$R228,$V228,$Z228,$AD228,$AH228),_xlpm.trn,CHOOSE({1,2,3,4,5},$S228,$W228,$AA228,$AE228,$AI228),_xlpm.nsC,SUMPRODUCT(--(_xlpm.stat="Ready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DLR",IF(AND(_xlpm.actRS&gt;0,_xlpm.actDone&lt;_xlpm.actRS),"Training",IF(_xlpm.actRS&gt;0,"Active",IF(AND(_xlpm.decC&gt;0,_xlpm.inPlay+_xlpm.actC=0),"Dead",IF(AND($AJ228&lt;&gt;"",$AK228=FALSE),"Waiting on Dealer",IF(_xlpm.subC&gt;0,"Waiting on Lender",IF(AND(_xlpm.appC+_xlpm.actC&gt;0,_xlpm.nsC+_xlpm.wdC=0),"Rate Sheet","Application Submitted")))))))))</f>
        <v/>
      </c>
      <c r="M228" s="87"/>
      <c r="N228" s="87"/>
      <c r="O228" s="197"/>
      <c r="P228" s="87" t="str">
        <f>IF($A228="","",IF($AK228=TRUE,"Ready 2 Submit","Waiting on Dealer"))</f>
        <v/>
      </c>
      <c r="Q228" s="148"/>
      <c r="R228" s="87"/>
      <c r="S228" s="87"/>
      <c r="T228" s="87" t="str">
        <f>IF($A228="","",IF($AK228=TRUE,"Ready 2 Submit","Waiting on Dealer"))</f>
        <v/>
      </c>
      <c r="U228" s="148"/>
      <c r="V228" s="87"/>
      <c r="W228" s="87"/>
      <c r="X228" s="87" t="str">
        <f>IF($A228="","",IF($AK228=TRUE,"Ready 2 Submit","Waiting on Dealer"))</f>
        <v/>
      </c>
      <c r="Y228" s="148"/>
      <c r="Z228" s="87"/>
      <c r="AA228" s="87"/>
      <c r="AB228" s="87" t="str">
        <f>IF($A228="","",IF($AK228=TRUE,"Ready 2 Submit","Waiting on Dealer"))</f>
        <v/>
      </c>
      <c r="AC228" s="148"/>
      <c r="AD228" s="87"/>
      <c r="AE228" s="87"/>
      <c r="AF228" s="87" t="str">
        <f>IF($A228="","",IF($AK228=TRUE,"Ready 2 Submit","Waiting on Dealer"))</f>
        <v/>
      </c>
      <c r="AG228" s="148"/>
      <c r="AH228" s="87"/>
      <c r="AI228" s="87"/>
      <c r="AJ228" s="197"/>
      <c r="AK228" s="110" t="b">
        <v>0</v>
      </c>
      <c r="AL228" s="87" t="str" cm="1">
        <f t="array" ref="AL228">IF($A228="","",SUMPRODUCT((CHOOSE({1,2,3,4,5},$R228,$V228,$Z228,$AD228,$AH228)="Yes")*(((CHOOSE({1,2,3,4,5},$S228,$W228,$AA228,$AE228,$AI228)="Yes")+(CHOOSE({1,2,3,4,5},$S228,$W228,$AA228,$AE228,$AI228)=TRUE))&gt;0)))</f>
        <v/>
      </c>
      <c r="AM228" s="87"/>
      <c r="AN228" s="87" t="str">
        <f ca="1">IF(OR($A228="",$AM228=""),"",TODAY()-$AM228)</f>
        <v/>
      </c>
      <c r="AO228" s="87"/>
      <c r="AP228" s="106"/>
      <c r="AQ228" s="106"/>
      <c r="AR228" s="106"/>
      <c r="AS228" s="106"/>
      <c r="AT228" s="106"/>
      <c r="AU228" s="106"/>
      <c r="AV228" s="106"/>
      <c r="AW228" s="106"/>
      <c r="AX228" s="106"/>
      <c r="AY228" s="106"/>
    </row>
    <row r="229" spans="1:51" s="20" customFormat="1" ht="21" customHeight="1">
      <c r="A229" s="197"/>
      <c r="B229" s="87"/>
      <c r="C229" s="87"/>
      <c r="D229" s="196"/>
      <c r="E229" s="108"/>
      <c r="F229" s="196"/>
      <c r="G229" s="87"/>
      <c r="H229" s="197"/>
      <c r="I229" s="89"/>
      <c r="J229" s="204"/>
      <c r="K229" s="87"/>
      <c r="L229" s="87" t="str" cm="1">
        <f t="array" ref="L229">IF($A229="","",_xlfn.LET(_xlpm.stat,CHOOSE({1,2,3,4,5},$P229,$T229,$X229,$AB229,$AF229),_xlpm.rate,CHOOSE({1,2,3,4,5},$R229,$V229,$Z229,$AD229,$AH229),_xlpm.trn,CHOOSE({1,2,3,4,5},$S229,$W229,$AA229,$AE229,$AI229),_xlpm.nsC,SUMPRODUCT(--(_xlpm.stat="Ready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DLR",IF(AND(_xlpm.actRS&gt;0,_xlpm.actDone&lt;_xlpm.actRS),"Training",IF(_xlpm.actRS&gt;0,"Active",IF(AND(_xlpm.decC&gt;0,_xlpm.inPlay+_xlpm.actC=0),"Dead",IF(AND($AJ229&lt;&gt;"",$AK229=FALSE),"Waiting on Dealer",IF(_xlpm.subC&gt;0,"Waiting on Lender",IF(AND(_xlpm.appC+_xlpm.actC&gt;0,_xlpm.nsC+_xlpm.wdC=0),"Rate Sheet","Application Submitted")))))))))</f>
        <v/>
      </c>
      <c r="M229" s="87"/>
      <c r="N229" s="87"/>
      <c r="O229" s="197"/>
      <c r="P229" s="87" t="str">
        <f>IF($A229="","",IF($AK229=TRUE,"Ready 2 Submit","Waiting on Dealer"))</f>
        <v/>
      </c>
      <c r="Q229" s="148"/>
      <c r="R229" s="87"/>
      <c r="S229" s="87"/>
      <c r="T229" s="87" t="str">
        <f>IF($A229="","",IF($AK229=TRUE,"Ready 2 Submit","Waiting on Dealer"))</f>
        <v/>
      </c>
      <c r="U229" s="148"/>
      <c r="V229" s="87"/>
      <c r="W229" s="87"/>
      <c r="X229" s="87" t="str">
        <f>IF($A229="","",IF($AK229=TRUE,"Ready 2 Submit","Waiting on Dealer"))</f>
        <v/>
      </c>
      <c r="Y229" s="148"/>
      <c r="Z229" s="87"/>
      <c r="AA229" s="87"/>
      <c r="AB229" s="87" t="str">
        <f>IF($A229="","",IF($AK229=TRUE,"Ready 2 Submit","Waiting on Dealer"))</f>
        <v/>
      </c>
      <c r="AC229" s="148"/>
      <c r="AD229" s="87"/>
      <c r="AE229" s="87"/>
      <c r="AF229" s="87" t="str">
        <f>IF($A229="","",IF($AK229=TRUE,"Ready 2 Submit","Waiting on Dealer"))</f>
        <v/>
      </c>
      <c r="AG229" s="148"/>
      <c r="AH229" s="87"/>
      <c r="AI229" s="87"/>
      <c r="AJ229" s="197"/>
      <c r="AK229" s="110" t="b">
        <v>0</v>
      </c>
      <c r="AL229" s="87" t="str" cm="1">
        <f t="array" ref="AL229">IF($A229="","",SUMPRODUCT((CHOOSE({1,2,3,4,5},$R229,$V229,$Z229,$AD229,$AH229)="Yes")*(((CHOOSE({1,2,3,4,5},$S229,$W229,$AA229,$AE229,$AI229)="Yes")+(CHOOSE({1,2,3,4,5},$S229,$W229,$AA229,$AE229,$AI229)=TRUE))&gt;0)))</f>
        <v/>
      </c>
      <c r="AM229" s="87"/>
      <c r="AN229" s="87" t="str">
        <f ca="1">IF(OR($A229="",$AM229=""),"",TODAY()-$AM229)</f>
        <v/>
      </c>
      <c r="AO229" s="87"/>
      <c r="AP229" s="106"/>
      <c r="AQ229" s="106"/>
      <c r="AR229" s="106"/>
      <c r="AS229" s="106"/>
      <c r="AT229" s="106"/>
      <c r="AU229" s="106"/>
      <c r="AV229" s="106"/>
      <c r="AW229" s="106"/>
      <c r="AX229" s="106"/>
      <c r="AY229" s="106"/>
    </row>
    <row r="230" spans="1:51" s="20" customFormat="1" ht="21" customHeight="1">
      <c r="A230" s="197"/>
      <c r="B230" s="87"/>
      <c r="C230" s="87"/>
      <c r="D230" s="196"/>
      <c r="E230" s="108"/>
      <c r="F230" s="196"/>
      <c r="G230" s="87"/>
      <c r="H230" s="197"/>
      <c r="I230" s="89"/>
      <c r="J230" s="204"/>
      <c r="K230" s="87"/>
      <c r="L230" s="87" t="str" cm="1">
        <f t="array" ref="L230">IF($A230="","",_xlfn.LET(_xlpm.stat,CHOOSE({1,2,3,4,5},$P230,$T230,$X230,$AB230,$AF230),_xlpm.rate,CHOOSE({1,2,3,4,5},$R230,$V230,$Z230,$AD230,$AH230),_xlpm.trn,CHOOSE({1,2,3,4,5},$S230,$W230,$AA230,$AE230,$AI230),_xlpm.nsC,SUMPRODUCT(--(_xlpm.stat="Ready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DLR",IF(AND(_xlpm.actRS&gt;0,_xlpm.actDone&lt;_xlpm.actRS),"Training",IF(_xlpm.actRS&gt;0,"Active",IF(AND(_xlpm.decC&gt;0,_xlpm.inPlay+_xlpm.actC=0),"Dead",IF(AND($AJ230&lt;&gt;"",$AK230=FALSE),"Waiting on Dealer",IF(_xlpm.subC&gt;0,"Waiting on Lender",IF(AND(_xlpm.appC+_xlpm.actC&gt;0,_xlpm.nsC+_xlpm.wdC=0),"Rate Sheet","Application Submitted")))))))))</f>
        <v/>
      </c>
      <c r="M230" s="87"/>
      <c r="N230" s="87"/>
      <c r="O230" s="197"/>
      <c r="P230" s="87" t="str">
        <f>IF($A230="","",IF($AK230=TRUE,"Ready 2 Submit","Waiting on Dealer"))</f>
        <v/>
      </c>
      <c r="Q230" s="148"/>
      <c r="R230" s="87"/>
      <c r="S230" s="87"/>
      <c r="T230" s="87" t="str">
        <f>IF($A230="","",IF($AK230=TRUE,"Ready 2 Submit","Waiting on Dealer"))</f>
        <v/>
      </c>
      <c r="U230" s="148"/>
      <c r="V230" s="87"/>
      <c r="W230" s="87"/>
      <c r="X230" s="87" t="str">
        <f>IF($A230="","",IF($AK230=TRUE,"Ready 2 Submit","Waiting on Dealer"))</f>
        <v/>
      </c>
      <c r="Y230" s="148"/>
      <c r="Z230" s="87"/>
      <c r="AA230" s="87"/>
      <c r="AB230" s="87" t="str">
        <f>IF($A230="","",IF($AK230=TRUE,"Ready 2 Submit","Waiting on Dealer"))</f>
        <v/>
      </c>
      <c r="AC230" s="148"/>
      <c r="AD230" s="87"/>
      <c r="AE230" s="87"/>
      <c r="AF230" s="87" t="str">
        <f>IF($A230="","",IF($AK230=TRUE,"Ready 2 Submit","Waiting on Dealer"))</f>
        <v/>
      </c>
      <c r="AG230" s="148"/>
      <c r="AH230" s="87"/>
      <c r="AI230" s="87"/>
      <c r="AJ230" s="197"/>
      <c r="AK230" s="110" t="b">
        <v>0</v>
      </c>
      <c r="AL230" s="87" t="str" cm="1">
        <f t="array" ref="AL230">IF($A230="","",SUMPRODUCT((CHOOSE({1,2,3,4,5},$R230,$V230,$Z230,$AD230,$AH230)="Yes")*(((CHOOSE({1,2,3,4,5},$S230,$W230,$AA230,$AE230,$AI230)="Yes")+(CHOOSE({1,2,3,4,5},$S230,$W230,$AA230,$AE230,$AI230)=TRUE))&gt;0)))</f>
        <v/>
      </c>
      <c r="AM230" s="87"/>
      <c r="AN230" s="87" t="str">
        <f ca="1">IF(OR($A230="",$AM230=""),"",TODAY()-$AM230)</f>
        <v/>
      </c>
      <c r="AO230" s="87"/>
      <c r="AP230" s="106"/>
      <c r="AQ230" s="106"/>
      <c r="AR230" s="106"/>
      <c r="AS230" s="106"/>
      <c r="AT230" s="106"/>
      <c r="AU230" s="106"/>
      <c r="AV230" s="106"/>
      <c r="AW230" s="106"/>
      <c r="AX230" s="106"/>
      <c r="AY230" s="106"/>
    </row>
    <row r="231" spans="1:51" s="20" customFormat="1" ht="21" customHeight="1">
      <c r="A231" s="197"/>
      <c r="B231" s="87"/>
      <c r="C231" s="87"/>
      <c r="D231" s="196"/>
      <c r="E231" s="108"/>
      <c r="F231" s="196"/>
      <c r="G231" s="87"/>
      <c r="H231" s="197"/>
      <c r="I231" s="89"/>
      <c r="J231" s="204"/>
      <c r="K231" s="87"/>
      <c r="L231" s="87" t="str" cm="1">
        <f t="array" ref="L231">IF($A231="","",_xlfn.LET(_xlpm.stat,CHOOSE({1,2,3,4,5},$P231,$T231,$X231,$AB231,$AF231),_xlpm.rate,CHOOSE({1,2,3,4,5},$R231,$V231,$Z231,$AD231,$AH231),_xlpm.trn,CHOOSE({1,2,3,4,5},$S231,$W231,$AA231,$AE231,$AI231),_xlpm.nsC,SUMPRODUCT(--(_xlpm.stat="Ready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DLR",IF(AND(_xlpm.actRS&gt;0,_xlpm.actDone&lt;_xlpm.actRS),"Training",IF(_xlpm.actRS&gt;0,"Active",IF(AND(_xlpm.decC&gt;0,_xlpm.inPlay+_xlpm.actC=0),"Dead",IF(AND($AJ231&lt;&gt;"",$AK231=FALSE),"Waiting on Dealer",IF(_xlpm.subC&gt;0,"Waiting on Lender",IF(AND(_xlpm.appC+_xlpm.actC&gt;0,_xlpm.nsC+_xlpm.wdC=0),"Rate Sheet","Application Submitted")))))))))</f>
        <v/>
      </c>
      <c r="M231" s="87"/>
      <c r="N231" s="87"/>
      <c r="O231" s="197"/>
      <c r="P231" s="87" t="str">
        <f>IF($A231="","",IF($AK231=TRUE,"Ready 2 Submit","Waiting on Dealer"))</f>
        <v/>
      </c>
      <c r="Q231" s="148"/>
      <c r="R231" s="87"/>
      <c r="S231" s="87"/>
      <c r="T231" s="87" t="str">
        <f>IF($A231="","",IF($AK231=TRUE,"Ready 2 Submit","Waiting on Dealer"))</f>
        <v/>
      </c>
      <c r="U231" s="148"/>
      <c r="V231" s="87"/>
      <c r="W231" s="87"/>
      <c r="X231" s="87" t="str">
        <f>IF($A231="","",IF($AK231=TRUE,"Ready 2 Submit","Waiting on Dealer"))</f>
        <v/>
      </c>
      <c r="Y231" s="148"/>
      <c r="Z231" s="87"/>
      <c r="AA231" s="87"/>
      <c r="AB231" s="87" t="str">
        <f>IF($A231="","",IF($AK231=TRUE,"Ready 2 Submit","Waiting on Dealer"))</f>
        <v/>
      </c>
      <c r="AC231" s="148"/>
      <c r="AD231" s="87"/>
      <c r="AE231" s="87"/>
      <c r="AF231" s="87" t="str">
        <f>IF($A231="","",IF($AK231=TRUE,"Ready 2 Submit","Waiting on Dealer"))</f>
        <v/>
      </c>
      <c r="AG231" s="148"/>
      <c r="AH231" s="87"/>
      <c r="AI231" s="87"/>
      <c r="AJ231" s="197"/>
      <c r="AK231" s="110" t="b">
        <v>0</v>
      </c>
      <c r="AL231" s="87" t="str" cm="1">
        <f t="array" ref="AL231">IF($A231="","",SUMPRODUCT((CHOOSE({1,2,3,4,5},$R231,$V231,$Z231,$AD231,$AH231)="Yes")*(((CHOOSE({1,2,3,4,5},$S231,$W231,$AA231,$AE231,$AI231)="Yes")+(CHOOSE({1,2,3,4,5},$S231,$W231,$AA231,$AE231,$AI231)=TRUE))&gt;0)))</f>
        <v/>
      </c>
      <c r="AM231" s="87"/>
      <c r="AN231" s="87" t="str">
        <f ca="1">IF(OR($A231="",$AM231=""),"",TODAY()-$AM231)</f>
        <v/>
      </c>
      <c r="AO231" s="87"/>
      <c r="AP231" s="106"/>
      <c r="AQ231" s="106"/>
      <c r="AR231" s="106"/>
      <c r="AS231" s="106"/>
      <c r="AT231" s="106"/>
      <c r="AU231" s="106"/>
      <c r="AV231" s="106"/>
      <c r="AW231" s="106"/>
      <c r="AX231" s="106"/>
      <c r="AY231" s="106"/>
    </row>
    <row r="232" spans="1:51" s="20" customFormat="1" ht="21" customHeight="1">
      <c r="A232" s="197"/>
      <c r="B232" s="87"/>
      <c r="C232" s="87"/>
      <c r="D232" s="196"/>
      <c r="E232" s="108"/>
      <c r="F232" s="196"/>
      <c r="G232" s="87"/>
      <c r="H232" s="197"/>
      <c r="I232" s="89"/>
      <c r="J232" s="204"/>
      <c r="K232" s="87"/>
      <c r="L232" s="87" t="str" cm="1">
        <f t="array" ref="L232">IF($A232="","",_xlfn.LET(_xlpm.stat,CHOOSE({1,2,3,4,5},$P232,$T232,$X232,$AB232,$AF232),_xlpm.rate,CHOOSE({1,2,3,4,5},$R232,$V232,$Z232,$AD232,$AH232),_xlpm.trn,CHOOSE({1,2,3,4,5},$S232,$W232,$AA232,$AE232,$AI232),_xlpm.nsC,SUMPRODUCT(--(_xlpm.stat="Ready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DLR",IF(AND(_xlpm.actRS&gt;0,_xlpm.actDone&lt;_xlpm.actRS),"Training",IF(_xlpm.actRS&gt;0,"Active",IF(AND(_xlpm.decC&gt;0,_xlpm.inPlay+_xlpm.actC=0),"Dead",IF(AND($AJ232&lt;&gt;"",$AK232=FALSE),"Waiting on Dealer",IF(_xlpm.subC&gt;0,"Waiting on Lender",IF(AND(_xlpm.appC+_xlpm.actC&gt;0,_xlpm.nsC+_xlpm.wdC=0),"Rate Sheet","Application Submitted")))))))))</f>
        <v/>
      </c>
      <c r="M232" s="87"/>
      <c r="N232" s="87"/>
      <c r="O232" s="197"/>
      <c r="P232" s="87" t="str">
        <f>IF($A232="","",IF($AK232=TRUE,"Ready 2 Submit","Waiting on Dealer"))</f>
        <v/>
      </c>
      <c r="Q232" s="148"/>
      <c r="R232" s="87"/>
      <c r="S232" s="87"/>
      <c r="T232" s="87" t="str">
        <f>IF($A232="","",IF($AK232=TRUE,"Ready 2 Submit","Waiting on Dealer"))</f>
        <v/>
      </c>
      <c r="U232" s="148"/>
      <c r="V232" s="87"/>
      <c r="W232" s="87"/>
      <c r="X232" s="87" t="str">
        <f>IF($A232="","",IF($AK232=TRUE,"Ready 2 Submit","Waiting on Dealer"))</f>
        <v/>
      </c>
      <c r="Y232" s="148"/>
      <c r="Z232" s="87"/>
      <c r="AA232" s="87"/>
      <c r="AB232" s="87" t="str">
        <f>IF($A232="","",IF($AK232=TRUE,"Ready 2 Submit","Waiting on Dealer"))</f>
        <v/>
      </c>
      <c r="AC232" s="148"/>
      <c r="AD232" s="87"/>
      <c r="AE232" s="87"/>
      <c r="AF232" s="87" t="str">
        <f>IF($A232="","",IF($AK232=TRUE,"Ready 2 Submit","Waiting on Dealer"))</f>
        <v/>
      </c>
      <c r="AG232" s="148"/>
      <c r="AH232" s="87"/>
      <c r="AI232" s="87"/>
      <c r="AJ232" s="197"/>
      <c r="AK232" s="110" t="b">
        <v>0</v>
      </c>
      <c r="AL232" s="87" t="str" cm="1">
        <f t="array" ref="AL232">IF($A232="","",SUMPRODUCT((CHOOSE({1,2,3,4,5},$R232,$V232,$Z232,$AD232,$AH232)="Yes")*(((CHOOSE({1,2,3,4,5},$S232,$W232,$AA232,$AE232,$AI232)="Yes")+(CHOOSE({1,2,3,4,5},$S232,$W232,$AA232,$AE232,$AI232)=TRUE))&gt;0)))</f>
        <v/>
      </c>
      <c r="AM232" s="87"/>
      <c r="AN232" s="87" t="str">
        <f ca="1">IF(OR($A232="",$AM232=""),"",TODAY()-$AM232)</f>
        <v/>
      </c>
      <c r="AO232" s="87"/>
      <c r="AP232" s="106"/>
      <c r="AQ232" s="106"/>
      <c r="AR232" s="106"/>
      <c r="AS232" s="106"/>
      <c r="AT232" s="106"/>
      <c r="AU232" s="106"/>
      <c r="AV232" s="106"/>
      <c r="AW232" s="106"/>
      <c r="AX232" s="106"/>
      <c r="AY232" s="106"/>
    </row>
    <row r="233" spans="1:51" s="20" customFormat="1" ht="21" customHeight="1">
      <c r="A233" s="197"/>
      <c r="B233" s="87"/>
      <c r="C233" s="87"/>
      <c r="D233" s="196"/>
      <c r="E233" s="108"/>
      <c r="F233" s="196"/>
      <c r="G233" s="87"/>
      <c r="H233" s="197"/>
      <c r="I233" s="89"/>
      <c r="J233" s="204"/>
      <c r="K233" s="87"/>
      <c r="L233" s="87" t="str" cm="1">
        <f t="array" ref="L233">IF($A233="","",_xlfn.LET(_xlpm.stat,CHOOSE({1,2,3,4,5},$P233,$T233,$X233,$AB233,$AF233),_xlpm.rate,CHOOSE({1,2,3,4,5},$R233,$V233,$Z233,$AD233,$AH233),_xlpm.trn,CHOOSE({1,2,3,4,5},$S233,$W233,$AA233,$AE233,$AI233),_xlpm.nsC,SUMPRODUCT(--(_xlpm.stat="Ready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DLR",IF(AND(_xlpm.actRS&gt;0,_xlpm.actDone&lt;_xlpm.actRS),"Training",IF(_xlpm.actRS&gt;0,"Active",IF(AND(_xlpm.decC&gt;0,_xlpm.inPlay+_xlpm.actC=0),"Dead",IF(AND($AJ233&lt;&gt;"",$AK233=FALSE),"Waiting on Dealer",IF(_xlpm.subC&gt;0,"Waiting on Lender",IF(AND(_xlpm.appC+_xlpm.actC&gt;0,_xlpm.nsC+_xlpm.wdC=0),"Rate Sheet","Application Submitted")))))))))</f>
        <v/>
      </c>
      <c r="M233" s="87"/>
      <c r="N233" s="87"/>
      <c r="O233" s="197"/>
      <c r="P233" s="87" t="str">
        <f>IF($A233="","",IF($AK233=TRUE,"Ready 2 Submit","Waiting on Dealer"))</f>
        <v/>
      </c>
      <c r="Q233" s="148"/>
      <c r="R233" s="87"/>
      <c r="S233" s="87"/>
      <c r="T233" s="87" t="str">
        <f>IF($A233="","",IF($AK233=TRUE,"Ready 2 Submit","Waiting on Dealer"))</f>
        <v/>
      </c>
      <c r="U233" s="148"/>
      <c r="V233" s="87"/>
      <c r="W233" s="87"/>
      <c r="X233" s="87" t="str">
        <f>IF($A233="","",IF($AK233=TRUE,"Ready 2 Submit","Waiting on Dealer"))</f>
        <v/>
      </c>
      <c r="Y233" s="148"/>
      <c r="Z233" s="87"/>
      <c r="AA233" s="87"/>
      <c r="AB233" s="87" t="str">
        <f>IF($A233="","",IF($AK233=TRUE,"Ready 2 Submit","Waiting on Dealer"))</f>
        <v/>
      </c>
      <c r="AC233" s="148"/>
      <c r="AD233" s="87"/>
      <c r="AE233" s="87"/>
      <c r="AF233" s="87" t="str">
        <f>IF($A233="","",IF($AK233=TRUE,"Ready 2 Submit","Waiting on Dealer"))</f>
        <v/>
      </c>
      <c r="AG233" s="148"/>
      <c r="AH233" s="87"/>
      <c r="AI233" s="87"/>
      <c r="AJ233" s="197"/>
      <c r="AK233" s="110" t="b">
        <v>0</v>
      </c>
      <c r="AL233" s="87" t="str" cm="1">
        <f t="array" ref="AL233">IF($A233="","",SUMPRODUCT((CHOOSE({1,2,3,4,5},$R233,$V233,$Z233,$AD233,$AH233)="Yes")*(((CHOOSE({1,2,3,4,5},$S233,$W233,$AA233,$AE233,$AI233)="Yes")+(CHOOSE({1,2,3,4,5},$S233,$W233,$AA233,$AE233,$AI233)=TRUE))&gt;0)))</f>
        <v/>
      </c>
      <c r="AM233" s="87"/>
      <c r="AN233" s="87" t="str">
        <f ca="1">IF(OR($A233="",$AM233=""),"",TODAY()-$AM233)</f>
        <v/>
      </c>
      <c r="AO233" s="87"/>
      <c r="AP233" s="106"/>
      <c r="AQ233" s="106"/>
      <c r="AR233" s="106"/>
      <c r="AS233" s="106"/>
      <c r="AT233" s="106"/>
      <c r="AU233" s="106"/>
      <c r="AV233" s="106"/>
      <c r="AW233" s="106"/>
      <c r="AX233" s="106"/>
      <c r="AY233" s="106"/>
    </row>
    <row r="234" spans="1:51" s="20" customFormat="1" ht="21" customHeight="1">
      <c r="A234" s="197"/>
      <c r="B234" s="87"/>
      <c r="C234" s="87"/>
      <c r="D234" s="196"/>
      <c r="E234" s="108"/>
      <c r="F234" s="196"/>
      <c r="G234" s="87"/>
      <c r="H234" s="197"/>
      <c r="I234" s="89"/>
      <c r="J234" s="204"/>
      <c r="K234" s="87"/>
      <c r="L234" s="87" t="str" cm="1">
        <f t="array" ref="L234">IF($A234="","",_xlfn.LET(_xlpm.stat,CHOOSE({1,2,3,4,5},$P234,$T234,$X234,$AB234,$AF234),_xlpm.rate,CHOOSE({1,2,3,4,5},$R234,$V234,$Z234,$AD234,$AH234),_xlpm.trn,CHOOSE({1,2,3,4,5},$S234,$W234,$AA234,$AE234,$AI234),_xlpm.nsC,SUMPRODUCT(--(_xlpm.stat="Ready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DLR",IF(AND(_xlpm.actRS&gt;0,_xlpm.actDone&lt;_xlpm.actRS),"Training",IF(_xlpm.actRS&gt;0,"Active",IF(AND(_xlpm.decC&gt;0,_xlpm.inPlay+_xlpm.actC=0),"Dead",IF(AND($AJ234&lt;&gt;"",$AK234=FALSE),"Waiting on Dealer",IF(_xlpm.subC&gt;0,"Waiting on Lender",IF(AND(_xlpm.appC+_xlpm.actC&gt;0,_xlpm.nsC+_xlpm.wdC=0),"Rate Sheet","Application Submitted")))))))))</f>
        <v/>
      </c>
      <c r="M234" s="87"/>
      <c r="N234" s="87"/>
      <c r="O234" s="197"/>
      <c r="P234" s="87" t="str">
        <f>IF($A234="","",IF($AK234=TRUE,"Ready 2 Submit","Waiting on Dealer"))</f>
        <v/>
      </c>
      <c r="Q234" s="148"/>
      <c r="R234" s="87"/>
      <c r="S234" s="87"/>
      <c r="T234" s="87" t="str">
        <f>IF($A234="","",IF($AK234=TRUE,"Ready 2 Submit","Waiting on Dealer"))</f>
        <v/>
      </c>
      <c r="U234" s="148"/>
      <c r="V234" s="87"/>
      <c r="W234" s="87"/>
      <c r="X234" s="87" t="str">
        <f>IF($A234="","",IF($AK234=TRUE,"Ready 2 Submit","Waiting on Dealer"))</f>
        <v/>
      </c>
      <c r="Y234" s="148"/>
      <c r="Z234" s="87"/>
      <c r="AA234" s="87"/>
      <c r="AB234" s="87" t="str">
        <f>IF($A234="","",IF($AK234=TRUE,"Ready 2 Submit","Waiting on Dealer"))</f>
        <v/>
      </c>
      <c r="AC234" s="148"/>
      <c r="AD234" s="87"/>
      <c r="AE234" s="87"/>
      <c r="AF234" s="87" t="str">
        <f>IF($A234="","",IF($AK234=TRUE,"Ready 2 Submit","Waiting on Dealer"))</f>
        <v/>
      </c>
      <c r="AG234" s="148"/>
      <c r="AH234" s="87"/>
      <c r="AI234" s="87"/>
      <c r="AJ234" s="197"/>
      <c r="AK234" s="110" t="b">
        <v>0</v>
      </c>
      <c r="AL234" s="87" t="str" cm="1">
        <f t="array" ref="AL234">IF($A234="","",SUMPRODUCT((CHOOSE({1,2,3,4,5},$R234,$V234,$Z234,$AD234,$AH234)="Yes")*(((CHOOSE({1,2,3,4,5},$S234,$W234,$AA234,$AE234,$AI234)="Yes")+(CHOOSE({1,2,3,4,5},$S234,$W234,$AA234,$AE234,$AI234)=TRUE))&gt;0)))</f>
        <v/>
      </c>
      <c r="AM234" s="87"/>
      <c r="AN234" s="87" t="str">
        <f ca="1">IF(OR($A234="",$AM234=""),"",TODAY()-$AM234)</f>
        <v/>
      </c>
      <c r="AO234" s="87"/>
      <c r="AP234" s="106"/>
      <c r="AQ234" s="106"/>
      <c r="AR234" s="106"/>
      <c r="AS234" s="106"/>
      <c r="AT234" s="106"/>
      <c r="AU234" s="106"/>
      <c r="AV234" s="106"/>
      <c r="AW234" s="106"/>
      <c r="AX234" s="106"/>
      <c r="AY234" s="106"/>
    </row>
    <row r="235" spans="1:51" s="20" customFormat="1" ht="21" customHeight="1">
      <c r="A235" s="197"/>
      <c r="B235" s="87"/>
      <c r="C235" s="87"/>
      <c r="D235" s="196"/>
      <c r="E235" s="108"/>
      <c r="F235" s="196"/>
      <c r="G235" s="87"/>
      <c r="H235" s="197"/>
      <c r="I235" s="89"/>
      <c r="J235" s="204"/>
      <c r="K235" s="87"/>
      <c r="L235" s="87" t="str" cm="1">
        <f t="array" ref="L235">IF($A235="","",_xlfn.LET(_xlpm.stat,CHOOSE({1,2,3,4,5},$P235,$T235,$X235,$AB235,$AF235),_xlpm.rate,CHOOSE({1,2,3,4,5},$R235,$V235,$Z235,$AD235,$AH235),_xlpm.trn,CHOOSE({1,2,3,4,5},$S235,$W235,$AA235,$AE235,$AI235),_xlpm.nsC,SUMPRODUCT(--(_xlpm.stat="Ready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DLR",IF(AND(_xlpm.actRS&gt;0,_xlpm.actDone&lt;_xlpm.actRS),"Training",IF(_xlpm.actRS&gt;0,"Active",IF(AND(_xlpm.decC&gt;0,_xlpm.inPlay+_xlpm.actC=0),"Dead",IF(AND($AJ235&lt;&gt;"",$AK235=FALSE),"Waiting on Dealer",IF(_xlpm.subC&gt;0,"Waiting on Lender",IF(AND(_xlpm.appC+_xlpm.actC&gt;0,_xlpm.nsC+_xlpm.wdC=0),"Rate Sheet","Application Submitted")))))))))</f>
        <v/>
      </c>
      <c r="M235" s="87"/>
      <c r="N235" s="87"/>
      <c r="O235" s="197"/>
      <c r="P235" s="87" t="str">
        <f>IF($A235="","",IF($AK235=TRUE,"Ready 2 Submit","Waiting on Dealer"))</f>
        <v/>
      </c>
      <c r="Q235" s="148"/>
      <c r="R235" s="87"/>
      <c r="S235" s="87"/>
      <c r="T235" s="87" t="str">
        <f>IF($A235="","",IF($AK235=TRUE,"Ready 2 Submit","Waiting on Dealer"))</f>
        <v/>
      </c>
      <c r="U235" s="148"/>
      <c r="V235" s="87"/>
      <c r="W235" s="87"/>
      <c r="X235" s="87" t="str">
        <f>IF($A235="","",IF($AK235=TRUE,"Ready 2 Submit","Waiting on Dealer"))</f>
        <v/>
      </c>
      <c r="Y235" s="148"/>
      <c r="Z235" s="87"/>
      <c r="AA235" s="87"/>
      <c r="AB235" s="87" t="str">
        <f>IF($A235="","",IF($AK235=TRUE,"Ready 2 Submit","Waiting on Dealer"))</f>
        <v/>
      </c>
      <c r="AC235" s="148"/>
      <c r="AD235" s="87"/>
      <c r="AE235" s="87"/>
      <c r="AF235" s="87" t="str">
        <f>IF($A235="","",IF($AK235=TRUE,"Ready 2 Submit","Waiting on Dealer"))</f>
        <v/>
      </c>
      <c r="AG235" s="148"/>
      <c r="AH235" s="87"/>
      <c r="AI235" s="87"/>
      <c r="AJ235" s="197"/>
      <c r="AK235" s="110" t="b">
        <v>0</v>
      </c>
      <c r="AL235" s="87" t="str" cm="1">
        <f t="array" ref="AL235">IF($A235="","",SUMPRODUCT((CHOOSE({1,2,3,4,5},$R235,$V235,$Z235,$AD235,$AH235)="Yes")*(((CHOOSE({1,2,3,4,5},$S235,$W235,$AA235,$AE235,$AI235)="Yes")+(CHOOSE({1,2,3,4,5},$S235,$W235,$AA235,$AE235,$AI235)=TRUE))&gt;0)))</f>
        <v/>
      </c>
      <c r="AM235" s="87"/>
      <c r="AN235" s="87" t="str">
        <f ca="1">IF(OR($A235="",$AM235=""),"",TODAY()-$AM235)</f>
        <v/>
      </c>
      <c r="AO235" s="87"/>
      <c r="AP235" s="106"/>
      <c r="AQ235" s="106"/>
      <c r="AR235" s="106"/>
      <c r="AS235" s="106"/>
      <c r="AT235" s="106"/>
      <c r="AU235" s="106"/>
      <c r="AV235" s="106"/>
      <c r="AW235" s="106"/>
      <c r="AX235" s="106"/>
      <c r="AY235" s="106"/>
    </row>
    <row r="236" spans="1:51" s="20" customFormat="1" ht="21" customHeight="1">
      <c r="A236" s="197"/>
      <c r="B236" s="87"/>
      <c r="C236" s="87"/>
      <c r="D236" s="196"/>
      <c r="E236" s="108"/>
      <c r="F236" s="196"/>
      <c r="G236" s="87"/>
      <c r="H236" s="197"/>
      <c r="I236" s="89"/>
      <c r="J236" s="204"/>
      <c r="K236" s="87"/>
      <c r="L236" s="87" t="str" cm="1">
        <f t="array" ref="L236">IF($A236="","",_xlfn.LET(_xlpm.stat,CHOOSE({1,2,3,4,5},$P236,$T236,$X236,$AB236,$AF236),_xlpm.rate,CHOOSE({1,2,3,4,5},$R236,$V236,$Z236,$AD236,$AH236),_xlpm.trn,CHOOSE({1,2,3,4,5},$S236,$W236,$AA236,$AE236,$AI236),_xlpm.nsC,SUMPRODUCT(--(_xlpm.stat="Ready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DLR",IF(AND(_xlpm.actRS&gt;0,_xlpm.actDone&lt;_xlpm.actRS),"Training",IF(_xlpm.actRS&gt;0,"Active",IF(AND(_xlpm.decC&gt;0,_xlpm.inPlay+_xlpm.actC=0),"Dead",IF(AND($AJ236&lt;&gt;"",$AK236=FALSE),"Waiting on Dealer",IF(_xlpm.subC&gt;0,"Waiting on Lender",IF(AND(_xlpm.appC+_xlpm.actC&gt;0,_xlpm.nsC+_xlpm.wdC=0),"Rate Sheet","Application Submitted")))))))))</f>
        <v/>
      </c>
      <c r="M236" s="87"/>
      <c r="N236" s="87"/>
      <c r="O236" s="197"/>
      <c r="P236" s="87" t="str">
        <f>IF($A236="","",IF($AK236=TRUE,"Ready 2 Submit","Waiting on Dealer"))</f>
        <v/>
      </c>
      <c r="Q236" s="148"/>
      <c r="R236" s="87"/>
      <c r="S236" s="87"/>
      <c r="T236" s="87" t="str">
        <f>IF($A236="","",IF($AK236=TRUE,"Ready 2 Submit","Waiting on Dealer"))</f>
        <v/>
      </c>
      <c r="U236" s="148"/>
      <c r="V236" s="87"/>
      <c r="W236" s="87"/>
      <c r="X236" s="87" t="str">
        <f>IF($A236="","",IF($AK236=TRUE,"Ready 2 Submit","Waiting on Dealer"))</f>
        <v/>
      </c>
      <c r="Y236" s="148"/>
      <c r="Z236" s="87"/>
      <c r="AA236" s="87"/>
      <c r="AB236" s="87" t="str">
        <f>IF($A236="","",IF($AK236=TRUE,"Ready 2 Submit","Waiting on Dealer"))</f>
        <v/>
      </c>
      <c r="AC236" s="148"/>
      <c r="AD236" s="87"/>
      <c r="AE236" s="87"/>
      <c r="AF236" s="87" t="str">
        <f>IF($A236="","",IF($AK236=TRUE,"Ready 2 Submit","Waiting on Dealer"))</f>
        <v/>
      </c>
      <c r="AG236" s="148"/>
      <c r="AH236" s="87"/>
      <c r="AI236" s="87"/>
      <c r="AJ236" s="197"/>
      <c r="AK236" s="110" t="b">
        <v>0</v>
      </c>
      <c r="AL236" s="87" t="str" cm="1">
        <f t="array" ref="AL236">IF($A236="","",SUMPRODUCT((CHOOSE({1,2,3,4,5},$R236,$V236,$Z236,$AD236,$AH236)="Yes")*(((CHOOSE({1,2,3,4,5},$S236,$W236,$AA236,$AE236,$AI236)="Yes")+(CHOOSE({1,2,3,4,5},$S236,$W236,$AA236,$AE236,$AI236)=TRUE))&gt;0)))</f>
        <v/>
      </c>
      <c r="AM236" s="87"/>
      <c r="AN236" s="87" t="str">
        <f ca="1">IF(OR($A236="",$AM236=""),"",TODAY()-$AM236)</f>
        <v/>
      </c>
      <c r="AO236" s="87"/>
      <c r="AP236" s="106"/>
      <c r="AQ236" s="106"/>
      <c r="AR236" s="106"/>
      <c r="AS236" s="106"/>
      <c r="AT236" s="106"/>
      <c r="AU236" s="106"/>
      <c r="AV236" s="106"/>
      <c r="AW236" s="106"/>
      <c r="AX236" s="106"/>
      <c r="AY236" s="106"/>
    </row>
    <row r="237" spans="1:51" s="20" customFormat="1" ht="21" customHeight="1">
      <c r="A237" s="197"/>
      <c r="B237" s="87"/>
      <c r="C237" s="87"/>
      <c r="D237" s="196"/>
      <c r="E237" s="108"/>
      <c r="F237" s="196"/>
      <c r="G237" s="87"/>
      <c r="H237" s="197"/>
      <c r="I237" s="89"/>
      <c r="J237" s="204"/>
      <c r="K237" s="87"/>
      <c r="L237" s="87" t="str" cm="1">
        <f t="array" ref="L237">IF($A237="","",_xlfn.LET(_xlpm.stat,CHOOSE({1,2,3,4,5},$P237,$T237,$X237,$AB237,$AF237),_xlpm.rate,CHOOSE({1,2,3,4,5},$R237,$V237,$Z237,$AD237,$AH237),_xlpm.trn,CHOOSE({1,2,3,4,5},$S237,$W237,$AA237,$AE237,$AI237),_xlpm.nsC,SUMPRODUCT(--(_xlpm.stat="Ready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DLR",IF(AND(_xlpm.actRS&gt;0,_xlpm.actDone&lt;_xlpm.actRS),"Training",IF(_xlpm.actRS&gt;0,"Active",IF(AND(_xlpm.decC&gt;0,_xlpm.inPlay+_xlpm.actC=0),"Dead",IF(AND($AJ237&lt;&gt;"",$AK237=FALSE),"Waiting on Dealer",IF(_xlpm.subC&gt;0,"Waiting on Lender",IF(AND(_xlpm.appC+_xlpm.actC&gt;0,_xlpm.nsC+_xlpm.wdC=0),"Rate Sheet","Application Submitted")))))))))</f>
        <v/>
      </c>
      <c r="M237" s="87"/>
      <c r="N237" s="87"/>
      <c r="O237" s="197"/>
      <c r="P237" s="87" t="str">
        <f>IF($A237="","",IF($AK237=TRUE,"Ready 2 Submit","Waiting on Dealer"))</f>
        <v/>
      </c>
      <c r="Q237" s="148"/>
      <c r="R237" s="87"/>
      <c r="S237" s="87"/>
      <c r="T237" s="87" t="str">
        <f>IF($A237="","",IF($AK237=TRUE,"Ready 2 Submit","Waiting on Dealer"))</f>
        <v/>
      </c>
      <c r="U237" s="148"/>
      <c r="V237" s="87"/>
      <c r="W237" s="87"/>
      <c r="X237" s="87" t="str">
        <f>IF($A237="","",IF($AK237=TRUE,"Ready 2 Submit","Waiting on Dealer"))</f>
        <v/>
      </c>
      <c r="Y237" s="148"/>
      <c r="Z237" s="87"/>
      <c r="AA237" s="87"/>
      <c r="AB237" s="87" t="str">
        <f>IF($A237="","",IF($AK237=TRUE,"Ready 2 Submit","Waiting on Dealer"))</f>
        <v/>
      </c>
      <c r="AC237" s="148"/>
      <c r="AD237" s="87"/>
      <c r="AE237" s="87"/>
      <c r="AF237" s="87" t="str">
        <f>IF($A237="","",IF($AK237=TRUE,"Ready 2 Submit","Waiting on Dealer"))</f>
        <v/>
      </c>
      <c r="AG237" s="148"/>
      <c r="AH237" s="87"/>
      <c r="AI237" s="87"/>
      <c r="AJ237" s="197"/>
      <c r="AK237" s="110" t="b">
        <v>0</v>
      </c>
      <c r="AL237" s="87" t="str" cm="1">
        <f t="array" ref="AL237">IF($A237="","",SUMPRODUCT((CHOOSE({1,2,3,4,5},$R237,$V237,$Z237,$AD237,$AH237)="Yes")*(((CHOOSE({1,2,3,4,5},$S237,$W237,$AA237,$AE237,$AI237)="Yes")+(CHOOSE({1,2,3,4,5},$S237,$W237,$AA237,$AE237,$AI237)=TRUE))&gt;0)))</f>
        <v/>
      </c>
      <c r="AM237" s="87"/>
      <c r="AN237" s="87" t="str">
        <f ca="1">IF(OR($A237="",$AM237=""),"",TODAY()-$AM237)</f>
        <v/>
      </c>
      <c r="AO237" s="87"/>
      <c r="AP237" s="106"/>
      <c r="AQ237" s="106"/>
      <c r="AR237" s="106"/>
      <c r="AS237" s="106"/>
      <c r="AT237" s="106"/>
      <c r="AU237" s="106"/>
      <c r="AV237" s="106"/>
      <c r="AW237" s="106"/>
      <c r="AX237" s="106"/>
      <c r="AY237" s="106"/>
    </row>
    <row r="238" spans="1:51" s="20" customFormat="1" ht="21" customHeight="1">
      <c r="A238" s="197"/>
      <c r="B238" s="87"/>
      <c r="C238" s="87"/>
      <c r="D238" s="196"/>
      <c r="E238" s="108"/>
      <c r="F238" s="196"/>
      <c r="G238" s="87"/>
      <c r="H238" s="197"/>
      <c r="I238" s="89"/>
      <c r="J238" s="204"/>
      <c r="K238" s="87"/>
      <c r="L238" s="87" t="str" cm="1">
        <f t="array" ref="L238">IF($A238="","",_xlfn.LET(_xlpm.stat,CHOOSE({1,2,3,4,5},$P238,$T238,$X238,$AB238,$AF238),_xlpm.rate,CHOOSE({1,2,3,4,5},$R238,$V238,$Z238,$AD238,$AH238),_xlpm.trn,CHOOSE({1,2,3,4,5},$S238,$W238,$AA238,$AE238,$AI238),_xlpm.nsC,SUMPRODUCT(--(_xlpm.stat="Ready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DLR",IF(AND(_xlpm.actRS&gt;0,_xlpm.actDone&lt;_xlpm.actRS),"Training",IF(_xlpm.actRS&gt;0,"Active",IF(AND(_xlpm.decC&gt;0,_xlpm.inPlay+_xlpm.actC=0),"Dead",IF(AND($AJ238&lt;&gt;"",$AK238=FALSE),"Waiting on Dealer",IF(_xlpm.subC&gt;0,"Waiting on Lender",IF(AND(_xlpm.appC+_xlpm.actC&gt;0,_xlpm.nsC+_xlpm.wdC=0),"Rate Sheet","Application Submitted")))))))))</f>
        <v/>
      </c>
      <c r="M238" s="87"/>
      <c r="N238" s="87"/>
      <c r="O238" s="197"/>
      <c r="P238" s="87" t="str">
        <f>IF($A238="","",IF($AK238=TRUE,"Ready 2 Submit","Waiting on Dealer"))</f>
        <v/>
      </c>
      <c r="Q238" s="148"/>
      <c r="R238" s="87"/>
      <c r="S238" s="87"/>
      <c r="T238" s="87" t="str">
        <f>IF($A238="","",IF($AK238=TRUE,"Ready 2 Submit","Waiting on Dealer"))</f>
        <v/>
      </c>
      <c r="U238" s="148"/>
      <c r="V238" s="87"/>
      <c r="W238" s="87"/>
      <c r="X238" s="87" t="str">
        <f>IF($A238="","",IF($AK238=TRUE,"Ready 2 Submit","Waiting on Dealer"))</f>
        <v/>
      </c>
      <c r="Y238" s="148"/>
      <c r="Z238" s="87"/>
      <c r="AA238" s="87"/>
      <c r="AB238" s="87" t="str">
        <f>IF($A238="","",IF($AK238=TRUE,"Ready 2 Submit","Waiting on Dealer"))</f>
        <v/>
      </c>
      <c r="AC238" s="148"/>
      <c r="AD238" s="87"/>
      <c r="AE238" s="87"/>
      <c r="AF238" s="87" t="str">
        <f>IF($A238="","",IF($AK238=TRUE,"Ready 2 Submit","Waiting on Dealer"))</f>
        <v/>
      </c>
      <c r="AG238" s="148"/>
      <c r="AH238" s="87"/>
      <c r="AI238" s="87"/>
      <c r="AJ238" s="197"/>
      <c r="AK238" s="110" t="b">
        <v>0</v>
      </c>
      <c r="AL238" s="87" t="str" cm="1">
        <f t="array" ref="AL238">IF($A238="","",SUMPRODUCT((CHOOSE({1,2,3,4,5},$R238,$V238,$Z238,$AD238,$AH238)="Yes")*(((CHOOSE({1,2,3,4,5},$S238,$W238,$AA238,$AE238,$AI238)="Yes")+(CHOOSE({1,2,3,4,5},$S238,$W238,$AA238,$AE238,$AI238)=TRUE))&gt;0)))</f>
        <v/>
      </c>
      <c r="AM238" s="87"/>
      <c r="AN238" s="87" t="str">
        <f ca="1">IF(OR($A238="",$AM238=""),"",TODAY()-$AM238)</f>
        <v/>
      </c>
      <c r="AO238" s="87"/>
      <c r="AP238" s="106"/>
      <c r="AQ238" s="106"/>
      <c r="AR238" s="106"/>
      <c r="AS238" s="106"/>
      <c r="AT238" s="106"/>
      <c r="AU238" s="106"/>
      <c r="AV238" s="106"/>
      <c r="AW238" s="106"/>
      <c r="AX238" s="106"/>
      <c r="AY238" s="106"/>
    </row>
    <row r="239" spans="1:51" s="20" customFormat="1" ht="21" customHeight="1">
      <c r="A239" s="197"/>
      <c r="B239" s="87"/>
      <c r="C239" s="87"/>
      <c r="D239" s="196"/>
      <c r="E239" s="108"/>
      <c r="F239" s="196"/>
      <c r="G239" s="87"/>
      <c r="H239" s="197"/>
      <c r="I239" s="89"/>
      <c r="J239" s="204"/>
      <c r="K239" s="87"/>
      <c r="L239" s="87" t="str" cm="1">
        <f t="array" ref="L239">IF($A239="","",_xlfn.LET(_xlpm.stat,CHOOSE({1,2,3,4,5},$P239,$T239,$X239,$AB239,$AF239),_xlpm.rate,CHOOSE({1,2,3,4,5},$R239,$V239,$Z239,$AD239,$AH239),_xlpm.trn,CHOOSE({1,2,3,4,5},$S239,$W239,$AA239,$AE239,$AI239),_xlpm.nsC,SUMPRODUCT(--(_xlpm.stat="Ready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DLR",IF(AND(_xlpm.actRS&gt;0,_xlpm.actDone&lt;_xlpm.actRS),"Training",IF(_xlpm.actRS&gt;0,"Active",IF(AND(_xlpm.decC&gt;0,_xlpm.inPlay+_xlpm.actC=0),"Dead",IF(AND($AJ239&lt;&gt;"",$AK239=FALSE),"Waiting on Dealer",IF(_xlpm.subC&gt;0,"Waiting on Lender",IF(AND(_xlpm.appC+_xlpm.actC&gt;0,_xlpm.nsC+_xlpm.wdC=0),"Rate Sheet","Application Submitted")))))))))</f>
        <v/>
      </c>
      <c r="M239" s="87"/>
      <c r="N239" s="87"/>
      <c r="O239" s="197"/>
      <c r="P239" s="87" t="str">
        <f>IF($A239="","",IF($AK239=TRUE,"Ready 2 Submit","Waiting on Dealer"))</f>
        <v/>
      </c>
      <c r="Q239" s="148"/>
      <c r="R239" s="87"/>
      <c r="S239" s="87"/>
      <c r="T239" s="87" t="str">
        <f>IF($A239="","",IF($AK239=TRUE,"Ready 2 Submit","Waiting on Dealer"))</f>
        <v/>
      </c>
      <c r="U239" s="148"/>
      <c r="V239" s="87"/>
      <c r="W239" s="87"/>
      <c r="X239" s="87" t="str">
        <f>IF($A239="","",IF($AK239=TRUE,"Ready 2 Submit","Waiting on Dealer"))</f>
        <v/>
      </c>
      <c r="Y239" s="148"/>
      <c r="Z239" s="87"/>
      <c r="AA239" s="87"/>
      <c r="AB239" s="87" t="str">
        <f>IF($A239="","",IF($AK239=TRUE,"Ready 2 Submit","Waiting on Dealer"))</f>
        <v/>
      </c>
      <c r="AC239" s="148"/>
      <c r="AD239" s="87"/>
      <c r="AE239" s="87"/>
      <c r="AF239" s="87" t="str">
        <f>IF($A239="","",IF($AK239=TRUE,"Ready 2 Submit","Waiting on Dealer"))</f>
        <v/>
      </c>
      <c r="AG239" s="148"/>
      <c r="AH239" s="87"/>
      <c r="AI239" s="87"/>
      <c r="AJ239" s="197"/>
      <c r="AK239" s="110" t="b">
        <v>0</v>
      </c>
      <c r="AL239" s="87" t="str" cm="1">
        <f t="array" ref="AL239">IF($A239="","",SUMPRODUCT((CHOOSE({1,2,3,4,5},$R239,$V239,$Z239,$AD239,$AH239)="Yes")*(((CHOOSE({1,2,3,4,5},$S239,$W239,$AA239,$AE239,$AI239)="Yes")+(CHOOSE({1,2,3,4,5},$S239,$W239,$AA239,$AE239,$AI239)=TRUE))&gt;0)))</f>
        <v/>
      </c>
      <c r="AM239" s="87"/>
      <c r="AN239" s="87" t="str">
        <f ca="1">IF(OR($A239="",$AM239=""),"",TODAY()-$AM239)</f>
        <v/>
      </c>
      <c r="AO239" s="87"/>
      <c r="AP239" s="106"/>
      <c r="AQ239" s="106"/>
      <c r="AR239" s="106"/>
      <c r="AS239" s="106"/>
      <c r="AT239" s="106"/>
      <c r="AU239" s="106"/>
      <c r="AV239" s="106"/>
      <c r="AW239" s="106"/>
      <c r="AX239" s="106"/>
      <c r="AY239" s="106"/>
    </row>
    <row r="240" spans="1:51" s="20" customFormat="1" ht="21" customHeight="1">
      <c r="A240" s="197"/>
      <c r="B240" s="87"/>
      <c r="C240" s="87"/>
      <c r="D240" s="196"/>
      <c r="E240" s="108"/>
      <c r="F240" s="196"/>
      <c r="G240" s="87"/>
      <c r="H240" s="197"/>
      <c r="I240" s="89"/>
      <c r="J240" s="204"/>
      <c r="K240" s="87"/>
      <c r="L240" s="87" t="str" cm="1">
        <f t="array" ref="L240">IF($A240="","",_xlfn.LET(_xlpm.stat,CHOOSE({1,2,3,4,5},$P240,$T240,$X240,$AB240,$AF240),_xlpm.rate,CHOOSE({1,2,3,4,5},$R240,$V240,$Z240,$AD240,$AH240),_xlpm.trn,CHOOSE({1,2,3,4,5},$S240,$W240,$AA240,$AE240,$AI240),_xlpm.nsC,SUMPRODUCT(--(_xlpm.stat="Ready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DLR",IF(AND(_xlpm.actRS&gt;0,_xlpm.actDone&lt;_xlpm.actRS),"Training",IF(_xlpm.actRS&gt;0,"Active",IF(AND(_xlpm.decC&gt;0,_xlpm.inPlay+_xlpm.actC=0),"Dead",IF(AND($AJ240&lt;&gt;"",$AK240=FALSE),"Waiting on Dealer",IF(_xlpm.subC&gt;0,"Waiting on Lender",IF(AND(_xlpm.appC+_xlpm.actC&gt;0,_xlpm.nsC+_xlpm.wdC=0),"Rate Sheet","Application Submitted")))))))))</f>
        <v/>
      </c>
      <c r="M240" s="87"/>
      <c r="N240" s="87"/>
      <c r="O240" s="197"/>
      <c r="P240" s="87" t="str">
        <f>IF($A240="","",IF($AK240=TRUE,"Ready 2 Submit","Waiting on Dealer"))</f>
        <v/>
      </c>
      <c r="Q240" s="148"/>
      <c r="R240" s="87"/>
      <c r="S240" s="87"/>
      <c r="T240" s="87" t="str">
        <f>IF($A240="","",IF($AK240=TRUE,"Ready 2 Submit","Waiting on Dealer"))</f>
        <v/>
      </c>
      <c r="U240" s="148"/>
      <c r="V240" s="87"/>
      <c r="W240" s="87"/>
      <c r="X240" s="87" t="str">
        <f>IF($A240="","",IF($AK240=TRUE,"Ready 2 Submit","Waiting on Dealer"))</f>
        <v/>
      </c>
      <c r="Y240" s="148"/>
      <c r="Z240" s="87"/>
      <c r="AA240" s="87"/>
      <c r="AB240" s="87" t="str">
        <f>IF($A240="","",IF($AK240=TRUE,"Ready 2 Submit","Waiting on Dealer"))</f>
        <v/>
      </c>
      <c r="AC240" s="148"/>
      <c r="AD240" s="87"/>
      <c r="AE240" s="87"/>
      <c r="AF240" s="87" t="str">
        <f>IF($A240="","",IF($AK240=TRUE,"Ready 2 Submit","Waiting on Dealer"))</f>
        <v/>
      </c>
      <c r="AG240" s="148"/>
      <c r="AH240" s="87"/>
      <c r="AI240" s="87"/>
      <c r="AJ240" s="197"/>
      <c r="AK240" s="110" t="b">
        <v>0</v>
      </c>
      <c r="AL240" s="87" t="str" cm="1">
        <f t="array" ref="AL240">IF($A240="","",SUMPRODUCT((CHOOSE({1,2,3,4,5},$R240,$V240,$Z240,$AD240,$AH240)="Yes")*(((CHOOSE({1,2,3,4,5},$S240,$W240,$AA240,$AE240,$AI240)="Yes")+(CHOOSE({1,2,3,4,5},$S240,$W240,$AA240,$AE240,$AI240)=TRUE))&gt;0)))</f>
        <v/>
      </c>
      <c r="AM240" s="87"/>
      <c r="AN240" s="87" t="str">
        <f ca="1">IF(OR($A240="",$AM240=""),"",TODAY()-$AM240)</f>
        <v/>
      </c>
      <c r="AO240" s="87"/>
      <c r="AP240" s="106"/>
      <c r="AQ240" s="106"/>
      <c r="AR240" s="106"/>
      <c r="AS240" s="106"/>
      <c r="AT240" s="106"/>
      <c r="AU240" s="106"/>
      <c r="AV240" s="106"/>
      <c r="AW240" s="106"/>
      <c r="AX240" s="106"/>
      <c r="AY240" s="106"/>
    </row>
    <row r="241" spans="1:51" s="20" customFormat="1" ht="21" customHeight="1">
      <c r="A241" s="197"/>
      <c r="B241" s="87"/>
      <c r="C241" s="87"/>
      <c r="D241" s="196"/>
      <c r="E241" s="108"/>
      <c r="F241" s="196"/>
      <c r="G241" s="87"/>
      <c r="H241" s="197"/>
      <c r="I241" s="89"/>
      <c r="J241" s="204"/>
      <c r="K241" s="87"/>
      <c r="L241" s="87" t="str" cm="1">
        <f t="array" ref="L241">IF($A241="","",_xlfn.LET(_xlpm.stat,CHOOSE({1,2,3,4,5},$P241,$T241,$X241,$AB241,$AF241),_xlpm.rate,CHOOSE({1,2,3,4,5},$R241,$V241,$Z241,$AD241,$AH241),_xlpm.trn,CHOOSE({1,2,3,4,5},$S241,$W241,$AA241,$AE241,$AI241),_xlpm.nsC,SUMPRODUCT(--(_xlpm.stat="Ready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DLR",IF(AND(_xlpm.actRS&gt;0,_xlpm.actDone&lt;_xlpm.actRS),"Training",IF(_xlpm.actRS&gt;0,"Active",IF(AND(_xlpm.decC&gt;0,_xlpm.inPlay+_xlpm.actC=0),"Dead",IF(AND($AJ241&lt;&gt;"",$AK241=FALSE),"Waiting on Dealer",IF(_xlpm.subC&gt;0,"Waiting on Lender",IF(AND(_xlpm.appC+_xlpm.actC&gt;0,_xlpm.nsC+_xlpm.wdC=0),"Rate Sheet","Application Submitted")))))))))</f>
        <v/>
      </c>
      <c r="M241" s="87"/>
      <c r="N241" s="87"/>
      <c r="O241" s="197"/>
      <c r="P241" s="87" t="str">
        <f>IF($A241="","",IF($AK241=TRUE,"Ready 2 Submit","Waiting on Dealer"))</f>
        <v/>
      </c>
      <c r="Q241" s="148"/>
      <c r="R241" s="87"/>
      <c r="S241" s="87"/>
      <c r="T241" s="87" t="str">
        <f>IF($A241="","",IF($AK241=TRUE,"Ready 2 Submit","Waiting on Dealer"))</f>
        <v/>
      </c>
      <c r="U241" s="148"/>
      <c r="V241" s="87"/>
      <c r="W241" s="87"/>
      <c r="X241" s="87" t="str">
        <f>IF($A241="","",IF($AK241=TRUE,"Ready 2 Submit","Waiting on Dealer"))</f>
        <v/>
      </c>
      <c r="Y241" s="148"/>
      <c r="Z241" s="87"/>
      <c r="AA241" s="87"/>
      <c r="AB241" s="87" t="str">
        <f>IF($A241="","",IF($AK241=TRUE,"Ready 2 Submit","Waiting on Dealer"))</f>
        <v/>
      </c>
      <c r="AC241" s="148"/>
      <c r="AD241" s="87"/>
      <c r="AE241" s="87"/>
      <c r="AF241" s="87" t="str">
        <f>IF($A241="","",IF($AK241=TRUE,"Ready 2 Submit","Waiting on Dealer"))</f>
        <v/>
      </c>
      <c r="AG241" s="148"/>
      <c r="AH241" s="87"/>
      <c r="AI241" s="87"/>
      <c r="AJ241" s="197"/>
      <c r="AK241" s="110" t="b">
        <v>0</v>
      </c>
      <c r="AL241" s="87" t="str" cm="1">
        <f t="array" ref="AL241">IF($A241="","",SUMPRODUCT((CHOOSE({1,2,3,4,5},$R241,$V241,$Z241,$AD241,$AH241)="Yes")*(((CHOOSE({1,2,3,4,5},$S241,$W241,$AA241,$AE241,$AI241)="Yes")+(CHOOSE({1,2,3,4,5},$S241,$W241,$AA241,$AE241,$AI241)=TRUE))&gt;0)))</f>
        <v/>
      </c>
      <c r="AM241" s="87"/>
      <c r="AN241" s="87" t="str">
        <f ca="1">IF(OR($A241="",$AM241=""),"",TODAY()-$AM241)</f>
        <v/>
      </c>
      <c r="AO241" s="87"/>
      <c r="AP241" s="106"/>
      <c r="AQ241" s="106"/>
      <c r="AR241" s="106"/>
      <c r="AS241" s="106"/>
      <c r="AT241" s="106"/>
      <c r="AU241" s="106"/>
      <c r="AV241" s="106"/>
      <c r="AW241" s="106"/>
      <c r="AX241" s="106"/>
      <c r="AY241" s="106"/>
    </row>
    <row r="242" spans="1:51" s="20" customFormat="1" ht="21" customHeight="1">
      <c r="A242" s="197"/>
      <c r="B242" s="87"/>
      <c r="C242" s="87"/>
      <c r="D242" s="196"/>
      <c r="E242" s="108"/>
      <c r="F242" s="196"/>
      <c r="G242" s="87"/>
      <c r="H242" s="197"/>
      <c r="I242" s="89"/>
      <c r="J242" s="204"/>
      <c r="K242" s="87"/>
      <c r="L242" s="87" t="str" cm="1">
        <f t="array" ref="L242">IF($A242="","",_xlfn.LET(_xlpm.stat,CHOOSE({1,2,3,4,5},$P242,$T242,$X242,$AB242,$AF242),_xlpm.rate,CHOOSE({1,2,3,4,5},$R242,$V242,$Z242,$AD242,$AH242),_xlpm.trn,CHOOSE({1,2,3,4,5},$S242,$W242,$AA242,$AE242,$AI242),_xlpm.nsC,SUMPRODUCT(--(_xlpm.stat="Ready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DLR",IF(AND(_xlpm.actRS&gt;0,_xlpm.actDone&lt;_xlpm.actRS),"Training",IF(_xlpm.actRS&gt;0,"Active",IF(AND(_xlpm.decC&gt;0,_xlpm.inPlay+_xlpm.actC=0),"Dead",IF(AND($AJ242&lt;&gt;"",$AK242=FALSE),"Waiting on Dealer",IF(_xlpm.subC&gt;0,"Waiting on Lender",IF(AND(_xlpm.appC+_xlpm.actC&gt;0,_xlpm.nsC+_xlpm.wdC=0),"Rate Sheet","Application Submitted")))))))))</f>
        <v/>
      </c>
      <c r="M242" s="87"/>
      <c r="N242" s="87"/>
      <c r="O242" s="197"/>
      <c r="P242" s="87" t="str">
        <f>IF($A242="","",IF($AK242=TRUE,"Ready 2 Submit","Waiting on Dealer"))</f>
        <v/>
      </c>
      <c r="Q242" s="148"/>
      <c r="R242" s="87"/>
      <c r="S242" s="87"/>
      <c r="T242" s="87" t="str">
        <f>IF($A242="","",IF($AK242=TRUE,"Ready 2 Submit","Waiting on Dealer"))</f>
        <v/>
      </c>
      <c r="U242" s="148"/>
      <c r="V242" s="87"/>
      <c r="W242" s="87"/>
      <c r="X242" s="87" t="str">
        <f>IF($A242="","",IF($AK242=TRUE,"Ready 2 Submit","Waiting on Dealer"))</f>
        <v/>
      </c>
      <c r="Y242" s="148"/>
      <c r="Z242" s="87"/>
      <c r="AA242" s="87"/>
      <c r="AB242" s="87" t="str">
        <f>IF($A242="","",IF($AK242=TRUE,"Ready 2 Submit","Waiting on Dealer"))</f>
        <v/>
      </c>
      <c r="AC242" s="148"/>
      <c r="AD242" s="87"/>
      <c r="AE242" s="87"/>
      <c r="AF242" s="87" t="str">
        <f>IF($A242="","",IF($AK242=TRUE,"Ready 2 Submit","Waiting on Dealer"))</f>
        <v/>
      </c>
      <c r="AG242" s="148"/>
      <c r="AH242" s="87"/>
      <c r="AI242" s="87"/>
      <c r="AJ242" s="197"/>
      <c r="AK242" s="110" t="b">
        <v>0</v>
      </c>
      <c r="AL242" s="87" t="str" cm="1">
        <f t="array" ref="AL242">IF($A242="","",SUMPRODUCT((CHOOSE({1,2,3,4,5},$R242,$V242,$Z242,$AD242,$AH242)="Yes")*(((CHOOSE({1,2,3,4,5},$S242,$W242,$AA242,$AE242,$AI242)="Yes")+(CHOOSE({1,2,3,4,5},$S242,$W242,$AA242,$AE242,$AI242)=TRUE))&gt;0)))</f>
        <v/>
      </c>
      <c r="AM242" s="87"/>
      <c r="AN242" s="87" t="str">
        <f ca="1">IF(OR($A242="",$AM242=""),"",TODAY()-$AM242)</f>
        <v/>
      </c>
      <c r="AO242" s="87"/>
      <c r="AP242" s="106"/>
      <c r="AQ242" s="106"/>
      <c r="AR242" s="106"/>
      <c r="AS242" s="106"/>
      <c r="AT242" s="106"/>
      <c r="AU242" s="106"/>
      <c r="AV242" s="106"/>
      <c r="AW242" s="106"/>
      <c r="AX242" s="106"/>
      <c r="AY242" s="106"/>
    </row>
    <row r="243" spans="1:51" s="20" customFormat="1" ht="21" customHeight="1">
      <c r="A243" s="197"/>
      <c r="B243" s="87"/>
      <c r="C243" s="87"/>
      <c r="D243" s="196"/>
      <c r="E243" s="108"/>
      <c r="F243" s="196"/>
      <c r="G243" s="87"/>
      <c r="H243" s="197"/>
      <c r="I243" s="89"/>
      <c r="J243" s="204"/>
      <c r="K243" s="87"/>
      <c r="L243" s="87" t="str" cm="1">
        <f t="array" ref="L243">IF($A243="","",_xlfn.LET(_xlpm.stat,CHOOSE({1,2,3,4,5},$P243,$T243,$X243,$AB243,$AF243),_xlpm.rate,CHOOSE({1,2,3,4,5},$R243,$V243,$Z243,$AD243,$AH243),_xlpm.trn,CHOOSE({1,2,3,4,5},$S243,$W243,$AA243,$AE243,$AI243),_xlpm.nsC,SUMPRODUCT(--(_xlpm.stat="Ready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DLR",IF(AND(_xlpm.actRS&gt;0,_xlpm.actDone&lt;_xlpm.actRS),"Training",IF(_xlpm.actRS&gt;0,"Active",IF(AND(_xlpm.decC&gt;0,_xlpm.inPlay+_xlpm.actC=0),"Dead",IF(AND($AJ243&lt;&gt;"",$AK243=FALSE),"Waiting on Dealer",IF(_xlpm.subC&gt;0,"Waiting on Lender",IF(AND(_xlpm.appC+_xlpm.actC&gt;0,_xlpm.nsC+_xlpm.wdC=0),"Rate Sheet","Application Submitted")))))))))</f>
        <v/>
      </c>
      <c r="M243" s="87"/>
      <c r="N243" s="87"/>
      <c r="O243" s="197"/>
      <c r="P243" s="87" t="str">
        <f>IF($A243="","",IF($AK243=TRUE,"Ready 2 Submit","Waiting on Dealer"))</f>
        <v/>
      </c>
      <c r="Q243" s="148"/>
      <c r="R243" s="87"/>
      <c r="S243" s="87"/>
      <c r="T243" s="87" t="str">
        <f>IF($A243="","",IF($AK243=TRUE,"Ready 2 Submit","Waiting on Dealer"))</f>
        <v/>
      </c>
      <c r="U243" s="148"/>
      <c r="V243" s="87"/>
      <c r="W243" s="87"/>
      <c r="X243" s="87" t="str">
        <f>IF($A243="","",IF($AK243=TRUE,"Ready 2 Submit","Waiting on Dealer"))</f>
        <v/>
      </c>
      <c r="Y243" s="148"/>
      <c r="Z243" s="87"/>
      <c r="AA243" s="87"/>
      <c r="AB243" s="87" t="str">
        <f>IF($A243="","",IF($AK243=TRUE,"Ready 2 Submit","Waiting on Dealer"))</f>
        <v/>
      </c>
      <c r="AC243" s="148"/>
      <c r="AD243" s="87"/>
      <c r="AE243" s="87"/>
      <c r="AF243" s="87" t="str">
        <f>IF($A243="","",IF($AK243=TRUE,"Ready 2 Submit","Waiting on Dealer"))</f>
        <v/>
      </c>
      <c r="AG243" s="148"/>
      <c r="AH243" s="87"/>
      <c r="AI243" s="87"/>
      <c r="AJ243" s="197"/>
      <c r="AK243" s="110" t="b">
        <v>0</v>
      </c>
      <c r="AL243" s="87" t="str" cm="1">
        <f t="array" ref="AL243">IF($A243="","",SUMPRODUCT((CHOOSE({1,2,3,4,5},$R243,$V243,$Z243,$AD243,$AH243)="Yes")*(((CHOOSE({1,2,3,4,5},$S243,$W243,$AA243,$AE243,$AI243)="Yes")+(CHOOSE({1,2,3,4,5},$S243,$W243,$AA243,$AE243,$AI243)=TRUE))&gt;0)))</f>
        <v/>
      </c>
      <c r="AM243" s="87"/>
      <c r="AN243" s="87" t="str">
        <f ca="1">IF(OR($A243="",$AM243=""),"",TODAY()-$AM243)</f>
        <v/>
      </c>
      <c r="AO243" s="87"/>
      <c r="AP243" s="106"/>
      <c r="AQ243" s="106"/>
      <c r="AR243" s="106"/>
      <c r="AS243" s="106"/>
      <c r="AT243" s="106"/>
      <c r="AU243" s="106"/>
      <c r="AV243" s="106"/>
      <c r="AW243" s="106"/>
      <c r="AX243" s="106"/>
      <c r="AY243" s="106"/>
    </row>
    <row r="244" spans="1:51" s="20" customFormat="1" ht="21" customHeight="1">
      <c r="A244" s="197"/>
      <c r="B244" s="87"/>
      <c r="C244" s="87"/>
      <c r="D244" s="196"/>
      <c r="E244" s="108"/>
      <c r="F244" s="196"/>
      <c r="G244" s="87"/>
      <c r="H244" s="197"/>
      <c r="I244" s="89"/>
      <c r="J244" s="204"/>
      <c r="K244" s="87"/>
      <c r="L244" s="87" t="str" cm="1">
        <f t="array" ref="L244">IF($A244="","",_xlfn.LET(_xlpm.stat,CHOOSE({1,2,3,4,5},$P244,$T244,$X244,$AB244,$AF244),_xlpm.rate,CHOOSE({1,2,3,4,5},$R244,$V244,$Z244,$AD244,$AH244),_xlpm.trn,CHOOSE({1,2,3,4,5},$S244,$W244,$AA244,$AE244,$AI244),_xlpm.nsC,SUMPRODUCT(--(_xlpm.stat="Ready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DLR",IF(AND(_xlpm.actRS&gt;0,_xlpm.actDone&lt;_xlpm.actRS),"Training",IF(_xlpm.actRS&gt;0,"Active",IF(AND(_xlpm.decC&gt;0,_xlpm.inPlay+_xlpm.actC=0),"Dead",IF(AND($AJ244&lt;&gt;"",$AK244=FALSE),"Waiting on Dealer",IF(_xlpm.subC&gt;0,"Waiting on Lender",IF(AND(_xlpm.appC+_xlpm.actC&gt;0,_xlpm.nsC+_xlpm.wdC=0),"Rate Sheet","Application Submitted")))))))))</f>
        <v/>
      </c>
      <c r="M244" s="87"/>
      <c r="N244" s="87"/>
      <c r="O244" s="197"/>
      <c r="P244" s="87" t="str">
        <f>IF($A244="","",IF($AK244=TRUE,"Ready 2 Submit","Waiting on Dealer"))</f>
        <v/>
      </c>
      <c r="Q244" s="148"/>
      <c r="R244" s="87"/>
      <c r="S244" s="87"/>
      <c r="T244" s="87" t="str">
        <f>IF($A244="","",IF($AK244=TRUE,"Ready 2 Submit","Waiting on Dealer"))</f>
        <v/>
      </c>
      <c r="U244" s="148"/>
      <c r="V244" s="87"/>
      <c r="W244" s="87"/>
      <c r="X244" s="87" t="str">
        <f>IF($A244="","",IF($AK244=TRUE,"Ready 2 Submit","Waiting on Dealer"))</f>
        <v/>
      </c>
      <c r="Y244" s="148"/>
      <c r="Z244" s="87"/>
      <c r="AA244" s="87"/>
      <c r="AB244" s="87" t="str">
        <f>IF($A244="","",IF($AK244=TRUE,"Ready 2 Submit","Waiting on Dealer"))</f>
        <v/>
      </c>
      <c r="AC244" s="148"/>
      <c r="AD244" s="87"/>
      <c r="AE244" s="87"/>
      <c r="AF244" s="87" t="str">
        <f>IF($A244="","",IF($AK244=TRUE,"Ready 2 Submit","Waiting on Dealer"))</f>
        <v/>
      </c>
      <c r="AG244" s="148"/>
      <c r="AH244" s="87"/>
      <c r="AI244" s="87"/>
      <c r="AJ244" s="197"/>
      <c r="AK244" s="110" t="b">
        <v>0</v>
      </c>
      <c r="AL244" s="87" t="str" cm="1">
        <f t="array" ref="AL244">IF($A244="","",SUMPRODUCT((CHOOSE({1,2,3,4,5},$R244,$V244,$Z244,$AD244,$AH244)="Yes")*(((CHOOSE({1,2,3,4,5},$S244,$W244,$AA244,$AE244,$AI244)="Yes")+(CHOOSE({1,2,3,4,5},$S244,$W244,$AA244,$AE244,$AI244)=TRUE))&gt;0)))</f>
        <v/>
      </c>
      <c r="AM244" s="87"/>
      <c r="AN244" s="87" t="str">
        <f ca="1">IF(OR($A244="",$AM244=""),"",TODAY()-$AM244)</f>
        <v/>
      </c>
      <c r="AO244" s="87"/>
      <c r="AP244" s="106"/>
      <c r="AQ244" s="106"/>
      <c r="AR244" s="106"/>
      <c r="AS244" s="106"/>
      <c r="AT244" s="106"/>
      <c r="AU244" s="106"/>
      <c r="AV244" s="106"/>
      <c r="AW244" s="106"/>
      <c r="AX244" s="106"/>
      <c r="AY244" s="106"/>
    </row>
    <row r="245" spans="1:51" s="20" customFormat="1" ht="21" customHeight="1">
      <c r="A245" s="197"/>
      <c r="B245" s="87"/>
      <c r="C245" s="87"/>
      <c r="D245" s="196"/>
      <c r="E245" s="108"/>
      <c r="F245" s="196"/>
      <c r="G245" s="87"/>
      <c r="H245" s="197"/>
      <c r="I245" s="89"/>
      <c r="J245" s="204"/>
      <c r="K245" s="87"/>
      <c r="L245" s="87" t="str" cm="1">
        <f t="array" ref="L245">IF($A245="","",_xlfn.LET(_xlpm.stat,CHOOSE({1,2,3,4,5},$P245,$T245,$X245,$AB245,$AF245),_xlpm.rate,CHOOSE({1,2,3,4,5},$R245,$V245,$Z245,$AD245,$AH245),_xlpm.trn,CHOOSE({1,2,3,4,5},$S245,$W245,$AA245,$AE245,$AI245),_xlpm.nsC,SUMPRODUCT(--(_xlpm.stat="Ready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DLR",IF(AND(_xlpm.actRS&gt;0,_xlpm.actDone&lt;_xlpm.actRS),"Training",IF(_xlpm.actRS&gt;0,"Active",IF(AND(_xlpm.decC&gt;0,_xlpm.inPlay+_xlpm.actC=0),"Dead",IF(AND($AJ245&lt;&gt;"",$AK245=FALSE),"Waiting on Dealer",IF(_xlpm.subC&gt;0,"Waiting on Lender",IF(AND(_xlpm.appC+_xlpm.actC&gt;0,_xlpm.nsC+_xlpm.wdC=0),"Rate Sheet","Application Submitted")))))))))</f>
        <v/>
      </c>
      <c r="M245" s="87"/>
      <c r="N245" s="87"/>
      <c r="O245" s="197"/>
      <c r="P245" s="87" t="str">
        <f>IF($A245="","",IF($AK245=TRUE,"Ready 2 Submit","Waiting on Dealer"))</f>
        <v/>
      </c>
      <c r="Q245" s="148"/>
      <c r="R245" s="87"/>
      <c r="S245" s="87"/>
      <c r="T245" s="87" t="str">
        <f>IF($A245="","",IF($AK245=TRUE,"Ready 2 Submit","Waiting on Dealer"))</f>
        <v/>
      </c>
      <c r="U245" s="148"/>
      <c r="V245" s="87"/>
      <c r="W245" s="87"/>
      <c r="X245" s="87" t="str">
        <f>IF($A245="","",IF($AK245=TRUE,"Ready 2 Submit","Waiting on Dealer"))</f>
        <v/>
      </c>
      <c r="Y245" s="148"/>
      <c r="Z245" s="87"/>
      <c r="AA245" s="87"/>
      <c r="AB245" s="87" t="str">
        <f>IF($A245="","",IF($AK245=TRUE,"Ready 2 Submit","Waiting on Dealer"))</f>
        <v/>
      </c>
      <c r="AC245" s="148"/>
      <c r="AD245" s="87"/>
      <c r="AE245" s="87"/>
      <c r="AF245" s="87" t="str">
        <f>IF($A245="","",IF($AK245=TRUE,"Ready 2 Submit","Waiting on Dealer"))</f>
        <v/>
      </c>
      <c r="AG245" s="148"/>
      <c r="AH245" s="87"/>
      <c r="AI245" s="87"/>
      <c r="AJ245" s="197"/>
      <c r="AK245" s="110" t="b">
        <v>0</v>
      </c>
      <c r="AL245" s="87" t="str" cm="1">
        <f t="array" ref="AL245">IF($A245="","",SUMPRODUCT((CHOOSE({1,2,3,4,5},$R245,$V245,$Z245,$AD245,$AH245)="Yes")*(((CHOOSE({1,2,3,4,5},$S245,$W245,$AA245,$AE245,$AI245)="Yes")+(CHOOSE({1,2,3,4,5},$S245,$W245,$AA245,$AE245,$AI245)=TRUE))&gt;0)))</f>
        <v/>
      </c>
      <c r="AM245" s="87"/>
      <c r="AN245" s="87" t="str">
        <f ca="1">IF(OR($A245="",$AM245=""),"",TODAY()-$AM245)</f>
        <v/>
      </c>
      <c r="AO245" s="87"/>
      <c r="AP245" s="106"/>
      <c r="AQ245" s="106"/>
      <c r="AR245" s="106"/>
      <c r="AS245" s="106"/>
      <c r="AT245" s="106"/>
      <c r="AU245" s="106"/>
      <c r="AV245" s="106"/>
      <c r="AW245" s="106"/>
      <c r="AX245" s="106"/>
      <c r="AY245" s="106"/>
    </row>
    <row r="246" spans="1:51" s="20" customFormat="1" ht="21" customHeight="1">
      <c r="A246" s="197"/>
      <c r="B246" s="87"/>
      <c r="C246" s="87"/>
      <c r="D246" s="196"/>
      <c r="E246" s="108"/>
      <c r="F246" s="196"/>
      <c r="G246" s="87"/>
      <c r="H246" s="197"/>
      <c r="I246" s="89"/>
      <c r="J246" s="204"/>
      <c r="K246" s="87"/>
      <c r="L246" s="87" t="str" cm="1">
        <f t="array" ref="L246">IF($A246="","",_xlfn.LET(_xlpm.stat,CHOOSE({1,2,3,4,5},$P246,$T246,$X246,$AB246,$AF246),_xlpm.rate,CHOOSE({1,2,3,4,5},$R246,$V246,$Z246,$AD246,$AH246),_xlpm.trn,CHOOSE({1,2,3,4,5},$S246,$W246,$AA246,$AE246,$AI246),_xlpm.nsC,SUMPRODUCT(--(_xlpm.stat="Ready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DLR",IF(AND(_xlpm.actRS&gt;0,_xlpm.actDone&lt;_xlpm.actRS),"Training",IF(_xlpm.actRS&gt;0,"Active",IF(AND(_xlpm.decC&gt;0,_xlpm.inPlay+_xlpm.actC=0),"Dead",IF(AND($AJ246&lt;&gt;"",$AK246=FALSE),"Waiting on Dealer",IF(_xlpm.subC&gt;0,"Waiting on Lender",IF(AND(_xlpm.appC+_xlpm.actC&gt;0,_xlpm.nsC+_xlpm.wdC=0),"Rate Sheet","Application Submitted")))))))))</f>
        <v/>
      </c>
      <c r="M246" s="87"/>
      <c r="N246" s="87"/>
      <c r="O246" s="197"/>
      <c r="P246" s="87" t="str">
        <f>IF($A246="","",IF($AK246=TRUE,"Ready 2 Submit","Waiting on Dealer"))</f>
        <v/>
      </c>
      <c r="Q246" s="148"/>
      <c r="R246" s="87"/>
      <c r="S246" s="87"/>
      <c r="T246" s="87" t="str">
        <f>IF($A246="","",IF($AK246=TRUE,"Ready 2 Submit","Waiting on Dealer"))</f>
        <v/>
      </c>
      <c r="U246" s="148"/>
      <c r="V246" s="87"/>
      <c r="W246" s="87"/>
      <c r="X246" s="87" t="str">
        <f>IF($A246="","",IF($AK246=TRUE,"Ready 2 Submit","Waiting on Dealer"))</f>
        <v/>
      </c>
      <c r="Y246" s="148"/>
      <c r="Z246" s="87"/>
      <c r="AA246" s="87"/>
      <c r="AB246" s="87" t="str">
        <f>IF($A246="","",IF($AK246=TRUE,"Ready 2 Submit","Waiting on Dealer"))</f>
        <v/>
      </c>
      <c r="AC246" s="148"/>
      <c r="AD246" s="87"/>
      <c r="AE246" s="87"/>
      <c r="AF246" s="87" t="str">
        <f>IF($A246="","",IF($AK246=TRUE,"Ready 2 Submit","Waiting on Dealer"))</f>
        <v/>
      </c>
      <c r="AG246" s="148"/>
      <c r="AH246" s="87"/>
      <c r="AI246" s="87"/>
      <c r="AJ246" s="197"/>
      <c r="AK246" s="110" t="b">
        <v>0</v>
      </c>
      <c r="AL246" s="87" t="str" cm="1">
        <f t="array" ref="AL246">IF($A246="","",SUMPRODUCT((CHOOSE({1,2,3,4,5},$R246,$V246,$Z246,$AD246,$AH246)="Yes")*(((CHOOSE({1,2,3,4,5},$S246,$W246,$AA246,$AE246,$AI246)="Yes")+(CHOOSE({1,2,3,4,5},$S246,$W246,$AA246,$AE246,$AI246)=TRUE))&gt;0)))</f>
        <v/>
      </c>
      <c r="AM246" s="87"/>
      <c r="AN246" s="87" t="str">
        <f ca="1">IF(OR($A246="",$AM246=""),"",TODAY()-$AM246)</f>
        <v/>
      </c>
      <c r="AO246" s="87"/>
      <c r="AP246" s="106"/>
      <c r="AQ246" s="106"/>
      <c r="AR246" s="106"/>
      <c r="AS246" s="106"/>
      <c r="AT246" s="106"/>
      <c r="AU246" s="106"/>
      <c r="AV246" s="106"/>
      <c r="AW246" s="106"/>
      <c r="AX246" s="106"/>
      <c r="AY246" s="106"/>
    </row>
    <row r="247" spans="1:51" s="20" customFormat="1" ht="21" customHeight="1">
      <c r="A247" s="197"/>
      <c r="B247" s="87"/>
      <c r="C247" s="87"/>
      <c r="D247" s="196"/>
      <c r="E247" s="108"/>
      <c r="F247" s="196"/>
      <c r="G247" s="87"/>
      <c r="H247" s="197"/>
      <c r="I247" s="89"/>
      <c r="J247" s="204"/>
      <c r="K247" s="87"/>
      <c r="L247" s="87" t="str" cm="1">
        <f t="array" ref="L247">IF($A247="","",_xlfn.LET(_xlpm.stat,CHOOSE({1,2,3,4,5},$P247,$T247,$X247,$AB247,$AF247),_xlpm.rate,CHOOSE({1,2,3,4,5},$R247,$V247,$Z247,$AD247,$AH247),_xlpm.trn,CHOOSE({1,2,3,4,5},$S247,$W247,$AA247,$AE247,$AI247),_xlpm.nsC,SUMPRODUCT(--(_xlpm.stat="Ready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DLR",IF(AND(_xlpm.actRS&gt;0,_xlpm.actDone&lt;_xlpm.actRS),"Training",IF(_xlpm.actRS&gt;0,"Active",IF(AND(_xlpm.decC&gt;0,_xlpm.inPlay+_xlpm.actC=0),"Dead",IF(AND($AJ247&lt;&gt;"",$AK247=FALSE),"Waiting on Dealer",IF(_xlpm.subC&gt;0,"Waiting on Lender",IF(AND(_xlpm.appC+_xlpm.actC&gt;0,_xlpm.nsC+_xlpm.wdC=0),"Rate Sheet","Application Submitted")))))))))</f>
        <v/>
      </c>
      <c r="M247" s="87"/>
      <c r="N247" s="87"/>
      <c r="O247" s="197"/>
      <c r="P247" s="87" t="str">
        <f>IF($A247="","",IF($AK247=TRUE,"Ready 2 Submit","Waiting on Dealer"))</f>
        <v/>
      </c>
      <c r="Q247" s="148"/>
      <c r="R247" s="87"/>
      <c r="S247" s="87"/>
      <c r="T247" s="87" t="str">
        <f>IF($A247="","",IF($AK247=TRUE,"Ready 2 Submit","Waiting on Dealer"))</f>
        <v/>
      </c>
      <c r="U247" s="148"/>
      <c r="V247" s="87"/>
      <c r="W247" s="87"/>
      <c r="X247" s="87" t="str">
        <f>IF($A247="","",IF($AK247=TRUE,"Ready 2 Submit","Waiting on Dealer"))</f>
        <v/>
      </c>
      <c r="Y247" s="148"/>
      <c r="Z247" s="87"/>
      <c r="AA247" s="87"/>
      <c r="AB247" s="87" t="str">
        <f>IF($A247="","",IF($AK247=TRUE,"Ready 2 Submit","Waiting on Dealer"))</f>
        <v/>
      </c>
      <c r="AC247" s="148"/>
      <c r="AD247" s="87"/>
      <c r="AE247" s="87"/>
      <c r="AF247" s="87" t="str">
        <f>IF($A247="","",IF($AK247=TRUE,"Ready 2 Submit","Waiting on Dealer"))</f>
        <v/>
      </c>
      <c r="AG247" s="148"/>
      <c r="AH247" s="87"/>
      <c r="AI247" s="87"/>
      <c r="AJ247" s="197"/>
      <c r="AK247" s="110" t="b">
        <v>0</v>
      </c>
      <c r="AL247" s="87" t="str" cm="1">
        <f t="array" ref="AL247">IF($A247="","",SUMPRODUCT((CHOOSE({1,2,3,4,5},$R247,$V247,$Z247,$AD247,$AH247)="Yes")*(((CHOOSE({1,2,3,4,5},$S247,$W247,$AA247,$AE247,$AI247)="Yes")+(CHOOSE({1,2,3,4,5},$S247,$W247,$AA247,$AE247,$AI247)=TRUE))&gt;0)))</f>
        <v/>
      </c>
      <c r="AM247" s="87"/>
      <c r="AN247" s="87" t="str">
        <f ca="1">IF(OR($A247="",$AM247=""),"",TODAY()-$AM247)</f>
        <v/>
      </c>
      <c r="AO247" s="87"/>
      <c r="AP247" s="106"/>
      <c r="AQ247" s="106"/>
      <c r="AR247" s="106"/>
      <c r="AS247" s="106"/>
      <c r="AT247" s="106"/>
      <c r="AU247" s="106"/>
      <c r="AV247" s="106"/>
      <c r="AW247" s="106"/>
      <c r="AX247" s="106"/>
      <c r="AY247" s="106"/>
    </row>
    <row r="248" spans="1:51" s="20" customFormat="1" ht="21" customHeight="1">
      <c r="A248" s="197"/>
      <c r="B248" s="87"/>
      <c r="C248" s="87"/>
      <c r="D248" s="196"/>
      <c r="E248" s="108"/>
      <c r="F248" s="196"/>
      <c r="G248" s="87"/>
      <c r="H248" s="197"/>
      <c r="I248" s="89"/>
      <c r="J248" s="204"/>
      <c r="K248" s="87"/>
      <c r="L248" s="87" t="str" cm="1">
        <f t="array" ref="L248">IF($A248="","",_xlfn.LET(_xlpm.stat,CHOOSE({1,2,3,4,5},$P248,$T248,$X248,$AB248,$AF248),_xlpm.rate,CHOOSE({1,2,3,4,5},$R248,$V248,$Z248,$AD248,$AH248),_xlpm.trn,CHOOSE({1,2,3,4,5},$S248,$W248,$AA248,$AE248,$AI248),_xlpm.nsC,SUMPRODUCT(--(_xlpm.stat="Ready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DLR",IF(AND(_xlpm.actRS&gt;0,_xlpm.actDone&lt;_xlpm.actRS),"Training",IF(_xlpm.actRS&gt;0,"Active",IF(AND(_xlpm.decC&gt;0,_xlpm.inPlay+_xlpm.actC=0),"Dead",IF(AND($AJ248&lt;&gt;"",$AK248=FALSE),"Waiting on Dealer",IF(_xlpm.subC&gt;0,"Waiting on Lender",IF(AND(_xlpm.appC+_xlpm.actC&gt;0,_xlpm.nsC+_xlpm.wdC=0),"Rate Sheet","Application Submitted")))))))))</f>
        <v/>
      </c>
      <c r="M248" s="87"/>
      <c r="N248" s="87"/>
      <c r="O248" s="197"/>
      <c r="P248" s="87" t="str">
        <f>IF($A248="","",IF($AK248=TRUE,"Ready 2 Submit","Waiting on Dealer"))</f>
        <v/>
      </c>
      <c r="Q248" s="148"/>
      <c r="R248" s="87"/>
      <c r="S248" s="87"/>
      <c r="T248" s="87" t="str">
        <f>IF($A248="","",IF($AK248=TRUE,"Ready 2 Submit","Waiting on Dealer"))</f>
        <v/>
      </c>
      <c r="U248" s="148"/>
      <c r="V248" s="87"/>
      <c r="W248" s="87"/>
      <c r="X248" s="87" t="str">
        <f>IF($A248="","",IF($AK248=TRUE,"Ready 2 Submit","Waiting on Dealer"))</f>
        <v/>
      </c>
      <c r="Y248" s="148"/>
      <c r="Z248" s="87"/>
      <c r="AA248" s="87"/>
      <c r="AB248" s="87" t="str">
        <f>IF($A248="","",IF($AK248=TRUE,"Ready 2 Submit","Waiting on Dealer"))</f>
        <v/>
      </c>
      <c r="AC248" s="148"/>
      <c r="AD248" s="87"/>
      <c r="AE248" s="87"/>
      <c r="AF248" s="87" t="str">
        <f>IF($A248="","",IF($AK248=TRUE,"Ready 2 Submit","Waiting on Dealer"))</f>
        <v/>
      </c>
      <c r="AG248" s="148"/>
      <c r="AH248" s="87"/>
      <c r="AI248" s="87"/>
      <c r="AJ248" s="197"/>
      <c r="AK248" s="110" t="b">
        <v>0</v>
      </c>
      <c r="AL248" s="87" t="str" cm="1">
        <f t="array" ref="AL248">IF($A248="","",SUMPRODUCT((CHOOSE({1,2,3,4,5},$R248,$V248,$Z248,$AD248,$AH248)="Yes")*(((CHOOSE({1,2,3,4,5},$S248,$W248,$AA248,$AE248,$AI248)="Yes")+(CHOOSE({1,2,3,4,5},$S248,$W248,$AA248,$AE248,$AI248)=TRUE))&gt;0)))</f>
        <v/>
      </c>
      <c r="AM248" s="87"/>
      <c r="AN248" s="87" t="str">
        <f ca="1">IF(OR($A248="",$AM248=""),"",TODAY()-$AM248)</f>
        <v/>
      </c>
      <c r="AO248" s="87"/>
      <c r="AP248" s="106"/>
      <c r="AQ248" s="106"/>
      <c r="AR248" s="106"/>
      <c r="AS248" s="106"/>
      <c r="AT248" s="106"/>
      <c r="AU248" s="106"/>
      <c r="AV248" s="106"/>
      <c r="AW248" s="106"/>
      <c r="AX248" s="106"/>
      <c r="AY248" s="106"/>
    </row>
    <row r="249" spans="1:51" s="20" customFormat="1" ht="21" customHeight="1">
      <c r="A249" s="197"/>
      <c r="B249" s="87"/>
      <c r="C249" s="87"/>
      <c r="D249" s="196"/>
      <c r="E249" s="108"/>
      <c r="F249" s="196"/>
      <c r="G249" s="87"/>
      <c r="H249" s="197"/>
      <c r="I249" s="89"/>
      <c r="J249" s="204"/>
      <c r="K249" s="87"/>
      <c r="L249" s="87" t="str" cm="1">
        <f t="array" ref="L249">IF($A249="","",_xlfn.LET(_xlpm.stat,CHOOSE({1,2,3,4,5},$P249,$T249,$X249,$AB249,$AF249),_xlpm.rate,CHOOSE({1,2,3,4,5},$R249,$V249,$Z249,$AD249,$AH249),_xlpm.trn,CHOOSE({1,2,3,4,5},$S249,$W249,$AA249,$AE249,$AI249),_xlpm.nsC,SUMPRODUCT(--(_xlpm.stat="Ready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DLR",IF(AND(_xlpm.actRS&gt;0,_xlpm.actDone&lt;_xlpm.actRS),"Training",IF(_xlpm.actRS&gt;0,"Active",IF(AND(_xlpm.decC&gt;0,_xlpm.inPlay+_xlpm.actC=0),"Dead",IF(AND($AJ249&lt;&gt;"",$AK249=FALSE),"Waiting on Dealer",IF(_xlpm.subC&gt;0,"Waiting on Lender",IF(AND(_xlpm.appC+_xlpm.actC&gt;0,_xlpm.nsC+_xlpm.wdC=0),"Rate Sheet","Application Submitted")))))))))</f>
        <v/>
      </c>
      <c r="M249" s="87"/>
      <c r="N249" s="87"/>
      <c r="O249" s="197"/>
      <c r="P249" s="87" t="str">
        <f>IF($A249="","",IF($AK249=TRUE,"Ready 2 Submit","Waiting on Dealer"))</f>
        <v/>
      </c>
      <c r="Q249" s="148"/>
      <c r="R249" s="87"/>
      <c r="S249" s="87"/>
      <c r="T249" s="87" t="str">
        <f>IF($A249="","",IF($AK249=TRUE,"Ready 2 Submit","Waiting on Dealer"))</f>
        <v/>
      </c>
      <c r="U249" s="148"/>
      <c r="V249" s="87"/>
      <c r="W249" s="87"/>
      <c r="X249" s="87" t="str">
        <f>IF($A249="","",IF($AK249=TRUE,"Ready 2 Submit","Waiting on Dealer"))</f>
        <v/>
      </c>
      <c r="Y249" s="148"/>
      <c r="Z249" s="87"/>
      <c r="AA249" s="87"/>
      <c r="AB249" s="87" t="str">
        <f>IF($A249="","",IF($AK249=TRUE,"Ready 2 Submit","Waiting on Dealer"))</f>
        <v/>
      </c>
      <c r="AC249" s="148"/>
      <c r="AD249" s="87"/>
      <c r="AE249" s="87"/>
      <c r="AF249" s="87" t="str">
        <f>IF($A249="","",IF($AK249=TRUE,"Ready 2 Submit","Waiting on Dealer"))</f>
        <v/>
      </c>
      <c r="AG249" s="148"/>
      <c r="AH249" s="87"/>
      <c r="AI249" s="87"/>
      <c r="AJ249" s="197"/>
      <c r="AK249" s="110" t="b">
        <v>0</v>
      </c>
      <c r="AL249" s="87" t="str" cm="1">
        <f t="array" ref="AL249">IF($A249="","",SUMPRODUCT((CHOOSE({1,2,3,4,5},$R249,$V249,$Z249,$AD249,$AH249)="Yes")*(((CHOOSE({1,2,3,4,5},$S249,$W249,$AA249,$AE249,$AI249)="Yes")+(CHOOSE({1,2,3,4,5},$S249,$W249,$AA249,$AE249,$AI249)=TRUE))&gt;0)))</f>
        <v/>
      </c>
      <c r="AM249" s="87"/>
      <c r="AN249" s="87" t="str">
        <f ca="1">IF(OR($A249="",$AM249=""),"",TODAY()-$AM249)</f>
        <v/>
      </c>
      <c r="AO249" s="87"/>
      <c r="AP249" s="106"/>
      <c r="AQ249" s="106"/>
      <c r="AR249" s="106"/>
      <c r="AS249" s="106"/>
      <c r="AT249" s="106"/>
      <c r="AU249" s="106"/>
      <c r="AV249" s="106"/>
      <c r="AW249" s="106"/>
      <c r="AX249" s="106"/>
      <c r="AY249" s="106"/>
    </row>
    <row r="250" spans="1:51" s="20" customFormat="1" ht="21" customHeight="1">
      <c r="A250" s="197"/>
      <c r="B250" s="87"/>
      <c r="C250" s="87"/>
      <c r="D250" s="196"/>
      <c r="E250" s="108"/>
      <c r="F250" s="196"/>
      <c r="G250" s="87"/>
      <c r="H250" s="197"/>
      <c r="I250" s="89"/>
      <c r="J250" s="204"/>
      <c r="K250" s="87"/>
      <c r="L250" s="87" t="str" cm="1">
        <f t="array" ref="L250">IF($A250="","",_xlfn.LET(_xlpm.stat,CHOOSE({1,2,3,4,5},$P250,$T250,$X250,$AB250,$AF250),_xlpm.rate,CHOOSE({1,2,3,4,5},$R250,$V250,$Z250,$AD250,$AH250),_xlpm.trn,CHOOSE({1,2,3,4,5},$S250,$W250,$AA250,$AE250,$AI250),_xlpm.nsC,SUMPRODUCT(--(_xlpm.stat="Ready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DLR",IF(AND(_xlpm.actRS&gt;0,_xlpm.actDone&lt;_xlpm.actRS),"Training",IF(_xlpm.actRS&gt;0,"Active",IF(AND(_xlpm.decC&gt;0,_xlpm.inPlay+_xlpm.actC=0),"Dead",IF(AND($AJ250&lt;&gt;"",$AK250=FALSE),"Waiting on Dealer",IF(_xlpm.subC&gt;0,"Waiting on Lender",IF(AND(_xlpm.appC+_xlpm.actC&gt;0,_xlpm.nsC+_xlpm.wdC=0),"Rate Sheet","Application Submitted")))))))))</f>
        <v/>
      </c>
      <c r="M250" s="87"/>
      <c r="N250" s="87"/>
      <c r="O250" s="197"/>
      <c r="P250" s="87" t="str">
        <f>IF($A250="","",IF($AK250=TRUE,"Ready 2 Submit","Waiting on Dealer"))</f>
        <v/>
      </c>
      <c r="Q250" s="148"/>
      <c r="R250" s="87"/>
      <c r="S250" s="87"/>
      <c r="T250" s="87" t="str">
        <f>IF($A250="","",IF($AK250=TRUE,"Ready 2 Submit","Waiting on Dealer"))</f>
        <v/>
      </c>
      <c r="U250" s="148"/>
      <c r="V250" s="87"/>
      <c r="W250" s="87"/>
      <c r="X250" s="87" t="str">
        <f>IF($A250="","",IF($AK250=TRUE,"Ready 2 Submit","Waiting on Dealer"))</f>
        <v/>
      </c>
      <c r="Y250" s="148"/>
      <c r="Z250" s="87"/>
      <c r="AA250" s="87"/>
      <c r="AB250" s="87" t="str">
        <f>IF($A250="","",IF($AK250=TRUE,"Ready 2 Submit","Waiting on Dealer"))</f>
        <v/>
      </c>
      <c r="AC250" s="148"/>
      <c r="AD250" s="87"/>
      <c r="AE250" s="87"/>
      <c r="AF250" s="87" t="str">
        <f>IF($A250="","",IF($AK250=TRUE,"Ready 2 Submit","Waiting on Dealer"))</f>
        <v/>
      </c>
      <c r="AG250" s="148"/>
      <c r="AH250" s="87"/>
      <c r="AI250" s="87"/>
      <c r="AJ250" s="197"/>
      <c r="AK250" s="110" t="b">
        <v>0</v>
      </c>
      <c r="AL250" s="87" t="str" cm="1">
        <f t="array" ref="AL250">IF($A250="","",SUMPRODUCT((CHOOSE({1,2,3,4,5},$R250,$V250,$Z250,$AD250,$AH250)="Yes")*(((CHOOSE({1,2,3,4,5},$S250,$W250,$AA250,$AE250,$AI250)="Yes")+(CHOOSE({1,2,3,4,5},$S250,$W250,$AA250,$AE250,$AI250)=TRUE))&gt;0)))</f>
        <v/>
      </c>
      <c r="AM250" s="87"/>
      <c r="AN250" s="87" t="str">
        <f ca="1">IF(OR($A250="",$AM250=""),"",TODAY()-$AM250)</f>
        <v/>
      </c>
      <c r="AO250" s="87"/>
      <c r="AP250" s="106"/>
      <c r="AQ250" s="106"/>
      <c r="AR250" s="106"/>
      <c r="AS250" s="106"/>
      <c r="AT250" s="106"/>
      <c r="AU250" s="106"/>
      <c r="AV250" s="106"/>
      <c r="AW250" s="106"/>
      <c r="AX250" s="106"/>
      <c r="AY250" s="106"/>
    </row>
    <row r="251" spans="1:51" s="20" customFormat="1" ht="21" customHeight="1">
      <c r="A251" s="197"/>
      <c r="B251" s="87"/>
      <c r="C251" s="87"/>
      <c r="D251" s="196"/>
      <c r="E251" s="108"/>
      <c r="F251" s="196"/>
      <c r="G251" s="87"/>
      <c r="H251" s="197"/>
      <c r="I251" s="89"/>
      <c r="J251" s="204"/>
      <c r="K251" s="87"/>
      <c r="L251" s="87" t="str" cm="1">
        <f t="array" ref="L251">IF($A251="","",_xlfn.LET(_xlpm.stat,CHOOSE({1,2,3,4,5},$P251,$T251,$X251,$AB251,$AF251),_xlpm.rate,CHOOSE({1,2,3,4,5},$R251,$V251,$Z251,$AD251,$AH251),_xlpm.trn,CHOOSE({1,2,3,4,5},$S251,$W251,$AA251,$AE251,$AI251),_xlpm.nsC,SUMPRODUCT(--(_xlpm.stat="Ready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DLR",IF(AND(_xlpm.actRS&gt;0,_xlpm.actDone&lt;_xlpm.actRS),"Training",IF(_xlpm.actRS&gt;0,"Active",IF(AND(_xlpm.decC&gt;0,_xlpm.inPlay+_xlpm.actC=0),"Dead",IF(AND($AJ251&lt;&gt;"",$AK251=FALSE),"Waiting on Dealer",IF(_xlpm.subC&gt;0,"Waiting on Lender",IF(AND(_xlpm.appC+_xlpm.actC&gt;0,_xlpm.nsC+_xlpm.wdC=0),"Rate Sheet","Application Submitted")))))))))</f>
        <v/>
      </c>
      <c r="M251" s="87"/>
      <c r="N251" s="87"/>
      <c r="O251" s="197"/>
      <c r="P251" s="87" t="str">
        <f>IF($A251="","",IF($AK251=TRUE,"Ready 2 Submit","Waiting on Dealer"))</f>
        <v/>
      </c>
      <c r="Q251" s="148"/>
      <c r="R251" s="87"/>
      <c r="S251" s="87"/>
      <c r="T251" s="87" t="str">
        <f>IF($A251="","",IF($AK251=TRUE,"Ready 2 Submit","Waiting on Dealer"))</f>
        <v/>
      </c>
      <c r="U251" s="148"/>
      <c r="V251" s="87"/>
      <c r="W251" s="87"/>
      <c r="X251" s="87" t="str">
        <f>IF($A251="","",IF($AK251=TRUE,"Ready 2 Submit","Waiting on Dealer"))</f>
        <v/>
      </c>
      <c r="Y251" s="148"/>
      <c r="Z251" s="87"/>
      <c r="AA251" s="87"/>
      <c r="AB251" s="87" t="str">
        <f>IF($A251="","",IF($AK251=TRUE,"Ready 2 Submit","Waiting on Dealer"))</f>
        <v/>
      </c>
      <c r="AC251" s="148"/>
      <c r="AD251" s="87"/>
      <c r="AE251" s="87"/>
      <c r="AF251" s="87" t="str">
        <f>IF($A251="","",IF($AK251=TRUE,"Ready 2 Submit","Waiting on Dealer"))</f>
        <v/>
      </c>
      <c r="AG251" s="148"/>
      <c r="AH251" s="87"/>
      <c r="AI251" s="87"/>
      <c r="AJ251" s="197"/>
      <c r="AK251" s="110" t="b">
        <v>0</v>
      </c>
      <c r="AL251" s="87" t="str" cm="1">
        <f t="array" ref="AL251">IF($A251="","",SUMPRODUCT((CHOOSE({1,2,3,4,5},$R251,$V251,$Z251,$AD251,$AH251)="Yes")*(((CHOOSE({1,2,3,4,5},$S251,$W251,$AA251,$AE251,$AI251)="Yes")+(CHOOSE({1,2,3,4,5},$S251,$W251,$AA251,$AE251,$AI251)=TRUE))&gt;0)))</f>
        <v/>
      </c>
      <c r="AM251" s="87"/>
      <c r="AN251" s="87" t="str">
        <f ca="1">IF(OR($A251="",$AM251=""),"",TODAY()-$AM251)</f>
        <v/>
      </c>
      <c r="AO251" s="87"/>
      <c r="AP251" s="106"/>
      <c r="AQ251" s="106"/>
      <c r="AR251" s="106"/>
      <c r="AS251" s="106"/>
      <c r="AT251" s="106"/>
      <c r="AU251" s="106"/>
      <c r="AV251" s="106"/>
      <c r="AW251" s="106"/>
      <c r="AX251" s="106"/>
      <c r="AY251" s="106"/>
    </row>
    <row r="252" spans="1:51" s="20" customFormat="1" ht="21" customHeight="1">
      <c r="A252" s="197"/>
      <c r="B252" s="87"/>
      <c r="C252" s="87"/>
      <c r="D252" s="196"/>
      <c r="E252" s="108"/>
      <c r="F252" s="196"/>
      <c r="G252" s="87"/>
      <c r="H252" s="197"/>
      <c r="I252" s="89"/>
      <c r="J252" s="204"/>
      <c r="K252" s="87"/>
      <c r="L252" s="87" t="str" cm="1">
        <f t="array" ref="L252">IF($A252="","",_xlfn.LET(_xlpm.stat,CHOOSE({1,2,3,4,5},$P252,$T252,$X252,$AB252,$AF252),_xlpm.rate,CHOOSE({1,2,3,4,5},$R252,$V252,$Z252,$AD252,$AH252),_xlpm.trn,CHOOSE({1,2,3,4,5},$S252,$W252,$AA252,$AE252,$AI252),_xlpm.nsC,SUMPRODUCT(--(_xlpm.stat="Ready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DLR",IF(AND(_xlpm.actRS&gt;0,_xlpm.actDone&lt;_xlpm.actRS),"Training",IF(_xlpm.actRS&gt;0,"Active",IF(AND(_xlpm.decC&gt;0,_xlpm.inPlay+_xlpm.actC=0),"Dead",IF(AND($AJ252&lt;&gt;"",$AK252=FALSE),"Waiting on Dealer",IF(_xlpm.subC&gt;0,"Waiting on Lender",IF(AND(_xlpm.appC+_xlpm.actC&gt;0,_xlpm.nsC+_xlpm.wdC=0),"Rate Sheet","Application Submitted")))))))))</f>
        <v/>
      </c>
      <c r="M252" s="87"/>
      <c r="N252" s="87"/>
      <c r="O252" s="197"/>
      <c r="P252" s="87" t="str">
        <f>IF($A252="","",IF($AK252=TRUE,"Ready 2 Submit","Waiting on Dealer"))</f>
        <v/>
      </c>
      <c r="Q252" s="148"/>
      <c r="R252" s="87"/>
      <c r="S252" s="87"/>
      <c r="T252" s="87" t="str">
        <f>IF($A252="","",IF($AK252=TRUE,"Ready 2 Submit","Waiting on Dealer"))</f>
        <v/>
      </c>
      <c r="U252" s="148"/>
      <c r="V252" s="87"/>
      <c r="W252" s="87"/>
      <c r="X252" s="87" t="str">
        <f>IF($A252="","",IF($AK252=TRUE,"Ready 2 Submit","Waiting on Dealer"))</f>
        <v/>
      </c>
      <c r="Y252" s="148"/>
      <c r="Z252" s="87"/>
      <c r="AA252" s="87"/>
      <c r="AB252" s="87" t="str">
        <f>IF($A252="","",IF($AK252=TRUE,"Ready 2 Submit","Waiting on Dealer"))</f>
        <v/>
      </c>
      <c r="AC252" s="148"/>
      <c r="AD252" s="87"/>
      <c r="AE252" s="87"/>
      <c r="AF252" s="87" t="str">
        <f>IF($A252="","",IF($AK252=TRUE,"Ready 2 Submit","Waiting on Dealer"))</f>
        <v/>
      </c>
      <c r="AG252" s="148"/>
      <c r="AH252" s="87"/>
      <c r="AI252" s="87"/>
      <c r="AJ252" s="197"/>
      <c r="AK252" s="110" t="b">
        <v>0</v>
      </c>
      <c r="AL252" s="87" t="str" cm="1">
        <f t="array" ref="AL252">IF($A252="","",SUMPRODUCT((CHOOSE({1,2,3,4,5},$R252,$V252,$Z252,$AD252,$AH252)="Yes")*(((CHOOSE({1,2,3,4,5},$S252,$W252,$AA252,$AE252,$AI252)="Yes")+(CHOOSE({1,2,3,4,5},$S252,$W252,$AA252,$AE252,$AI252)=TRUE))&gt;0)))</f>
        <v/>
      </c>
      <c r="AM252" s="87"/>
      <c r="AN252" s="87" t="str">
        <f ca="1">IF(OR($A252="",$AM252=""),"",TODAY()-$AM252)</f>
        <v/>
      </c>
      <c r="AO252" s="87"/>
      <c r="AP252" s="106"/>
      <c r="AQ252" s="106"/>
      <c r="AR252" s="106"/>
      <c r="AS252" s="106"/>
      <c r="AT252" s="106"/>
      <c r="AU252" s="106"/>
      <c r="AV252" s="106"/>
      <c r="AW252" s="106"/>
      <c r="AX252" s="106"/>
      <c r="AY252" s="106"/>
    </row>
    <row r="253" spans="1:51" s="20" customFormat="1" ht="21" customHeight="1">
      <c r="A253" s="197"/>
      <c r="B253" s="87"/>
      <c r="C253" s="87"/>
      <c r="D253" s="196"/>
      <c r="E253" s="108"/>
      <c r="F253" s="196"/>
      <c r="G253" s="87"/>
      <c r="H253" s="197"/>
      <c r="I253" s="89"/>
      <c r="J253" s="204"/>
      <c r="K253" s="87"/>
      <c r="L253" s="87" t="str" cm="1">
        <f t="array" ref="L253">IF($A253="","",_xlfn.LET(_xlpm.stat,CHOOSE({1,2,3,4,5},$P253,$T253,$X253,$AB253,$AF253),_xlpm.rate,CHOOSE({1,2,3,4,5},$R253,$V253,$Z253,$AD253,$AH253),_xlpm.trn,CHOOSE({1,2,3,4,5},$S253,$W253,$AA253,$AE253,$AI253),_xlpm.nsC,SUMPRODUCT(--(_xlpm.stat="Ready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DLR",IF(AND(_xlpm.actRS&gt;0,_xlpm.actDone&lt;_xlpm.actRS),"Training",IF(_xlpm.actRS&gt;0,"Active",IF(AND(_xlpm.decC&gt;0,_xlpm.inPlay+_xlpm.actC=0),"Dead",IF(AND($AJ253&lt;&gt;"",$AK253=FALSE),"Waiting on Dealer",IF(_xlpm.subC&gt;0,"Waiting on Lender",IF(AND(_xlpm.appC+_xlpm.actC&gt;0,_xlpm.nsC+_xlpm.wdC=0),"Rate Sheet","Application Submitted")))))))))</f>
        <v/>
      </c>
      <c r="M253" s="87"/>
      <c r="N253" s="87"/>
      <c r="O253" s="197"/>
      <c r="P253" s="87" t="str">
        <f>IF($A253="","",IF($AK253=TRUE,"Ready 2 Submit","Waiting on Dealer"))</f>
        <v/>
      </c>
      <c r="Q253" s="148"/>
      <c r="R253" s="87"/>
      <c r="S253" s="87"/>
      <c r="T253" s="87" t="str">
        <f>IF($A253="","",IF($AK253=TRUE,"Ready 2 Submit","Waiting on Dealer"))</f>
        <v/>
      </c>
      <c r="U253" s="148"/>
      <c r="V253" s="87"/>
      <c r="W253" s="87"/>
      <c r="X253" s="87" t="str">
        <f>IF($A253="","",IF($AK253=TRUE,"Ready 2 Submit","Waiting on Dealer"))</f>
        <v/>
      </c>
      <c r="Y253" s="148"/>
      <c r="Z253" s="87"/>
      <c r="AA253" s="87"/>
      <c r="AB253" s="87" t="str">
        <f>IF($A253="","",IF($AK253=TRUE,"Ready 2 Submit","Waiting on Dealer"))</f>
        <v/>
      </c>
      <c r="AC253" s="148"/>
      <c r="AD253" s="87"/>
      <c r="AE253" s="87"/>
      <c r="AF253" s="87" t="str">
        <f>IF($A253="","",IF($AK253=TRUE,"Ready 2 Submit","Waiting on Dealer"))</f>
        <v/>
      </c>
      <c r="AG253" s="148"/>
      <c r="AH253" s="87"/>
      <c r="AI253" s="87"/>
      <c r="AJ253" s="197"/>
      <c r="AK253" s="110" t="b">
        <v>0</v>
      </c>
      <c r="AL253" s="87" t="str" cm="1">
        <f t="array" ref="AL253">IF($A253="","",SUMPRODUCT((CHOOSE({1,2,3,4,5},$R253,$V253,$Z253,$AD253,$AH253)="Yes")*(((CHOOSE({1,2,3,4,5},$S253,$W253,$AA253,$AE253,$AI253)="Yes")+(CHOOSE({1,2,3,4,5},$S253,$W253,$AA253,$AE253,$AI253)=TRUE))&gt;0)))</f>
        <v/>
      </c>
      <c r="AM253" s="87"/>
      <c r="AN253" s="87" t="str">
        <f ca="1">IF(OR($A253="",$AM253=""),"",TODAY()-$AM253)</f>
        <v/>
      </c>
      <c r="AO253" s="87"/>
      <c r="AP253" s="106"/>
      <c r="AQ253" s="106"/>
      <c r="AR253" s="106"/>
      <c r="AS253" s="106"/>
      <c r="AT253" s="106"/>
      <c r="AU253" s="106"/>
      <c r="AV253" s="106"/>
      <c r="AW253" s="106"/>
      <c r="AX253" s="106"/>
      <c r="AY253" s="106"/>
    </row>
    <row r="254" spans="1:51" s="20" customFormat="1" ht="21" customHeight="1">
      <c r="A254" s="197"/>
      <c r="B254" s="87"/>
      <c r="C254" s="87"/>
      <c r="D254" s="196"/>
      <c r="E254" s="108"/>
      <c r="F254" s="196"/>
      <c r="G254" s="87"/>
      <c r="H254" s="197"/>
      <c r="I254" s="89"/>
      <c r="J254" s="204"/>
      <c r="K254" s="87"/>
      <c r="L254" s="87" t="str" cm="1">
        <f t="array" ref="L254">IF($A254="","",_xlfn.LET(_xlpm.stat,CHOOSE({1,2,3,4,5},$P254,$T254,$X254,$AB254,$AF254),_xlpm.rate,CHOOSE({1,2,3,4,5},$R254,$V254,$Z254,$AD254,$AH254),_xlpm.trn,CHOOSE({1,2,3,4,5},$S254,$W254,$AA254,$AE254,$AI254),_xlpm.nsC,SUMPRODUCT(--(_xlpm.stat="Ready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DLR",IF(AND(_xlpm.actRS&gt;0,_xlpm.actDone&lt;_xlpm.actRS),"Training",IF(_xlpm.actRS&gt;0,"Active",IF(AND(_xlpm.decC&gt;0,_xlpm.inPlay+_xlpm.actC=0),"Dead",IF(AND($AJ254&lt;&gt;"",$AK254=FALSE),"Waiting on Dealer",IF(_xlpm.subC&gt;0,"Waiting on Lender",IF(AND(_xlpm.appC+_xlpm.actC&gt;0,_xlpm.nsC+_xlpm.wdC=0),"Rate Sheet","Application Submitted")))))))))</f>
        <v/>
      </c>
      <c r="M254" s="87"/>
      <c r="N254" s="87"/>
      <c r="O254" s="197"/>
      <c r="P254" s="87" t="str">
        <f>IF($A254="","",IF($AK254=TRUE,"Ready 2 Submit","Waiting on Dealer"))</f>
        <v/>
      </c>
      <c r="Q254" s="148"/>
      <c r="R254" s="87"/>
      <c r="S254" s="87"/>
      <c r="T254" s="87" t="str">
        <f>IF($A254="","",IF($AK254=TRUE,"Ready 2 Submit","Waiting on Dealer"))</f>
        <v/>
      </c>
      <c r="U254" s="148"/>
      <c r="V254" s="87"/>
      <c r="W254" s="87"/>
      <c r="X254" s="87" t="str">
        <f>IF($A254="","",IF($AK254=TRUE,"Ready 2 Submit","Waiting on Dealer"))</f>
        <v/>
      </c>
      <c r="Y254" s="148"/>
      <c r="Z254" s="87"/>
      <c r="AA254" s="87"/>
      <c r="AB254" s="87" t="str">
        <f>IF($A254="","",IF($AK254=TRUE,"Ready 2 Submit","Waiting on Dealer"))</f>
        <v/>
      </c>
      <c r="AC254" s="148"/>
      <c r="AD254" s="87"/>
      <c r="AE254" s="87"/>
      <c r="AF254" s="87" t="str">
        <f>IF($A254="","",IF($AK254=TRUE,"Ready 2 Submit","Waiting on Dealer"))</f>
        <v/>
      </c>
      <c r="AG254" s="148"/>
      <c r="AH254" s="87"/>
      <c r="AI254" s="87"/>
      <c r="AJ254" s="197"/>
      <c r="AK254" s="110" t="b">
        <v>0</v>
      </c>
      <c r="AL254" s="87" t="str" cm="1">
        <f t="array" ref="AL254">IF($A254="","",SUMPRODUCT((CHOOSE({1,2,3,4,5},$R254,$V254,$Z254,$AD254,$AH254)="Yes")*(((CHOOSE({1,2,3,4,5},$S254,$W254,$AA254,$AE254,$AI254)="Yes")+(CHOOSE({1,2,3,4,5},$S254,$W254,$AA254,$AE254,$AI254)=TRUE))&gt;0)))</f>
        <v/>
      </c>
      <c r="AM254" s="87"/>
      <c r="AN254" s="87" t="str">
        <f ca="1">IF(OR($A254="",$AM254=""),"",TODAY()-$AM254)</f>
        <v/>
      </c>
      <c r="AO254" s="87"/>
      <c r="AP254" s="106"/>
      <c r="AQ254" s="106"/>
      <c r="AR254" s="106"/>
      <c r="AS254" s="106"/>
      <c r="AT254" s="106"/>
      <c r="AU254" s="106"/>
      <c r="AV254" s="106"/>
      <c r="AW254" s="106"/>
      <c r="AX254" s="106"/>
      <c r="AY254" s="106"/>
    </row>
    <row r="255" spans="1:51" s="20" customFormat="1" ht="21" customHeight="1">
      <c r="A255" s="197"/>
      <c r="B255" s="87"/>
      <c r="C255" s="87"/>
      <c r="D255" s="196"/>
      <c r="E255" s="108"/>
      <c r="F255" s="196"/>
      <c r="G255" s="87"/>
      <c r="H255" s="197"/>
      <c r="I255" s="89"/>
      <c r="J255" s="204"/>
      <c r="K255" s="87"/>
      <c r="L255" s="87" t="str" cm="1">
        <f t="array" ref="L255">IF($A255="","",_xlfn.LET(_xlpm.stat,CHOOSE({1,2,3,4,5},$P255,$T255,$X255,$AB255,$AF255),_xlpm.rate,CHOOSE({1,2,3,4,5},$R255,$V255,$Z255,$AD255,$AH255),_xlpm.trn,CHOOSE({1,2,3,4,5},$S255,$W255,$AA255,$AE255,$AI255),_xlpm.nsC,SUMPRODUCT(--(_xlpm.stat="Ready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DLR",IF(AND(_xlpm.actRS&gt;0,_xlpm.actDone&lt;_xlpm.actRS),"Training",IF(_xlpm.actRS&gt;0,"Active",IF(AND(_xlpm.decC&gt;0,_xlpm.inPlay+_xlpm.actC=0),"Dead",IF(AND($AJ255&lt;&gt;"",$AK255=FALSE),"Waiting on Dealer",IF(_xlpm.subC&gt;0,"Waiting on Lender",IF(AND(_xlpm.appC+_xlpm.actC&gt;0,_xlpm.nsC+_xlpm.wdC=0),"Rate Sheet","Application Submitted")))))))))</f>
        <v/>
      </c>
      <c r="M255" s="87"/>
      <c r="N255" s="87"/>
      <c r="O255" s="197"/>
      <c r="P255" s="87" t="str">
        <f>IF($A255="","",IF($AK255=TRUE,"Ready 2 Submit","Waiting on Dealer"))</f>
        <v/>
      </c>
      <c r="Q255" s="148"/>
      <c r="R255" s="87"/>
      <c r="S255" s="87"/>
      <c r="T255" s="87" t="str">
        <f>IF($A255="","",IF($AK255=TRUE,"Ready 2 Submit","Waiting on Dealer"))</f>
        <v/>
      </c>
      <c r="U255" s="148"/>
      <c r="V255" s="87"/>
      <c r="W255" s="87"/>
      <c r="X255" s="87" t="str">
        <f>IF($A255="","",IF($AK255=TRUE,"Ready 2 Submit","Waiting on Dealer"))</f>
        <v/>
      </c>
      <c r="Y255" s="148"/>
      <c r="Z255" s="87"/>
      <c r="AA255" s="87"/>
      <c r="AB255" s="87" t="str">
        <f>IF($A255="","",IF($AK255=TRUE,"Ready 2 Submit","Waiting on Dealer"))</f>
        <v/>
      </c>
      <c r="AC255" s="148"/>
      <c r="AD255" s="87"/>
      <c r="AE255" s="87"/>
      <c r="AF255" s="87" t="str">
        <f>IF($A255="","",IF($AK255=TRUE,"Ready 2 Submit","Waiting on Dealer"))</f>
        <v/>
      </c>
      <c r="AG255" s="148"/>
      <c r="AH255" s="87"/>
      <c r="AI255" s="87"/>
      <c r="AJ255" s="197"/>
      <c r="AK255" s="110" t="b">
        <v>0</v>
      </c>
      <c r="AL255" s="87" t="str" cm="1">
        <f t="array" ref="AL255">IF($A255="","",SUMPRODUCT((CHOOSE({1,2,3,4,5},$R255,$V255,$Z255,$AD255,$AH255)="Yes")*(((CHOOSE({1,2,3,4,5},$S255,$W255,$AA255,$AE255,$AI255)="Yes")+(CHOOSE({1,2,3,4,5},$S255,$W255,$AA255,$AE255,$AI255)=TRUE))&gt;0)))</f>
        <v/>
      </c>
      <c r="AM255" s="87"/>
      <c r="AN255" s="87" t="str">
        <f ca="1">IF(OR($A255="",$AM255=""),"",TODAY()-$AM255)</f>
        <v/>
      </c>
      <c r="AO255" s="87"/>
      <c r="AP255" s="106"/>
      <c r="AQ255" s="106"/>
      <c r="AR255" s="106"/>
      <c r="AS255" s="106"/>
      <c r="AT255" s="106"/>
      <c r="AU255" s="106"/>
      <c r="AV255" s="106"/>
      <c r="AW255" s="106"/>
      <c r="AX255" s="106"/>
      <c r="AY255" s="106"/>
    </row>
    <row r="256" spans="1:51" s="20" customFormat="1" ht="21" customHeight="1">
      <c r="A256" s="197"/>
      <c r="B256" s="87"/>
      <c r="C256" s="87"/>
      <c r="D256" s="196"/>
      <c r="E256" s="108"/>
      <c r="F256" s="196"/>
      <c r="G256" s="87"/>
      <c r="H256" s="197"/>
      <c r="I256" s="89"/>
      <c r="J256" s="204"/>
      <c r="K256" s="87"/>
      <c r="L256" s="87" t="str" cm="1">
        <f t="array" ref="L256">IF($A256="","",_xlfn.LET(_xlpm.stat,CHOOSE({1,2,3,4,5},$P256,$T256,$X256,$AB256,$AF256),_xlpm.rate,CHOOSE({1,2,3,4,5},$R256,$V256,$Z256,$AD256,$AH256),_xlpm.trn,CHOOSE({1,2,3,4,5},$S256,$W256,$AA256,$AE256,$AI256),_xlpm.nsC,SUMPRODUCT(--(_xlpm.stat="Ready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DLR",IF(AND(_xlpm.actRS&gt;0,_xlpm.actDone&lt;_xlpm.actRS),"Training",IF(_xlpm.actRS&gt;0,"Active",IF(AND(_xlpm.decC&gt;0,_xlpm.inPlay+_xlpm.actC=0),"Dead",IF(AND($AJ256&lt;&gt;"",$AK256=FALSE),"Waiting on Dealer",IF(_xlpm.subC&gt;0,"Waiting on Lender",IF(AND(_xlpm.appC+_xlpm.actC&gt;0,_xlpm.nsC+_xlpm.wdC=0),"Rate Sheet","Application Submitted")))))))))</f>
        <v/>
      </c>
      <c r="M256" s="87"/>
      <c r="N256" s="87"/>
      <c r="O256" s="197"/>
      <c r="P256" s="87" t="str">
        <f>IF($A256="","",IF($AK256=TRUE,"Ready 2 Submit","Waiting on Dealer"))</f>
        <v/>
      </c>
      <c r="Q256" s="148"/>
      <c r="R256" s="87"/>
      <c r="S256" s="87"/>
      <c r="T256" s="87" t="str">
        <f>IF($A256="","",IF($AK256=TRUE,"Ready 2 Submit","Waiting on Dealer"))</f>
        <v/>
      </c>
      <c r="U256" s="148"/>
      <c r="V256" s="87"/>
      <c r="W256" s="87"/>
      <c r="X256" s="87" t="str">
        <f>IF($A256="","",IF($AK256=TRUE,"Ready 2 Submit","Waiting on Dealer"))</f>
        <v/>
      </c>
      <c r="Y256" s="148"/>
      <c r="Z256" s="87"/>
      <c r="AA256" s="87"/>
      <c r="AB256" s="87" t="str">
        <f>IF($A256="","",IF($AK256=TRUE,"Ready 2 Submit","Waiting on Dealer"))</f>
        <v/>
      </c>
      <c r="AC256" s="148"/>
      <c r="AD256" s="87"/>
      <c r="AE256" s="87"/>
      <c r="AF256" s="87" t="str">
        <f>IF($A256="","",IF($AK256=TRUE,"Ready 2 Submit","Waiting on Dealer"))</f>
        <v/>
      </c>
      <c r="AG256" s="148"/>
      <c r="AH256" s="87"/>
      <c r="AI256" s="87"/>
      <c r="AJ256" s="197"/>
      <c r="AK256" s="110" t="b">
        <v>0</v>
      </c>
      <c r="AL256" s="87" t="str" cm="1">
        <f t="array" ref="AL256">IF($A256="","",SUMPRODUCT((CHOOSE({1,2,3,4,5},$R256,$V256,$Z256,$AD256,$AH256)="Yes")*(((CHOOSE({1,2,3,4,5},$S256,$W256,$AA256,$AE256,$AI256)="Yes")+(CHOOSE({1,2,3,4,5},$S256,$W256,$AA256,$AE256,$AI256)=TRUE))&gt;0)))</f>
        <v/>
      </c>
      <c r="AM256" s="87"/>
      <c r="AN256" s="87" t="str">
        <f ca="1">IF(OR($A256="",$AM256=""),"",TODAY()-$AM256)</f>
        <v/>
      </c>
      <c r="AO256" s="87"/>
      <c r="AP256" s="106"/>
      <c r="AQ256" s="106"/>
      <c r="AR256" s="106"/>
      <c r="AS256" s="106"/>
      <c r="AT256" s="106"/>
      <c r="AU256" s="106"/>
      <c r="AV256" s="106"/>
      <c r="AW256" s="106"/>
      <c r="AX256" s="106"/>
      <c r="AY256" s="106"/>
    </row>
    <row r="257" spans="1:51" s="20" customFormat="1" ht="21" customHeight="1">
      <c r="A257" s="197"/>
      <c r="B257" s="87"/>
      <c r="C257" s="87"/>
      <c r="D257" s="196"/>
      <c r="E257" s="108"/>
      <c r="F257" s="196"/>
      <c r="G257" s="87"/>
      <c r="H257" s="197"/>
      <c r="I257" s="89"/>
      <c r="J257" s="204"/>
      <c r="K257" s="87"/>
      <c r="L257" s="87" t="str" cm="1">
        <f t="array" ref="L257">IF($A257="","",_xlfn.LET(_xlpm.stat,CHOOSE({1,2,3,4,5},$P257,$T257,$X257,$AB257,$AF257),_xlpm.rate,CHOOSE({1,2,3,4,5},$R257,$V257,$Z257,$AD257,$AH257),_xlpm.trn,CHOOSE({1,2,3,4,5},$S257,$W257,$AA257,$AE257,$AI257),_xlpm.nsC,SUMPRODUCT(--(_xlpm.stat="Ready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DLR",IF(AND(_xlpm.actRS&gt;0,_xlpm.actDone&lt;_xlpm.actRS),"Training",IF(_xlpm.actRS&gt;0,"Active",IF(AND(_xlpm.decC&gt;0,_xlpm.inPlay+_xlpm.actC=0),"Dead",IF(AND($AJ257&lt;&gt;"",$AK257=FALSE),"Waiting on Dealer",IF(_xlpm.subC&gt;0,"Waiting on Lender",IF(AND(_xlpm.appC+_xlpm.actC&gt;0,_xlpm.nsC+_xlpm.wdC=0),"Rate Sheet","Application Submitted")))))))))</f>
        <v/>
      </c>
      <c r="M257" s="87"/>
      <c r="N257" s="87"/>
      <c r="O257" s="197"/>
      <c r="P257" s="87" t="str">
        <f>IF($A257="","",IF($AK257=TRUE,"Ready 2 Submit","Waiting on Dealer"))</f>
        <v/>
      </c>
      <c r="Q257" s="148"/>
      <c r="R257" s="87"/>
      <c r="S257" s="87"/>
      <c r="T257" s="87" t="str">
        <f>IF($A257="","",IF($AK257=TRUE,"Ready 2 Submit","Waiting on Dealer"))</f>
        <v/>
      </c>
      <c r="U257" s="148"/>
      <c r="V257" s="87"/>
      <c r="W257" s="87"/>
      <c r="X257" s="87" t="str">
        <f>IF($A257="","",IF($AK257=TRUE,"Ready 2 Submit","Waiting on Dealer"))</f>
        <v/>
      </c>
      <c r="Y257" s="148"/>
      <c r="Z257" s="87"/>
      <c r="AA257" s="87"/>
      <c r="AB257" s="87" t="str">
        <f>IF($A257="","",IF($AK257=TRUE,"Ready 2 Submit","Waiting on Dealer"))</f>
        <v/>
      </c>
      <c r="AC257" s="148"/>
      <c r="AD257" s="87"/>
      <c r="AE257" s="87"/>
      <c r="AF257" s="87" t="str">
        <f>IF($A257="","",IF($AK257=TRUE,"Ready 2 Submit","Waiting on Dealer"))</f>
        <v/>
      </c>
      <c r="AG257" s="148"/>
      <c r="AH257" s="87"/>
      <c r="AI257" s="87"/>
      <c r="AJ257" s="197"/>
      <c r="AK257" s="110" t="b">
        <v>0</v>
      </c>
      <c r="AL257" s="87" t="str" cm="1">
        <f t="array" ref="AL257">IF($A257="","",SUMPRODUCT((CHOOSE({1,2,3,4,5},$R257,$V257,$Z257,$AD257,$AH257)="Yes")*(((CHOOSE({1,2,3,4,5},$S257,$W257,$AA257,$AE257,$AI257)="Yes")+(CHOOSE({1,2,3,4,5},$S257,$W257,$AA257,$AE257,$AI257)=TRUE))&gt;0)))</f>
        <v/>
      </c>
      <c r="AM257" s="87"/>
      <c r="AN257" s="87" t="str">
        <f ca="1">IF(OR($A257="",$AM257=""),"",TODAY()-$AM257)</f>
        <v/>
      </c>
      <c r="AO257" s="87"/>
      <c r="AP257" s="106"/>
      <c r="AQ257" s="106"/>
      <c r="AR257" s="106"/>
      <c r="AS257" s="106"/>
      <c r="AT257" s="106"/>
      <c r="AU257" s="106"/>
      <c r="AV257" s="106"/>
      <c r="AW257" s="106"/>
      <c r="AX257" s="106"/>
      <c r="AY257" s="106"/>
    </row>
    <row r="258" spans="1:51" s="20" customFormat="1" ht="21" customHeight="1">
      <c r="A258" s="197"/>
      <c r="B258" s="87"/>
      <c r="C258" s="87"/>
      <c r="D258" s="196"/>
      <c r="E258" s="108"/>
      <c r="F258" s="196"/>
      <c r="G258" s="87"/>
      <c r="H258" s="197"/>
      <c r="I258" s="89"/>
      <c r="J258" s="204"/>
      <c r="K258" s="87"/>
      <c r="L258" s="87" t="str" cm="1">
        <f t="array" ref="L258">IF($A258="","",_xlfn.LET(_xlpm.stat,CHOOSE({1,2,3,4,5},$P258,$T258,$X258,$AB258,$AF258),_xlpm.rate,CHOOSE({1,2,3,4,5},$R258,$V258,$Z258,$AD258,$AH258),_xlpm.trn,CHOOSE({1,2,3,4,5},$S258,$W258,$AA258,$AE258,$AI258),_xlpm.nsC,SUMPRODUCT(--(_xlpm.stat="Ready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DLR",IF(AND(_xlpm.actRS&gt;0,_xlpm.actDone&lt;_xlpm.actRS),"Training",IF(_xlpm.actRS&gt;0,"Active",IF(AND(_xlpm.decC&gt;0,_xlpm.inPlay+_xlpm.actC=0),"Dead",IF(AND($AJ258&lt;&gt;"",$AK258=FALSE),"Waiting on Dealer",IF(_xlpm.subC&gt;0,"Waiting on Lender",IF(AND(_xlpm.appC+_xlpm.actC&gt;0,_xlpm.nsC+_xlpm.wdC=0),"Rate Sheet","Application Submitted")))))))))</f>
        <v/>
      </c>
      <c r="M258" s="87"/>
      <c r="N258" s="87"/>
      <c r="O258" s="197"/>
      <c r="P258" s="87" t="str">
        <f>IF($A258="","",IF($AK258=TRUE,"Ready 2 Submit","Waiting on Dealer"))</f>
        <v/>
      </c>
      <c r="Q258" s="148"/>
      <c r="R258" s="87"/>
      <c r="S258" s="87"/>
      <c r="T258" s="87" t="str">
        <f>IF($A258="","",IF($AK258=TRUE,"Ready 2 Submit","Waiting on Dealer"))</f>
        <v/>
      </c>
      <c r="U258" s="148"/>
      <c r="V258" s="87"/>
      <c r="W258" s="87"/>
      <c r="X258" s="87" t="str">
        <f>IF($A258="","",IF($AK258=TRUE,"Ready 2 Submit","Waiting on Dealer"))</f>
        <v/>
      </c>
      <c r="Y258" s="148"/>
      <c r="Z258" s="87"/>
      <c r="AA258" s="87"/>
      <c r="AB258" s="87" t="str">
        <f>IF($A258="","",IF($AK258=TRUE,"Ready 2 Submit","Waiting on Dealer"))</f>
        <v/>
      </c>
      <c r="AC258" s="148"/>
      <c r="AD258" s="87"/>
      <c r="AE258" s="87"/>
      <c r="AF258" s="87" t="str">
        <f>IF($A258="","",IF($AK258=TRUE,"Ready 2 Submit","Waiting on Dealer"))</f>
        <v/>
      </c>
      <c r="AG258" s="148"/>
      <c r="AH258" s="87"/>
      <c r="AI258" s="87"/>
      <c r="AJ258" s="197"/>
      <c r="AK258" s="110" t="b">
        <v>0</v>
      </c>
      <c r="AL258" s="87" t="str" cm="1">
        <f t="array" ref="AL258">IF($A258="","",SUMPRODUCT((CHOOSE({1,2,3,4,5},$R258,$V258,$Z258,$AD258,$AH258)="Yes")*(((CHOOSE({1,2,3,4,5},$S258,$W258,$AA258,$AE258,$AI258)="Yes")+(CHOOSE({1,2,3,4,5},$S258,$W258,$AA258,$AE258,$AI258)=TRUE))&gt;0)))</f>
        <v/>
      </c>
      <c r="AM258" s="87"/>
      <c r="AN258" s="87" t="str">
        <f ca="1">IF(OR($A258="",$AM258=""),"",TODAY()-$AM258)</f>
        <v/>
      </c>
      <c r="AO258" s="87"/>
      <c r="AP258" s="106"/>
      <c r="AQ258" s="106"/>
      <c r="AR258" s="106"/>
      <c r="AS258" s="106"/>
      <c r="AT258" s="106"/>
      <c r="AU258" s="106"/>
      <c r="AV258" s="106"/>
      <c r="AW258" s="106"/>
      <c r="AX258" s="106"/>
      <c r="AY258" s="106"/>
    </row>
    <row r="259" spans="1:51" s="20" customFormat="1" ht="21" customHeight="1">
      <c r="A259" s="197"/>
      <c r="B259" s="87"/>
      <c r="C259" s="87"/>
      <c r="D259" s="196"/>
      <c r="E259" s="108"/>
      <c r="F259" s="196"/>
      <c r="G259" s="87"/>
      <c r="H259" s="197"/>
      <c r="I259" s="89"/>
      <c r="J259" s="204"/>
      <c r="K259" s="87"/>
      <c r="L259" s="87" t="str" cm="1">
        <f t="array" ref="L259">IF($A259="","",_xlfn.LET(_xlpm.stat,CHOOSE({1,2,3,4,5},$P259,$T259,$X259,$AB259,$AF259),_xlpm.rate,CHOOSE({1,2,3,4,5},$R259,$V259,$Z259,$AD259,$AH259),_xlpm.trn,CHOOSE({1,2,3,4,5},$S259,$W259,$AA259,$AE259,$AI259),_xlpm.nsC,SUMPRODUCT(--(_xlpm.stat="Ready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DLR",IF(AND(_xlpm.actRS&gt;0,_xlpm.actDone&lt;_xlpm.actRS),"Training",IF(_xlpm.actRS&gt;0,"Active",IF(AND(_xlpm.decC&gt;0,_xlpm.inPlay+_xlpm.actC=0),"Dead",IF(AND($AJ259&lt;&gt;"",$AK259=FALSE),"Waiting on Dealer",IF(_xlpm.subC&gt;0,"Waiting on Lender",IF(AND(_xlpm.appC+_xlpm.actC&gt;0,_xlpm.nsC+_xlpm.wdC=0),"Rate Sheet","Application Submitted")))))))))</f>
        <v/>
      </c>
      <c r="M259" s="87"/>
      <c r="N259" s="87"/>
      <c r="O259" s="197"/>
      <c r="P259" s="87" t="str">
        <f>IF($A259="","",IF($AK259=TRUE,"Ready 2 Submit","Waiting on Dealer"))</f>
        <v/>
      </c>
      <c r="Q259" s="148"/>
      <c r="R259" s="87"/>
      <c r="S259" s="87"/>
      <c r="T259" s="87" t="str">
        <f>IF($A259="","",IF($AK259=TRUE,"Ready 2 Submit","Waiting on Dealer"))</f>
        <v/>
      </c>
      <c r="U259" s="148"/>
      <c r="V259" s="87"/>
      <c r="W259" s="87"/>
      <c r="X259" s="87" t="str">
        <f>IF($A259="","",IF($AK259=TRUE,"Ready 2 Submit","Waiting on Dealer"))</f>
        <v/>
      </c>
      <c r="Y259" s="148"/>
      <c r="Z259" s="87"/>
      <c r="AA259" s="87"/>
      <c r="AB259" s="87" t="str">
        <f>IF($A259="","",IF($AK259=TRUE,"Ready 2 Submit","Waiting on Dealer"))</f>
        <v/>
      </c>
      <c r="AC259" s="148"/>
      <c r="AD259" s="87"/>
      <c r="AE259" s="87"/>
      <c r="AF259" s="87" t="str">
        <f>IF($A259="","",IF($AK259=TRUE,"Ready 2 Submit","Waiting on Dealer"))</f>
        <v/>
      </c>
      <c r="AG259" s="148"/>
      <c r="AH259" s="87"/>
      <c r="AI259" s="87"/>
      <c r="AJ259" s="197"/>
      <c r="AK259" s="110" t="b">
        <v>0</v>
      </c>
      <c r="AL259" s="87" t="str" cm="1">
        <f t="array" ref="AL259">IF($A259="","",SUMPRODUCT((CHOOSE({1,2,3,4,5},$R259,$V259,$Z259,$AD259,$AH259)="Yes")*(((CHOOSE({1,2,3,4,5},$S259,$W259,$AA259,$AE259,$AI259)="Yes")+(CHOOSE({1,2,3,4,5},$S259,$W259,$AA259,$AE259,$AI259)=TRUE))&gt;0)))</f>
        <v/>
      </c>
      <c r="AM259" s="87"/>
      <c r="AN259" s="87" t="str">
        <f ca="1">IF(OR($A259="",$AM259=""),"",TODAY()-$AM259)</f>
        <v/>
      </c>
      <c r="AO259" s="87"/>
      <c r="AP259" s="106"/>
      <c r="AQ259" s="106"/>
      <c r="AR259" s="106"/>
      <c r="AS259" s="106"/>
      <c r="AT259" s="106"/>
      <c r="AU259" s="106"/>
      <c r="AV259" s="106"/>
      <c r="AW259" s="106"/>
      <c r="AX259" s="106"/>
      <c r="AY259" s="106"/>
    </row>
    <row r="260" spans="1:51" s="20" customFormat="1" ht="21" customHeight="1">
      <c r="A260" s="197"/>
      <c r="B260" s="87"/>
      <c r="C260" s="87"/>
      <c r="D260" s="196"/>
      <c r="E260" s="108"/>
      <c r="F260" s="196"/>
      <c r="G260" s="87"/>
      <c r="H260" s="197"/>
      <c r="I260" s="89"/>
      <c r="J260" s="204"/>
      <c r="K260" s="87"/>
      <c r="L260" s="87" t="str" cm="1">
        <f t="array" ref="L260">IF($A260="","",_xlfn.LET(_xlpm.stat,CHOOSE({1,2,3,4,5},$P260,$T260,$X260,$AB260,$AF260),_xlpm.rate,CHOOSE({1,2,3,4,5},$R260,$V260,$Z260,$AD260,$AH260),_xlpm.trn,CHOOSE({1,2,3,4,5},$S260,$W260,$AA260,$AE260,$AI260),_xlpm.nsC,SUMPRODUCT(--(_xlpm.stat="Ready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DLR",IF(AND(_xlpm.actRS&gt;0,_xlpm.actDone&lt;_xlpm.actRS),"Training",IF(_xlpm.actRS&gt;0,"Active",IF(AND(_xlpm.decC&gt;0,_xlpm.inPlay+_xlpm.actC=0),"Dead",IF(AND($AJ260&lt;&gt;"",$AK260=FALSE),"Waiting on Dealer",IF(_xlpm.subC&gt;0,"Waiting on Lender",IF(AND(_xlpm.appC+_xlpm.actC&gt;0,_xlpm.nsC+_xlpm.wdC=0),"Rate Sheet","Application Submitted")))))))))</f>
        <v/>
      </c>
      <c r="M260" s="87"/>
      <c r="N260" s="87"/>
      <c r="O260" s="197"/>
      <c r="P260" s="87" t="str">
        <f>IF($A260="","",IF($AK260=TRUE,"Ready 2 Submit","Waiting on Dealer"))</f>
        <v/>
      </c>
      <c r="Q260" s="148"/>
      <c r="R260" s="87"/>
      <c r="S260" s="87"/>
      <c r="T260" s="87" t="str">
        <f>IF($A260="","",IF($AK260=TRUE,"Ready 2 Submit","Waiting on Dealer"))</f>
        <v/>
      </c>
      <c r="U260" s="148"/>
      <c r="V260" s="87"/>
      <c r="W260" s="87"/>
      <c r="X260" s="87" t="str">
        <f>IF($A260="","",IF($AK260=TRUE,"Ready 2 Submit","Waiting on Dealer"))</f>
        <v/>
      </c>
      <c r="Y260" s="148"/>
      <c r="Z260" s="87"/>
      <c r="AA260" s="87"/>
      <c r="AB260" s="87" t="str">
        <f>IF($A260="","",IF($AK260=TRUE,"Ready 2 Submit","Waiting on Dealer"))</f>
        <v/>
      </c>
      <c r="AC260" s="148"/>
      <c r="AD260" s="87"/>
      <c r="AE260" s="87"/>
      <c r="AF260" s="87" t="str">
        <f>IF($A260="","",IF($AK260=TRUE,"Ready 2 Submit","Waiting on Dealer"))</f>
        <v/>
      </c>
      <c r="AG260" s="148"/>
      <c r="AH260" s="87"/>
      <c r="AI260" s="87"/>
      <c r="AJ260" s="197"/>
      <c r="AK260" s="110" t="b">
        <v>0</v>
      </c>
      <c r="AL260" s="87" t="str" cm="1">
        <f t="array" ref="AL260">IF($A260="","",SUMPRODUCT((CHOOSE({1,2,3,4,5},$R260,$V260,$Z260,$AD260,$AH260)="Yes")*(((CHOOSE({1,2,3,4,5},$S260,$W260,$AA260,$AE260,$AI260)="Yes")+(CHOOSE({1,2,3,4,5},$S260,$W260,$AA260,$AE260,$AI260)=TRUE))&gt;0)))</f>
        <v/>
      </c>
      <c r="AM260" s="87"/>
      <c r="AN260" s="87" t="str">
        <f ca="1">IF(OR($A260="",$AM260=""),"",TODAY()-$AM260)</f>
        <v/>
      </c>
      <c r="AO260" s="87"/>
      <c r="AP260" s="106"/>
      <c r="AQ260" s="106"/>
      <c r="AR260" s="106"/>
      <c r="AS260" s="106"/>
      <c r="AT260" s="106"/>
      <c r="AU260" s="106"/>
      <c r="AV260" s="106"/>
      <c r="AW260" s="106"/>
      <c r="AX260" s="106"/>
      <c r="AY260" s="106"/>
    </row>
    <row r="261" spans="1:51" s="20" customFormat="1" ht="21" customHeight="1">
      <c r="A261" s="197"/>
      <c r="B261" s="87"/>
      <c r="C261" s="87"/>
      <c r="D261" s="196"/>
      <c r="E261" s="108"/>
      <c r="F261" s="196"/>
      <c r="G261" s="87"/>
      <c r="H261" s="197"/>
      <c r="I261" s="89"/>
      <c r="J261" s="204"/>
      <c r="K261" s="87"/>
      <c r="L261" s="87" t="str" cm="1">
        <f t="array" ref="L261">IF($A261="","",_xlfn.LET(_xlpm.stat,CHOOSE({1,2,3,4,5},$P261,$T261,$X261,$AB261,$AF261),_xlpm.rate,CHOOSE({1,2,3,4,5},$R261,$V261,$Z261,$AD261,$AH261),_xlpm.trn,CHOOSE({1,2,3,4,5},$S261,$W261,$AA261,$AE261,$AI261),_xlpm.nsC,SUMPRODUCT(--(_xlpm.stat="Ready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DLR",IF(AND(_xlpm.actRS&gt;0,_xlpm.actDone&lt;_xlpm.actRS),"Training",IF(_xlpm.actRS&gt;0,"Active",IF(AND(_xlpm.decC&gt;0,_xlpm.inPlay+_xlpm.actC=0),"Dead",IF(AND($AJ261&lt;&gt;"",$AK261=FALSE),"Waiting on Dealer",IF(_xlpm.subC&gt;0,"Waiting on Lender",IF(AND(_xlpm.appC+_xlpm.actC&gt;0,_xlpm.nsC+_xlpm.wdC=0),"Rate Sheet","Application Submitted")))))))))</f>
        <v/>
      </c>
      <c r="M261" s="87"/>
      <c r="N261" s="87"/>
      <c r="O261" s="197"/>
      <c r="P261" s="87" t="str">
        <f>IF($A261="","",IF($AK261=TRUE,"Ready 2 Submit","Waiting on Dealer"))</f>
        <v/>
      </c>
      <c r="Q261" s="148"/>
      <c r="R261" s="87"/>
      <c r="S261" s="87"/>
      <c r="T261" s="87" t="str">
        <f>IF($A261="","",IF($AK261=TRUE,"Ready 2 Submit","Waiting on Dealer"))</f>
        <v/>
      </c>
      <c r="U261" s="148"/>
      <c r="V261" s="87"/>
      <c r="W261" s="87"/>
      <c r="X261" s="87" t="str">
        <f>IF($A261="","",IF($AK261=TRUE,"Ready 2 Submit","Waiting on Dealer"))</f>
        <v/>
      </c>
      <c r="Y261" s="148"/>
      <c r="Z261" s="87"/>
      <c r="AA261" s="87"/>
      <c r="AB261" s="87" t="str">
        <f>IF($A261="","",IF($AK261=TRUE,"Ready 2 Submit","Waiting on Dealer"))</f>
        <v/>
      </c>
      <c r="AC261" s="148"/>
      <c r="AD261" s="87"/>
      <c r="AE261" s="87"/>
      <c r="AF261" s="87" t="str">
        <f>IF($A261="","",IF($AK261=TRUE,"Ready 2 Submit","Waiting on Dealer"))</f>
        <v/>
      </c>
      <c r="AG261" s="148"/>
      <c r="AH261" s="87"/>
      <c r="AI261" s="87"/>
      <c r="AJ261" s="197"/>
      <c r="AK261" s="110" t="b">
        <v>0</v>
      </c>
      <c r="AL261" s="87" t="str" cm="1">
        <f t="array" ref="AL261">IF($A261="","",SUMPRODUCT((CHOOSE({1,2,3,4,5},$R261,$V261,$Z261,$AD261,$AH261)="Yes")*(((CHOOSE({1,2,3,4,5},$S261,$W261,$AA261,$AE261,$AI261)="Yes")+(CHOOSE({1,2,3,4,5},$S261,$W261,$AA261,$AE261,$AI261)=TRUE))&gt;0)))</f>
        <v/>
      </c>
      <c r="AM261" s="87"/>
      <c r="AN261" s="87" t="str">
        <f ca="1">IF(OR($A261="",$AM261=""),"",TODAY()-$AM261)</f>
        <v/>
      </c>
      <c r="AO261" s="87"/>
      <c r="AP261" s="106"/>
      <c r="AQ261" s="106"/>
      <c r="AR261" s="106"/>
      <c r="AS261" s="106"/>
      <c r="AT261" s="106"/>
      <c r="AU261" s="106"/>
      <c r="AV261" s="106"/>
      <c r="AW261" s="106"/>
      <c r="AX261" s="106"/>
      <c r="AY261" s="106"/>
    </row>
    <row r="262" spans="1:51" s="20" customFormat="1" ht="21" customHeight="1">
      <c r="A262" s="197"/>
      <c r="B262" s="87"/>
      <c r="C262" s="87"/>
      <c r="D262" s="196"/>
      <c r="E262" s="108"/>
      <c r="F262" s="196"/>
      <c r="G262" s="87"/>
      <c r="H262" s="197"/>
      <c r="I262" s="89"/>
      <c r="J262" s="204"/>
      <c r="K262" s="87"/>
      <c r="L262" s="87" t="str" cm="1">
        <f t="array" ref="L262">IF($A262="","",_xlfn.LET(_xlpm.stat,CHOOSE({1,2,3,4,5},$P262,$T262,$X262,$AB262,$AF262),_xlpm.rate,CHOOSE({1,2,3,4,5},$R262,$V262,$Z262,$AD262,$AH262),_xlpm.trn,CHOOSE({1,2,3,4,5},$S262,$W262,$AA262,$AE262,$AI262),_xlpm.nsC,SUMPRODUCT(--(_xlpm.stat="Ready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DLR",IF(AND(_xlpm.actRS&gt;0,_xlpm.actDone&lt;_xlpm.actRS),"Training",IF(_xlpm.actRS&gt;0,"Active",IF(AND(_xlpm.decC&gt;0,_xlpm.inPlay+_xlpm.actC=0),"Dead",IF(AND($AJ262&lt;&gt;"",$AK262=FALSE),"Waiting on Dealer",IF(_xlpm.subC&gt;0,"Waiting on Lender",IF(AND(_xlpm.appC+_xlpm.actC&gt;0,_xlpm.nsC+_xlpm.wdC=0),"Rate Sheet","Application Submitted")))))))))</f>
        <v/>
      </c>
      <c r="M262" s="87"/>
      <c r="N262" s="87"/>
      <c r="O262" s="197"/>
      <c r="P262" s="87" t="str">
        <f>IF($A262="","",IF($AK262=TRUE,"Ready 2 Submit","Waiting on Dealer"))</f>
        <v/>
      </c>
      <c r="Q262" s="148"/>
      <c r="R262" s="87"/>
      <c r="S262" s="87"/>
      <c r="T262" s="87" t="str">
        <f>IF($A262="","",IF($AK262=TRUE,"Ready 2 Submit","Waiting on Dealer"))</f>
        <v/>
      </c>
      <c r="U262" s="148"/>
      <c r="V262" s="87"/>
      <c r="W262" s="87"/>
      <c r="X262" s="87" t="str">
        <f>IF($A262="","",IF($AK262=TRUE,"Ready 2 Submit","Waiting on Dealer"))</f>
        <v/>
      </c>
      <c r="Y262" s="148"/>
      <c r="Z262" s="87"/>
      <c r="AA262" s="87"/>
      <c r="AB262" s="87" t="str">
        <f>IF($A262="","",IF($AK262=TRUE,"Ready 2 Submit","Waiting on Dealer"))</f>
        <v/>
      </c>
      <c r="AC262" s="148"/>
      <c r="AD262" s="87"/>
      <c r="AE262" s="87"/>
      <c r="AF262" s="87" t="str">
        <f>IF($A262="","",IF($AK262=TRUE,"Ready 2 Submit","Waiting on Dealer"))</f>
        <v/>
      </c>
      <c r="AG262" s="148"/>
      <c r="AH262" s="87"/>
      <c r="AI262" s="87"/>
      <c r="AJ262" s="197"/>
      <c r="AK262" s="110" t="b">
        <v>0</v>
      </c>
      <c r="AL262" s="87" t="str" cm="1">
        <f t="array" ref="AL262">IF($A262="","",SUMPRODUCT((CHOOSE({1,2,3,4,5},$R262,$V262,$Z262,$AD262,$AH262)="Yes")*(((CHOOSE({1,2,3,4,5},$S262,$W262,$AA262,$AE262,$AI262)="Yes")+(CHOOSE({1,2,3,4,5},$S262,$W262,$AA262,$AE262,$AI262)=TRUE))&gt;0)))</f>
        <v/>
      </c>
      <c r="AM262" s="87"/>
      <c r="AN262" s="87" t="str">
        <f ca="1">IF(OR($A262="",$AM262=""),"",TODAY()-$AM262)</f>
        <v/>
      </c>
      <c r="AO262" s="87"/>
      <c r="AP262" s="106"/>
      <c r="AQ262" s="106"/>
      <c r="AR262" s="106"/>
      <c r="AS262" s="106"/>
      <c r="AT262" s="106"/>
      <c r="AU262" s="106"/>
      <c r="AV262" s="106"/>
      <c r="AW262" s="106"/>
      <c r="AX262" s="106"/>
      <c r="AY262" s="106"/>
    </row>
    <row r="263" spans="1:51" s="20" customFormat="1" ht="21" customHeight="1">
      <c r="A263" s="197"/>
      <c r="B263" s="87"/>
      <c r="C263" s="87"/>
      <c r="D263" s="196"/>
      <c r="E263" s="108"/>
      <c r="F263" s="196"/>
      <c r="G263" s="87"/>
      <c r="H263" s="197"/>
      <c r="I263" s="89"/>
      <c r="J263" s="204"/>
      <c r="K263" s="87"/>
      <c r="L263" s="87" t="str" cm="1">
        <f t="array" ref="L263">IF($A263="","",_xlfn.LET(_xlpm.stat,CHOOSE({1,2,3,4,5},$P263,$T263,$X263,$AB263,$AF263),_xlpm.rate,CHOOSE({1,2,3,4,5},$R263,$V263,$Z263,$AD263,$AH263),_xlpm.trn,CHOOSE({1,2,3,4,5},$S263,$W263,$AA263,$AE263,$AI263),_xlpm.nsC,SUMPRODUCT(--(_xlpm.stat="Ready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DLR",IF(AND(_xlpm.actRS&gt;0,_xlpm.actDone&lt;_xlpm.actRS),"Training",IF(_xlpm.actRS&gt;0,"Active",IF(AND(_xlpm.decC&gt;0,_xlpm.inPlay+_xlpm.actC=0),"Dead",IF(AND($AJ263&lt;&gt;"",$AK263=FALSE),"Waiting on Dealer",IF(_xlpm.subC&gt;0,"Waiting on Lender",IF(AND(_xlpm.appC+_xlpm.actC&gt;0,_xlpm.nsC+_xlpm.wdC=0),"Rate Sheet","Application Submitted")))))))))</f>
        <v/>
      </c>
      <c r="M263" s="87"/>
      <c r="N263" s="87"/>
      <c r="O263" s="197"/>
      <c r="P263" s="87" t="str">
        <f>IF($A263="","",IF($AK263=TRUE,"Ready 2 Submit","Waiting on Dealer"))</f>
        <v/>
      </c>
      <c r="Q263" s="148"/>
      <c r="R263" s="87"/>
      <c r="S263" s="87"/>
      <c r="T263" s="87" t="str">
        <f>IF($A263="","",IF($AK263=TRUE,"Ready 2 Submit","Waiting on Dealer"))</f>
        <v/>
      </c>
      <c r="U263" s="148"/>
      <c r="V263" s="87"/>
      <c r="W263" s="87"/>
      <c r="X263" s="87" t="str">
        <f>IF($A263="","",IF($AK263=TRUE,"Ready 2 Submit","Waiting on Dealer"))</f>
        <v/>
      </c>
      <c r="Y263" s="148"/>
      <c r="Z263" s="87"/>
      <c r="AA263" s="87"/>
      <c r="AB263" s="87" t="str">
        <f>IF($A263="","",IF($AK263=TRUE,"Ready 2 Submit","Waiting on Dealer"))</f>
        <v/>
      </c>
      <c r="AC263" s="148"/>
      <c r="AD263" s="87"/>
      <c r="AE263" s="87"/>
      <c r="AF263" s="87" t="str">
        <f>IF($A263="","",IF($AK263=TRUE,"Ready 2 Submit","Waiting on Dealer"))</f>
        <v/>
      </c>
      <c r="AG263" s="148"/>
      <c r="AH263" s="87"/>
      <c r="AI263" s="87"/>
      <c r="AJ263" s="197"/>
      <c r="AK263" s="110" t="b">
        <v>0</v>
      </c>
      <c r="AL263" s="87" t="str" cm="1">
        <f t="array" ref="AL263">IF($A263="","",SUMPRODUCT((CHOOSE({1,2,3,4,5},$R263,$V263,$Z263,$AD263,$AH263)="Yes")*(((CHOOSE({1,2,3,4,5},$S263,$W263,$AA263,$AE263,$AI263)="Yes")+(CHOOSE({1,2,3,4,5},$S263,$W263,$AA263,$AE263,$AI263)=TRUE))&gt;0)))</f>
        <v/>
      </c>
      <c r="AM263" s="87"/>
      <c r="AN263" s="87" t="str">
        <f ca="1">IF(OR($A263="",$AM263=""),"",TODAY()-$AM263)</f>
        <v/>
      </c>
      <c r="AO263" s="87"/>
      <c r="AP263" s="106"/>
      <c r="AQ263" s="106"/>
      <c r="AR263" s="106"/>
      <c r="AS263" s="106"/>
      <c r="AT263" s="106"/>
      <c r="AU263" s="106"/>
      <c r="AV263" s="106"/>
      <c r="AW263" s="106"/>
      <c r="AX263" s="106"/>
      <c r="AY263" s="106"/>
    </row>
    <row r="264" spans="1:51" s="20" customFormat="1" ht="21" customHeight="1">
      <c r="A264" s="197"/>
      <c r="B264" s="87"/>
      <c r="C264" s="87"/>
      <c r="D264" s="196"/>
      <c r="E264" s="108"/>
      <c r="F264" s="196"/>
      <c r="G264" s="87"/>
      <c r="H264" s="197"/>
      <c r="I264" s="89"/>
      <c r="J264" s="204"/>
      <c r="K264" s="87"/>
      <c r="L264" s="87" t="str" cm="1">
        <f t="array" ref="L264">IF($A264="","",_xlfn.LET(_xlpm.stat,CHOOSE({1,2,3,4,5},$P264,$T264,$X264,$AB264,$AF264),_xlpm.rate,CHOOSE({1,2,3,4,5},$R264,$V264,$Z264,$AD264,$AH264),_xlpm.trn,CHOOSE({1,2,3,4,5},$S264,$W264,$AA264,$AE264,$AI264),_xlpm.nsC,SUMPRODUCT(--(_xlpm.stat="Ready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DLR",IF(AND(_xlpm.actRS&gt;0,_xlpm.actDone&lt;_xlpm.actRS),"Training",IF(_xlpm.actRS&gt;0,"Active",IF(AND(_xlpm.decC&gt;0,_xlpm.inPlay+_xlpm.actC=0),"Dead",IF(AND($AJ264&lt;&gt;"",$AK264=FALSE),"Waiting on Dealer",IF(_xlpm.subC&gt;0,"Waiting on Lender",IF(AND(_xlpm.appC+_xlpm.actC&gt;0,_xlpm.nsC+_xlpm.wdC=0),"Rate Sheet","Application Submitted")))))))))</f>
        <v/>
      </c>
      <c r="M264" s="87"/>
      <c r="N264" s="87"/>
      <c r="O264" s="197"/>
      <c r="P264" s="87" t="str">
        <f>IF($A264="","",IF($AK264=TRUE,"Ready 2 Submit","Waiting on Dealer"))</f>
        <v/>
      </c>
      <c r="Q264" s="148"/>
      <c r="R264" s="87"/>
      <c r="S264" s="87"/>
      <c r="T264" s="87" t="str">
        <f>IF($A264="","",IF($AK264=TRUE,"Ready 2 Submit","Waiting on Dealer"))</f>
        <v/>
      </c>
      <c r="U264" s="148"/>
      <c r="V264" s="87"/>
      <c r="W264" s="87"/>
      <c r="X264" s="87" t="str">
        <f>IF($A264="","",IF($AK264=TRUE,"Ready 2 Submit","Waiting on Dealer"))</f>
        <v/>
      </c>
      <c r="Y264" s="148"/>
      <c r="Z264" s="87"/>
      <c r="AA264" s="87"/>
      <c r="AB264" s="87" t="str">
        <f>IF($A264="","",IF($AK264=TRUE,"Ready 2 Submit","Waiting on Dealer"))</f>
        <v/>
      </c>
      <c r="AC264" s="148"/>
      <c r="AD264" s="87"/>
      <c r="AE264" s="87"/>
      <c r="AF264" s="87" t="str">
        <f>IF($A264="","",IF($AK264=TRUE,"Ready 2 Submit","Waiting on Dealer"))</f>
        <v/>
      </c>
      <c r="AG264" s="148"/>
      <c r="AH264" s="87"/>
      <c r="AI264" s="87"/>
      <c r="AJ264" s="197"/>
      <c r="AK264" s="110" t="b">
        <v>0</v>
      </c>
      <c r="AL264" s="87" t="str" cm="1">
        <f t="array" ref="AL264">IF($A264="","",SUMPRODUCT((CHOOSE({1,2,3,4,5},$R264,$V264,$Z264,$AD264,$AH264)="Yes")*(((CHOOSE({1,2,3,4,5},$S264,$W264,$AA264,$AE264,$AI264)="Yes")+(CHOOSE({1,2,3,4,5},$S264,$W264,$AA264,$AE264,$AI264)=TRUE))&gt;0)))</f>
        <v/>
      </c>
      <c r="AM264" s="87"/>
      <c r="AN264" s="87" t="str">
        <f ca="1">IF(OR($A264="",$AM264=""),"",TODAY()-$AM264)</f>
        <v/>
      </c>
      <c r="AO264" s="87"/>
      <c r="AP264" s="106"/>
      <c r="AQ264" s="106"/>
      <c r="AR264" s="106"/>
      <c r="AS264" s="106"/>
      <c r="AT264" s="106"/>
      <c r="AU264" s="106"/>
      <c r="AV264" s="106"/>
      <c r="AW264" s="106"/>
      <c r="AX264" s="106"/>
      <c r="AY264" s="106"/>
    </row>
    <row r="265" spans="1:51" s="20" customFormat="1" ht="21" customHeight="1">
      <c r="A265" s="197"/>
      <c r="B265" s="87"/>
      <c r="C265" s="87"/>
      <c r="D265" s="196"/>
      <c r="E265" s="108"/>
      <c r="F265" s="196"/>
      <c r="G265" s="87"/>
      <c r="H265" s="197"/>
      <c r="I265" s="89"/>
      <c r="J265" s="204"/>
      <c r="K265" s="87"/>
      <c r="L265" s="87" t="str" cm="1">
        <f t="array" ref="L265">IF($A265="","",_xlfn.LET(_xlpm.stat,CHOOSE({1,2,3,4,5},$P265,$T265,$X265,$AB265,$AF265),_xlpm.rate,CHOOSE({1,2,3,4,5},$R265,$V265,$Z265,$AD265,$AH265),_xlpm.trn,CHOOSE({1,2,3,4,5},$S265,$W265,$AA265,$AE265,$AI265),_xlpm.nsC,SUMPRODUCT(--(_xlpm.stat="Ready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DLR",IF(AND(_xlpm.actRS&gt;0,_xlpm.actDone&lt;_xlpm.actRS),"Training",IF(_xlpm.actRS&gt;0,"Active",IF(AND(_xlpm.decC&gt;0,_xlpm.inPlay+_xlpm.actC=0),"Dead",IF(AND($AJ265&lt;&gt;"",$AK265=FALSE),"Waiting on Dealer",IF(_xlpm.subC&gt;0,"Waiting on Lender",IF(AND(_xlpm.appC+_xlpm.actC&gt;0,_xlpm.nsC+_xlpm.wdC=0),"Rate Sheet","Application Submitted")))))))))</f>
        <v/>
      </c>
      <c r="M265" s="87"/>
      <c r="N265" s="87"/>
      <c r="O265" s="197"/>
      <c r="P265" s="87" t="str">
        <f>IF($A265="","",IF($AK265=TRUE,"Ready 2 Submit","Waiting on Dealer"))</f>
        <v/>
      </c>
      <c r="Q265" s="148"/>
      <c r="R265" s="87"/>
      <c r="S265" s="87"/>
      <c r="T265" s="87" t="str">
        <f>IF($A265="","",IF($AK265=TRUE,"Ready 2 Submit","Waiting on Dealer"))</f>
        <v/>
      </c>
      <c r="U265" s="148"/>
      <c r="V265" s="87"/>
      <c r="W265" s="87"/>
      <c r="X265" s="87" t="str">
        <f>IF($A265="","",IF($AK265=TRUE,"Ready 2 Submit","Waiting on Dealer"))</f>
        <v/>
      </c>
      <c r="Y265" s="148"/>
      <c r="Z265" s="87"/>
      <c r="AA265" s="87"/>
      <c r="AB265" s="87" t="str">
        <f>IF($A265="","",IF($AK265=TRUE,"Ready 2 Submit","Waiting on Dealer"))</f>
        <v/>
      </c>
      <c r="AC265" s="148"/>
      <c r="AD265" s="87"/>
      <c r="AE265" s="87"/>
      <c r="AF265" s="87" t="str">
        <f>IF($A265="","",IF($AK265=TRUE,"Ready 2 Submit","Waiting on Dealer"))</f>
        <v/>
      </c>
      <c r="AG265" s="148"/>
      <c r="AH265" s="87"/>
      <c r="AI265" s="87"/>
      <c r="AJ265" s="197"/>
      <c r="AK265" s="110" t="b">
        <v>0</v>
      </c>
      <c r="AL265" s="87" t="str" cm="1">
        <f t="array" ref="AL265">IF($A265="","",SUMPRODUCT((CHOOSE({1,2,3,4,5},$R265,$V265,$Z265,$AD265,$AH265)="Yes")*(((CHOOSE({1,2,3,4,5},$S265,$W265,$AA265,$AE265,$AI265)="Yes")+(CHOOSE({1,2,3,4,5},$S265,$W265,$AA265,$AE265,$AI265)=TRUE))&gt;0)))</f>
        <v/>
      </c>
      <c r="AM265" s="87"/>
      <c r="AN265" s="87" t="str">
        <f ca="1">IF(OR($A265="",$AM265=""),"",TODAY()-$AM265)</f>
        <v/>
      </c>
      <c r="AO265" s="87"/>
      <c r="AP265" s="106"/>
      <c r="AQ265" s="106"/>
      <c r="AR265" s="106"/>
      <c r="AS265" s="106"/>
      <c r="AT265" s="106"/>
      <c r="AU265" s="106"/>
      <c r="AV265" s="106"/>
      <c r="AW265" s="106"/>
      <c r="AX265" s="106"/>
      <c r="AY265" s="106"/>
    </row>
    <row r="266" spans="1:51" s="20" customFormat="1" ht="21" customHeight="1">
      <c r="A266" s="197"/>
      <c r="B266" s="87"/>
      <c r="C266" s="87"/>
      <c r="D266" s="196"/>
      <c r="E266" s="108"/>
      <c r="F266" s="196"/>
      <c r="G266" s="87"/>
      <c r="H266" s="197"/>
      <c r="I266" s="89"/>
      <c r="J266" s="204"/>
      <c r="K266" s="87"/>
      <c r="L266" s="87" t="str" cm="1">
        <f t="array" ref="L266">IF($A266="","",_xlfn.LET(_xlpm.stat,CHOOSE({1,2,3,4,5},$P266,$T266,$X266,$AB266,$AF266),_xlpm.rate,CHOOSE({1,2,3,4,5},$R266,$V266,$Z266,$AD266,$AH266),_xlpm.trn,CHOOSE({1,2,3,4,5},$S266,$W266,$AA266,$AE266,$AI266),_xlpm.nsC,SUMPRODUCT(--(_xlpm.stat="Ready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DLR",IF(AND(_xlpm.actRS&gt;0,_xlpm.actDone&lt;_xlpm.actRS),"Training",IF(_xlpm.actRS&gt;0,"Active",IF(AND(_xlpm.decC&gt;0,_xlpm.inPlay+_xlpm.actC=0),"Dead",IF(AND($AJ266&lt;&gt;"",$AK266=FALSE),"Waiting on Dealer",IF(_xlpm.subC&gt;0,"Waiting on Lender",IF(AND(_xlpm.appC+_xlpm.actC&gt;0,_xlpm.nsC+_xlpm.wdC=0),"Rate Sheet","Application Submitted")))))))))</f>
        <v/>
      </c>
      <c r="M266" s="87"/>
      <c r="N266" s="87"/>
      <c r="O266" s="197"/>
      <c r="P266" s="87" t="str">
        <f>IF($A266="","",IF($AK266=TRUE,"Ready 2 Submit","Waiting on Dealer"))</f>
        <v/>
      </c>
      <c r="Q266" s="148"/>
      <c r="R266" s="87"/>
      <c r="S266" s="87"/>
      <c r="T266" s="87" t="str">
        <f>IF($A266="","",IF($AK266=TRUE,"Ready 2 Submit","Waiting on Dealer"))</f>
        <v/>
      </c>
      <c r="U266" s="148"/>
      <c r="V266" s="87"/>
      <c r="W266" s="87"/>
      <c r="X266" s="87" t="str">
        <f>IF($A266="","",IF($AK266=TRUE,"Ready 2 Submit","Waiting on Dealer"))</f>
        <v/>
      </c>
      <c r="Y266" s="148"/>
      <c r="Z266" s="87"/>
      <c r="AA266" s="87"/>
      <c r="AB266" s="87" t="str">
        <f>IF($A266="","",IF($AK266=TRUE,"Ready 2 Submit","Waiting on Dealer"))</f>
        <v/>
      </c>
      <c r="AC266" s="148"/>
      <c r="AD266" s="87"/>
      <c r="AE266" s="87"/>
      <c r="AF266" s="87" t="str">
        <f>IF($A266="","",IF($AK266=TRUE,"Ready 2 Submit","Waiting on Dealer"))</f>
        <v/>
      </c>
      <c r="AG266" s="148"/>
      <c r="AH266" s="87"/>
      <c r="AI266" s="87"/>
      <c r="AJ266" s="197"/>
      <c r="AK266" s="110" t="b">
        <v>0</v>
      </c>
      <c r="AL266" s="87" t="str" cm="1">
        <f t="array" ref="AL266">IF($A266="","",SUMPRODUCT((CHOOSE({1,2,3,4,5},$R266,$V266,$Z266,$AD266,$AH266)="Yes")*(((CHOOSE({1,2,3,4,5},$S266,$W266,$AA266,$AE266,$AI266)="Yes")+(CHOOSE({1,2,3,4,5},$S266,$W266,$AA266,$AE266,$AI266)=TRUE))&gt;0)))</f>
        <v/>
      </c>
      <c r="AM266" s="87"/>
      <c r="AN266" s="87" t="str">
        <f ca="1">IF(OR($A266="",$AM266=""),"",TODAY()-$AM266)</f>
        <v/>
      </c>
      <c r="AO266" s="87"/>
      <c r="AP266" s="106"/>
      <c r="AQ266" s="106"/>
      <c r="AR266" s="106"/>
      <c r="AS266" s="106"/>
      <c r="AT266" s="106"/>
      <c r="AU266" s="106"/>
      <c r="AV266" s="106"/>
      <c r="AW266" s="106"/>
      <c r="AX266" s="106"/>
      <c r="AY266" s="106"/>
    </row>
    <row r="267" spans="1:51" s="20" customFormat="1" ht="21" customHeight="1">
      <c r="A267" s="197"/>
      <c r="B267" s="87"/>
      <c r="C267" s="87"/>
      <c r="D267" s="196"/>
      <c r="E267" s="108"/>
      <c r="F267" s="196"/>
      <c r="G267" s="87"/>
      <c r="H267" s="197"/>
      <c r="I267" s="89"/>
      <c r="J267" s="204"/>
      <c r="K267" s="87"/>
      <c r="L267" s="87" t="str" cm="1">
        <f t="array" ref="L267">IF($A267="","",_xlfn.LET(_xlpm.stat,CHOOSE({1,2,3,4,5},$P267,$T267,$X267,$AB267,$AF267),_xlpm.rate,CHOOSE({1,2,3,4,5},$R267,$V267,$Z267,$AD267,$AH267),_xlpm.trn,CHOOSE({1,2,3,4,5},$S267,$W267,$AA267,$AE267,$AI267),_xlpm.nsC,SUMPRODUCT(--(_xlpm.stat="Ready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DLR",IF(AND(_xlpm.actRS&gt;0,_xlpm.actDone&lt;_xlpm.actRS),"Training",IF(_xlpm.actRS&gt;0,"Active",IF(AND(_xlpm.decC&gt;0,_xlpm.inPlay+_xlpm.actC=0),"Dead",IF(AND($AJ267&lt;&gt;"",$AK267=FALSE),"Waiting on Dealer",IF(_xlpm.subC&gt;0,"Waiting on Lender",IF(AND(_xlpm.appC+_xlpm.actC&gt;0,_xlpm.nsC+_xlpm.wdC=0),"Rate Sheet","Application Submitted")))))))))</f>
        <v/>
      </c>
      <c r="M267" s="87"/>
      <c r="N267" s="87"/>
      <c r="O267" s="197"/>
      <c r="P267" s="87" t="str">
        <f>IF($A267="","",IF($AK267=TRUE,"Ready 2 Submit","Waiting on Dealer"))</f>
        <v/>
      </c>
      <c r="Q267" s="148"/>
      <c r="R267" s="87"/>
      <c r="S267" s="87"/>
      <c r="T267" s="87" t="str">
        <f>IF($A267="","",IF($AK267=TRUE,"Ready 2 Submit","Waiting on Dealer"))</f>
        <v/>
      </c>
      <c r="U267" s="148"/>
      <c r="V267" s="87"/>
      <c r="W267" s="87"/>
      <c r="X267" s="87" t="str">
        <f>IF($A267="","",IF($AK267=TRUE,"Ready 2 Submit","Waiting on Dealer"))</f>
        <v/>
      </c>
      <c r="Y267" s="148"/>
      <c r="Z267" s="87"/>
      <c r="AA267" s="87"/>
      <c r="AB267" s="87" t="str">
        <f>IF($A267="","",IF($AK267=TRUE,"Ready 2 Submit","Waiting on Dealer"))</f>
        <v/>
      </c>
      <c r="AC267" s="148"/>
      <c r="AD267" s="87"/>
      <c r="AE267" s="87"/>
      <c r="AF267" s="87" t="str">
        <f>IF($A267="","",IF($AK267=TRUE,"Ready 2 Submit","Waiting on Dealer"))</f>
        <v/>
      </c>
      <c r="AG267" s="148"/>
      <c r="AH267" s="87"/>
      <c r="AI267" s="87"/>
      <c r="AJ267" s="197"/>
      <c r="AK267" s="110" t="b">
        <v>0</v>
      </c>
      <c r="AL267" s="87" t="str" cm="1">
        <f t="array" ref="AL267">IF($A267="","",SUMPRODUCT((CHOOSE({1,2,3,4,5},$R267,$V267,$Z267,$AD267,$AH267)="Yes")*(((CHOOSE({1,2,3,4,5},$S267,$W267,$AA267,$AE267,$AI267)="Yes")+(CHOOSE({1,2,3,4,5},$S267,$W267,$AA267,$AE267,$AI267)=TRUE))&gt;0)))</f>
        <v/>
      </c>
      <c r="AM267" s="87"/>
      <c r="AN267" s="87" t="str">
        <f ca="1">IF(OR($A267="",$AM267=""),"",TODAY()-$AM267)</f>
        <v/>
      </c>
      <c r="AO267" s="87"/>
      <c r="AP267" s="106"/>
      <c r="AQ267" s="106"/>
      <c r="AR267" s="106"/>
      <c r="AS267" s="106"/>
      <c r="AT267" s="106"/>
      <c r="AU267" s="106"/>
      <c r="AV267" s="106"/>
      <c r="AW267" s="106"/>
      <c r="AX267" s="106"/>
      <c r="AY267" s="106"/>
    </row>
    <row r="268" spans="1:51" s="20" customFormat="1" ht="21" customHeight="1">
      <c r="A268" s="197"/>
      <c r="B268" s="87"/>
      <c r="C268" s="87"/>
      <c r="D268" s="196"/>
      <c r="E268" s="108"/>
      <c r="F268" s="196"/>
      <c r="G268" s="87"/>
      <c r="H268" s="197"/>
      <c r="I268" s="89"/>
      <c r="J268" s="204"/>
      <c r="K268" s="87"/>
      <c r="L268" s="87" t="str" cm="1">
        <f t="array" ref="L268">IF($A268="","",_xlfn.LET(_xlpm.stat,CHOOSE({1,2,3,4,5},$P268,$T268,$X268,$AB268,$AF268),_xlpm.rate,CHOOSE({1,2,3,4,5},$R268,$V268,$Z268,$AD268,$AH268),_xlpm.trn,CHOOSE({1,2,3,4,5},$S268,$W268,$AA268,$AE268,$AI268),_xlpm.nsC,SUMPRODUCT(--(_xlpm.stat="Ready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DLR",IF(AND(_xlpm.actRS&gt;0,_xlpm.actDone&lt;_xlpm.actRS),"Training",IF(_xlpm.actRS&gt;0,"Active",IF(AND(_xlpm.decC&gt;0,_xlpm.inPlay+_xlpm.actC=0),"Dead",IF(AND($AJ268&lt;&gt;"",$AK268=FALSE),"Waiting on Dealer",IF(_xlpm.subC&gt;0,"Waiting on Lender",IF(AND(_xlpm.appC+_xlpm.actC&gt;0,_xlpm.nsC+_xlpm.wdC=0),"Rate Sheet","Application Submitted")))))))))</f>
        <v/>
      </c>
      <c r="M268" s="87"/>
      <c r="N268" s="87"/>
      <c r="O268" s="197"/>
      <c r="P268" s="87" t="str">
        <f>IF($A268="","",IF($AK268=TRUE,"Ready 2 Submit","Waiting on Dealer"))</f>
        <v/>
      </c>
      <c r="Q268" s="148"/>
      <c r="R268" s="87"/>
      <c r="S268" s="87"/>
      <c r="T268" s="87" t="str">
        <f>IF($A268="","",IF($AK268=TRUE,"Ready 2 Submit","Waiting on Dealer"))</f>
        <v/>
      </c>
      <c r="U268" s="148"/>
      <c r="V268" s="87"/>
      <c r="W268" s="87"/>
      <c r="X268" s="87" t="str">
        <f>IF($A268="","",IF($AK268=TRUE,"Ready 2 Submit","Waiting on Dealer"))</f>
        <v/>
      </c>
      <c r="Y268" s="148"/>
      <c r="Z268" s="87"/>
      <c r="AA268" s="87"/>
      <c r="AB268" s="87" t="str">
        <f>IF($A268="","",IF($AK268=TRUE,"Ready 2 Submit","Waiting on Dealer"))</f>
        <v/>
      </c>
      <c r="AC268" s="148"/>
      <c r="AD268" s="87"/>
      <c r="AE268" s="87"/>
      <c r="AF268" s="87" t="str">
        <f>IF($A268="","",IF($AK268=TRUE,"Ready 2 Submit","Waiting on Dealer"))</f>
        <v/>
      </c>
      <c r="AG268" s="148"/>
      <c r="AH268" s="87"/>
      <c r="AI268" s="87"/>
      <c r="AJ268" s="197"/>
      <c r="AK268" s="110" t="b">
        <v>0</v>
      </c>
      <c r="AL268" s="87" t="str" cm="1">
        <f t="array" ref="AL268">IF($A268="","",SUMPRODUCT((CHOOSE({1,2,3,4,5},$R268,$V268,$Z268,$AD268,$AH268)="Yes")*(((CHOOSE({1,2,3,4,5},$S268,$W268,$AA268,$AE268,$AI268)="Yes")+(CHOOSE({1,2,3,4,5},$S268,$W268,$AA268,$AE268,$AI268)=TRUE))&gt;0)))</f>
        <v/>
      </c>
      <c r="AM268" s="87"/>
      <c r="AN268" s="87" t="str">
        <f ca="1">IF(OR($A268="",$AM268=""),"",TODAY()-$AM268)</f>
        <v/>
      </c>
      <c r="AO268" s="87"/>
      <c r="AP268" s="106"/>
      <c r="AQ268" s="106"/>
      <c r="AR268" s="106"/>
      <c r="AS268" s="106"/>
      <c r="AT268" s="106"/>
      <c r="AU268" s="106"/>
      <c r="AV268" s="106"/>
      <c r="AW268" s="106"/>
      <c r="AX268" s="106"/>
      <c r="AY268" s="106"/>
    </row>
    <row r="269" spans="1:51" s="20" customFormat="1" ht="21" customHeight="1">
      <c r="A269" s="197"/>
      <c r="B269" s="87"/>
      <c r="C269" s="87"/>
      <c r="D269" s="196"/>
      <c r="E269" s="108"/>
      <c r="F269" s="196"/>
      <c r="G269" s="87"/>
      <c r="H269" s="197"/>
      <c r="I269" s="89"/>
      <c r="J269" s="204"/>
      <c r="K269" s="87"/>
      <c r="L269" s="87" t="str" cm="1">
        <f t="array" ref="L269">IF($A269="","",_xlfn.LET(_xlpm.stat,CHOOSE({1,2,3,4,5},$P269,$T269,$X269,$AB269,$AF269),_xlpm.rate,CHOOSE({1,2,3,4,5},$R269,$V269,$Z269,$AD269,$AH269),_xlpm.trn,CHOOSE({1,2,3,4,5},$S269,$W269,$AA269,$AE269,$AI269),_xlpm.nsC,SUMPRODUCT(--(_xlpm.stat="Ready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DLR",IF(AND(_xlpm.actRS&gt;0,_xlpm.actDone&lt;_xlpm.actRS),"Training",IF(_xlpm.actRS&gt;0,"Active",IF(AND(_xlpm.decC&gt;0,_xlpm.inPlay+_xlpm.actC=0),"Dead",IF(AND($AJ269&lt;&gt;"",$AK269=FALSE),"Waiting on Dealer",IF(_xlpm.subC&gt;0,"Waiting on Lender",IF(AND(_xlpm.appC+_xlpm.actC&gt;0,_xlpm.nsC+_xlpm.wdC=0),"Rate Sheet","Application Submitted")))))))))</f>
        <v/>
      </c>
      <c r="M269" s="87"/>
      <c r="N269" s="87"/>
      <c r="O269" s="197"/>
      <c r="P269" s="87" t="str">
        <f>IF($A269="","",IF($AK269=TRUE,"Ready 2 Submit","Waiting on Dealer"))</f>
        <v/>
      </c>
      <c r="Q269" s="148"/>
      <c r="R269" s="87"/>
      <c r="S269" s="87"/>
      <c r="T269" s="87" t="str">
        <f>IF($A269="","",IF($AK269=TRUE,"Ready 2 Submit","Waiting on Dealer"))</f>
        <v/>
      </c>
      <c r="U269" s="148"/>
      <c r="V269" s="87"/>
      <c r="W269" s="87"/>
      <c r="X269" s="87" t="str">
        <f>IF($A269="","",IF($AK269=TRUE,"Ready 2 Submit","Waiting on Dealer"))</f>
        <v/>
      </c>
      <c r="Y269" s="148"/>
      <c r="Z269" s="87"/>
      <c r="AA269" s="87"/>
      <c r="AB269" s="87" t="str">
        <f>IF($A269="","",IF($AK269=TRUE,"Ready 2 Submit","Waiting on Dealer"))</f>
        <v/>
      </c>
      <c r="AC269" s="148"/>
      <c r="AD269" s="87"/>
      <c r="AE269" s="87"/>
      <c r="AF269" s="87" t="str">
        <f>IF($A269="","",IF($AK269=TRUE,"Ready 2 Submit","Waiting on Dealer"))</f>
        <v/>
      </c>
      <c r="AG269" s="148"/>
      <c r="AH269" s="87"/>
      <c r="AI269" s="87"/>
      <c r="AJ269" s="197"/>
      <c r="AK269" s="110" t="b">
        <v>0</v>
      </c>
      <c r="AL269" s="87" t="str" cm="1">
        <f t="array" ref="AL269">IF($A269="","",SUMPRODUCT((CHOOSE({1,2,3,4,5},$R269,$V269,$Z269,$AD269,$AH269)="Yes")*(((CHOOSE({1,2,3,4,5},$S269,$W269,$AA269,$AE269,$AI269)="Yes")+(CHOOSE({1,2,3,4,5},$S269,$W269,$AA269,$AE269,$AI269)=TRUE))&gt;0)))</f>
        <v/>
      </c>
      <c r="AM269" s="87"/>
      <c r="AN269" s="87" t="str">
        <f ca="1">IF(OR($A269="",$AM269=""),"",TODAY()-$AM269)</f>
        <v/>
      </c>
      <c r="AO269" s="87"/>
      <c r="AP269" s="106"/>
      <c r="AQ269" s="106"/>
      <c r="AR269" s="106"/>
      <c r="AS269" s="106"/>
      <c r="AT269" s="106"/>
      <c r="AU269" s="106"/>
      <c r="AV269" s="106"/>
      <c r="AW269" s="106"/>
      <c r="AX269" s="106"/>
      <c r="AY269" s="106"/>
    </row>
    <row r="270" spans="1:51" s="20" customFormat="1" ht="21" customHeight="1">
      <c r="A270" s="197"/>
      <c r="B270" s="87"/>
      <c r="C270" s="87"/>
      <c r="D270" s="196"/>
      <c r="E270" s="108"/>
      <c r="F270" s="196"/>
      <c r="G270" s="87"/>
      <c r="H270" s="197"/>
      <c r="I270" s="89"/>
      <c r="J270" s="204"/>
      <c r="K270" s="87"/>
      <c r="L270" s="87" t="str" cm="1">
        <f t="array" ref="L270">IF($A270="","",_xlfn.LET(_xlpm.stat,CHOOSE({1,2,3,4,5},$P270,$T270,$X270,$AB270,$AF270),_xlpm.rate,CHOOSE({1,2,3,4,5},$R270,$V270,$Z270,$AD270,$AH270),_xlpm.trn,CHOOSE({1,2,3,4,5},$S270,$W270,$AA270,$AE270,$AI270),_xlpm.nsC,SUMPRODUCT(--(_xlpm.stat="Ready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DLR",IF(AND(_xlpm.actRS&gt;0,_xlpm.actDone&lt;_xlpm.actRS),"Training",IF(_xlpm.actRS&gt;0,"Active",IF(AND(_xlpm.decC&gt;0,_xlpm.inPlay+_xlpm.actC=0),"Dead",IF(AND($AJ270&lt;&gt;"",$AK270=FALSE),"Waiting on Dealer",IF(_xlpm.subC&gt;0,"Waiting on Lender",IF(AND(_xlpm.appC+_xlpm.actC&gt;0,_xlpm.nsC+_xlpm.wdC=0),"Rate Sheet","Application Submitted")))))))))</f>
        <v/>
      </c>
      <c r="M270" s="87"/>
      <c r="N270" s="87"/>
      <c r="O270" s="197"/>
      <c r="P270" s="87" t="str">
        <f>IF($A270="","",IF($AK270=TRUE,"Ready 2 Submit","Waiting on Dealer"))</f>
        <v/>
      </c>
      <c r="Q270" s="148"/>
      <c r="R270" s="87"/>
      <c r="S270" s="87"/>
      <c r="T270" s="87" t="str">
        <f>IF($A270="","",IF($AK270=TRUE,"Ready 2 Submit","Waiting on Dealer"))</f>
        <v/>
      </c>
      <c r="U270" s="148"/>
      <c r="V270" s="87"/>
      <c r="W270" s="87"/>
      <c r="X270" s="87" t="str">
        <f>IF($A270="","",IF($AK270=TRUE,"Ready 2 Submit","Waiting on Dealer"))</f>
        <v/>
      </c>
      <c r="Y270" s="148"/>
      <c r="Z270" s="87"/>
      <c r="AA270" s="87"/>
      <c r="AB270" s="87" t="str">
        <f>IF($A270="","",IF($AK270=TRUE,"Ready 2 Submit","Waiting on Dealer"))</f>
        <v/>
      </c>
      <c r="AC270" s="148"/>
      <c r="AD270" s="87"/>
      <c r="AE270" s="87"/>
      <c r="AF270" s="87" t="str">
        <f>IF($A270="","",IF($AK270=TRUE,"Ready 2 Submit","Waiting on Dealer"))</f>
        <v/>
      </c>
      <c r="AG270" s="148"/>
      <c r="AH270" s="87"/>
      <c r="AI270" s="87"/>
      <c r="AJ270" s="197"/>
      <c r="AK270" s="110" t="b">
        <v>0</v>
      </c>
      <c r="AL270" s="87" t="str" cm="1">
        <f t="array" ref="AL270">IF($A270="","",SUMPRODUCT((CHOOSE({1,2,3,4,5},$R270,$V270,$Z270,$AD270,$AH270)="Yes")*(((CHOOSE({1,2,3,4,5},$S270,$W270,$AA270,$AE270,$AI270)="Yes")+(CHOOSE({1,2,3,4,5},$S270,$W270,$AA270,$AE270,$AI270)=TRUE))&gt;0)))</f>
        <v/>
      </c>
      <c r="AM270" s="87"/>
      <c r="AN270" s="87" t="str">
        <f ca="1">IF(OR($A270="",$AM270=""),"",TODAY()-$AM270)</f>
        <v/>
      </c>
      <c r="AO270" s="87"/>
      <c r="AP270" s="106"/>
      <c r="AQ270" s="106"/>
      <c r="AR270" s="106"/>
      <c r="AS270" s="106"/>
      <c r="AT270" s="106"/>
      <c r="AU270" s="106"/>
      <c r="AV270" s="106"/>
      <c r="AW270" s="106"/>
      <c r="AX270" s="106"/>
      <c r="AY270" s="106"/>
    </row>
    <row r="271" spans="1:51" s="20" customFormat="1" ht="21" customHeight="1">
      <c r="A271" s="197"/>
      <c r="B271" s="87"/>
      <c r="C271" s="87"/>
      <c r="D271" s="196"/>
      <c r="E271" s="108"/>
      <c r="F271" s="196"/>
      <c r="G271" s="87"/>
      <c r="H271" s="197"/>
      <c r="I271" s="89"/>
      <c r="J271" s="204"/>
      <c r="K271" s="87"/>
      <c r="L271" s="87" t="str" cm="1">
        <f t="array" ref="L271">IF($A271="","",_xlfn.LET(_xlpm.stat,CHOOSE({1,2,3,4,5},$P271,$T271,$X271,$AB271,$AF271),_xlpm.rate,CHOOSE({1,2,3,4,5},$R271,$V271,$Z271,$AD271,$AH271),_xlpm.trn,CHOOSE({1,2,3,4,5},$S271,$W271,$AA271,$AE271,$AI271),_xlpm.nsC,SUMPRODUCT(--(_xlpm.stat="Ready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DLR",IF(AND(_xlpm.actRS&gt;0,_xlpm.actDone&lt;_xlpm.actRS),"Training",IF(_xlpm.actRS&gt;0,"Active",IF(AND(_xlpm.decC&gt;0,_xlpm.inPlay+_xlpm.actC=0),"Dead",IF(AND($AJ271&lt;&gt;"",$AK271=FALSE),"Waiting on Dealer",IF(_xlpm.subC&gt;0,"Waiting on Lender",IF(AND(_xlpm.appC+_xlpm.actC&gt;0,_xlpm.nsC+_xlpm.wdC=0),"Rate Sheet","Application Submitted")))))))))</f>
        <v/>
      </c>
      <c r="M271" s="87"/>
      <c r="N271" s="87"/>
      <c r="O271" s="197"/>
      <c r="P271" s="87" t="str">
        <f>IF($A271="","",IF($AK271=TRUE,"Ready 2 Submit","Waiting on Dealer"))</f>
        <v/>
      </c>
      <c r="Q271" s="148"/>
      <c r="R271" s="87"/>
      <c r="S271" s="87"/>
      <c r="T271" s="87" t="str">
        <f>IF($A271="","",IF($AK271=TRUE,"Ready 2 Submit","Waiting on Dealer"))</f>
        <v/>
      </c>
      <c r="U271" s="148"/>
      <c r="V271" s="87"/>
      <c r="W271" s="87"/>
      <c r="X271" s="87" t="str">
        <f>IF($A271="","",IF($AK271=TRUE,"Ready 2 Submit","Waiting on Dealer"))</f>
        <v/>
      </c>
      <c r="Y271" s="148"/>
      <c r="Z271" s="87"/>
      <c r="AA271" s="87"/>
      <c r="AB271" s="87" t="str">
        <f>IF($A271="","",IF($AK271=TRUE,"Ready 2 Submit","Waiting on Dealer"))</f>
        <v/>
      </c>
      <c r="AC271" s="148"/>
      <c r="AD271" s="87"/>
      <c r="AE271" s="87"/>
      <c r="AF271" s="87" t="str">
        <f>IF($A271="","",IF($AK271=TRUE,"Ready 2 Submit","Waiting on Dealer"))</f>
        <v/>
      </c>
      <c r="AG271" s="148"/>
      <c r="AH271" s="87"/>
      <c r="AI271" s="87"/>
      <c r="AJ271" s="197"/>
      <c r="AK271" s="110" t="b">
        <v>0</v>
      </c>
      <c r="AL271" s="87" t="str" cm="1">
        <f t="array" ref="AL271">IF($A271="","",SUMPRODUCT((CHOOSE({1,2,3,4,5},$R271,$V271,$Z271,$AD271,$AH271)="Yes")*(((CHOOSE({1,2,3,4,5},$S271,$W271,$AA271,$AE271,$AI271)="Yes")+(CHOOSE({1,2,3,4,5},$S271,$W271,$AA271,$AE271,$AI271)=TRUE))&gt;0)))</f>
        <v/>
      </c>
      <c r="AM271" s="87"/>
      <c r="AN271" s="87" t="str">
        <f ca="1">IF(OR($A271="",$AM271=""),"",TODAY()-$AM271)</f>
        <v/>
      </c>
      <c r="AO271" s="87"/>
      <c r="AP271" s="106"/>
      <c r="AQ271" s="106"/>
      <c r="AR271" s="106"/>
      <c r="AS271" s="106"/>
      <c r="AT271" s="106"/>
      <c r="AU271" s="106"/>
      <c r="AV271" s="106"/>
      <c r="AW271" s="106"/>
      <c r="AX271" s="106"/>
      <c r="AY271" s="106"/>
    </row>
    <row r="272" spans="1:51" s="20" customFormat="1" ht="21" customHeight="1">
      <c r="A272" s="197"/>
      <c r="B272" s="87"/>
      <c r="C272" s="87"/>
      <c r="D272" s="196"/>
      <c r="E272" s="108"/>
      <c r="F272" s="196"/>
      <c r="G272" s="87"/>
      <c r="H272" s="197"/>
      <c r="I272" s="89"/>
      <c r="J272" s="204"/>
      <c r="K272" s="87"/>
      <c r="L272" s="87" t="str" cm="1">
        <f t="array" ref="L272">IF($A272="","",_xlfn.LET(_xlpm.stat,CHOOSE({1,2,3,4,5},$P272,$T272,$X272,$AB272,$AF272),_xlpm.rate,CHOOSE({1,2,3,4,5},$R272,$V272,$Z272,$AD272,$AH272),_xlpm.trn,CHOOSE({1,2,3,4,5},$S272,$W272,$AA272,$AE272,$AI272),_xlpm.nsC,SUMPRODUCT(--(_xlpm.stat="Ready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DLR",IF(AND(_xlpm.actRS&gt;0,_xlpm.actDone&lt;_xlpm.actRS),"Training",IF(_xlpm.actRS&gt;0,"Active",IF(AND(_xlpm.decC&gt;0,_xlpm.inPlay+_xlpm.actC=0),"Dead",IF(AND($AJ272&lt;&gt;"",$AK272=FALSE),"Waiting on Dealer",IF(_xlpm.subC&gt;0,"Waiting on Lender",IF(AND(_xlpm.appC+_xlpm.actC&gt;0,_xlpm.nsC+_xlpm.wdC=0),"Rate Sheet","Application Submitted")))))))))</f>
        <v/>
      </c>
      <c r="M272" s="87"/>
      <c r="N272" s="87"/>
      <c r="O272" s="197"/>
      <c r="P272" s="87" t="str">
        <f>IF($A272="","",IF($AK272=TRUE,"Ready 2 Submit","Waiting on Dealer"))</f>
        <v/>
      </c>
      <c r="Q272" s="148"/>
      <c r="R272" s="87"/>
      <c r="S272" s="87"/>
      <c r="T272" s="87" t="str">
        <f>IF($A272="","",IF($AK272=TRUE,"Ready 2 Submit","Waiting on Dealer"))</f>
        <v/>
      </c>
      <c r="U272" s="148"/>
      <c r="V272" s="87"/>
      <c r="W272" s="87"/>
      <c r="X272" s="87" t="str">
        <f>IF($A272="","",IF($AK272=TRUE,"Ready 2 Submit","Waiting on Dealer"))</f>
        <v/>
      </c>
      <c r="Y272" s="148"/>
      <c r="Z272" s="87"/>
      <c r="AA272" s="87"/>
      <c r="AB272" s="87" t="str">
        <f>IF($A272="","",IF($AK272=TRUE,"Ready 2 Submit","Waiting on Dealer"))</f>
        <v/>
      </c>
      <c r="AC272" s="148"/>
      <c r="AD272" s="87"/>
      <c r="AE272" s="87"/>
      <c r="AF272" s="87" t="str">
        <f>IF($A272="","",IF($AK272=TRUE,"Ready 2 Submit","Waiting on Dealer"))</f>
        <v/>
      </c>
      <c r="AG272" s="148"/>
      <c r="AH272" s="87"/>
      <c r="AI272" s="87"/>
      <c r="AJ272" s="197"/>
      <c r="AK272" s="110" t="b">
        <v>0</v>
      </c>
      <c r="AL272" s="87" t="str" cm="1">
        <f t="array" ref="AL272">IF($A272="","",SUMPRODUCT((CHOOSE({1,2,3,4,5},$R272,$V272,$Z272,$AD272,$AH272)="Yes")*(((CHOOSE({1,2,3,4,5},$S272,$W272,$AA272,$AE272,$AI272)="Yes")+(CHOOSE({1,2,3,4,5},$S272,$W272,$AA272,$AE272,$AI272)=TRUE))&gt;0)))</f>
        <v/>
      </c>
      <c r="AM272" s="87"/>
      <c r="AN272" s="87" t="str">
        <f ca="1">IF(OR($A272="",$AM272=""),"",TODAY()-$AM272)</f>
        <v/>
      </c>
      <c r="AO272" s="87"/>
      <c r="AP272" s="106"/>
      <c r="AQ272" s="106"/>
      <c r="AR272" s="106"/>
      <c r="AS272" s="106"/>
      <c r="AT272" s="106"/>
      <c r="AU272" s="106"/>
      <c r="AV272" s="106"/>
      <c r="AW272" s="106"/>
      <c r="AX272" s="106"/>
      <c r="AY272" s="106"/>
    </row>
    <row r="273" spans="1:51" s="20" customFormat="1" ht="21" customHeight="1">
      <c r="A273" s="197"/>
      <c r="B273" s="87"/>
      <c r="C273" s="87"/>
      <c r="D273" s="196"/>
      <c r="E273" s="108"/>
      <c r="F273" s="196"/>
      <c r="G273" s="87"/>
      <c r="H273" s="197"/>
      <c r="I273" s="89"/>
      <c r="J273" s="204"/>
      <c r="K273" s="87"/>
      <c r="L273" s="87" t="str" cm="1">
        <f t="array" ref="L273">IF($A273="","",_xlfn.LET(_xlpm.stat,CHOOSE({1,2,3,4,5},$P273,$T273,$X273,$AB273,$AF273),_xlpm.rate,CHOOSE({1,2,3,4,5},$R273,$V273,$Z273,$AD273,$AH273),_xlpm.trn,CHOOSE({1,2,3,4,5},$S273,$W273,$AA273,$AE273,$AI273),_xlpm.nsC,SUMPRODUCT(--(_xlpm.stat="Ready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DLR",IF(AND(_xlpm.actRS&gt;0,_xlpm.actDone&lt;_xlpm.actRS),"Training",IF(_xlpm.actRS&gt;0,"Active",IF(AND(_xlpm.decC&gt;0,_xlpm.inPlay+_xlpm.actC=0),"Dead",IF(AND($AJ273&lt;&gt;"",$AK273=FALSE),"Waiting on Dealer",IF(_xlpm.subC&gt;0,"Waiting on Lender",IF(AND(_xlpm.appC+_xlpm.actC&gt;0,_xlpm.nsC+_xlpm.wdC=0),"Rate Sheet","Application Submitted")))))))))</f>
        <v/>
      </c>
      <c r="M273" s="87"/>
      <c r="N273" s="87"/>
      <c r="O273" s="197"/>
      <c r="P273" s="87" t="str">
        <f>IF($A273="","",IF($AK273=TRUE,"Ready 2 Submit","Waiting on Dealer"))</f>
        <v/>
      </c>
      <c r="Q273" s="148"/>
      <c r="R273" s="87"/>
      <c r="S273" s="87"/>
      <c r="T273" s="87" t="str">
        <f>IF($A273="","",IF($AK273=TRUE,"Ready 2 Submit","Waiting on Dealer"))</f>
        <v/>
      </c>
      <c r="U273" s="148"/>
      <c r="V273" s="87"/>
      <c r="W273" s="87"/>
      <c r="X273" s="87" t="str">
        <f>IF($A273="","",IF($AK273=TRUE,"Ready 2 Submit","Waiting on Dealer"))</f>
        <v/>
      </c>
      <c r="Y273" s="148"/>
      <c r="Z273" s="87"/>
      <c r="AA273" s="87"/>
      <c r="AB273" s="87" t="str">
        <f>IF($A273="","",IF($AK273=TRUE,"Ready 2 Submit","Waiting on Dealer"))</f>
        <v/>
      </c>
      <c r="AC273" s="148"/>
      <c r="AD273" s="87"/>
      <c r="AE273" s="87"/>
      <c r="AF273" s="87" t="str">
        <f>IF($A273="","",IF($AK273=TRUE,"Ready 2 Submit","Waiting on Dealer"))</f>
        <v/>
      </c>
      <c r="AG273" s="148"/>
      <c r="AH273" s="87"/>
      <c r="AI273" s="87"/>
      <c r="AJ273" s="197"/>
      <c r="AK273" s="110" t="b">
        <v>0</v>
      </c>
      <c r="AL273" s="87" t="str" cm="1">
        <f t="array" ref="AL273">IF($A273="","",SUMPRODUCT((CHOOSE({1,2,3,4,5},$R273,$V273,$Z273,$AD273,$AH273)="Yes")*(((CHOOSE({1,2,3,4,5},$S273,$W273,$AA273,$AE273,$AI273)="Yes")+(CHOOSE({1,2,3,4,5},$S273,$W273,$AA273,$AE273,$AI273)=TRUE))&gt;0)))</f>
        <v/>
      </c>
      <c r="AM273" s="87"/>
      <c r="AN273" s="87" t="str">
        <f ca="1">IF(OR($A273="",$AM273=""),"",TODAY()-$AM273)</f>
        <v/>
      </c>
      <c r="AO273" s="87"/>
      <c r="AP273" s="106"/>
      <c r="AQ273" s="106"/>
      <c r="AR273" s="106"/>
      <c r="AS273" s="106"/>
      <c r="AT273" s="106"/>
      <c r="AU273" s="106"/>
      <c r="AV273" s="106"/>
      <c r="AW273" s="106"/>
      <c r="AX273" s="106"/>
      <c r="AY273" s="106"/>
    </row>
    <row r="274" spans="1:51" s="20" customFormat="1" ht="21" customHeight="1">
      <c r="A274" s="197"/>
      <c r="B274" s="87"/>
      <c r="C274" s="87"/>
      <c r="D274" s="196"/>
      <c r="E274" s="108"/>
      <c r="F274" s="196"/>
      <c r="G274" s="87"/>
      <c r="H274" s="197"/>
      <c r="I274" s="89"/>
      <c r="J274" s="204"/>
      <c r="K274" s="87"/>
      <c r="L274" s="87" t="str" cm="1">
        <f t="array" ref="L274">IF($A274="","",_xlfn.LET(_xlpm.stat,CHOOSE({1,2,3,4,5},$P274,$T274,$X274,$AB274,$AF274),_xlpm.rate,CHOOSE({1,2,3,4,5},$R274,$V274,$Z274,$AD274,$AH274),_xlpm.trn,CHOOSE({1,2,3,4,5},$S274,$W274,$AA274,$AE274,$AI274),_xlpm.nsC,SUMPRODUCT(--(_xlpm.stat="Ready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DLR",IF(AND(_xlpm.actRS&gt;0,_xlpm.actDone&lt;_xlpm.actRS),"Training",IF(_xlpm.actRS&gt;0,"Active",IF(AND(_xlpm.decC&gt;0,_xlpm.inPlay+_xlpm.actC=0),"Dead",IF(AND($AJ274&lt;&gt;"",$AK274=FALSE),"Waiting on Dealer",IF(_xlpm.subC&gt;0,"Waiting on Lender",IF(AND(_xlpm.appC+_xlpm.actC&gt;0,_xlpm.nsC+_xlpm.wdC=0),"Rate Sheet","Application Submitted")))))))))</f>
        <v/>
      </c>
      <c r="M274" s="87"/>
      <c r="N274" s="87"/>
      <c r="O274" s="197"/>
      <c r="P274" s="87" t="str">
        <f>IF($A274="","",IF($AK274=TRUE,"Ready 2 Submit","Waiting on Dealer"))</f>
        <v/>
      </c>
      <c r="Q274" s="148"/>
      <c r="R274" s="87"/>
      <c r="S274" s="87"/>
      <c r="T274" s="87" t="str">
        <f>IF($A274="","",IF($AK274=TRUE,"Ready 2 Submit","Waiting on Dealer"))</f>
        <v/>
      </c>
      <c r="U274" s="148"/>
      <c r="V274" s="87"/>
      <c r="W274" s="87"/>
      <c r="X274" s="87" t="str">
        <f>IF($A274="","",IF($AK274=TRUE,"Ready 2 Submit","Waiting on Dealer"))</f>
        <v/>
      </c>
      <c r="Y274" s="148"/>
      <c r="Z274" s="87"/>
      <c r="AA274" s="87"/>
      <c r="AB274" s="87" t="str">
        <f>IF($A274="","",IF($AK274=TRUE,"Ready 2 Submit","Waiting on Dealer"))</f>
        <v/>
      </c>
      <c r="AC274" s="148"/>
      <c r="AD274" s="87"/>
      <c r="AE274" s="87"/>
      <c r="AF274" s="87" t="str">
        <f>IF($A274="","",IF($AK274=TRUE,"Ready 2 Submit","Waiting on Dealer"))</f>
        <v/>
      </c>
      <c r="AG274" s="148"/>
      <c r="AH274" s="87"/>
      <c r="AI274" s="87"/>
      <c r="AJ274" s="197"/>
      <c r="AK274" s="110" t="b">
        <v>0</v>
      </c>
      <c r="AL274" s="87" t="str" cm="1">
        <f t="array" ref="AL274">IF($A274="","",SUMPRODUCT((CHOOSE({1,2,3,4,5},$R274,$V274,$Z274,$AD274,$AH274)="Yes")*(((CHOOSE({1,2,3,4,5},$S274,$W274,$AA274,$AE274,$AI274)="Yes")+(CHOOSE({1,2,3,4,5},$S274,$W274,$AA274,$AE274,$AI274)=TRUE))&gt;0)))</f>
        <v/>
      </c>
      <c r="AM274" s="87"/>
      <c r="AN274" s="87" t="str">
        <f ca="1">IF(OR($A274="",$AM274=""),"",TODAY()-$AM274)</f>
        <v/>
      </c>
      <c r="AO274" s="87"/>
      <c r="AP274" s="106"/>
      <c r="AQ274" s="106"/>
      <c r="AR274" s="106"/>
      <c r="AS274" s="106"/>
      <c r="AT274" s="106"/>
      <c r="AU274" s="106"/>
      <c r="AV274" s="106"/>
      <c r="AW274" s="106"/>
      <c r="AX274" s="106"/>
      <c r="AY274" s="106"/>
    </row>
    <row r="275" spans="1:51" s="20" customFormat="1" ht="21" customHeight="1">
      <c r="A275" s="197"/>
      <c r="B275" s="87"/>
      <c r="C275" s="87"/>
      <c r="D275" s="196"/>
      <c r="E275" s="108"/>
      <c r="F275" s="196"/>
      <c r="G275" s="87"/>
      <c r="H275" s="197"/>
      <c r="I275" s="89"/>
      <c r="J275" s="204"/>
      <c r="K275" s="87"/>
      <c r="L275" s="87" t="str" cm="1">
        <f t="array" ref="L275">IF($A275="","",_xlfn.LET(_xlpm.stat,CHOOSE({1,2,3,4,5},$P275,$T275,$X275,$AB275,$AF275),_xlpm.rate,CHOOSE({1,2,3,4,5},$R275,$V275,$Z275,$AD275,$AH275),_xlpm.trn,CHOOSE({1,2,3,4,5},$S275,$W275,$AA275,$AE275,$AI275),_xlpm.nsC,SUMPRODUCT(--(_xlpm.stat="Ready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DLR",IF(AND(_xlpm.actRS&gt;0,_xlpm.actDone&lt;_xlpm.actRS),"Training",IF(_xlpm.actRS&gt;0,"Active",IF(AND(_xlpm.decC&gt;0,_xlpm.inPlay+_xlpm.actC=0),"Dead",IF(AND($AJ275&lt;&gt;"",$AK275=FALSE),"Waiting on Dealer",IF(_xlpm.subC&gt;0,"Waiting on Lender",IF(AND(_xlpm.appC+_xlpm.actC&gt;0,_xlpm.nsC+_xlpm.wdC=0),"Rate Sheet","Application Submitted")))))))))</f>
        <v/>
      </c>
      <c r="M275" s="87"/>
      <c r="N275" s="87"/>
      <c r="O275" s="197"/>
      <c r="P275" s="87" t="str">
        <f>IF($A275="","",IF($AK275=TRUE,"Ready 2 Submit","Waiting on Dealer"))</f>
        <v/>
      </c>
      <c r="Q275" s="148"/>
      <c r="R275" s="87"/>
      <c r="S275" s="87"/>
      <c r="T275" s="87" t="str">
        <f>IF($A275="","",IF($AK275=TRUE,"Ready 2 Submit","Waiting on Dealer"))</f>
        <v/>
      </c>
      <c r="U275" s="148"/>
      <c r="V275" s="87"/>
      <c r="W275" s="87"/>
      <c r="X275" s="87" t="str">
        <f>IF($A275="","",IF($AK275=TRUE,"Ready 2 Submit","Waiting on Dealer"))</f>
        <v/>
      </c>
      <c r="Y275" s="148"/>
      <c r="Z275" s="87"/>
      <c r="AA275" s="87"/>
      <c r="AB275" s="87" t="str">
        <f>IF($A275="","",IF($AK275=TRUE,"Ready 2 Submit","Waiting on Dealer"))</f>
        <v/>
      </c>
      <c r="AC275" s="148"/>
      <c r="AD275" s="87"/>
      <c r="AE275" s="87"/>
      <c r="AF275" s="87" t="str">
        <f>IF($A275="","",IF($AK275=TRUE,"Ready 2 Submit","Waiting on Dealer"))</f>
        <v/>
      </c>
      <c r="AG275" s="148"/>
      <c r="AH275" s="87"/>
      <c r="AI275" s="87"/>
      <c r="AJ275" s="197"/>
      <c r="AK275" s="110" t="b">
        <v>0</v>
      </c>
      <c r="AL275" s="87" t="str" cm="1">
        <f t="array" ref="AL275">IF($A275="","",SUMPRODUCT((CHOOSE({1,2,3,4,5},$R275,$V275,$Z275,$AD275,$AH275)="Yes")*(((CHOOSE({1,2,3,4,5},$S275,$W275,$AA275,$AE275,$AI275)="Yes")+(CHOOSE({1,2,3,4,5},$S275,$W275,$AA275,$AE275,$AI275)=TRUE))&gt;0)))</f>
        <v/>
      </c>
      <c r="AM275" s="87"/>
      <c r="AN275" s="87" t="str">
        <f ca="1">IF(OR($A275="",$AM275=""),"",TODAY()-$AM275)</f>
        <v/>
      </c>
      <c r="AO275" s="87"/>
      <c r="AP275" s="106"/>
      <c r="AQ275" s="106"/>
      <c r="AR275" s="106"/>
      <c r="AS275" s="106"/>
      <c r="AT275" s="106"/>
      <c r="AU275" s="106"/>
      <c r="AV275" s="106"/>
      <c r="AW275" s="106"/>
      <c r="AX275" s="106"/>
      <c r="AY275" s="106"/>
    </row>
    <row r="276" spans="1:51" s="20" customFormat="1" ht="21" customHeight="1">
      <c r="A276" s="197"/>
      <c r="B276" s="87"/>
      <c r="C276" s="87"/>
      <c r="D276" s="196"/>
      <c r="E276" s="108"/>
      <c r="F276" s="196"/>
      <c r="G276" s="87"/>
      <c r="H276" s="197"/>
      <c r="I276" s="89"/>
      <c r="J276" s="204"/>
      <c r="K276" s="87"/>
      <c r="L276" s="87" t="str" cm="1">
        <f t="array" ref="L276">IF($A276="","",_xlfn.LET(_xlpm.stat,CHOOSE({1,2,3,4,5},$P276,$T276,$X276,$AB276,$AF276),_xlpm.rate,CHOOSE({1,2,3,4,5},$R276,$V276,$Z276,$AD276,$AH276),_xlpm.trn,CHOOSE({1,2,3,4,5},$S276,$W276,$AA276,$AE276,$AI276),_xlpm.nsC,SUMPRODUCT(--(_xlpm.stat="Ready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DLR",IF(AND(_xlpm.actRS&gt;0,_xlpm.actDone&lt;_xlpm.actRS),"Training",IF(_xlpm.actRS&gt;0,"Active",IF(AND(_xlpm.decC&gt;0,_xlpm.inPlay+_xlpm.actC=0),"Dead",IF(AND($AJ276&lt;&gt;"",$AK276=FALSE),"Waiting on Dealer",IF(_xlpm.subC&gt;0,"Waiting on Lender",IF(AND(_xlpm.appC+_xlpm.actC&gt;0,_xlpm.nsC+_xlpm.wdC=0),"Rate Sheet","Application Submitted")))))))))</f>
        <v/>
      </c>
      <c r="M276" s="87"/>
      <c r="N276" s="87"/>
      <c r="O276" s="197"/>
      <c r="P276" s="87" t="str">
        <f>IF($A276="","",IF($AK276=TRUE,"Ready 2 Submit","Waiting on Dealer"))</f>
        <v/>
      </c>
      <c r="Q276" s="148"/>
      <c r="R276" s="87"/>
      <c r="S276" s="87"/>
      <c r="T276" s="87" t="str">
        <f>IF($A276="","",IF($AK276=TRUE,"Ready 2 Submit","Waiting on Dealer"))</f>
        <v/>
      </c>
      <c r="U276" s="148"/>
      <c r="V276" s="87"/>
      <c r="W276" s="87"/>
      <c r="X276" s="87" t="str">
        <f>IF($A276="","",IF($AK276=TRUE,"Ready 2 Submit","Waiting on Dealer"))</f>
        <v/>
      </c>
      <c r="Y276" s="148"/>
      <c r="Z276" s="87"/>
      <c r="AA276" s="87"/>
      <c r="AB276" s="87" t="str">
        <f>IF($A276="","",IF($AK276=TRUE,"Ready 2 Submit","Waiting on Dealer"))</f>
        <v/>
      </c>
      <c r="AC276" s="148"/>
      <c r="AD276" s="87"/>
      <c r="AE276" s="87"/>
      <c r="AF276" s="87" t="str">
        <f>IF($A276="","",IF($AK276=TRUE,"Ready 2 Submit","Waiting on Dealer"))</f>
        <v/>
      </c>
      <c r="AG276" s="148"/>
      <c r="AH276" s="87"/>
      <c r="AI276" s="87"/>
      <c r="AJ276" s="197"/>
      <c r="AK276" s="110" t="b">
        <v>0</v>
      </c>
      <c r="AL276" s="87" t="str" cm="1">
        <f t="array" ref="AL276">IF($A276="","",SUMPRODUCT((CHOOSE({1,2,3,4,5},$R276,$V276,$Z276,$AD276,$AH276)="Yes")*(((CHOOSE({1,2,3,4,5},$S276,$W276,$AA276,$AE276,$AI276)="Yes")+(CHOOSE({1,2,3,4,5},$S276,$W276,$AA276,$AE276,$AI276)=TRUE))&gt;0)))</f>
        <v/>
      </c>
      <c r="AM276" s="87"/>
      <c r="AN276" s="87" t="str">
        <f ca="1">IF(OR($A276="",$AM276=""),"",TODAY()-$AM276)</f>
        <v/>
      </c>
      <c r="AO276" s="87"/>
      <c r="AP276" s="106"/>
      <c r="AQ276" s="106"/>
      <c r="AR276" s="106"/>
      <c r="AS276" s="106"/>
      <c r="AT276" s="106"/>
      <c r="AU276" s="106"/>
      <c r="AV276" s="106"/>
      <c r="AW276" s="106"/>
      <c r="AX276" s="106"/>
      <c r="AY276" s="106"/>
    </row>
    <row r="277" spans="1:51" s="20" customFormat="1" ht="21" customHeight="1">
      <c r="A277" s="197"/>
      <c r="B277" s="87"/>
      <c r="C277" s="87"/>
      <c r="D277" s="196"/>
      <c r="E277" s="108"/>
      <c r="F277" s="196"/>
      <c r="G277" s="87"/>
      <c r="H277" s="197"/>
      <c r="I277" s="89"/>
      <c r="J277" s="204"/>
      <c r="K277" s="87"/>
      <c r="L277" s="87" t="str" cm="1">
        <f t="array" ref="L277">IF($A277="","",_xlfn.LET(_xlpm.stat,CHOOSE({1,2,3,4,5},$P277,$T277,$X277,$AB277,$AF277),_xlpm.rate,CHOOSE({1,2,3,4,5},$R277,$V277,$Z277,$AD277,$AH277),_xlpm.trn,CHOOSE({1,2,3,4,5},$S277,$W277,$AA277,$AE277,$AI277),_xlpm.nsC,SUMPRODUCT(--(_xlpm.stat="Ready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DLR",IF(AND(_xlpm.actRS&gt;0,_xlpm.actDone&lt;_xlpm.actRS),"Training",IF(_xlpm.actRS&gt;0,"Active",IF(AND(_xlpm.decC&gt;0,_xlpm.inPlay+_xlpm.actC=0),"Dead",IF(AND($AJ277&lt;&gt;"",$AK277=FALSE),"Waiting on Dealer",IF(_xlpm.subC&gt;0,"Waiting on Lender",IF(AND(_xlpm.appC+_xlpm.actC&gt;0,_xlpm.nsC+_xlpm.wdC=0),"Rate Sheet","Application Submitted")))))))))</f>
        <v/>
      </c>
      <c r="M277" s="87"/>
      <c r="N277" s="87"/>
      <c r="O277" s="197"/>
      <c r="P277" s="87" t="str">
        <f>IF($A277="","",IF($AK277=TRUE,"Ready 2 Submit","Waiting on Dealer"))</f>
        <v/>
      </c>
      <c r="Q277" s="148"/>
      <c r="R277" s="87"/>
      <c r="S277" s="87"/>
      <c r="T277" s="87" t="str">
        <f>IF($A277="","",IF($AK277=TRUE,"Ready 2 Submit","Waiting on Dealer"))</f>
        <v/>
      </c>
      <c r="U277" s="148"/>
      <c r="V277" s="87"/>
      <c r="W277" s="87"/>
      <c r="X277" s="87" t="str">
        <f>IF($A277="","",IF($AK277=TRUE,"Ready 2 Submit","Waiting on Dealer"))</f>
        <v/>
      </c>
      <c r="Y277" s="148"/>
      <c r="Z277" s="87"/>
      <c r="AA277" s="87"/>
      <c r="AB277" s="87" t="str">
        <f>IF($A277="","",IF($AK277=TRUE,"Ready 2 Submit","Waiting on Dealer"))</f>
        <v/>
      </c>
      <c r="AC277" s="148"/>
      <c r="AD277" s="87"/>
      <c r="AE277" s="87"/>
      <c r="AF277" s="87" t="str">
        <f>IF($A277="","",IF($AK277=TRUE,"Ready 2 Submit","Waiting on Dealer"))</f>
        <v/>
      </c>
      <c r="AG277" s="148"/>
      <c r="AH277" s="87"/>
      <c r="AI277" s="87"/>
      <c r="AJ277" s="197"/>
      <c r="AK277" s="110" t="b">
        <v>0</v>
      </c>
      <c r="AL277" s="87" t="str" cm="1">
        <f t="array" ref="AL277">IF($A277="","",SUMPRODUCT((CHOOSE({1,2,3,4,5},$R277,$V277,$Z277,$AD277,$AH277)="Yes")*(((CHOOSE({1,2,3,4,5},$S277,$W277,$AA277,$AE277,$AI277)="Yes")+(CHOOSE({1,2,3,4,5},$S277,$W277,$AA277,$AE277,$AI277)=TRUE))&gt;0)))</f>
        <v/>
      </c>
      <c r="AM277" s="87"/>
      <c r="AN277" s="87" t="str">
        <f ca="1">IF(OR($A277="",$AM277=""),"",TODAY()-$AM277)</f>
        <v/>
      </c>
      <c r="AO277" s="87"/>
      <c r="AP277" s="106"/>
      <c r="AQ277" s="106"/>
      <c r="AR277" s="106"/>
      <c r="AS277" s="106"/>
      <c r="AT277" s="106"/>
      <c r="AU277" s="106"/>
      <c r="AV277" s="106"/>
      <c r="AW277" s="106"/>
      <c r="AX277" s="106"/>
      <c r="AY277" s="106"/>
    </row>
    <row r="278" spans="1:51" s="20" customFormat="1" ht="21" customHeight="1">
      <c r="A278" s="197"/>
      <c r="B278" s="87"/>
      <c r="C278" s="87"/>
      <c r="D278" s="196"/>
      <c r="E278" s="108"/>
      <c r="F278" s="196"/>
      <c r="G278" s="87"/>
      <c r="H278" s="197"/>
      <c r="I278" s="89"/>
      <c r="J278" s="204"/>
      <c r="K278" s="87"/>
      <c r="L278" s="87" t="str" cm="1">
        <f t="array" ref="L278">IF($A278="","",_xlfn.LET(_xlpm.stat,CHOOSE({1,2,3,4,5},$P278,$T278,$X278,$AB278,$AF278),_xlpm.rate,CHOOSE({1,2,3,4,5},$R278,$V278,$Z278,$AD278,$AH278),_xlpm.trn,CHOOSE({1,2,3,4,5},$S278,$W278,$AA278,$AE278,$AI278),_xlpm.nsC,SUMPRODUCT(--(_xlpm.stat="Ready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DLR",IF(AND(_xlpm.actRS&gt;0,_xlpm.actDone&lt;_xlpm.actRS),"Training",IF(_xlpm.actRS&gt;0,"Active",IF(AND(_xlpm.decC&gt;0,_xlpm.inPlay+_xlpm.actC=0),"Dead",IF(AND($AJ278&lt;&gt;"",$AK278=FALSE),"Waiting on Dealer",IF(_xlpm.subC&gt;0,"Waiting on Lender",IF(AND(_xlpm.appC+_xlpm.actC&gt;0,_xlpm.nsC+_xlpm.wdC=0),"Rate Sheet","Application Submitted")))))))))</f>
        <v/>
      </c>
      <c r="M278" s="87"/>
      <c r="N278" s="87"/>
      <c r="O278" s="197"/>
      <c r="P278" s="87" t="str">
        <f>IF($A278="","",IF($AK278=TRUE,"Ready 2 Submit","Waiting on Dealer"))</f>
        <v/>
      </c>
      <c r="Q278" s="148"/>
      <c r="R278" s="87"/>
      <c r="S278" s="87"/>
      <c r="T278" s="87" t="str">
        <f>IF($A278="","",IF($AK278=TRUE,"Ready 2 Submit","Waiting on Dealer"))</f>
        <v/>
      </c>
      <c r="U278" s="148"/>
      <c r="V278" s="87"/>
      <c r="W278" s="87"/>
      <c r="X278" s="87" t="str">
        <f>IF($A278="","",IF($AK278=TRUE,"Ready 2 Submit","Waiting on Dealer"))</f>
        <v/>
      </c>
      <c r="Y278" s="148"/>
      <c r="Z278" s="87"/>
      <c r="AA278" s="87"/>
      <c r="AB278" s="87" t="str">
        <f>IF($A278="","",IF($AK278=TRUE,"Ready 2 Submit","Waiting on Dealer"))</f>
        <v/>
      </c>
      <c r="AC278" s="148"/>
      <c r="AD278" s="87"/>
      <c r="AE278" s="87"/>
      <c r="AF278" s="87" t="str">
        <f>IF($A278="","",IF($AK278=TRUE,"Ready 2 Submit","Waiting on Dealer"))</f>
        <v/>
      </c>
      <c r="AG278" s="148"/>
      <c r="AH278" s="87"/>
      <c r="AI278" s="87"/>
      <c r="AJ278" s="197"/>
      <c r="AK278" s="110" t="b">
        <v>0</v>
      </c>
      <c r="AL278" s="87" t="str" cm="1">
        <f t="array" ref="AL278">IF($A278="","",SUMPRODUCT((CHOOSE({1,2,3,4,5},$R278,$V278,$Z278,$AD278,$AH278)="Yes")*(((CHOOSE({1,2,3,4,5},$S278,$W278,$AA278,$AE278,$AI278)="Yes")+(CHOOSE({1,2,3,4,5},$S278,$W278,$AA278,$AE278,$AI278)=TRUE))&gt;0)))</f>
        <v/>
      </c>
      <c r="AM278" s="87"/>
      <c r="AN278" s="87" t="str">
        <f ca="1">IF(OR($A278="",$AM278=""),"",TODAY()-$AM278)</f>
        <v/>
      </c>
      <c r="AO278" s="87"/>
      <c r="AP278" s="106"/>
      <c r="AQ278" s="106"/>
      <c r="AR278" s="106"/>
      <c r="AS278" s="106"/>
      <c r="AT278" s="106"/>
      <c r="AU278" s="106"/>
      <c r="AV278" s="106"/>
      <c r="AW278" s="106"/>
      <c r="AX278" s="106"/>
      <c r="AY278" s="106"/>
    </row>
    <row r="279" spans="1:51" s="20" customFormat="1" ht="21" customHeight="1">
      <c r="A279" s="197"/>
      <c r="B279" s="87"/>
      <c r="C279" s="87"/>
      <c r="D279" s="196"/>
      <c r="E279" s="108"/>
      <c r="F279" s="196"/>
      <c r="G279" s="87"/>
      <c r="H279" s="197"/>
      <c r="I279" s="89"/>
      <c r="J279" s="204"/>
      <c r="K279" s="87"/>
      <c r="L279" s="87" t="str" cm="1">
        <f t="array" ref="L279">IF($A279="","",_xlfn.LET(_xlpm.stat,CHOOSE({1,2,3,4,5},$P279,$T279,$X279,$AB279,$AF279),_xlpm.rate,CHOOSE({1,2,3,4,5},$R279,$V279,$Z279,$AD279,$AH279),_xlpm.trn,CHOOSE({1,2,3,4,5},$S279,$W279,$AA279,$AE279,$AI279),_xlpm.nsC,SUMPRODUCT(--(_xlpm.stat="Ready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DLR",IF(AND(_xlpm.actRS&gt;0,_xlpm.actDone&lt;_xlpm.actRS),"Training",IF(_xlpm.actRS&gt;0,"Active",IF(AND(_xlpm.decC&gt;0,_xlpm.inPlay+_xlpm.actC=0),"Dead",IF(AND($AJ279&lt;&gt;"",$AK279=FALSE),"Waiting on Dealer",IF(_xlpm.subC&gt;0,"Waiting on Lender",IF(AND(_xlpm.appC+_xlpm.actC&gt;0,_xlpm.nsC+_xlpm.wdC=0),"Rate Sheet","Application Submitted")))))))))</f>
        <v/>
      </c>
      <c r="M279" s="87"/>
      <c r="N279" s="87"/>
      <c r="O279" s="197"/>
      <c r="P279" s="87" t="str">
        <f>IF($A279="","",IF($AK279=TRUE,"Ready 2 Submit","Waiting on Dealer"))</f>
        <v/>
      </c>
      <c r="Q279" s="148"/>
      <c r="R279" s="87"/>
      <c r="S279" s="87"/>
      <c r="T279" s="87" t="str">
        <f>IF($A279="","",IF($AK279=TRUE,"Ready 2 Submit","Waiting on Dealer"))</f>
        <v/>
      </c>
      <c r="U279" s="148"/>
      <c r="V279" s="87"/>
      <c r="W279" s="87"/>
      <c r="X279" s="87" t="str">
        <f>IF($A279="","",IF($AK279=TRUE,"Ready 2 Submit","Waiting on Dealer"))</f>
        <v/>
      </c>
      <c r="Y279" s="148"/>
      <c r="Z279" s="87"/>
      <c r="AA279" s="87"/>
      <c r="AB279" s="87" t="str">
        <f>IF($A279="","",IF($AK279=TRUE,"Ready 2 Submit","Waiting on Dealer"))</f>
        <v/>
      </c>
      <c r="AC279" s="148"/>
      <c r="AD279" s="87"/>
      <c r="AE279" s="87"/>
      <c r="AF279" s="87" t="str">
        <f>IF($A279="","",IF($AK279=TRUE,"Ready 2 Submit","Waiting on Dealer"))</f>
        <v/>
      </c>
      <c r="AG279" s="148"/>
      <c r="AH279" s="87"/>
      <c r="AI279" s="87"/>
      <c r="AJ279" s="197"/>
      <c r="AK279" s="110" t="b">
        <v>0</v>
      </c>
      <c r="AL279" s="87" t="str" cm="1">
        <f t="array" ref="AL279">IF($A279="","",SUMPRODUCT((CHOOSE({1,2,3,4,5},$R279,$V279,$Z279,$AD279,$AH279)="Yes")*(((CHOOSE({1,2,3,4,5},$S279,$W279,$AA279,$AE279,$AI279)="Yes")+(CHOOSE({1,2,3,4,5},$S279,$W279,$AA279,$AE279,$AI279)=TRUE))&gt;0)))</f>
        <v/>
      </c>
      <c r="AM279" s="87"/>
      <c r="AN279" s="87" t="str">
        <f ca="1">IF(OR($A279="",$AM279=""),"",TODAY()-$AM279)</f>
        <v/>
      </c>
      <c r="AO279" s="87"/>
      <c r="AP279" s="106"/>
      <c r="AQ279" s="106"/>
      <c r="AR279" s="106"/>
      <c r="AS279" s="106"/>
      <c r="AT279" s="106"/>
      <c r="AU279" s="106"/>
      <c r="AV279" s="106"/>
      <c r="AW279" s="106"/>
      <c r="AX279" s="106"/>
      <c r="AY279" s="106"/>
    </row>
    <row r="280" spans="1:51" s="20" customFormat="1" ht="21" customHeight="1">
      <c r="A280" s="197"/>
      <c r="B280" s="87"/>
      <c r="C280" s="87"/>
      <c r="D280" s="196"/>
      <c r="E280" s="108"/>
      <c r="F280" s="196"/>
      <c r="G280" s="87"/>
      <c r="H280" s="197"/>
      <c r="I280" s="89"/>
      <c r="J280" s="204"/>
      <c r="K280" s="87"/>
      <c r="L280" s="87" t="str" cm="1">
        <f t="array" ref="L280">IF($A280="","",_xlfn.LET(_xlpm.stat,CHOOSE({1,2,3,4,5},$P280,$T280,$X280,$AB280,$AF280),_xlpm.rate,CHOOSE({1,2,3,4,5},$R280,$V280,$Z280,$AD280,$AH280),_xlpm.trn,CHOOSE({1,2,3,4,5},$S280,$W280,$AA280,$AE280,$AI280),_xlpm.nsC,SUMPRODUCT(--(_xlpm.stat="Ready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DLR",IF(AND(_xlpm.actRS&gt;0,_xlpm.actDone&lt;_xlpm.actRS),"Training",IF(_xlpm.actRS&gt;0,"Active",IF(AND(_xlpm.decC&gt;0,_xlpm.inPlay+_xlpm.actC=0),"Dead",IF(AND($AJ280&lt;&gt;"",$AK280=FALSE),"Waiting on Dealer",IF(_xlpm.subC&gt;0,"Waiting on Lender",IF(AND(_xlpm.appC+_xlpm.actC&gt;0,_xlpm.nsC+_xlpm.wdC=0),"Rate Sheet","Application Submitted")))))))))</f>
        <v/>
      </c>
      <c r="M280" s="87"/>
      <c r="N280" s="87"/>
      <c r="O280" s="197"/>
      <c r="P280" s="87" t="str">
        <f>IF($A280="","",IF($AK280=TRUE,"Ready 2 Submit","Waiting on Dealer"))</f>
        <v/>
      </c>
      <c r="Q280" s="148"/>
      <c r="R280" s="87"/>
      <c r="S280" s="87"/>
      <c r="T280" s="87" t="str">
        <f>IF($A280="","",IF($AK280=TRUE,"Ready 2 Submit","Waiting on Dealer"))</f>
        <v/>
      </c>
      <c r="U280" s="148"/>
      <c r="V280" s="87"/>
      <c r="W280" s="87"/>
      <c r="X280" s="87" t="str">
        <f>IF($A280="","",IF($AK280=TRUE,"Ready 2 Submit","Waiting on Dealer"))</f>
        <v/>
      </c>
      <c r="Y280" s="148"/>
      <c r="Z280" s="87"/>
      <c r="AA280" s="87"/>
      <c r="AB280" s="87" t="str">
        <f>IF($A280="","",IF($AK280=TRUE,"Ready 2 Submit","Waiting on Dealer"))</f>
        <v/>
      </c>
      <c r="AC280" s="148"/>
      <c r="AD280" s="87"/>
      <c r="AE280" s="87"/>
      <c r="AF280" s="87" t="str">
        <f>IF($A280="","",IF($AK280=TRUE,"Ready 2 Submit","Waiting on Dealer"))</f>
        <v/>
      </c>
      <c r="AG280" s="148"/>
      <c r="AH280" s="87"/>
      <c r="AI280" s="87"/>
      <c r="AJ280" s="197"/>
      <c r="AK280" s="110" t="b">
        <v>0</v>
      </c>
      <c r="AL280" s="87" t="str" cm="1">
        <f t="array" ref="AL280">IF($A280="","",SUMPRODUCT((CHOOSE({1,2,3,4,5},$R280,$V280,$Z280,$AD280,$AH280)="Yes")*(((CHOOSE({1,2,3,4,5},$S280,$W280,$AA280,$AE280,$AI280)="Yes")+(CHOOSE({1,2,3,4,5},$S280,$W280,$AA280,$AE280,$AI280)=TRUE))&gt;0)))</f>
        <v/>
      </c>
      <c r="AM280" s="87"/>
      <c r="AN280" s="87" t="str">
        <f ca="1">IF(OR($A280="",$AM280=""),"",TODAY()-$AM280)</f>
        <v/>
      </c>
      <c r="AO280" s="87"/>
      <c r="AP280" s="106"/>
      <c r="AQ280" s="106"/>
      <c r="AR280" s="106"/>
      <c r="AS280" s="106"/>
      <c r="AT280" s="106"/>
      <c r="AU280" s="106"/>
      <c r="AV280" s="106"/>
      <c r="AW280" s="106"/>
      <c r="AX280" s="106"/>
      <c r="AY280" s="106"/>
    </row>
    <row r="281" spans="1:51" s="20" customFormat="1" ht="21" customHeight="1">
      <c r="A281" s="197"/>
      <c r="B281" s="87"/>
      <c r="C281" s="87"/>
      <c r="D281" s="196"/>
      <c r="E281" s="108"/>
      <c r="F281" s="196"/>
      <c r="G281" s="87"/>
      <c r="H281" s="197"/>
      <c r="I281" s="89"/>
      <c r="J281" s="204"/>
      <c r="K281" s="87"/>
      <c r="L281" s="87" t="str" cm="1">
        <f t="array" ref="L281">IF($A281="","",_xlfn.LET(_xlpm.stat,CHOOSE({1,2,3,4,5},$P281,$T281,$X281,$AB281,$AF281),_xlpm.rate,CHOOSE({1,2,3,4,5},$R281,$V281,$Z281,$AD281,$AH281),_xlpm.trn,CHOOSE({1,2,3,4,5},$S281,$W281,$AA281,$AE281,$AI281),_xlpm.nsC,SUMPRODUCT(--(_xlpm.stat="Ready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DLR",IF(AND(_xlpm.actRS&gt;0,_xlpm.actDone&lt;_xlpm.actRS),"Training",IF(_xlpm.actRS&gt;0,"Active",IF(AND(_xlpm.decC&gt;0,_xlpm.inPlay+_xlpm.actC=0),"Dead",IF(AND($AJ281&lt;&gt;"",$AK281=FALSE),"Waiting on Dealer",IF(_xlpm.subC&gt;0,"Waiting on Lender",IF(AND(_xlpm.appC+_xlpm.actC&gt;0,_xlpm.nsC+_xlpm.wdC=0),"Rate Sheet","Application Submitted")))))))))</f>
        <v/>
      </c>
      <c r="M281" s="87"/>
      <c r="N281" s="87"/>
      <c r="O281" s="197"/>
      <c r="P281" s="87" t="str">
        <f>IF($A281="","",IF($AK281=TRUE,"Ready 2 Submit","Waiting on Dealer"))</f>
        <v/>
      </c>
      <c r="Q281" s="148"/>
      <c r="R281" s="87"/>
      <c r="S281" s="87"/>
      <c r="T281" s="87" t="str">
        <f>IF($A281="","",IF($AK281=TRUE,"Ready 2 Submit","Waiting on Dealer"))</f>
        <v/>
      </c>
      <c r="U281" s="148"/>
      <c r="V281" s="87"/>
      <c r="W281" s="87"/>
      <c r="X281" s="87" t="str">
        <f>IF($A281="","",IF($AK281=TRUE,"Ready 2 Submit","Waiting on Dealer"))</f>
        <v/>
      </c>
      <c r="Y281" s="148"/>
      <c r="Z281" s="87"/>
      <c r="AA281" s="87"/>
      <c r="AB281" s="87" t="str">
        <f>IF($A281="","",IF($AK281=TRUE,"Ready 2 Submit","Waiting on Dealer"))</f>
        <v/>
      </c>
      <c r="AC281" s="148"/>
      <c r="AD281" s="87"/>
      <c r="AE281" s="87"/>
      <c r="AF281" s="87" t="str">
        <f>IF($A281="","",IF($AK281=TRUE,"Ready 2 Submit","Waiting on Dealer"))</f>
        <v/>
      </c>
      <c r="AG281" s="148"/>
      <c r="AH281" s="87"/>
      <c r="AI281" s="87"/>
      <c r="AJ281" s="197"/>
      <c r="AK281" s="110" t="b">
        <v>0</v>
      </c>
      <c r="AL281" s="87" t="str" cm="1">
        <f t="array" ref="AL281">IF($A281="","",SUMPRODUCT((CHOOSE({1,2,3,4,5},$R281,$V281,$Z281,$AD281,$AH281)="Yes")*(((CHOOSE({1,2,3,4,5},$S281,$W281,$AA281,$AE281,$AI281)="Yes")+(CHOOSE({1,2,3,4,5},$S281,$W281,$AA281,$AE281,$AI281)=TRUE))&gt;0)))</f>
        <v/>
      </c>
      <c r="AM281" s="87"/>
      <c r="AN281" s="87" t="str">
        <f ca="1">IF(OR($A281="",$AM281=""),"",TODAY()-$AM281)</f>
        <v/>
      </c>
      <c r="AO281" s="87"/>
      <c r="AP281" s="106"/>
      <c r="AQ281" s="106"/>
      <c r="AR281" s="106"/>
      <c r="AS281" s="106"/>
      <c r="AT281" s="106"/>
      <c r="AU281" s="106"/>
      <c r="AV281" s="106"/>
      <c r="AW281" s="106"/>
      <c r="AX281" s="106"/>
      <c r="AY281" s="106"/>
    </row>
    <row r="282" spans="1:51" s="20" customFormat="1" ht="21" customHeight="1">
      <c r="A282" s="197"/>
      <c r="B282" s="87"/>
      <c r="C282" s="87"/>
      <c r="D282" s="196"/>
      <c r="E282" s="108"/>
      <c r="F282" s="196"/>
      <c r="G282" s="87"/>
      <c r="H282" s="197"/>
      <c r="I282" s="89"/>
      <c r="J282" s="204"/>
      <c r="K282" s="87"/>
      <c r="L282" s="87" t="str" cm="1">
        <f t="array" ref="L282">IF($A282="","",_xlfn.LET(_xlpm.stat,CHOOSE({1,2,3,4,5},$P282,$T282,$X282,$AB282,$AF282),_xlpm.rate,CHOOSE({1,2,3,4,5},$R282,$V282,$Z282,$AD282,$AH282),_xlpm.trn,CHOOSE({1,2,3,4,5},$S282,$W282,$AA282,$AE282,$AI282),_xlpm.nsC,SUMPRODUCT(--(_xlpm.stat="Ready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DLR",IF(AND(_xlpm.actRS&gt;0,_xlpm.actDone&lt;_xlpm.actRS),"Training",IF(_xlpm.actRS&gt;0,"Active",IF(AND(_xlpm.decC&gt;0,_xlpm.inPlay+_xlpm.actC=0),"Dead",IF(AND($AJ282&lt;&gt;"",$AK282=FALSE),"Waiting on Dealer",IF(_xlpm.subC&gt;0,"Waiting on Lender",IF(AND(_xlpm.appC+_xlpm.actC&gt;0,_xlpm.nsC+_xlpm.wdC=0),"Rate Sheet","Application Submitted")))))))))</f>
        <v/>
      </c>
      <c r="M282" s="87"/>
      <c r="N282" s="87"/>
      <c r="O282" s="197"/>
      <c r="P282" s="87" t="str">
        <f>IF($A282="","",IF($AK282=TRUE,"Ready 2 Submit","Waiting on Dealer"))</f>
        <v/>
      </c>
      <c r="Q282" s="148"/>
      <c r="R282" s="87"/>
      <c r="S282" s="87"/>
      <c r="T282" s="87" t="str">
        <f>IF($A282="","",IF($AK282=TRUE,"Ready 2 Submit","Waiting on Dealer"))</f>
        <v/>
      </c>
      <c r="U282" s="148"/>
      <c r="V282" s="87"/>
      <c r="W282" s="87"/>
      <c r="X282" s="87" t="str">
        <f>IF($A282="","",IF($AK282=TRUE,"Ready 2 Submit","Waiting on Dealer"))</f>
        <v/>
      </c>
      <c r="Y282" s="148"/>
      <c r="Z282" s="87"/>
      <c r="AA282" s="87"/>
      <c r="AB282" s="87" t="str">
        <f>IF($A282="","",IF($AK282=TRUE,"Ready 2 Submit","Waiting on Dealer"))</f>
        <v/>
      </c>
      <c r="AC282" s="148"/>
      <c r="AD282" s="87"/>
      <c r="AE282" s="87"/>
      <c r="AF282" s="87" t="str">
        <f>IF($A282="","",IF($AK282=TRUE,"Ready 2 Submit","Waiting on Dealer"))</f>
        <v/>
      </c>
      <c r="AG282" s="148"/>
      <c r="AH282" s="87"/>
      <c r="AI282" s="87"/>
      <c r="AJ282" s="197"/>
      <c r="AK282" s="110" t="b">
        <v>0</v>
      </c>
      <c r="AL282" s="87" t="str" cm="1">
        <f t="array" ref="AL282">IF($A282="","",SUMPRODUCT((CHOOSE({1,2,3,4,5},$R282,$V282,$Z282,$AD282,$AH282)="Yes")*(((CHOOSE({1,2,3,4,5},$S282,$W282,$AA282,$AE282,$AI282)="Yes")+(CHOOSE({1,2,3,4,5},$S282,$W282,$AA282,$AE282,$AI282)=TRUE))&gt;0)))</f>
        <v/>
      </c>
      <c r="AM282" s="87"/>
      <c r="AN282" s="87" t="str">
        <f ca="1">IF(OR($A282="",$AM282=""),"",TODAY()-$AM282)</f>
        <v/>
      </c>
      <c r="AO282" s="87"/>
      <c r="AP282" s="106"/>
      <c r="AQ282" s="106"/>
      <c r="AR282" s="106"/>
      <c r="AS282" s="106"/>
      <c r="AT282" s="106"/>
      <c r="AU282" s="106"/>
      <c r="AV282" s="106"/>
      <c r="AW282" s="106"/>
      <c r="AX282" s="106"/>
      <c r="AY282" s="106"/>
    </row>
    <row r="283" spans="1:51" s="20" customFormat="1" ht="21" customHeight="1">
      <c r="A283" s="197"/>
      <c r="B283" s="87"/>
      <c r="C283" s="87"/>
      <c r="D283" s="196"/>
      <c r="E283" s="108"/>
      <c r="F283" s="196"/>
      <c r="G283" s="87"/>
      <c r="H283" s="197"/>
      <c r="I283" s="89"/>
      <c r="J283" s="204"/>
      <c r="K283" s="87"/>
      <c r="L283" s="87" t="str" cm="1">
        <f t="array" ref="L283">IF($A283="","",_xlfn.LET(_xlpm.stat,CHOOSE({1,2,3,4,5},$P283,$T283,$X283,$AB283,$AF283),_xlpm.rate,CHOOSE({1,2,3,4,5},$R283,$V283,$Z283,$AD283,$AH283),_xlpm.trn,CHOOSE({1,2,3,4,5},$S283,$W283,$AA283,$AE283,$AI283),_xlpm.nsC,SUMPRODUCT(--(_xlpm.stat="Ready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DLR",IF(AND(_xlpm.actRS&gt;0,_xlpm.actDone&lt;_xlpm.actRS),"Training",IF(_xlpm.actRS&gt;0,"Active",IF(AND(_xlpm.decC&gt;0,_xlpm.inPlay+_xlpm.actC=0),"Dead",IF(AND($AJ283&lt;&gt;"",$AK283=FALSE),"Waiting on Dealer",IF(_xlpm.subC&gt;0,"Waiting on Lender",IF(AND(_xlpm.appC+_xlpm.actC&gt;0,_xlpm.nsC+_xlpm.wdC=0),"Rate Sheet","Application Submitted")))))))))</f>
        <v/>
      </c>
      <c r="M283" s="87"/>
      <c r="N283" s="87"/>
      <c r="O283" s="197"/>
      <c r="P283" s="87" t="str">
        <f>IF($A283="","",IF($AK283=TRUE,"Ready 2 Submit","Waiting on Dealer"))</f>
        <v/>
      </c>
      <c r="Q283" s="148"/>
      <c r="R283" s="87"/>
      <c r="S283" s="87"/>
      <c r="T283" s="87" t="str">
        <f>IF($A283="","",IF($AK283=TRUE,"Ready 2 Submit","Waiting on Dealer"))</f>
        <v/>
      </c>
      <c r="U283" s="148"/>
      <c r="V283" s="87"/>
      <c r="W283" s="87"/>
      <c r="X283" s="87" t="str">
        <f>IF($A283="","",IF($AK283=TRUE,"Ready 2 Submit","Waiting on Dealer"))</f>
        <v/>
      </c>
      <c r="Y283" s="148"/>
      <c r="Z283" s="87"/>
      <c r="AA283" s="87"/>
      <c r="AB283" s="87" t="str">
        <f>IF($A283="","",IF($AK283=TRUE,"Ready 2 Submit","Waiting on Dealer"))</f>
        <v/>
      </c>
      <c r="AC283" s="148"/>
      <c r="AD283" s="87"/>
      <c r="AE283" s="87"/>
      <c r="AF283" s="87" t="str">
        <f>IF($A283="","",IF($AK283=TRUE,"Ready 2 Submit","Waiting on Dealer"))</f>
        <v/>
      </c>
      <c r="AG283" s="148"/>
      <c r="AH283" s="87"/>
      <c r="AI283" s="87"/>
      <c r="AJ283" s="197"/>
      <c r="AK283" s="110" t="b">
        <v>0</v>
      </c>
      <c r="AL283" s="87" t="str" cm="1">
        <f t="array" ref="AL283">IF($A283="","",SUMPRODUCT((CHOOSE({1,2,3,4,5},$R283,$V283,$Z283,$AD283,$AH283)="Yes")*(((CHOOSE({1,2,3,4,5},$S283,$W283,$AA283,$AE283,$AI283)="Yes")+(CHOOSE({1,2,3,4,5},$S283,$W283,$AA283,$AE283,$AI283)=TRUE))&gt;0)))</f>
        <v/>
      </c>
      <c r="AM283" s="87"/>
      <c r="AN283" s="87" t="str">
        <f ca="1">IF(OR($A283="",$AM283=""),"",TODAY()-$AM283)</f>
        <v/>
      </c>
      <c r="AO283" s="87"/>
      <c r="AP283" s="106"/>
      <c r="AQ283" s="106"/>
      <c r="AR283" s="106"/>
      <c r="AS283" s="106"/>
      <c r="AT283" s="106"/>
      <c r="AU283" s="106"/>
      <c r="AV283" s="106"/>
      <c r="AW283" s="106"/>
      <c r="AX283" s="106"/>
      <c r="AY283" s="106"/>
    </row>
    <row r="284" spans="1:51" s="20" customFormat="1" ht="21" customHeight="1">
      <c r="A284" s="197"/>
      <c r="B284" s="87"/>
      <c r="C284" s="87"/>
      <c r="D284" s="196"/>
      <c r="E284" s="108"/>
      <c r="F284" s="196"/>
      <c r="G284" s="87"/>
      <c r="H284" s="197"/>
      <c r="I284" s="89"/>
      <c r="J284" s="204"/>
      <c r="K284" s="87"/>
      <c r="L284" s="87" t="str" cm="1">
        <f t="array" ref="L284">IF($A284="","",_xlfn.LET(_xlpm.stat,CHOOSE({1,2,3,4,5},$P284,$T284,$X284,$AB284,$AF284),_xlpm.rate,CHOOSE({1,2,3,4,5},$R284,$V284,$Z284,$AD284,$AH284),_xlpm.trn,CHOOSE({1,2,3,4,5},$S284,$W284,$AA284,$AE284,$AI284),_xlpm.nsC,SUMPRODUCT(--(_xlpm.stat="Ready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DLR",IF(AND(_xlpm.actRS&gt;0,_xlpm.actDone&lt;_xlpm.actRS),"Training",IF(_xlpm.actRS&gt;0,"Active",IF(AND(_xlpm.decC&gt;0,_xlpm.inPlay+_xlpm.actC=0),"Dead",IF(AND($AJ284&lt;&gt;"",$AK284=FALSE),"Waiting on Dealer",IF(_xlpm.subC&gt;0,"Waiting on Lender",IF(AND(_xlpm.appC+_xlpm.actC&gt;0,_xlpm.nsC+_xlpm.wdC=0),"Rate Sheet","Application Submitted")))))))))</f>
        <v/>
      </c>
      <c r="M284" s="87"/>
      <c r="N284" s="87"/>
      <c r="O284" s="197"/>
      <c r="P284" s="87" t="str">
        <f>IF($A284="","",IF($AK284=TRUE,"Ready 2 Submit","Waiting on Dealer"))</f>
        <v/>
      </c>
      <c r="Q284" s="148"/>
      <c r="R284" s="87"/>
      <c r="S284" s="87"/>
      <c r="T284" s="87" t="str">
        <f>IF($A284="","",IF($AK284=TRUE,"Ready 2 Submit","Waiting on Dealer"))</f>
        <v/>
      </c>
      <c r="U284" s="148"/>
      <c r="V284" s="87"/>
      <c r="W284" s="87"/>
      <c r="X284" s="87" t="str">
        <f>IF($A284="","",IF($AK284=TRUE,"Ready 2 Submit","Waiting on Dealer"))</f>
        <v/>
      </c>
      <c r="Y284" s="148"/>
      <c r="Z284" s="87"/>
      <c r="AA284" s="87"/>
      <c r="AB284" s="87" t="str">
        <f>IF($A284="","",IF($AK284=TRUE,"Ready 2 Submit","Waiting on Dealer"))</f>
        <v/>
      </c>
      <c r="AC284" s="148"/>
      <c r="AD284" s="87"/>
      <c r="AE284" s="87"/>
      <c r="AF284" s="87" t="str">
        <f>IF($A284="","",IF($AK284=TRUE,"Ready 2 Submit","Waiting on Dealer"))</f>
        <v/>
      </c>
      <c r="AG284" s="148"/>
      <c r="AH284" s="87"/>
      <c r="AI284" s="87"/>
      <c r="AJ284" s="197"/>
      <c r="AK284" s="110" t="b">
        <v>0</v>
      </c>
      <c r="AL284" s="87" t="str" cm="1">
        <f t="array" ref="AL284">IF($A284="","",SUMPRODUCT((CHOOSE({1,2,3,4,5},$R284,$V284,$Z284,$AD284,$AH284)="Yes")*(((CHOOSE({1,2,3,4,5},$S284,$W284,$AA284,$AE284,$AI284)="Yes")+(CHOOSE({1,2,3,4,5},$S284,$W284,$AA284,$AE284,$AI284)=TRUE))&gt;0)))</f>
        <v/>
      </c>
      <c r="AM284" s="87"/>
      <c r="AN284" s="87" t="str">
        <f ca="1">IF(OR($A284="",$AM284=""),"",TODAY()-$AM284)</f>
        <v/>
      </c>
      <c r="AO284" s="87"/>
      <c r="AP284" s="106"/>
      <c r="AQ284" s="106"/>
      <c r="AR284" s="106"/>
      <c r="AS284" s="106"/>
      <c r="AT284" s="106"/>
      <c r="AU284" s="106"/>
      <c r="AV284" s="106"/>
      <c r="AW284" s="106"/>
      <c r="AX284" s="106"/>
      <c r="AY284" s="106"/>
    </row>
    <row r="285" spans="1:51" s="20" customFormat="1" ht="21" customHeight="1">
      <c r="A285" s="197"/>
      <c r="B285" s="87"/>
      <c r="C285" s="87"/>
      <c r="D285" s="196"/>
      <c r="E285" s="108"/>
      <c r="F285" s="196"/>
      <c r="G285" s="87"/>
      <c r="H285" s="197"/>
      <c r="I285" s="89"/>
      <c r="J285" s="204"/>
      <c r="K285" s="87"/>
      <c r="L285" s="87" t="str" cm="1">
        <f t="array" ref="L285">IF($A285="","",_xlfn.LET(_xlpm.stat,CHOOSE({1,2,3,4,5},$P285,$T285,$X285,$AB285,$AF285),_xlpm.rate,CHOOSE({1,2,3,4,5},$R285,$V285,$Z285,$AD285,$AH285),_xlpm.trn,CHOOSE({1,2,3,4,5},$S285,$W285,$AA285,$AE285,$AI285),_xlpm.nsC,SUMPRODUCT(--(_xlpm.stat="Ready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DLR",IF(AND(_xlpm.actRS&gt;0,_xlpm.actDone&lt;_xlpm.actRS),"Training",IF(_xlpm.actRS&gt;0,"Active",IF(AND(_xlpm.decC&gt;0,_xlpm.inPlay+_xlpm.actC=0),"Dead",IF(AND($AJ285&lt;&gt;"",$AK285=FALSE),"Waiting on Dealer",IF(_xlpm.subC&gt;0,"Waiting on Lender",IF(AND(_xlpm.appC+_xlpm.actC&gt;0,_xlpm.nsC+_xlpm.wdC=0),"Rate Sheet","Application Submitted")))))))))</f>
        <v/>
      </c>
      <c r="M285" s="87"/>
      <c r="N285" s="87"/>
      <c r="O285" s="197"/>
      <c r="P285" s="87" t="str">
        <f>IF($A285="","",IF($AK285=TRUE,"Ready 2 Submit","Waiting on Dealer"))</f>
        <v/>
      </c>
      <c r="Q285" s="148"/>
      <c r="R285" s="87"/>
      <c r="S285" s="87"/>
      <c r="T285" s="87" t="str">
        <f>IF($A285="","",IF($AK285=TRUE,"Ready 2 Submit","Waiting on Dealer"))</f>
        <v/>
      </c>
      <c r="U285" s="148"/>
      <c r="V285" s="87"/>
      <c r="W285" s="87"/>
      <c r="X285" s="87" t="str">
        <f>IF($A285="","",IF($AK285=TRUE,"Ready 2 Submit","Waiting on Dealer"))</f>
        <v/>
      </c>
      <c r="Y285" s="148"/>
      <c r="Z285" s="87"/>
      <c r="AA285" s="87"/>
      <c r="AB285" s="87" t="str">
        <f>IF($A285="","",IF($AK285=TRUE,"Ready 2 Submit","Waiting on Dealer"))</f>
        <v/>
      </c>
      <c r="AC285" s="148"/>
      <c r="AD285" s="87"/>
      <c r="AE285" s="87"/>
      <c r="AF285" s="87" t="str">
        <f>IF($A285="","",IF($AK285=TRUE,"Ready 2 Submit","Waiting on Dealer"))</f>
        <v/>
      </c>
      <c r="AG285" s="148"/>
      <c r="AH285" s="87"/>
      <c r="AI285" s="87"/>
      <c r="AJ285" s="197"/>
      <c r="AK285" s="110" t="b">
        <v>0</v>
      </c>
      <c r="AL285" s="87" t="str" cm="1">
        <f t="array" ref="AL285">IF($A285="","",SUMPRODUCT((CHOOSE({1,2,3,4,5},$R285,$V285,$Z285,$AD285,$AH285)="Yes")*(((CHOOSE({1,2,3,4,5},$S285,$W285,$AA285,$AE285,$AI285)="Yes")+(CHOOSE({1,2,3,4,5},$S285,$W285,$AA285,$AE285,$AI285)=TRUE))&gt;0)))</f>
        <v/>
      </c>
      <c r="AM285" s="87"/>
      <c r="AN285" s="87" t="str">
        <f ca="1">IF(OR($A285="",$AM285=""),"",TODAY()-$AM285)</f>
        <v/>
      </c>
      <c r="AO285" s="87"/>
      <c r="AP285" s="106"/>
      <c r="AQ285" s="106"/>
      <c r="AR285" s="106"/>
      <c r="AS285" s="106"/>
      <c r="AT285" s="106"/>
      <c r="AU285" s="106"/>
      <c r="AV285" s="106"/>
      <c r="AW285" s="106"/>
      <c r="AX285" s="106"/>
      <c r="AY285" s="106"/>
    </row>
    <row r="286" spans="1:51" s="20" customFormat="1" ht="21" customHeight="1">
      <c r="A286" s="197"/>
      <c r="B286" s="87"/>
      <c r="C286" s="87"/>
      <c r="D286" s="196"/>
      <c r="E286" s="108"/>
      <c r="F286" s="196"/>
      <c r="G286" s="87"/>
      <c r="H286" s="197"/>
      <c r="I286" s="89"/>
      <c r="J286" s="204"/>
      <c r="K286" s="87"/>
      <c r="L286" s="87" t="str" cm="1">
        <f t="array" ref="L286">IF($A286="","",_xlfn.LET(_xlpm.stat,CHOOSE({1,2,3,4,5},$P286,$T286,$X286,$AB286,$AF286),_xlpm.rate,CHOOSE({1,2,3,4,5},$R286,$V286,$Z286,$AD286,$AH286),_xlpm.trn,CHOOSE({1,2,3,4,5},$S286,$W286,$AA286,$AE286,$AI286),_xlpm.nsC,SUMPRODUCT(--(_xlpm.stat="Ready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DLR",IF(AND(_xlpm.actRS&gt;0,_xlpm.actDone&lt;_xlpm.actRS),"Training",IF(_xlpm.actRS&gt;0,"Active",IF(AND(_xlpm.decC&gt;0,_xlpm.inPlay+_xlpm.actC=0),"Dead",IF(AND($AJ286&lt;&gt;"",$AK286=FALSE),"Waiting on Dealer",IF(_xlpm.subC&gt;0,"Waiting on Lender",IF(AND(_xlpm.appC+_xlpm.actC&gt;0,_xlpm.nsC+_xlpm.wdC=0),"Rate Sheet","Application Submitted")))))))))</f>
        <v/>
      </c>
      <c r="M286" s="87"/>
      <c r="N286" s="87"/>
      <c r="O286" s="197"/>
      <c r="P286" s="87" t="str">
        <f>IF($A286="","",IF($AK286=TRUE,"Ready 2 Submit","Waiting on Dealer"))</f>
        <v/>
      </c>
      <c r="Q286" s="148"/>
      <c r="R286" s="87"/>
      <c r="S286" s="87"/>
      <c r="T286" s="87" t="str">
        <f>IF($A286="","",IF($AK286=TRUE,"Ready 2 Submit","Waiting on Dealer"))</f>
        <v/>
      </c>
      <c r="U286" s="148"/>
      <c r="V286" s="87"/>
      <c r="W286" s="87"/>
      <c r="X286" s="87" t="str">
        <f>IF($A286="","",IF($AK286=TRUE,"Ready 2 Submit","Waiting on Dealer"))</f>
        <v/>
      </c>
      <c r="Y286" s="148"/>
      <c r="Z286" s="87"/>
      <c r="AA286" s="87"/>
      <c r="AB286" s="87" t="str">
        <f>IF($A286="","",IF($AK286=TRUE,"Ready 2 Submit","Waiting on Dealer"))</f>
        <v/>
      </c>
      <c r="AC286" s="148"/>
      <c r="AD286" s="87"/>
      <c r="AE286" s="87"/>
      <c r="AF286" s="87" t="str">
        <f>IF($A286="","",IF($AK286=TRUE,"Ready 2 Submit","Waiting on Dealer"))</f>
        <v/>
      </c>
      <c r="AG286" s="148"/>
      <c r="AH286" s="87"/>
      <c r="AI286" s="87"/>
      <c r="AJ286" s="197"/>
      <c r="AK286" s="110" t="b">
        <v>0</v>
      </c>
      <c r="AL286" s="87" t="str" cm="1">
        <f t="array" ref="AL286">IF($A286="","",SUMPRODUCT((CHOOSE({1,2,3,4,5},$R286,$V286,$Z286,$AD286,$AH286)="Yes")*(((CHOOSE({1,2,3,4,5},$S286,$W286,$AA286,$AE286,$AI286)="Yes")+(CHOOSE({1,2,3,4,5},$S286,$W286,$AA286,$AE286,$AI286)=TRUE))&gt;0)))</f>
        <v/>
      </c>
      <c r="AM286" s="87"/>
      <c r="AN286" s="87" t="str">
        <f ca="1">IF(OR($A286="",$AM286=""),"",TODAY()-$AM286)</f>
        <v/>
      </c>
      <c r="AO286" s="87"/>
      <c r="AP286" s="106"/>
      <c r="AQ286" s="106"/>
      <c r="AR286" s="106"/>
      <c r="AS286" s="106"/>
      <c r="AT286" s="106"/>
      <c r="AU286" s="106"/>
      <c r="AV286" s="106"/>
      <c r="AW286" s="106"/>
      <c r="AX286" s="106"/>
      <c r="AY286" s="106"/>
    </row>
    <row r="287" spans="1:51" s="20" customFormat="1" ht="21" customHeight="1">
      <c r="A287" s="197"/>
      <c r="B287" s="87"/>
      <c r="C287" s="87"/>
      <c r="D287" s="196"/>
      <c r="E287" s="108"/>
      <c r="F287" s="196"/>
      <c r="G287" s="87"/>
      <c r="H287" s="197"/>
      <c r="I287" s="89"/>
      <c r="J287" s="204"/>
      <c r="K287" s="87"/>
      <c r="L287" s="87" t="str" cm="1">
        <f t="array" ref="L287">IF($A287="","",_xlfn.LET(_xlpm.stat,CHOOSE({1,2,3,4,5},$P287,$T287,$X287,$AB287,$AF287),_xlpm.rate,CHOOSE({1,2,3,4,5},$R287,$V287,$Z287,$AD287,$AH287),_xlpm.trn,CHOOSE({1,2,3,4,5},$S287,$W287,$AA287,$AE287,$AI287),_xlpm.nsC,SUMPRODUCT(--(_xlpm.stat="Ready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DLR",IF(AND(_xlpm.actRS&gt;0,_xlpm.actDone&lt;_xlpm.actRS),"Training",IF(_xlpm.actRS&gt;0,"Active",IF(AND(_xlpm.decC&gt;0,_xlpm.inPlay+_xlpm.actC=0),"Dead",IF(AND($AJ287&lt;&gt;"",$AK287=FALSE),"Waiting on Dealer",IF(_xlpm.subC&gt;0,"Waiting on Lender",IF(AND(_xlpm.appC+_xlpm.actC&gt;0,_xlpm.nsC+_xlpm.wdC=0),"Rate Sheet","Application Submitted")))))))))</f>
        <v/>
      </c>
      <c r="M287" s="87"/>
      <c r="N287" s="87"/>
      <c r="O287" s="197"/>
      <c r="P287" s="87" t="str">
        <f>IF($A287="","",IF($AK287=TRUE,"Ready 2 Submit","Waiting on Dealer"))</f>
        <v/>
      </c>
      <c r="Q287" s="148"/>
      <c r="R287" s="87"/>
      <c r="S287" s="87"/>
      <c r="T287" s="87" t="str">
        <f>IF($A287="","",IF($AK287=TRUE,"Ready 2 Submit","Waiting on Dealer"))</f>
        <v/>
      </c>
      <c r="U287" s="148"/>
      <c r="V287" s="87"/>
      <c r="W287" s="87"/>
      <c r="X287" s="87" t="str">
        <f>IF($A287="","",IF($AK287=TRUE,"Ready 2 Submit","Waiting on Dealer"))</f>
        <v/>
      </c>
      <c r="Y287" s="148"/>
      <c r="Z287" s="87"/>
      <c r="AA287" s="87"/>
      <c r="AB287" s="87" t="str">
        <f>IF($A287="","",IF($AK287=TRUE,"Ready 2 Submit","Waiting on Dealer"))</f>
        <v/>
      </c>
      <c r="AC287" s="148"/>
      <c r="AD287" s="87"/>
      <c r="AE287" s="87"/>
      <c r="AF287" s="87" t="str">
        <f>IF($A287="","",IF($AK287=TRUE,"Ready 2 Submit","Waiting on Dealer"))</f>
        <v/>
      </c>
      <c r="AG287" s="148"/>
      <c r="AH287" s="87"/>
      <c r="AI287" s="87"/>
      <c r="AJ287" s="197"/>
      <c r="AK287" s="110" t="b">
        <v>0</v>
      </c>
      <c r="AL287" s="87" t="str" cm="1">
        <f t="array" ref="AL287">IF($A287="","",SUMPRODUCT((CHOOSE({1,2,3,4,5},$R287,$V287,$Z287,$AD287,$AH287)="Yes")*(((CHOOSE({1,2,3,4,5},$S287,$W287,$AA287,$AE287,$AI287)="Yes")+(CHOOSE({1,2,3,4,5},$S287,$W287,$AA287,$AE287,$AI287)=TRUE))&gt;0)))</f>
        <v/>
      </c>
      <c r="AM287" s="87"/>
      <c r="AN287" s="87" t="str">
        <f ca="1">IF(OR($A287="",$AM287=""),"",TODAY()-$AM287)</f>
        <v/>
      </c>
      <c r="AO287" s="87"/>
      <c r="AP287" s="106"/>
      <c r="AQ287" s="106"/>
      <c r="AR287" s="106"/>
      <c r="AS287" s="106"/>
      <c r="AT287" s="106"/>
      <c r="AU287" s="106"/>
      <c r="AV287" s="106"/>
      <c r="AW287" s="106"/>
      <c r="AX287" s="106"/>
      <c r="AY287" s="106"/>
    </row>
    <row r="288" spans="1:51" s="20" customFormat="1" ht="21" customHeight="1">
      <c r="A288" s="197"/>
      <c r="B288" s="87"/>
      <c r="C288" s="87"/>
      <c r="D288" s="196"/>
      <c r="E288" s="108"/>
      <c r="F288" s="196"/>
      <c r="G288" s="87"/>
      <c r="H288" s="197"/>
      <c r="I288" s="89"/>
      <c r="J288" s="204"/>
      <c r="K288" s="87"/>
      <c r="L288" s="87" t="str" cm="1">
        <f t="array" ref="L288">IF($A288="","",_xlfn.LET(_xlpm.stat,CHOOSE({1,2,3,4,5},$P288,$T288,$X288,$AB288,$AF288),_xlpm.rate,CHOOSE({1,2,3,4,5},$R288,$V288,$Z288,$AD288,$AH288),_xlpm.trn,CHOOSE({1,2,3,4,5},$S288,$W288,$AA288,$AE288,$AI288),_xlpm.nsC,SUMPRODUCT(--(_xlpm.stat="Ready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DLR",IF(AND(_xlpm.actRS&gt;0,_xlpm.actDone&lt;_xlpm.actRS),"Training",IF(_xlpm.actRS&gt;0,"Active",IF(AND(_xlpm.decC&gt;0,_xlpm.inPlay+_xlpm.actC=0),"Dead",IF(AND($AJ288&lt;&gt;"",$AK288=FALSE),"Waiting on Dealer",IF(_xlpm.subC&gt;0,"Waiting on Lender",IF(AND(_xlpm.appC+_xlpm.actC&gt;0,_xlpm.nsC+_xlpm.wdC=0),"Rate Sheet","Application Submitted")))))))))</f>
        <v/>
      </c>
      <c r="M288" s="87"/>
      <c r="N288" s="87"/>
      <c r="O288" s="197"/>
      <c r="P288" s="87" t="str">
        <f>IF($A288="","",IF($AK288=TRUE,"Ready 2 Submit","Waiting on Dealer"))</f>
        <v/>
      </c>
      <c r="Q288" s="148"/>
      <c r="R288" s="87"/>
      <c r="S288" s="87"/>
      <c r="T288" s="87" t="str">
        <f>IF($A288="","",IF($AK288=TRUE,"Ready 2 Submit","Waiting on Dealer"))</f>
        <v/>
      </c>
      <c r="U288" s="148"/>
      <c r="V288" s="87"/>
      <c r="W288" s="87"/>
      <c r="X288" s="87" t="str">
        <f>IF($A288="","",IF($AK288=TRUE,"Ready 2 Submit","Waiting on Dealer"))</f>
        <v/>
      </c>
      <c r="Y288" s="148"/>
      <c r="Z288" s="87"/>
      <c r="AA288" s="87"/>
      <c r="AB288" s="87" t="str">
        <f>IF($A288="","",IF($AK288=TRUE,"Ready 2 Submit","Waiting on Dealer"))</f>
        <v/>
      </c>
      <c r="AC288" s="148"/>
      <c r="AD288" s="87"/>
      <c r="AE288" s="87"/>
      <c r="AF288" s="87" t="str">
        <f>IF($A288="","",IF($AK288=TRUE,"Ready 2 Submit","Waiting on Dealer"))</f>
        <v/>
      </c>
      <c r="AG288" s="148"/>
      <c r="AH288" s="87"/>
      <c r="AI288" s="87"/>
      <c r="AJ288" s="197"/>
      <c r="AK288" s="110" t="b">
        <v>0</v>
      </c>
      <c r="AL288" s="87" t="str" cm="1">
        <f t="array" ref="AL288">IF($A288="","",SUMPRODUCT((CHOOSE({1,2,3,4,5},$R288,$V288,$Z288,$AD288,$AH288)="Yes")*(((CHOOSE({1,2,3,4,5},$S288,$W288,$AA288,$AE288,$AI288)="Yes")+(CHOOSE({1,2,3,4,5},$S288,$W288,$AA288,$AE288,$AI288)=TRUE))&gt;0)))</f>
        <v/>
      </c>
      <c r="AM288" s="87"/>
      <c r="AN288" s="87" t="str">
        <f ca="1">IF(OR($A288="",$AM288=""),"",TODAY()-$AM288)</f>
        <v/>
      </c>
      <c r="AO288" s="87"/>
      <c r="AP288" s="106"/>
      <c r="AQ288" s="106"/>
      <c r="AR288" s="106"/>
      <c r="AS288" s="106"/>
      <c r="AT288" s="106"/>
      <c r="AU288" s="106"/>
      <c r="AV288" s="106"/>
      <c r="AW288" s="106"/>
      <c r="AX288" s="106"/>
      <c r="AY288" s="106"/>
    </row>
    <row r="289" spans="1:51" s="20" customFormat="1" ht="21" customHeight="1">
      <c r="A289" s="197"/>
      <c r="B289" s="87"/>
      <c r="C289" s="87"/>
      <c r="D289" s="196"/>
      <c r="E289" s="108"/>
      <c r="F289" s="196"/>
      <c r="G289" s="87"/>
      <c r="H289" s="197"/>
      <c r="I289" s="89"/>
      <c r="J289" s="204"/>
      <c r="K289" s="87"/>
      <c r="L289" s="87" t="str" cm="1">
        <f t="array" ref="L289">IF($A289="","",_xlfn.LET(_xlpm.stat,CHOOSE({1,2,3,4,5},$P289,$T289,$X289,$AB289,$AF289),_xlpm.rate,CHOOSE({1,2,3,4,5},$R289,$V289,$Z289,$AD289,$AH289),_xlpm.trn,CHOOSE({1,2,3,4,5},$S289,$W289,$AA289,$AE289,$AI289),_xlpm.nsC,SUMPRODUCT(--(_xlpm.stat="Ready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DLR",IF(AND(_xlpm.actRS&gt;0,_xlpm.actDone&lt;_xlpm.actRS),"Training",IF(_xlpm.actRS&gt;0,"Active",IF(AND(_xlpm.decC&gt;0,_xlpm.inPlay+_xlpm.actC=0),"Dead",IF(AND($AJ289&lt;&gt;"",$AK289=FALSE),"Waiting on Dealer",IF(_xlpm.subC&gt;0,"Waiting on Lender",IF(AND(_xlpm.appC+_xlpm.actC&gt;0,_xlpm.nsC+_xlpm.wdC=0),"Rate Sheet","Application Submitted")))))))))</f>
        <v/>
      </c>
      <c r="M289" s="87"/>
      <c r="N289" s="87"/>
      <c r="O289" s="197"/>
      <c r="P289" s="87" t="str">
        <f>IF($A289="","",IF($AK289=TRUE,"Ready 2 Submit","Waiting on Dealer"))</f>
        <v/>
      </c>
      <c r="Q289" s="148"/>
      <c r="R289" s="87"/>
      <c r="S289" s="87"/>
      <c r="T289" s="87" t="str">
        <f>IF($A289="","",IF($AK289=TRUE,"Ready 2 Submit","Waiting on Dealer"))</f>
        <v/>
      </c>
      <c r="U289" s="148"/>
      <c r="V289" s="87"/>
      <c r="W289" s="87"/>
      <c r="X289" s="87" t="str">
        <f>IF($A289="","",IF($AK289=TRUE,"Ready 2 Submit","Waiting on Dealer"))</f>
        <v/>
      </c>
      <c r="Y289" s="148"/>
      <c r="Z289" s="87"/>
      <c r="AA289" s="87"/>
      <c r="AB289" s="87" t="str">
        <f>IF($A289="","",IF($AK289=TRUE,"Ready 2 Submit","Waiting on Dealer"))</f>
        <v/>
      </c>
      <c r="AC289" s="148"/>
      <c r="AD289" s="87"/>
      <c r="AE289" s="87"/>
      <c r="AF289" s="87" t="str">
        <f>IF($A289="","",IF($AK289=TRUE,"Ready 2 Submit","Waiting on Dealer"))</f>
        <v/>
      </c>
      <c r="AG289" s="148"/>
      <c r="AH289" s="87"/>
      <c r="AI289" s="87"/>
      <c r="AJ289" s="197"/>
      <c r="AK289" s="110" t="b">
        <v>0</v>
      </c>
      <c r="AL289" s="87" t="str" cm="1">
        <f t="array" ref="AL289">IF($A289="","",SUMPRODUCT((CHOOSE({1,2,3,4,5},$R289,$V289,$Z289,$AD289,$AH289)="Yes")*(((CHOOSE({1,2,3,4,5},$S289,$W289,$AA289,$AE289,$AI289)="Yes")+(CHOOSE({1,2,3,4,5},$S289,$W289,$AA289,$AE289,$AI289)=TRUE))&gt;0)))</f>
        <v/>
      </c>
      <c r="AM289" s="87"/>
      <c r="AN289" s="87" t="str">
        <f ca="1">IF(OR($A289="",$AM289=""),"",TODAY()-$AM289)</f>
        <v/>
      </c>
      <c r="AO289" s="87"/>
      <c r="AP289" s="106"/>
      <c r="AQ289" s="106"/>
      <c r="AR289" s="106"/>
      <c r="AS289" s="106"/>
      <c r="AT289" s="106"/>
      <c r="AU289" s="106"/>
      <c r="AV289" s="106"/>
      <c r="AW289" s="106"/>
      <c r="AX289" s="106"/>
      <c r="AY289" s="106"/>
    </row>
    <row r="290" spans="1:51" s="20" customFormat="1" ht="21" customHeight="1">
      <c r="A290" s="197"/>
      <c r="B290" s="87"/>
      <c r="C290" s="87"/>
      <c r="D290" s="196"/>
      <c r="E290" s="108"/>
      <c r="F290" s="196"/>
      <c r="G290" s="87"/>
      <c r="H290" s="197"/>
      <c r="I290" s="89"/>
      <c r="J290" s="204"/>
      <c r="K290" s="87"/>
      <c r="L290" s="87" t="str" cm="1">
        <f t="array" ref="L290">IF($A290="","",_xlfn.LET(_xlpm.stat,CHOOSE({1,2,3,4,5},$P290,$T290,$X290,$AB290,$AF290),_xlpm.rate,CHOOSE({1,2,3,4,5},$R290,$V290,$Z290,$AD290,$AH290),_xlpm.trn,CHOOSE({1,2,3,4,5},$S290,$W290,$AA290,$AE290,$AI290),_xlpm.nsC,SUMPRODUCT(--(_xlpm.stat="Ready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DLR",IF(AND(_xlpm.actRS&gt;0,_xlpm.actDone&lt;_xlpm.actRS),"Training",IF(_xlpm.actRS&gt;0,"Active",IF(AND(_xlpm.decC&gt;0,_xlpm.inPlay+_xlpm.actC=0),"Dead",IF(AND($AJ290&lt;&gt;"",$AK290=FALSE),"Waiting on Dealer",IF(_xlpm.subC&gt;0,"Waiting on Lender",IF(AND(_xlpm.appC+_xlpm.actC&gt;0,_xlpm.nsC+_xlpm.wdC=0),"Rate Sheet","Application Submitted")))))))))</f>
        <v/>
      </c>
      <c r="M290" s="87"/>
      <c r="N290" s="87"/>
      <c r="O290" s="197"/>
      <c r="P290" s="87" t="str">
        <f>IF($A290="","",IF($AK290=TRUE,"Ready 2 Submit","Waiting on Dealer"))</f>
        <v/>
      </c>
      <c r="Q290" s="148"/>
      <c r="R290" s="87"/>
      <c r="S290" s="87"/>
      <c r="T290" s="87" t="str">
        <f>IF($A290="","",IF($AK290=TRUE,"Ready 2 Submit","Waiting on Dealer"))</f>
        <v/>
      </c>
      <c r="U290" s="148"/>
      <c r="V290" s="87"/>
      <c r="W290" s="87"/>
      <c r="X290" s="87" t="str">
        <f>IF($A290="","",IF($AK290=TRUE,"Ready 2 Submit","Waiting on Dealer"))</f>
        <v/>
      </c>
      <c r="Y290" s="148"/>
      <c r="Z290" s="87"/>
      <c r="AA290" s="87"/>
      <c r="AB290" s="87" t="str">
        <f>IF($A290="","",IF($AK290=TRUE,"Ready 2 Submit","Waiting on Dealer"))</f>
        <v/>
      </c>
      <c r="AC290" s="148"/>
      <c r="AD290" s="87"/>
      <c r="AE290" s="87"/>
      <c r="AF290" s="87" t="str">
        <f>IF($A290="","",IF($AK290=TRUE,"Ready 2 Submit","Waiting on Dealer"))</f>
        <v/>
      </c>
      <c r="AG290" s="148"/>
      <c r="AH290" s="87"/>
      <c r="AI290" s="87"/>
      <c r="AJ290" s="197"/>
      <c r="AK290" s="110" t="b">
        <v>0</v>
      </c>
      <c r="AL290" s="87" t="str" cm="1">
        <f t="array" ref="AL290">IF($A290="","",SUMPRODUCT((CHOOSE({1,2,3,4,5},$R290,$V290,$Z290,$AD290,$AH290)="Yes")*(((CHOOSE({1,2,3,4,5},$S290,$W290,$AA290,$AE290,$AI290)="Yes")+(CHOOSE({1,2,3,4,5},$S290,$W290,$AA290,$AE290,$AI290)=TRUE))&gt;0)))</f>
        <v/>
      </c>
      <c r="AM290" s="87"/>
      <c r="AN290" s="87" t="str">
        <f ca="1">IF(OR($A290="",$AM290=""),"",TODAY()-$AM290)</f>
        <v/>
      </c>
      <c r="AO290" s="87"/>
      <c r="AP290" s="106"/>
      <c r="AQ290" s="106"/>
      <c r="AR290" s="106"/>
      <c r="AS290" s="106"/>
      <c r="AT290" s="106"/>
      <c r="AU290" s="106"/>
      <c r="AV290" s="106"/>
      <c r="AW290" s="106"/>
      <c r="AX290" s="106"/>
      <c r="AY290" s="106"/>
    </row>
    <row r="291" spans="1:51" s="20" customFormat="1" ht="21" customHeight="1">
      <c r="A291" s="197"/>
      <c r="B291" s="87"/>
      <c r="C291" s="87"/>
      <c r="D291" s="196"/>
      <c r="E291" s="108"/>
      <c r="F291" s="196"/>
      <c r="G291" s="87"/>
      <c r="H291" s="197"/>
      <c r="I291" s="89"/>
      <c r="J291" s="204"/>
      <c r="K291" s="87"/>
      <c r="L291" s="87" t="str" cm="1">
        <f t="array" ref="L291">IF($A291="","",_xlfn.LET(_xlpm.stat,CHOOSE({1,2,3,4,5},$P291,$T291,$X291,$AB291,$AF291),_xlpm.rate,CHOOSE({1,2,3,4,5},$R291,$V291,$Z291,$AD291,$AH291),_xlpm.trn,CHOOSE({1,2,3,4,5},$S291,$W291,$AA291,$AE291,$AI291),_xlpm.nsC,SUMPRODUCT(--(_xlpm.stat="Ready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DLR",IF(AND(_xlpm.actRS&gt;0,_xlpm.actDone&lt;_xlpm.actRS),"Training",IF(_xlpm.actRS&gt;0,"Active",IF(AND(_xlpm.decC&gt;0,_xlpm.inPlay+_xlpm.actC=0),"Dead",IF(AND($AJ291&lt;&gt;"",$AK291=FALSE),"Waiting on Dealer",IF(_xlpm.subC&gt;0,"Waiting on Lender",IF(AND(_xlpm.appC+_xlpm.actC&gt;0,_xlpm.nsC+_xlpm.wdC=0),"Rate Sheet","Application Submitted")))))))))</f>
        <v/>
      </c>
      <c r="M291" s="87"/>
      <c r="N291" s="87"/>
      <c r="O291" s="197"/>
      <c r="P291" s="87" t="str">
        <f>IF($A291="","",IF($AK291=TRUE,"Ready 2 Submit","Waiting on Dealer"))</f>
        <v/>
      </c>
      <c r="Q291" s="148"/>
      <c r="R291" s="87"/>
      <c r="S291" s="87"/>
      <c r="T291" s="87" t="str">
        <f>IF($A291="","",IF($AK291=TRUE,"Ready 2 Submit","Waiting on Dealer"))</f>
        <v/>
      </c>
      <c r="U291" s="148"/>
      <c r="V291" s="87"/>
      <c r="W291" s="87"/>
      <c r="X291" s="87" t="str">
        <f>IF($A291="","",IF($AK291=TRUE,"Ready 2 Submit","Waiting on Dealer"))</f>
        <v/>
      </c>
      <c r="Y291" s="148"/>
      <c r="Z291" s="87"/>
      <c r="AA291" s="87"/>
      <c r="AB291" s="87" t="str">
        <f>IF($A291="","",IF($AK291=TRUE,"Ready 2 Submit","Waiting on Dealer"))</f>
        <v/>
      </c>
      <c r="AC291" s="148"/>
      <c r="AD291" s="87"/>
      <c r="AE291" s="87"/>
      <c r="AF291" s="87" t="str">
        <f>IF($A291="","",IF($AK291=TRUE,"Ready 2 Submit","Waiting on Dealer"))</f>
        <v/>
      </c>
      <c r="AG291" s="148"/>
      <c r="AH291" s="87"/>
      <c r="AI291" s="87"/>
      <c r="AJ291" s="197"/>
      <c r="AK291" s="110" t="b">
        <v>0</v>
      </c>
      <c r="AL291" s="87" t="str" cm="1">
        <f t="array" ref="AL291">IF($A291="","",SUMPRODUCT((CHOOSE({1,2,3,4,5},$R291,$V291,$Z291,$AD291,$AH291)="Yes")*(((CHOOSE({1,2,3,4,5},$S291,$W291,$AA291,$AE291,$AI291)="Yes")+(CHOOSE({1,2,3,4,5},$S291,$W291,$AA291,$AE291,$AI291)=TRUE))&gt;0)))</f>
        <v/>
      </c>
      <c r="AM291" s="87"/>
      <c r="AN291" s="87" t="str">
        <f ca="1">IF(OR($A291="",$AM291=""),"",TODAY()-$AM291)</f>
        <v/>
      </c>
      <c r="AO291" s="87"/>
      <c r="AP291" s="106"/>
      <c r="AQ291" s="106"/>
      <c r="AR291" s="106"/>
      <c r="AS291" s="106"/>
      <c r="AT291" s="106"/>
      <c r="AU291" s="106"/>
      <c r="AV291" s="106"/>
      <c r="AW291" s="106"/>
      <c r="AX291" s="106"/>
      <c r="AY291" s="106"/>
    </row>
    <row r="292" spans="1:51" s="20" customFormat="1" ht="21" customHeight="1">
      <c r="A292" s="197"/>
      <c r="B292" s="87"/>
      <c r="C292" s="87"/>
      <c r="D292" s="196"/>
      <c r="E292" s="108"/>
      <c r="F292" s="196"/>
      <c r="G292" s="87"/>
      <c r="H292" s="197"/>
      <c r="I292" s="89"/>
      <c r="J292" s="204"/>
      <c r="K292" s="87"/>
      <c r="L292" s="87" t="str" cm="1">
        <f t="array" ref="L292">IF($A292="","",_xlfn.LET(_xlpm.stat,CHOOSE({1,2,3,4,5},$P292,$T292,$X292,$AB292,$AF292),_xlpm.rate,CHOOSE({1,2,3,4,5},$R292,$V292,$Z292,$AD292,$AH292),_xlpm.trn,CHOOSE({1,2,3,4,5},$S292,$W292,$AA292,$AE292,$AI292),_xlpm.nsC,SUMPRODUCT(--(_xlpm.stat="Ready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DLR",IF(AND(_xlpm.actRS&gt;0,_xlpm.actDone&lt;_xlpm.actRS),"Training",IF(_xlpm.actRS&gt;0,"Active",IF(AND(_xlpm.decC&gt;0,_xlpm.inPlay+_xlpm.actC=0),"Dead",IF(AND($AJ292&lt;&gt;"",$AK292=FALSE),"Waiting on Dealer",IF(_xlpm.subC&gt;0,"Waiting on Lender",IF(AND(_xlpm.appC+_xlpm.actC&gt;0,_xlpm.nsC+_xlpm.wdC=0),"Rate Sheet","Application Submitted")))))))))</f>
        <v/>
      </c>
      <c r="M292" s="87"/>
      <c r="N292" s="87"/>
      <c r="O292" s="197"/>
      <c r="P292" s="87" t="str">
        <f>IF($A292="","",IF($AK292=TRUE,"Ready 2 Submit","Waiting on Dealer"))</f>
        <v/>
      </c>
      <c r="Q292" s="148"/>
      <c r="R292" s="87"/>
      <c r="S292" s="87"/>
      <c r="T292" s="87" t="str">
        <f>IF($A292="","",IF($AK292=TRUE,"Ready 2 Submit","Waiting on Dealer"))</f>
        <v/>
      </c>
      <c r="U292" s="148"/>
      <c r="V292" s="87"/>
      <c r="W292" s="87"/>
      <c r="X292" s="87" t="str">
        <f>IF($A292="","",IF($AK292=TRUE,"Ready 2 Submit","Waiting on Dealer"))</f>
        <v/>
      </c>
      <c r="Y292" s="148"/>
      <c r="Z292" s="87"/>
      <c r="AA292" s="87"/>
      <c r="AB292" s="87" t="str">
        <f>IF($A292="","",IF($AK292=TRUE,"Ready 2 Submit","Waiting on Dealer"))</f>
        <v/>
      </c>
      <c r="AC292" s="148"/>
      <c r="AD292" s="87"/>
      <c r="AE292" s="87"/>
      <c r="AF292" s="87" t="str">
        <f>IF($A292="","",IF($AK292=TRUE,"Ready 2 Submit","Waiting on Dealer"))</f>
        <v/>
      </c>
      <c r="AG292" s="148"/>
      <c r="AH292" s="87"/>
      <c r="AI292" s="87"/>
      <c r="AJ292" s="197"/>
      <c r="AK292" s="110" t="b">
        <v>0</v>
      </c>
      <c r="AL292" s="87" t="str" cm="1">
        <f t="array" ref="AL292">IF($A292="","",SUMPRODUCT((CHOOSE({1,2,3,4,5},$R292,$V292,$Z292,$AD292,$AH292)="Yes")*(((CHOOSE({1,2,3,4,5},$S292,$W292,$AA292,$AE292,$AI292)="Yes")+(CHOOSE({1,2,3,4,5},$S292,$W292,$AA292,$AE292,$AI292)=TRUE))&gt;0)))</f>
        <v/>
      </c>
      <c r="AM292" s="87"/>
      <c r="AN292" s="87" t="str">
        <f ca="1">IF(OR($A292="",$AM292=""),"",TODAY()-$AM292)</f>
        <v/>
      </c>
      <c r="AO292" s="87"/>
      <c r="AP292" s="106"/>
      <c r="AQ292" s="106"/>
      <c r="AR292" s="106"/>
      <c r="AS292" s="106"/>
      <c r="AT292" s="106"/>
      <c r="AU292" s="106"/>
      <c r="AV292" s="106"/>
      <c r="AW292" s="106"/>
      <c r="AX292" s="106"/>
      <c r="AY292" s="106"/>
    </row>
    <row r="293" spans="1:51" s="20" customFormat="1" ht="21" customHeight="1">
      <c r="A293" s="197"/>
      <c r="B293" s="87"/>
      <c r="C293" s="87"/>
      <c r="D293" s="196"/>
      <c r="E293" s="108"/>
      <c r="F293" s="196"/>
      <c r="G293" s="87"/>
      <c r="H293" s="197"/>
      <c r="I293" s="89"/>
      <c r="J293" s="204"/>
      <c r="K293" s="87"/>
      <c r="L293" s="87" t="str" cm="1">
        <f t="array" ref="L293">IF($A293="","",_xlfn.LET(_xlpm.stat,CHOOSE({1,2,3,4,5},$P293,$T293,$X293,$AB293,$AF293),_xlpm.rate,CHOOSE({1,2,3,4,5},$R293,$V293,$Z293,$AD293,$AH293),_xlpm.trn,CHOOSE({1,2,3,4,5},$S293,$W293,$AA293,$AE293,$AI293),_xlpm.nsC,SUMPRODUCT(--(_xlpm.stat="Ready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DLR",IF(AND(_xlpm.actRS&gt;0,_xlpm.actDone&lt;_xlpm.actRS),"Training",IF(_xlpm.actRS&gt;0,"Active",IF(AND(_xlpm.decC&gt;0,_xlpm.inPlay+_xlpm.actC=0),"Dead",IF(AND($AJ293&lt;&gt;"",$AK293=FALSE),"Waiting on Dealer",IF(_xlpm.subC&gt;0,"Waiting on Lender",IF(AND(_xlpm.appC+_xlpm.actC&gt;0,_xlpm.nsC+_xlpm.wdC=0),"Rate Sheet","Application Submitted")))))))))</f>
        <v/>
      </c>
      <c r="M293" s="87"/>
      <c r="N293" s="87"/>
      <c r="O293" s="197"/>
      <c r="P293" s="87" t="str">
        <f>IF($A293="","",IF($AK293=TRUE,"Ready 2 Submit","Waiting on Dealer"))</f>
        <v/>
      </c>
      <c r="Q293" s="148"/>
      <c r="R293" s="87"/>
      <c r="S293" s="87"/>
      <c r="T293" s="87" t="str">
        <f>IF($A293="","",IF($AK293=TRUE,"Ready 2 Submit","Waiting on Dealer"))</f>
        <v/>
      </c>
      <c r="U293" s="148"/>
      <c r="V293" s="87"/>
      <c r="W293" s="87"/>
      <c r="X293" s="87" t="str">
        <f>IF($A293="","",IF($AK293=TRUE,"Ready 2 Submit","Waiting on Dealer"))</f>
        <v/>
      </c>
      <c r="Y293" s="148"/>
      <c r="Z293" s="87"/>
      <c r="AA293" s="87"/>
      <c r="AB293" s="87" t="str">
        <f>IF($A293="","",IF($AK293=TRUE,"Ready 2 Submit","Waiting on Dealer"))</f>
        <v/>
      </c>
      <c r="AC293" s="148"/>
      <c r="AD293" s="87"/>
      <c r="AE293" s="87"/>
      <c r="AF293" s="87" t="str">
        <f>IF($A293="","",IF($AK293=TRUE,"Ready 2 Submit","Waiting on Dealer"))</f>
        <v/>
      </c>
      <c r="AG293" s="148"/>
      <c r="AH293" s="87"/>
      <c r="AI293" s="87"/>
      <c r="AJ293" s="197"/>
      <c r="AK293" s="110" t="b">
        <v>0</v>
      </c>
      <c r="AL293" s="87" t="str" cm="1">
        <f t="array" ref="AL293">IF($A293="","",SUMPRODUCT((CHOOSE({1,2,3,4,5},$R293,$V293,$Z293,$AD293,$AH293)="Yes")*(((CHOOSE({1,2,3,4,5},$S293,$W293,$AA293,$AE293,$AI293)="Yes")+(CHOOSE({1,2,3,4,5},$S293,$W293,$AA293,$AE293,$AI293)=TRUE))&gt;0)))</f>
        <v/>
      </c>
      <c r="AM293" s="87"/>
      <c r="AN293" s="87" t="str">
        <f ca="1">IF(OR($A293="",$AM293=""),"",TODAY()-$AM293)</f>
        <v/>
      </c>
      <c r="AO293" s="87"/>
      <c r="AP293" s="106"/>
      <c r="AQ293" s="106"/>
      <c r="AR293" s="106"/>
      <c r="AS293" s="106"/>
      <c r="AT293" s="106"/>
      <c r="AU293" s="106"/>
      <c r="AV293" s="106"/>
      <c r="AW293" s="106"/>
      <c r="AX293" s="106"/>
      <c r="AY293" s="106"/>
    </row>
    <row r="294" spans="1:51" s="20" customFormat="1" ht="21" customHeight="1">
      <c r="A294" s="197"/>
      <c r="B294" s="87"/>
      <c r="C294" s="87"/>
      <c r="D294" s="196"/>
      <c r="E294" s="108"/>
      <c r="F294" s="196"/>
      <c r="G294" s="87"/>
      <c r="H294" s="197"/>
      <c r="I294" s="89"/>
      <c r="J294" s="204"/>
      <c r="K294" s="87"/>
      <c r="L294" s="87" t="str" cm="1">
        <f t="array" ref="L294">IF($A294="","",_xlfn.LET(_xlpm.stat,CHOOSE({1,2,3,4,5},$P294,$T294,$X294,$AB294,$AF294),_xlpm.rate,CHOOSE({1,2,3,4,5},$R294,$V294,$Z294,$AD294,$AH294),_xlpm.trn,CHOOSE({1,2,3,4,5},$S294,$W294,$AA294,$AE294,$AI294),_xlpm.nsC,SUMPRODUCT(--(_xlpm.stat="Ready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DLR",IF(AND(_xlpm.actRS&gt;0,_xlpm.actDone&lt;_xlpm.actRS),"Training",IF(_xlpm.actRS&gt;0,"Active",IF(AND(_xlpm.decC&gt;0,_xlpm.inPlay+_xlpm.actC=0),"Dead",IF(AND($AJ294&lt;&gt;"",$AK294=FALSE),"Waiting on Dealer",IF(_xlpm.subC&gt;0,"Waiting on Lender",IF(AND(_xlpm.appC+_xlpm.actC&gt;0,_xlpm.nsC+_xlpm.wdC=0),"Rate Sheet","Application Submitted")))))))))</f>
        <v/>
      </c>
      <c r="M294" s="87"/>
      <c r="N294" s="87"/>
      <c r="O294" s="197"/>
      <c r="P294" s="87" t="str">
        <f>IF($A294="","",IF($AK294=TRUE,"Ready 2 Submit","Waiting on Dealer"))</f>
        <v/>
      </c>
      <c r="Q294" s="148"/>
      <c r="R294" s="87"/>
      <c r="S294" s="87"/>
      <c r="T294" s="87" t="str">
        <f>IF($A294="","",IF($AK294=TRUE,"Ready 2 Submit","Waiting on Dealer"))</f>
        <v/>
      </c>
      <c r="U294" s="148"/>
      <c r="V294" s="87"/>
      <c r="W294" s="87"/>
      <c r="X294" s="87" t="str">
        <f>IF($A294="","",IF($AK294=TRUE,"Ready 2 Submit","Waiting on Dealer"))</f>
        <v/>
      </c>
      <c r="Y294" s="148"/>
      <c r="Z294" s="87"/>
      <c r="AA294" s="87"/>
      <c r="AB294" s="87" t="str">
        <f>IF($A294="","",IF($AK294=TRUE,"Ready 2 Submit","Waiting on Dealer"))</f>
        <v/>
      </c>
      <c r="AC294" s="148"/>
      <c r="AD294" s="87"/>
      <c r="AE294" s="87"/>
      <c r="AF294" s="87" t="str">
        <f>IF($A294="","",IF($AK294=TRUE,"Ready 2 Submit","Waiting on Dealer"))</f>
        <v/>
      </c>
      <c r="AG294" s="148"/>
      <c r="AH294" s="87"/>
      <c r="AI294" s="87"/>
      <c r="AJ294" s="197"/>
      <c r="AK294" s="110" t="b">
        <v>0</v>
      </c>
      <c r="AL294" s="87" t="str" cm="1">
        <f t="array" ref="AL294">IF($A294="","",SUMPRODUCT((CHOOSE({1,2,3,4,5},$R294,$V294,$Z294,$AD294,$AH294)="Yes")*(((CHOOSE({1,2,3,4,5},$S294,$W294,$AA294,$AE294,$AI294)="Yes")+(CHOOSE({1,2,3,4,5},$S294,$W294,$AA294,$AE294,$AI294)=TRUE))&gt;0)))</f>
        <v/>
      </c>
      <c r="AM294" s="87"/>
      <c r="AN294" s="87" t="str">
        <f ca="1">IF(OR($A294="",$AM294=""),"",TODAY()-$AM294)</f>
        <v/>
      </c>
      <c r="AO294" s="87"/>
      <c r="AP294" s="106"/>
      <c r="AQ294" s="106"/>
      <c r="AR294" s="106"/>
      <c r="AS294" s="106"/>
      <c r="AT294" s="106"/>
      <c r="AU294" s="106"/>
      <c r="AV294" s="106"/>
      <c r="AW294" s="106"/>
      <c r="AX294" s="106"/>
      <c r="AY294" s="106"/>
    </row>
    <row r="295" spans="1:51" s="20" customFormat="1" ht="21" customHeight="1">
      <c r="A295" s="197"/>
      <c r="B295" s="87"/>
      <c r="C295" s="87"/>
      <c r="D295" s="196"/>
      <c r="E295" s="108"/>
      <c r="F295" s="196"/>
      <c r="G295" s="87"/>
      <c r="H295" s="197"/>
      <c r="I295" s="89"/>
      <c r="J295" s="204"/>
      <c r="K295" s="87"/>
      <c r="L295" s="87" t="str" cm="1">
        <f t="array" ref="L295">IF($A295="","",_xlfn.LET(_xlpm.stat,CHOOSE({1,2,3,4,5},$P295,$T295,$X295,$AB295,$AF295),_xlpm.rate,CHOOSE({1,2,3,4,5},$R295,$V295,$Z295,$AD295,$AH295),_xlpm.trn,CHOOSE({1,2,3,4,5},$S295,$W295,$AA295,$AE295,$AI295),_xlpm.nsC,SUMPRODUCT(--(_xlpm.stat="Ready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DLR",IF(AND(_xlpm.actRS&gt;0,_xlpm.actDone&lt;_xlpm.actRS),"Training",IF(_xlpm.actRS&gt;0,"Active",IF(AND(_xlpm.decC&gt;0,_xlpm.inPlay+_xlpm.actC=0),"Dead",IF(AND($AJ295&lt;&gt;"",$AK295=FALSE),"Waiting on Dealer",IF(_xlpm.subC&gt;0,"Waiting on Lender",IF(AND(_xlpm.appC+_xlpm.actC&gt;0,_xlpm.nsC+_xlpm.wdC=0),"Rate Sheet","Application Submitted")))))))))</f>
        <v/>
      </c>
      <c r="M295" s="87"/>
      <c r="N295" s="87"/>
      <c r="O295" s="197"/>
      <c r="P295" s="87" t="str">
        <f>IF($A295="","",IF($AK295=TRUE,"Ready 2 Submit","Waiting on Dealer"))</f>
        <v/>
      </c>
      <c r="Q295" s="148"/>
      <c r="R295" s="87"/>
      <c r="S295" s="87"/>
      <c r="T295" s="87" t="str">
        <f>IF($A295="","",IF($AK295=TRUE,"Ready 2 Submit","Waiting on Dealer"))</f>
        <v/>
      </c>
      <c r="U295" s="148"/>
      <c r="V295" s="87"/>
      <c r="W295" s="87"/>
      <c r="X295" s="87" t="str">
        <f>IF($A295="","",IF($AK295=TRUE,"Ready 2 Submit","Waiting on Dealer"))</f>
        <v/>
      </c>
      <c r="Y295" s="148"/>
      <c r="Z295" s="87"/>
      <c r="AA295" s="87"/>
      <c r="AB295" s="87" t="str">
        <f>IF($A295="","",IF($AK295=TRUE,"Ready 2 Submit","Waiting on Dealer"))</f>
        <v/>
      </c>
      <c r="AC295" s="148"/>
      <c r="AD295" s="87"/>
      <c r="AE295" s="87"/>
      <c r="AF295" s="87" t="str">
        <f>IF($A295="","",IF($AK295=TRUE,"Ready 2 Submit","Waiting on Dealer"))</f>
        <v/>
      </c>
      <c r="AG295" s="148"/>
      <c r="AH295" s="87"/>
      <c r="AI295" s="87"/>
      <c r="AJ295" s="197"/>
      <c r="AK295" s="110" t="b">
        <v>0</v>
      </c>
      <c r="AL295" s="87" t="str" cm="1">
        <f t="array" ref="AL295">IF($A295="","",SUMPRODUCT((CHOOSE({1,2,3,4,5},$R295,$V295,$Z295,$AD295,$AH295)="Yes")*(((CHOOSE({1,2,3,4,5},$S295,$W295,$AA295,$AE295,$AI295)="Yes")+(CHOOSE({1,2,3,4,5},$S295,$W295,$AA295,$AE295,$AI295)=TRUE))&gt;0)))</f>
        <v/>
      </c>
      <c r="AM295" s="87"/>
      <c r="AN295" s="87" t="str">
        <f ca="1">IF(OR($A295="",$AM295=""),"",TODAY()-$AM295)</f>
        <v/>
      </c>
      <c r="AO295" s="87"/>
      <c r="AP295" s="106"/>
      <c r="AQ295" s="106"/>
      <c r="AR295" s="106"/>
      <c r="AS295" s="106"/>
      <c r="AT295" s="106"/>
      <c r="AU295" s="106"/>
      <c r="AV295" s="106"/>
      <c r="AW295" s="106"/>
      <c r="AX295" s="106"/>
      <c r="AY295" s="106"/>
    </row>
    <row r="296" spans="1:51" s="20" customFormat="1" ht="21" customHeight="1">
      <c r="A296" s="197"/>
      <c r="B296" s="87"/>
      <c r="C296" s="87"/>
      <c r="D296" s="196"/>
      <c r="E296" s="108"/>
      <c r="F296" s="196"/>
      <c r="G296" s="87"/>
      <c r="H296" s="197"/>
      <c r="I296" s="89"/>
      <c r="J296" s="204"/>
      <c r="K296" s="87"/>
      <c r="L296" s="87" t="str" cm="1">
        <f t="array" ref="L296">IF($A296="","",_xlfn.LET(_xlpm.stat,CHOOSE({1,2,3,4,5},$P296,$T296,$X296,$AB296,$AF296),_xlpm.rate,CHOOSE({1,2,3,4,5},$R296,$V296,$Z296,$AD296,$AH296),_xlpm.trn,CHOOSE({1,2,3,4,5},$S296,$W296,$AA296,$AE296,$AI296),_xlpm.nsC,SUMPRODUCT(--(_xlpm.stat="Ready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DLR",IF(AND(_xlpm.actRS&gt;0,_xlpm.actDone&lt;_xlpm.actRS),"Training",IF(_xlpm.actRS&gt;0,"Active",IF(AND(_xlpm.decC&gt;0,_xlpm.inPlay+_xlpm.actC=0),"Dead",IF(AND($AJ296&lt;&gt;"",$AK296=FALSE),"Waiting on Dealer",IF(_xlpm.subC&gt;0,"Waiting on Lender",IF(AND(_xlpm.appC+_xlpm.actC&gt;0,_xlpm.nsC+_xlpm.wdC=0),"Rate Sheet","Application Submitted")))))))))</f>
        <v/>
      </c>
      <c r="M296" s="87"/>
      <c r="N296" s="87"/>
      <c r="O296" s="197"/>
      <c r="P296" s="87" t="str">
        <f>IF($A296="","",IF($AK296=TRUE,"Ready 2 Submit","Waiting on Dealer"))</f>
        <v/>
      </c>
      <c r="Q296" s="148"/>
      <c r="R296" s="87"/>
      <c r="S296" s="87"/>
      <c r="T296" s="87" t="str">
        <f>IF($A296="","",IF($AK296=TRUE,"Ready 2 Submit","Waiting on Dealer"))</f>
        <v/>
      </c>
      <c r="U296" s="148"/>
      <c r="V296" s="87"/>
      <c r="W296" s="87"/>
      <c r="X296" s="87" t="str">
        <f>IF($A296="","",IF($AK296=TRUE,"Ready 2 Submit","Waiting on Dealer"))</f>
        <v/>
      </c>
      <c r="Y296" s="148"/>
      <c r="Z296" s="87"/>
      <c r="AA296" s="87"/>
      <c r="AB296" s="87" t="str">
        <f>IF($A296="","",IF($AK296=TRUE,"Ready 2 Submit","Waiting on Dealer"))</f>
        <v/>
      </c>
      <c r="AC296" s="148"/>
      <c r="AD296" s="87"/>
      <c r="AE296" s="87"/>
      <c r="AF296" s="87" t="str">
        <f>IF($A296="","",IF($AK296=TRUE,"Ready 2 Submit","Waiting on Dealer"))</f>
        <v/>
      </c>
      <c r="AG296" s="148"/>
      <c r="AH296" s="87"/>
      <c r="AI296" s="87"/>
      <c r="AJ296" s="197"/>
      <c r="AK296" s="110" t="b">
        <v>0</v>
      </c>
      <c r="AL296" s="87" t="str" cm="1">
        <f t="array" ref="AL296">IF($A296="","",SUMPRODUCT((CHOOSE({1,2,3,4,5},$R296,$V296,$Z296,$AD296,$AH296)="Yes")*(((CHOOSE({1,2,3,4,5},$S296,$W296,$AA296,$AE296,$AI296)="Yes")+(CHOOSE({1,2,3,4,5},$S296,$W296,$AA296,$AE296,$AI296)=TRUE))&gt;0)))</f>
        <v/>
      </c>
      <c r="AM296" s="87"/>
      <c r="AN296" s="87" t="str">
        <f ca="1">IF(OR($A296="",$AM296=""),"",TODAY()-$AM296)</f>
        <v/>
      </c>
      <c r="AO296" s="87"/>
      <c r="AP296" s="106"/>
      <c r="AQ296" s="106"/>
      <c r="AR296" s="106"/>
      <c r="AS296" s="106"/>
      <c r="AT296" s="106"/>
      <c r="AU296" s="106"/>
      <c r="AV296" s="106"/>
      <c r="AW296" s="106"/>
      <c r="AX296" s="106"/>
      <c r="AY296" s="106"/>
    </row>
    <row r="297" spans="1:51" s="20" customFormat="1" ht="21" customHeight="1">
      <c r="A297" s="197"/>
      <c r="B297" s="87"/>
      <c r="C297" s="87"/>
      <c r="D297" s="196"/>
      <c r="E297" s="108"/>
      <c r="F297" s="196"/>
      <c r="G297" s="87"/>
      <c r="H297" s="197"/>
      <c r="I297" s="89"/>
      <c r="J297" s="204"/>
      <c r="K297" s="87"/>
      <c r="L297" s="87" t="str" cm="1">
        <f t="array" ref="L297">IF($A297="","",_xlfn.LET(_xlpm.stat,CHOOSE({1,2,3,4,5},$P297,$T297,$X297,$AB297,$AF297),_xlpm.rate,CHOOSE({1,2,3,4,5},$R297,$V297,$Z297,$AD297,$AH297),_xlpm.trn,CHOOSE({1,2,3,4,5},$S297,$W297,$AA297,$AE297,$AI297),_xlpm.nsC,SUMPRODUCT(--(_xlpm.stat="Ready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DLR",IF(AND(_xlpm.actRS&gt;0,_xlpm.actDone&lt;_xlpm.actRS),"Training",IF(_xlpm.actRS&gt;0,"Active",IF(AND(_xlpm.decC&gt;0,_xlpm.inPlay+_xlpm.actC=0),"Dead",IF(AND($AJ297&lt;&gt;"",$AK297=FALSE),"Waiting on Dealer",IF(_xlpm.subC&gt;0,"Waiting on Lender",IF(AND(_xlpm.appC+_xlpm.actC&gt;0,_xlpm.nsC+_xlpm.wdC=0),"Rate Sheet","Application Submitted")))))))))</f>
        <v/>
      </c>
      <c r="M297" s="87"/>
      <c r="N297" s="87"/>
      <c r="O297" s="197"/>
      <c r="P297" s="87" t="str">
        <f>IF($A297="","",IF($AK297=TRUE,"Ready 2 Submit","Waiting on Dealer"))</f>
        <v/>
      </c>
      <c r="Q297" s="148"/>
      <c r="R297" s="87"/>
      <c r="S297" s="87"/>
      <c r="T297" s="87" t="str">
        <f>IF($A297="","",IF($AK297=TRUE,"Ready 2 Submit","Waiting on Dealer"))</f>
        <v/>
      </c>
      <c r="U297" s="148"/>
      <c r="V297" s="87"/>
      <c r="W297" s="87"/>
      <c r="X297" s="87" t="str">
        <f>IF($A297="","",IF($AK297=TRUE,"Ready 2 Submit","Waiting on Dealer"))</f>
        <v/>
      </c>
      <c r="Y297" s="148"/>
      <c r="Z297" s="87"/>
      <c r="AA297" s="87"/>
      <c r="AB297" s="87" t="str">
        <f>IF($A297="","",IF($AK297=TRUE,"Ready 2 Submit","Waiting on Dealer"))</f>
        <v/>
      </c>
      <c r="AC297" s="148"/>
      <c r="AD297" s="87"/>
      <c r="AE297" s="87"/>
      <c r="AF297" s="87" t="str">
        <f>IF($A297="","",IF($AK297=TRUE,"Ready 2 Submit","Waiting on Dealer"))</f>
        <v/>
      </c>
      <c r="AG297" s="148"/>
      <c r="AH297" s="87"/>
      <c r="AI297" s="87"/>
      <c r="AJ297" s="197"/>
      <c r="AK297" s="110" t="b">
        <v>0</v>
      </c>
      <c r="AL297" s="87" t="str" cm="1">
        <f t="array" ref="AL297">IF($A297="","",SUMPRODUCT((CHOOSE({1,2,3,4,5},$R297,$V297,$Z297,$AD297,$AH297)="Yes")*(((CHOOSE({1,2,3,4,5},$S297,$W297,$AA297,$AE297,$AI297)="Yes")+(CHOOSE({1,2,3,4,5},$S297,$W297,$AA297,$AE297,$AI297)=TRUE))&gt;0)))</f>
        <v/>
      </c>
      <c r="AM297" s="87"/>
      <c r="AN297" s="87" t="str">
        <f ca="1">IF(OR($A297="",$AM297=""),"",TODAY()-$AM297)</f>
        <v/>
      </c>
      <c r="AO297" s="87"/>
      <c r="AP297" s="106"/>
      <c r="AQ297" s="106"/>
      <c r="AR297" s="106"/>
      <c r="AS297" s="106"/>
      <c r="AT297" s="106"/>
      <c r="AU297" s="106"/>
      <c r="AV297" s="106"/>
      <c r="AW297" s="106"/>
      <c r="AX297" s="106"/>
      <c r="AY297" s="106"/>
    </row>
    <row r="298" spans="1:51" s="20" customFormat="1" ht="21" customHeight="1">
      <c r="A298" s="197"/>
      <c r="B298" s="87"/>
      <c r="C298" s="87"/>
      <c r="D298" s="196"/>
      <c r="E298" s="108"/>
      <c r="F298" s="196"/>
      <c r="G298" s="87"/>
      <c r="H298" s="197"/>
      <c r="I298" s="89"/>
      <c r="J298" s="204"/>
      <c r="K298" s="87"/>
      <c r="L298" s="87" t="str" cm="1">
        <f t="array" ref="L298">IF($A298="","",_xlfn.LET(_xlpm.stat,CHOOSE({1,2,3,4,5},$P298,$T298,$X298,$AB298,$AF298),_xlpm.rate,CHOOSE({1,2,3,4,5},$R298,$V298,$Z298,$AD298,$AH298),_xlpm.trn,CHOOSE({1,2,3,4,5},$S298,$W298,$AA298,$AE298,$AI298),_xlpm.nsC,SUMPRODUCT(--(_xlpm.stat="Ready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DLR",IF(AND(_xlpm.actRS&gt;0,_xlpm.actDone&lt;_xlpm.actRS),"Training",IF(_xlpm.actRS&gt;0,"Active",IF(AND(_xlpm.decC&gt;0,_xlpm.inPlay+_xlpm.actC=0),"Dead",IF(AND($AJ298&lt;&gt;"",$AK298=FALSE),"Waiting on Dealer",IF(_xlpm.subC&gt;0,"Waiting on Lender",IF(AND(_xlpm.appC+_xlpm.actC&gt;0,_xlpm.nsC+_xlpm.wdC=0),"Rate Sheet","Application Submitted")))))))))</f>
        <v/>
      </c>
      <c r="M298" s="87"/>
      <c r="N298" s="87"/>
      <c r="O298" s="197"/>
      <c r="P298" s="87" t="str">
        <f>IF($A298="","",IF($AK298=TRUE,"Ready 2 Submit","Waiting on Dealer"))</f>
        <v/>
      </c>
      <c r="Q298" s="148"/>
      <c r="R298" s="87"/>
      <c r="S298" s="87"/>
      <c r="T298" s="87" t="str">
        <f>IF($A298="","",IF($AK298=TRUE,"Ready 2 Submit","Waiting on Dealer"))</f>
        <v/>
      </c>
      <c r="U298" s="148"/>
      <c r="V298" s="87"/>
      <c r="W298" s="87"/>
      <c r="X298" s="87" t="str">
        <f>IF($A298="","",IF($AK298=TRUE,"Ready 2 Submit","Waiting on Dealer"))</f>
        <v/>
      </c>
      <c r="Y298" s="148"/>
      <c r="Z298" s="87"/>
      <c r="AA298" s="87"/>
      <c r="AB298" s="87" t="str">
        <f>IF($A298="","",IF($AK298=TRUE,"Ready 2 Submit","Waiting on Dealer"))</f>
        <v/>
      </c>
      <c r="AC298" s="148"/>
      <c r="AD298" s="87"/>
      <c r="AE298" s="87"/>
      <c r="AF298" s="87" t="str">
        <f>IF($A298="","",IF($AK298=TRUE,"Ready 2 Submit","Waiting on Dealer"))</f>
        <v/>
      </c>
      <c r="AG298" s="148"/>
      <c r="AH298" s="87"/>
      <c r="AI298" s="87"/>
      <c r="AJ298" s="197"/>
      <c r="AK298" s="110" t="b">
        <v>0</v>
      </c>
      <c r="AL298" s="87" t="str" cm="1">
        <f t="array" ref="AL298">IF($A298="","",SUMPRODUCT((CHOOSE({1,2,3,4,5},$R298,$V298,$Z298,$AD298,$AH298)="Yes")*(((CHOOSE({1,2,3,4,5},$S298,$W298,$AA298,$AE298,$AI298)="Yes")+(CHOOSE({1,2,3,4,5},$S298,$W298,$AA298,$AE298,$AI298)=TRUE))&gt;0)))</f>
        <v/>
      </c>
      <c r="AM298" s="87"/>
      <c r="AN298" s="87" t="str">
        <f ca="1">IF(OR($A298="",$AM298=""),"",TODAY()-$AM298)</f>
        <v/>
      </c>
      <c r="AO298" s="87"/>
      <c r="AP298" s="106"/>
      <c r="AQ298" s="106"/>
      <c r="AR298" s="106"/>
      <c r="AS298" s="106"/>
      <c r="AT298" s="106"/>
      <c r="AU298" s="106"/>
      <c r="AV298" s="106"/>
      <c r="AW298" s="106"/>
      <c r="AX298" s="106"/>
      <c r="AY298" s="106"/>
    </row>
    <row r="299" spans="1:51" s="20" customFormat="1" ht="21" customHeight="1">
      <c r="A299" s="197"/>
      <c r="B299" s="87"/>
      <c r="C299" s="87"/>
      <c r="D299" s="196"/>
      <c r="E299" s="108"/>
      <c r="F299" s="196"/>
      <c r="G299" s="87"/>
      <c r="H299" s="197"/>
      <c r="I299" s="89"/>
      <c r="J299" s="204"/>
      <c r="K299" s="87"/>
      <c r="L299" s="87" t="str" cm="1">
        <f t="array" ref="L299">IF($A299="","",_xlfn.LET(_xlpm.stat,CHOOSE({1,2,3,4,5},$P299,$T299,$X299,$AB299,$AF299),_xlpm.rate,CHOOSE({1,2,3,4,5},$R299,$V299,$Z299,$AD299,$AH299),_xlpm.trn,CHOOSE({1,2,3,4,5},$S299,$W299,$AA299,$AE299,$AI299),_xlpm.nsC,SUMPRODUCT(--(_xlpm.stat="Ready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DLR",IF(AND(_xlpm.actRS&gt;0,_xlpm.actDone&lt;_xlpm.actRS),"Training",IF(_xlpm.actRS&gt;0,"Active",IF(AND(_xlpm.decC&gt;0,_xlpm.inPlay+_xlpm.actC=0),"Dead",IF(AND($AJ299&lt;&gt;"",$AK299=FALSE),"Waiting on Dealer",IF(_xlpm.subC&gt;0,"Waiting on Lender",IF(AND(_xlpm.appC+_xlpm.actC&gt;0,_xlpm.nsC+_xlpm.wdC=0),"Rate Sheet","Application Submitted")))))))))</f>
        <v/>
      </c>
      <c r="M299" s="87"/>
      <c r="N299" s="87"/>
      <c r="O299" s="197"/>
      <c r="P299" s="87" t="str">
        <f>IF($A299="","",IF($AK299=TRUE,"Ready 2 Submit","Waiting on Dealer"))</f>
        <v/>
      </c>
      <c r="Q299" s="148"/>
      <c r="R299" s="87"/>
      <c r="S299" s="87"/>
      <c r="T299" s="87" t="str">
        <f>IF($A299="","",IF($AK299=TRUE,"Ready 2 Submit","Waiting on Dealer"))</f>
        <v/>
      </c>
      <c r="U299" s="148"/>
      <c r="V299" s="87"/>
      <c r="W299" s="87"/>
      <c r="X299" s="87" t="str">
        <f>IF($A299="","",IF($AK299=TRUE,"Ready 2 Submit","Waiting on Dealer"))</f>
        <v/>
      </c>
      <c r="Y299" s="148"/>
      <c r="Z299" s="87"/>
      <c r="AA299" s="87"/>
      <c r="AB299" s="87" t="str">
        <f>IF($A299="","",IF($AK299=TRUE,"Ready 2 Submit","Waiting on Dealer"))</f>
        <v/>
      </c>
      <c r="AC299" s="148"/>
      <c r="AD299" s="87"/>
      <c r="AE299" s="87"/>
      <c r="AF299" s="87" t="str">
        <f>IF($A299="","",IF($AK299=TRUE,"Ready 2 Submit","Waiting on Dealer"))</f>
        <v/>
      </c>
      <c r="AG299" s="148"/>
      <c r="AH299" s="87"/>
      <c r="AI299" s="87"/>
      <c r="AJ299" s="197"/>
      <c r="AK299" s="110" t="b">
        <v>0</v>
      </c>
      <c r="AL299" s="87" t="str" cm="1">
        <f t="array" ref="AL299">IF($A299="","",SUMPRODUCT((CHOOSE({1,2,3,4,5},$R299,$V299,$Z299,$AD299,$AH299)="Yes")*(((CHOOSE({1,2,3,4,5},$S299,$W299,$AA299,$AE299,$AI299)="Yes")+(CHOOSE({1,2,3,4,5},$S299,$W299,$AA299,$AE299,$AI299)=TRUE))&gt;0)))</f>
        <v/>
      </c>
      <c r="AM299" s="87"/>
      <c r="AN299" s="87" t="str">
        <f ca="1">IF(OR($A299="",$AM299=""),"",TODAY()-$AM299)</f>
        <v/>
      </c>
      <c r="AO299" s="87"/>
      <c r="AP299" s="106"/>
      <c r="AQ299" s="106"/>
      <c r="AR299" s="106"/>
      <c r="AS299" s="106"/>
      <c r="AT299" s="106"/>
      <c r="AU299" s="106"/>
      <c r="AV299" s="106"/>
      <c r="AW299" s="106"/>
      <c r="AX299" s="106"/>
      <c r="AY299" s="106"/>
    </row>
    <row r="300" spans="1:51" s="20" customFormat="1" ht="21" customHeight="1">
      <c r="A300" s="197"/>
      <c r="B300" s="87"/>
      <c r="C300" s="87"/>
      <c r="D300" s="196"/>
      <c r="E300" s="108"/>
      <c r="F300" s="196"/>
      <c r="G300" s="87"/>
      <c r="H300" s="197"/>
      <c r="I300" s="89"/>
      <c r="J300" s="204"/>
      <c r="K300" s="87"/>
      <c r="L300" s="87" t="str" cm="1">
        <f t="array" ref="L300">IF($A300="","",_xlfn.LET(_xlpm.stat,CHOOSE({1,2,3,4,5},$P300,$T300,$X300,$AB300,$AF300),_xlpm.rate,CHOOSE({1,2,3,4,5},$R300,$V300,$Z300,$AD300,$AH300),_xlpm.trn,CHOOSE({1,2,3,4,5},$S300,$W300,$AA300,$AE300,$AI300),_xlpm.nsC,SUMPRODUCT(--(_xlpm.stat="Ready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DLR",IF(AND(_xlpm.actRS&gt;0,_xlpm.actDone&lt;_xlpm.actRS),"Training",IF(_xlpm.actRS&gt;0,"Active",IF(AND(_xlpm.decC&gt;0,_xlpm.inPlay+_xlpm.actC=0),"Dead",IF(AND($AJ300&lt;&gt;"",$AK300=FALSE),"Waiting on Dealer",IF(_xlpm.subC&gt;0,"Waiting on Lender",IF(AND(_xlpm.appC+_xlpm.actC&gt;0,_xlpm.nsC+_xlpm.wdC=0),"Rate Sheet","Application Submitted")))))))))</f>
        <v/>
      </c>
      <c r="M300" s="87"/>
      <c r="N300" s="87"/>
      <c r="O300" s="197"/>
      <c r="P300" s="87" t="str">
        <f>IF($A300="","",IF($AK300=TRUE,"Ready 2 Submit","Waiting on Dealer"))</f>
        <v/>
      </c>
      <c r="Q300" s="148"/>
      <c r="R300" s="87"/>
      <c r="S300" s="87"/>
      <c r="T300" s="87" t="str">
        <f>IF($A300="","",IF($AK300=TRUE,"Ready 2 Submit","Waiting on Dealer"))</f>
        <v/>
      </c>
      <c r="U300" s="148"/>
      <c r="V300" s="87"/>
      <c r="W300" s="87"/>
      <c r="X300" s="87" t="str">
        <f>IF($A300="","",IF($AK300=TRUE,"Ready 2 Submit","Waiting on Dealer"))</f>
        <v/>
      </c>
      <c r="Y300" s="148"/>
      <c r="Z300" s="87"/>
      <c r="AA300" s="87"/>
      <c r="AB300" s="87" t="str">
        <f>IF($A300="","",IF($AK300=TRUE,"Ready 2 Submit","Waiting on Dealer"))</f>
        <v/>
      </c>
      <c r="AC300" s="148"/>
      <c r="AD300" s="87"/>
      <c r="AE300" s="87"/>
      <c r="AF300" s="87" t="str">
        <f>IF($A300="","",IF($AK300=TRUE,"Ready 2 Submit","Waiting on Dealer"))</f>
        <v/>
      </c>
      <c r="AG300" s="148"/>
      <c r="AH300" s="87"/>
      <c r="AI300" s="87"/>
      <c r="AJ300" s="197"/>
      <c r="AK300" s="110" t="b">
        <v>0</v>
      </c>
      <c r="AL300" s="87" t="str" cm="1">
        <f t="array" ref="AL300">IF($A300="","",SUMPRODUCT((CHOOSE({1,2,3,4,5},$R300,$V300,$Z300,$AD300,$AH300)="Yes")*(((CHOOSE({1,2,3,4,5},$S300,$W300,$AA300,$AE300,$AI300)="Yes")+(CHOOSE({1,2,3,4,5},$S300,$W300,$AA300,$AE300,$AI300)=TRUE))&gt;0)))</f>
        <v/>
      </c>
      <c r="AM300" s="87"/>
      <c r="AN300" s="87" t="str">
        <f ca="1">IF(OR($A300="",$AM300=""),"",TODAY()-$AM300)</f>
        <v/>
      </c>
      <c r="AO300" s="87"/>
      <c r="AP300" s="106"/>
      <c r="AQ300" s="106"/>
      <c r="AR300" s="106"/>
      <c r="AS300" s="106"/>
      <c r="AT300" s="106"/>
      <c r="AU300" s="106"/>
      <c r="AV300" s="106"/>
      <c r="AW300" s="106"/>
      <c r="AX300" s="106"/>
      <c r="AY300" s="106"/>
    </row>
    <row r="301" spans="1:51" s="20" customFormat="1" ht="21" customHeight="1">
      <c r="A301" s="197"/>
      <c r="B301" s="87"/>
      <c r="C301" s="87"/>
      <c r="D301" s="196"/>
      <c r="E301" s="108"/>
      <c r="F301" s="196"/>
      <c r="G301" s="87"/>
      <c r="H301" s="197"/>
      <c r="I301" s="89"/>
      <c r="J301" s="204"/>
      <c r="K301" s="87"/>
      <c r="L301" s="87" t="str" cm="1">
        <f t="array" ref="L301">IF($A301="","",_xlfn.LET(_xlpm.stat,CHOOSE({1,2,3,4,5},$P301,$T301,$X301,$AB301,$AF301),_xlpm.rate,CHOOSE({1,2,3,4,5},$R301,$V301,$Z301,$AD301,$AH301),_xlpm.trn,CHOOSE({1,2,3,4,5},$S301,$W301,$AA301,$AE301,$AI301),_xlpm.nsC,SUMPRODUCT(--(_xlpm.stat="Ready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DLR",IF(AND(_xlpm.actRS&gt;0,_xlpm.actDone&lt;_xlpm.actRS),"Training",IF(_xlpm.actRS&gt;0,"Active",IF(AND(_xlpm.decC&gt;0,_xlpm.inPlay+_xlpm.actC=0),"Dead",IF(AND($AJ301&lt;&gt;"",$AK301=FALSE),"Waiting on Dealer",IF(_xlpm.subC&gt;0,"Waiting on Lender",IF(AND(_xlpm.appC+_xlpm.actC&gt;0,_xlpm.nsC+_xlpm.wdC=0),"Rate Sheet","Application Submitted")))))))))</f>
        <v/>
      </c>
      <c r="M301" s="87"/>
      <c r="N301" s="87"/>
      <c r="O301" s="197"/>
      <c r="P301" s="87" t="str">
        <f>IF($A301="","",IF($AK301=TRUE,"Ready 2 Submit","Waiting on Dealer"))</f>
        <v/>
      </c>
      <c r="Q301" s="148"/>
      <c r="R301" s="87"/>
      <c r="S301" s="87"/>
      <c r="T301" s="87" t="str">
        <f>IF($A301="","",IF($AK301=TRUE,"Ready 2 Submit","Waiting on Dealer"))</f>
        <v/>
      </c>
      <c r="U301" s="148"/>
      <c r="V301" s="87"/>
      <c r="W301" s="87"/>
      <c r="X301" s="87" t="str">
        <f>IF($A301="","",IF($AK301=TRUE,"Ready 2 Submit","Waiting on Dealer"))</f>
        <v/>
      </c>
      <c r="Y301" s="148"/>
      <c r="Z301" s="87"/>
      <c r="AA301" s="87"/>
      <c r="AB301" s="87" t="str">
        <f>IF($A301="","",IF($AK301=TRUE,"Ready 2 Submit","Waiting on Dealer"))</f>
        <v/>
      </c>
      <c r="AC301" s="148"/>
      <c r="AD301" s="87"/>
      <c r="AE301" s="87"/>
      <c r="AF301" s="87" t="str">
        <f>IF($A301="","",IF($AK301=TRUE,"Ready 2 Submit","Waiting on Dealer"))</f>
        <v/>
      </c>
      <c r="AG301" s="148"/>
      <c r="AH301" s="87"/>
      <c r="AI301" s="87"/>
      <c r="AJ301" s="197"/>
      <c r="AK301" s="110" t="b">
        <v>0</v>
      </c>
      <c r="AL301" s="87" t="str" cm="1">
        <f t="array" ref="AL301">IF($A301="","",SUMPRODUCT((CHOOSE({1,2,3,4,5},$R301,$V301,$Z301,$AD301,$AH301)="Yes")*(((CHOOSE({1,2,3,4,5},$S301,$W301,$AA301,$AE301,$AI301)="Yes")+(CHOOSE({1,2,3,4,5},$S301,$W301,$AA301,$AE301,$AI301)=TRUE))&gt;0)))</f>
        <v/>
      </c>
      <c r="AM301" s="87"/>
      <c r="AN301" s="87" t="str">
        <f ca="1">IF(OR($A301="",$AM301=""),"",TODAY()-$AM301)</f>
        <v/>
      </c>
      <c r="AO301" s="87"/>
      <c r="AP301" s="106"/>
      <c r="AQ301" s="106"/>
      <c r="AR301" s="106"/>
      <c r="AS301" s="106"/>
      <c r="AT301" s="106"/>
      <c r="AU301" s="106"/>
      <c r="AV301" s="106"/>
      <c r="AW301" s="106"/>
      <c r="AX301" s="106"/>
      <c r="AY301" s="106"/>
    </row>
    <row r="302" spans="1:51" s="20" customFormat="1" ht="21" customHeight="1">
      <c r="A302" s="197"/>
      <c r="B302" s="87"/>
      <c r="C302" s="87"/>
      <c r="D302" s="196"/>
      <c r="E302" s="108"/>
      <c r="F302" s="196"/>
      <c r="G302" s="87"/>
      <c r="H302" s="197"/>
      <c r="I302" s="89"/>
      <c r="J302" s="204"/>
      <c r="K302" s="87"/>
      <c r="L302" s="87" t="str" cm="1">
        <f t="array" ref="L302">IF($A302="","",_xlfn.LET(_xlpm.stat,CHOOSE({1,2,3,4,5},$P302,$T302,$X302,$AB302,$AF302),_xlpm.rate,CHOOSE({1,2,3,4,5},$R302,$V302,$Z302,$AD302,$AH302),_xlpm.trn,CHOOSE({1,2,3,4,5},$S302,$W302,$AA302,$AE302,$AI302),_xlpm.nsC,SUMPRODUCT(--(_xlpm.stat="Ready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DLR",IF(AND(_xlpm.actRS&gt;0,_xlpm.actDone&lt;_xlpm.actRS),"Training",IF(_xlpm.actRS&gt;0,"Active",IF(AND(_xlpm.decC&gt;0,_xlpm.inPlay+_xlpm.actC=0),"Dead",IF(AND($AJ302&lt;&gt;"",$AK302=FALSE),"Waiting on Dealer",IF(_xlpm.subC&gt;0,"Waiting on Lender",IF(AND(_xlpm.appC+_xlpm.actC&gt;0,_xlpm.nsC+_xlpm.wdC=0),"Rate Sheet","Application Submitted")))))))))</f>
        <v/>
      </c>
      <c r="M302" s="87"/>
      <c r="N302" s="87"/>
      <c r="O302" s="197"/>
      <c r="P302" s="87" t="str">
        <f>IF($A302="","",IF($AK302=TRUE,"Ready 2 Submit","Waiting on Dealer"))</f>
        <v/>
      </c>
      <c r="Q302" s="148"/>
      <c r="R302" s="87"/>
      <c r="S302" s="87"/>
      <c r="T302" s="87" t="str">
        <f>IF($A302="","",IF($AK302=TRUE,"Ready 2 Submit","Waiting on Dealer"))</f>
        <v/>
      </c>
      <c r="U302" s="148"/>
      <c r="V302" s="87"/>
      <c r="W302" s="87"/>
      <c r="X302" s="87" t="str">
        <f>IF($A302="","",IF($AK302=TRUE,"Ready 2 Submit","Waiting on Dealer"))</f>
        <v/>
      </c>
      <c r="Y302" s="148"/>
      <c r="Z302" s="87"/>
      <c r="AA302" s="87"/>
      <c r="AB302" s="87" t="str">
        <f>IF($A302="","",IF($AK302=TRUE,"Ready 2 Submit","Waiting on Dealer"))</f>
        <v/>
      </c>
      <c r="AC302" s="148"/>
      <c r="AD302" s="87"/>
      <c r="AE302" s="87"/>
      <c r="AF302" s="87" t="str">
        <f>IF($A302="","",IF($AK302=TRUE,"Ready 2 Submit","Waiting on Dealer"))</f>
        <v/>
      </c>
      <c r="AG302" s="148"/>
      <c r="AH302" s="87"/>
      <c r="AI302" s="87"/>
      <c r="AJ302" s="197"/>
      <c r="AK302" s="110" t="b">
        <v>0</v>
      </c>
      <c r="AL302" s="87" t="str" cm="1">
        <f t="array" ref="AL302">IF($A302="","",SUMPRODUCT((CHOOSE({1,2,3,4,5},$R302,$V302,$Z302,$AD302,$AH302)="Yes")*(((CHOOSE({1,2,3,4,5},$S302,$W302,$AA302,$AE302,$AI302)="Yes")+(CHOOSE({1,2,3,4,5},$S302,$W302,$AA302,$AE302,$AI302)=TRUE))&gt;0)))</f>
        <v/>
      </c>
      <c r="AM302" s="87"/>
      <c r="AN302" s="87" t="str">
        <f ca="1">IF(OR($A302="",$AM302=""),"",TODAY()-$AM302)</f>
        <v/>
      </c>
      <c r="AO302" s="87"/>
      <c r="AP302" s="106"/>
      <c r="AQ302" s="106"/>
      <c r="AR302" s="106"/>
      <c r="AS302" s="106"/>
      <c r="AT302" s="106"/>
      <c r="AU302" s="106"/>
      <c r="AV302" s="106"/>
      <c r="AW302" s="106"/>
      <c r="AX302" s="106"/>
      <c r="AY302" s="106"/>
    </row>
    <row r="303" spans="1:51" s="20" customFormat="1" ht="21" customHeight="1">
      <c r="A303" s="197"/>
      <c r="B303" s="87"/>
      <c r="C303" s="87"/>
      <c r="D303" s="196"/>
      <c r="E303" s="108"/>
      <c r="F303" s="196"/>
      <c r="G303" s="87"/>
      <c r="H303" s="197"/>
      <c r="I303" s="89"/>
      <c r="J303" s="204"/>
      <c r="K303" s="87"/>
      <c r="L303" s="87" t="str" cm="1">
        <f t="array" ref="L303">IF($A303="","",_xlfn.LET(_xlpm.stat,CHOOSE({1,2,3,4,5},$P303,$T303,$X303,$AB303,$AF303),_xlpm.rate,CHOOSE({1,2,3,4,5},$R303,$V303,$Z303,$AD303,$AH303),_xlpm.trn,CHOOSE({1,2,3,4,5},$S303,$W303,$AA303,$AE303,$AI303),_xlpm.nsC,SUMPRODUCT(--(_xlpm.stat="Ready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DLR",IF(AND(_xlpm.actRS&gt;0,_xlpm.actDone&lt;_xlpm.actRS),"Training",IF(_xlpm.actRS&gt;0,"Active",IF(AND(_xlpm.decC&gt;0,_xlpm.inPlay+_xlpm.actC=0),"Dead",IF(AND($AJ303&lt;&gt;"",$AK303=FALSE),"Waiting on Dealer",IF(_xlpm.subC&gt;0,"Waiting on Lender",IF(AND(_xlpm.appC+_xlpm.actC&gt;0,_xlpm.nsC+_xlpm.wdC=0),"Rate Sheet","Application Submitted")))))))))</f>
        <v/>
      </c>
      <c r="M303" s="87"/>
      <c r="N303" s="87"/>
      <c r="O303" s="197"/>
      <c r="P303" s="87" t="str">
        <f>IF($A303="","",IF($AK303=TRUE,"Ready 2 Submit","Waiting on Dealer"))</f>
        <v/>
      </c>
      <c r="Q303" s="148"/>
      <c r="R303" s="87"/>
      <c r="S303" s="87"/>
      <c r="T303" s="87" t="str">
        <f>IF($A303="","",IF($AK303=TRUE,"Ready 2 Submit","Waiting on Dealer"))</f>
        <v/>
      </c>
      <c r="U303" s="148"/>
      <c r="V303" s="87"/>
      <c r="W303" s="87"/>
      <c r="X303" s="87" t="str">
        <f>IF($A303="","",IF($AK303=TRUE,"Ready 2 Submit","Waiting on Dealer"))</f>
        <v/>
      </c>
      <c r="Y303" s="148"/>
      <c r="Z303" s="87"/>
      <c r="AA303" s="87"/>
      <c r="AB303" s="87" t="str">
        <f>IF($A303="","",IF($AK303=TRUE,"Ready 2 Submit","Waiting on Dealer"))</f>
        <v/>
      </c>
      <c r="AC303" s="148"/>
      <c r="AD303" s="87"/>
      <c r="AE303" s="87"/>
      <c r="AF303" s="87" t="str">
        <f>IF($A303="","",IF($AK303=TRUE,"Ready 2 Submit","Waiting on Dealer"))</f>
        <v/>
      </c>
      <c r="AG303" s="148"/>
      <c r="AH303" s="87"/>
      <c r="AI303" s="87"/>
      <c r="AJ303" s="197"/>
      <c r="AK303" s="110" t="b">
        <v>0</v>
      </c>
      <c r="AL303" s="87" t="str" cm="1">
        <f t="array" ref="AL303">IF($A303="","",SUMPRODUCT((CHOOSE({1,2,3,4,5},$R303,$V303,$Z303,$AD303,$AH303)="Yes")*(((CHOOSE({1,2,3,4,5},$S303,$W303,$AA303,$AE303,$AI303)="Yes")+(CHOOSE({1,2,3,4,5},$S303,$W303,$AA303,$AE303,$AI303)=TRUE))&gt;0)))</f>
        <v/>
      </c>
      <c r="AM303" s="87"/>
      <c r="AN303" s="87" t="str">
        <f ca="1">IF(OR($A303="",$AM303=""),"",TODAY()-$AM303)</f>
        <v/>
      </c>
      <c r="AO303" s="87"/>
      <c r="AP303" s="106"/>
      <c r="AQ303" s="106"/>
      <c r="AR303" s="106"/>
      <c r="AS303" s="106"/>
      <c r="AT303" s="106"/>
      <c r="AU303" s="106"/>
      <c r="AV303" s="106"/>
      <c r="AW303" s="106"/>
      <c r="AX303" s="106"/>
      <c r="AY303" s="106"/>
    </row>
    <row r="304" spans="1:51" s="20" customFormat="1" ht="21" customHeight="1">
      <c r="A304" s="197"/>
      <c r="B304" s="87"/>
      <c r="C304" s="87"/>
      <c r="D304" s="196"/>
      <c r="E304" s="108"/>
      <c r="F304" s="196"/>
      <c r="G304" s="87"/>
      <c r="H304" s="197"/>
      <c r="I304" s="89"/>
      <c r="J304" s="204"/>
      <c r="K304" s="87"/>
      <c r="L304" s="87" t="str" cm="1">
        <f t="array" ref="L304">IF($A304="","",_xlfn.LET(_xlpm.stat,CHOOSE({1,2,3,4,5},$P304,$T304,$X304,$AB304,$AF304),_xlpm.rate,CHOOSE({1,2,3,4,5},$R304,$V304,$Z304,$AD304,$AH304),_xlpm.trn,CHOOSE({1,2,3,4,5},$S304,$W304,$AA304,$AE304,$AI304),_xlpm.nsC,SUMPRODUCT(--(_xlpm.stat="Ready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DLR",IF(AND(_xlpm.actRS&gt;0,_xlpm.actDone&lt;_xlpm.actRS),"Training",IF(_xlpm.actRS&gt;0,"Active",IF(AND(_xlpm.decC&gt;0,_xlpm.inPlay+_xlpm.actC=0),"Dead",IF(AND($AJ304&lt;&gt;"",$AK304=FALSE),"Waiting on Dealer",IF(_xlpm.subC&gt;0,"Waiting on Lender",IF(AND(_xlpm.appC+_xlpm.actC&gt;0,_xlpm.nsC+_xlpm.wdC=0),"Rate Sheet","Application Submitted")))))))))</f>
        <v/>
      </c>
      <c r="M304" s="87"/>
      <c r="N304" s="87"/>
      <c r="O304" s="197"/>
      <c r="P304" s="87" t="str">
        <f>IF($A304="","",IF($AK304=TRUE,"Ready 2 Submit","Waiting on Dealer"))</f>
        <v/>
      </c>
      <c r="Q304" s="148"/>
      <c r="R304" s="87"/>
      <c r="S304" s="87"/>
      <c r="T304" s="87" t="str">
        <f>IF($A304="","",IF($AK304=TRUE,"Ready 2 Submit","Waiting on Dealer"))</f>
        <v/>
      </c>
      <c r="U304" s="148"/>
      <c r="V304" s="87"/>
      <c r="W304" s="87"/>
      <c r="X304" s="87" t="str">
        <f>IF($A304="","",IF($AK304=TRUE,"Ready 2 Submit","Waiting on Dealer"))</f>
        <v/>
      </c>
      <c r="Y304" s="148"/>
      <c r="Z304" s="87"/>
      <c r="AA304" s="87"/>
      <c r="AB304" s="87" t="str">
        <f>IF($A304="","",IF($AK304=TRUE,"Ready 2 Submit","Waiting on Dealer"))</f>
        <v/>
      </c>
      <c r="AC304" s="148"/>
      <c r="AD304" s="87"/>
      <c r="AE304" s="87"/>
      <c r="AF304" s="87" t="str">
        <f>IF($A304="","",IF($AK304=TRUE,"Ready 2 Submit","Waiting on Dealer"))</f>
        <v/>
      </c>
      <c r="AG304" s="148"/>
      <c r="AH304" s="87"/>
      <c r="AI304" s="87"/>
      <c r="AJ304" s="197"/>
      <c r="AK304" s="110" t="b">
        <v>0</v>
      </c>
      <c r="AL304" s="87" t="str" cm="1">
        <f t="array" ref="AL304">IF($A304="","",SUMPRODUCT((CHOOSE({1,2,3,4,5},$R304,$V304,$Z304,$AD304,$AH304)="Yes")*(((CHOOSE({1,2,3,4,5},$S304,$W304,$AA304,$AE304,$AI304)="Yes")+(CHOOSE({1,2,3,4,5},$S304,$W304,$AA304,$AE304,$AI304)=TRUE))&gt;0)))</f>
        <v/>
      </c>
      <c r="AM304" s="87"/>
      <c r="AN304" s="87" t="str">
        <f ca="1">IF(OR($A304="",$AM304=""),"",TODAY()-$AM304)</f>
        <v/>
      </c>
      <c r="AO304" s="87"/>
      <c r="AP304" s="106"/>
      <c r="AQ304" s="106"/>
      <c r="AR304" s="106"/>
      <c r="AS304" s="106"/>
      <c r="AT304" s="106"/>
      <c r="AU304" s="106"/>
      <c r="AV304" s="106"/>
      <c r="AW304" s="106"/>
      <c r="AX304" s="106"/>
      <c r="AY304" s="106"/>
    </row>
    <row r="305" spans="1:51" s="20" customFormat="1" ht="21" customHeight="1">
      <c r="A305" s="197"/>
      <c r="B305" s="87"/>
      <c r="C305" s="87"/>
      <c r="D305" s="196"/>
      <c r="E305" s="108"/>
      <c r="F305" s="196"/>
      <c r="G305" s="87"/>
      <c r="H305" s="197"/>
      <c r="I305" s="89"/>
      <c r="J305" s="204"/>
      <c r="K305" s="87"/>
      <c r="L305" s="87" t="str" cm="1">
        <f t="array" ref="L305">IF($A305="","",_xlfn.LET(_xlpm.stat,CHOOSE({1,2,3,4,5},$P305,$T305,$X305,$AB305,$AF305),_xlpm.rate,CHOOSE({1,2,3,4,5},$R305,$V305,$Z305,$AD305,$AH305),_xlpm.trn,CHOOSE({1,2,3,4,5},$S305,$W305,$AA305,$AE305,$AI305),_xlpm.nsC,SUMPRODUCT(--(_xlpm.stat="Ready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DLR",IF(AND(_xlpm.actRS&gt;0,_xlpm.actDone&lt;_xlpm.actRS),"Training",IF(_xlpm.actRS&gt;0,"Active",IF(AND(_xlpm.decC&gt;0,_xlpm.inPlay+_xlpm.actC=0),"Dead",IF(AND($AJ305&lt;&gt;"",$AK305=FALSE),"Waiting on Dealer",IF(_xlpm.subC&gt;0,"Waiting on Lender",IF(AND(_xlpm.appC+_xlpm.actC&gt;0,_xlpm.nsC+_xlpm.wdC=0),"Rate Sheet","Application Submitted")))))))))</f>
        <v/>
      </c>
      <c r="M305" s="87"/>
      <c r="N305" s="87"/>
      <c r="O305" s="197"/>
      <c r="P305" s="87" t="str">
        <f>IF($A305="","",IF($AK305=TRUE,"Ready 2 Submit","Waiting on Dealer"))</f>
        <v/>
      </c>
      <c r="Q305" s="148"/>
      <c r="R305" s="87"/>
      <c r="S305" s="87"/>
      <c r="T305" s="87" t="str">
        <f>IF($A305="","",IF($AK305=TRUE,"Ready 2 Submit","Waiting on Dealer"))</f>
        <v/>
      </c>
      <c r="U305" s="148"/>
      <c r="V305" s="87"/>
      <c r="W305" s="87"/>
      <c r="X305" s="87" t="str">
        <f>IF($A305="","",IF($AK305=TRUE,"Ready 2 Submit","Waiting on Dealer"))</f>
        <v/>
      </c>
      <c r="Y305" s="148"/>
      <c r="Z305" s="87"/>
      <c r="AA305" s="87"/>
      <c r="AB305" s="87" t="str">
        <f>IF($A305="","",IF($AK305=TRUE,"Ready 2 Submit","Waiting on Dealer"))</f>
        <v/>
      </c>
      <c r="AC305" s="148"/>
      <c r="AD305" s="87"/>
      <c r="AE305" s="87"/>
      <c r="AF305" s="87" t="str">
        <f>IF($A305="","",IF($AK305=TRUE,"Ready 2 Submit","Waiting on Dealer"))</f>
        <v/>
      </c>
      <c r="AG305" s="148"/>
      <c r="AH305" s="87"/>
      <c r="AI305" s="87"/>
      <c r="AJ305" s="197"/>
      <c r="AK305" s="110" t="b">
        <v>0</v>
      </c>
      <c r="AL305" s="87" t="str" cm="1">
        <f t="array" ref="AL305">IF($A305="","",SUMPRODUCT((CHOOSE({1,2,3,4,5},$R305,$V305,$Z305,$AD305,$AH305)="Yes")*(((CHOOSE({1,2,3,4,5},$S305,$W305,$AA305,$AE305,$AI305)="Yes")+(CHOOSE({1,2,3,4,5},$S305,$W305,$AA305,$AE305,$AI305)=TRUE))&gt;0)))</f>
        <v/>
      </c>
      <c r="AM305" s="87"/>
      <c r="AN305" s="87" t="str">
        <f ca="1">IF(OR($A305="",$AM305=""),"",TODAY()-$AM305)</f>
        <v/>
      </c>
      <c r="AO305" s="87"/>
      <c r="AP305" s="106"/>
      <c r="AQ305" s="106"/>
      <c r="AR305" s="106"/>
      <c r="AS305" s="106"/>
      <c r="AT305" s="106"/>
      <c r="AU305" s="106"/>
      <c r="AV305" s="106"/>
      <c r="AW305" s="106"/>
      <c r="AX305" s="106"/>
      <c r="AY305" s="106"/>
    </row>
    <row r="306" spans="1:51" s="20" customFormat="1" ht="21" customHeight="1">
      <c r="A306" s="197"/>
      <c r="B306" s="87"/>
      <c r="C306" s="87"/>
      <c r="D306" s="196"/>
      <c r="E306" s="108"/>
      <c r="F306" s="196"/>
      <c r="G306" s="87"/>
      <c r="H306" s="197"/>
      <c r="I306" s="89"/>
      <c r="J306" s="204"/>
      <c r="K306" s="87"/>
      <c r="L306" s="87" t="str" cm="1">
        <f t="array" ref="L306">IF($A306="","",_xlfn.LET(_xlpm.stat,CHOOSE({1,2,3,4,5},$P306,$T306,$X306,$AB306,$AF306),_xlpm.rate,CHOOSE({1,2,3,4,5},$R306,$V306,$Z306,$AD306,$AH306),_xlpm.trn,CHOOSE({1,2,3,4,5},$S306,$W306,$AA306,$AE306,$AI306),_xlpm.nsC,SUMPRODUCT(--(_xlpm.stat="Ready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DLR",IF(AND(_xlpm.actRS&gt;0,_xlpm.actDone&lt;_xlpm.actRS),"Training",IF(_xlpm.actRS&gt;0,"Active",IF(AND(_xlpm.decC&gt;0,_xlpm.inPlay+_xlpm.actC=0),"Dead",IF(AND($AJ306&lt;&gt;"",$AK306=FALSE),"Waiting on Dealer",IF(_xlpm.subC&gt;0,"Waiting on Lender",IF(AND(_xlpm.appC+_xlpm.actC&gt;0,_xlpm.nsC+_xlpm.wdC=0),"Rate Sheet","Application Submitted")))))))))</f>
        <v/>
      </c>
      <c r="M306" s="87"/>
      <c r="N306" s="87"/>
      <c r="O306" s="197"/>
      <c r="P306" s="87" t="str">
        <f>IF($A306="","",IF($AK306=TRUE,"Ready 2 Submit","Waiting on Dealer"))</f>
        <v/>
      </c>
      <c r="Q306" s="148"/>
      <c r="R306" s="87"/>
      <c r="S306" s="87"/>
      <c r="T306" s="87" t="str">
        <f>IF($A306="","",IF($AK306=TRUE,"Ready 2 Submit","Waiting on Dealer"))</f>
        <v/>
      </c>
      <c r="U306" s="148"/>
      <c r="V306" s="87"/>
      <c r="W306" s="87"/>
      <c r="X306" s="87" t="str">
        <f>IF($A306="","",IF($AK306=TRUE,"Ready 2 Submit","Waiting on Dealer"))</f>
        <v/>
      </c>
      <c r="Y306" s="148"/>
      <c r="Z306" s="87"/>
      <c r="AA306" s="87"/>
      <c r="AB306" s="87" t="str">
        <f>IF($A306="","",IF($AK306=TRUE,"Ready 2 Submit","Waiting on Dealer"))</f>
        <v/>
      </c>
      <c r="AC306" s="148"/>
      <c r="AD306" s="87"/>
      <c r="AE306" s="87"/>
      <c r="AF306" s="87" t="str">
        <f>IF($A306="","",IF($AK306=TRUE,"Ready 2 Submit","Waiting on Dealer"))</f>
        <v/>
      </c>
      <c r="AG306" s="148"/>
      <c r="AH306" s="87"/>
      <c r="AI306" s="87"/>
      <c r="AJ306" s="197"/>
      <c r="AK306" s="110" t="b">
        <v>0</v>
      </c>
      <c r="AL306" s="87" t="str" cm="1">
        <f t="array" ref="AL306">IF($A306="","",SUMPRODUCT((CHOOSE({1,2,3,4,5},$R306,$V306,$Z306,$AD306,$AH306)="Yes")*(((CHOOSE({1,2,3,4,5},$S306,$W306,$AA306,$AE306,$AI306)="Yes")+(CHOOSE({1,2,3,4,5},$S306,$W306,$AA306,$AE306,$AI306)=TRUE))&gt;0)))</f>
        <v/>
      </c>
      <c r="AM306" s="87"/>
      <c r="AN306" s="87" t="str">
        <f ca="1">IF(OR($A306="",$AM306=""),"",TODAY()-$AM306)</f>
        <v/>
      </c>
      <c r="AO306" s="87"/>
      <c r="AP306" s="106"/>
      <c r="AQ306" s="106"/>
      <c r="AR306" s="106"/>
      <c r="AS306" s="106"/>
      <c r="AT306" s="106"/>
      <c r="AU306" s="106"/>
      <c r="AV306" s="106"/>
      <c r="AW306" s="106"/>
      <c r="AX306" s="106"/>
      <c r="AY306" s="106"/>
    </row>
    <row r="307" spans="1:51" s="20" customFormat="1" ht="21" customHeight="1">
      <c r="A307" s="197"/>
      <c r="B307" s="87"/>
      <c r="C307" s="87"/>
      <c r="D307" s="196"/>
      <c r="E307" s="108"/>
      <c r="F307" s="196"/>
      <c r="G307" s="87"/>
      <c r="H307" s="197"/>
      <c r="I307" s="89"/>
      <c r="J307" s="204"/>
      <c r="K307" s="87"/>
      <c r="L307" s="87" t="str" cm="1">
        <f t="array" ref="L307">IF($A307="","",_xlfn.LET(_xlpm.stat,CHOOSE({1,2,3,4,5},$P307,$T307,$X307,$AB307,$AF307),_xlpm.rate,CHOOSE({1,2,3,4,5},$R307,$V307,$Z307,$AD307,$AH307),_xlpm.trn,CHOOSE({1,2,3,4,5},$S307,$W307,$AA307,$AE307,$AI307),_xlpm.nsC,SUMPRODUCT(--(_xlpm.stat="Ready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DLR",IF(AND(_xlpm.actRS&gt;0,_xlpm.actDone&lt;_xlpm.actRS),"Training",IF(_xlpm.actRS&gt;0,"Active",IF(AND(_xlpm.decC&gt;0,_xlpm.inPlay+_xlpm.actC=0),"Dead",IF(AND($AJ307&lt;&gt;"",$AK307=FALSE),"Waiting on Dealer",IF(_xlpm.subC&gt;0,"Waiting on Lender",IF(AND(_xlpm.appC+_xlpm.actC&gt;0,_xlpm.nsC+_xlpm.wdC=0),"Rate Sheet","Application Submitted")))))))))</f>
        <v/>
      </c>
      <c r="M307" s="87"/>
      <c r="N307" s="87"/>
      <c r="O307" s="197"/>
      <c r="P307" s="87" t="str">
        <f>IF($A307="","",IF($AK307=TRUE,"Ready 2 Submit","Waiting on Dealer"))</f>
        <v/>
      </c>
      <c r="Q307" s="148"/>
      <c r="R307" s="87"/>
      <c r="S307" s="87"/>
      <c r="T307" s="87" t="str">
        <f>IF($A307="","",IF($AK307=TRUE,"Ready 2 Submit","Waiting on Dealer"))</f>
        <v/>
      </c>
      <c r="U307" s="148"/>
      <c r="V307" s="87"/>
      <c r="W307" s="87"/>
      <c r="X307" s="87" t="str">
        <f>IF($A307="","",IF($AK307=TRUE,"Ready 2 Submit","Waiting on Dealer"))</f>
        <v/>
      </c>
      <c r="Y307" s="148"/>
      <c r="Z307" s="87"/>
      <c r="AA307" s="87"/>
      <c r="AB307" s="87" t="str">
        <f>IF($A307="","",IF($AK307=TRUE,"Ready 2 Submit","Waiting on Dealer"))</f>
        <v/>
      </c>
      <c r="AC307" s="148"/>
      <c r="AD307" s="87"/>
      <c r="AE307" s="87"/>
      <c r="AF307" s="87" t="str">
        <f>IF($A307="","",IF($AK307=TRUE,"Ready 2 Submit","Waiting on Dealer"))</f>
        <v/>
      </c>
      <c r="AG307" s="148"/>
      <c r="AH307" s="87"/>
      <c r="AI307" s="87"/>
      <c r="AJ307" s="197"/>
      <c r="AK307" s="110" t="b">
        <v>0</v>
      </c>
      <c r="AL307" s="87" t="str" cm="1">
        <f t="array" ref="AL307">IF($A307="","",SUMPRODUCT((CHOOSE({1,2,3,4,5},$R307,$V307,$Z307,$AD307,$AH307)="Yes")*(((CHOOSE({1,2,3,4,5},$S307,$W307,$AA307,$AE307,$AI307)="Yes")+(CHOOSE({1,2,3,4,5},$S307,$W307,$AA307,$AE307,$AI307)=TRUE))&gt;0)))</f>
        <v/>
      </c>
      <c r="AM307" s="87"/>
      <c r="AN307" s="87" t="str">
        <f ca="1">IF(OR($A307="",$AM307=""),"",TODAY()-$AM307)</f>
        <v/>
      </c>
      <c r="AO307" s="87"/>
      <c r="AP307" s="106"/>
      <c r="AQ307" s="106"/>
      <c r="AR307" s="106"/>
      <c r="AS307" s="106"/>
      <c r="AT307" s="106"/>
      <c r="AU307" s="106"/>
      <c r="AV307" s="106"/>
      <c r="AW307" s="106"/>
      <c r="AX307" s="106"/>
      <c r="AY307" s="106"/>
    </row>
    <row r="308" spans="1:51" s="20" customFormat="1" ht="21" customHeight="1">
      <c r="A308" s="197"/>
      <c r="B308" s="87"/>
      <c r="C308" s="87"/>
      <c r="D308" s="196"/>
      <c r="E308" s="108"/>
      <c r="F308" s="196"/>
      <c r="G308" s="87"/>
      <c r="H308" s="197"/>
      <c r="I308" s="89"/>
      <c r="J308" s="204"/>
      <c r="K308" s="87"/>
      <c r="L308" s="87" t="str" cm="1">
        <f t="array" ref="L308">IF($A308="","",_xlfn.LET(_xlpm.stat,CHOOSE({1,2,3,4,5},$P308,$T308,$X308,$AB308,$AF308),_xlpm.rate,CHOOSE({1,2,3,4,5},$R308,$V308,$Z308,$AD308,$AH308),_xlpm.trn,CHOOSE({1,2,3,4,5},$S308,$W308,$AA308,$AE308,$AI308),_xlpm.nsC,SUMPRODUCT(--(_xlpm.stat="Ready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DLR",IF(AND(_xlpm.actRS&gt;0,_xlpm.actDone&lt;_xlpm.actRS),"Training",IF(_xlpm.actRS&gt;0,"Active",IF(AND(_xlpm.decC&gt;0,_xlpm.inPlay+_xlpm.actC=0),"Dead",IF(AND($AJ308&lt;&gt;"",$AK308=FALSE),"Waiting on Dealer",IF(_xlpm.subC&gt;0,"Waiting on Lender",IF(AND(_xlpm.appC+_xlpm.actC&gt;0,_xlpm.nsC+_xlpm.wdC=0),"Rate Sheet","Application Submitted")))))))))</f>
        <v/>
      </c>
      <c r="M308" s="87"/>
      <c r="N308" s="87"/>
      <c r="O308" s="197"/>
      <c r="P308" s="87" t="str">
        <f>IF($A308="","",IF($AK308=TRUE,"Ready 2 Submit","Waiting on Dealer"))</f>
        <v/>
      </c>
      <c r="Q308" s="148"/>
      <c r="R308" s="87"/>
      <c r="S308" s="87"/>
      <c r="T308" s="87" t="str">
        <f>IF($A308="","",IF($AK308=TRUE,"Ready 2 Submit","Waiting on Dealer"))</f>
        <v/>
      </c>
      <c r="U308" s="148"/>
      <c r="V308" s="87"/>
      <c r="W308" s="87"/>
      <c r="X308" s="87" t="str">
        <f>IF($A308="","",IF($AK308=TRUE,"Ready 2 Submit","Waiting on Dealer"))</f>
        <v/>
      </c>
      <c r="Y308" s="148"/>
      <c r="Z308" s="87"/>
      <c r="AA308" s="87"/>
      <c r="AB308" s="87" t="str">
        <f>IF($A308="","",IF($AK308=TRUE,"Ready 2 Submit","Waiting on Dealer"))</f>
        <v/>
      </c>
      <c r="AC308" s="148"/>
      <c r="AD308" s="87"/>
      <c r="AE308" s="87"/>
      <c r="AF308" s="87" t="str">
        <f>IF($A308="","",IF($AK308=TRUE,"Ready 2 Submit","Waiting on Dealer"))</f>
        <v/>
      </c>
      <c r="AG308" s="148"/>
      <c r="AH308" s="87"/>
      <c r="AI308" s="87"/>
      <c r="AJ308" s="197"/>
      <c r="AK308" s="110" t="b">
        <v>0</v>
      </c>
      <c r="AL308" s="87" t="str" cm="1">
        <f t="array" ref="AL308">IF($A308="","",SUMPRODUCT((CHOOSE({1,2,3,4,5},$R308,$V308,$Z308,$AD308,$AH308)="Yes")*(((CHOOSE({1,2,3,4,5},$S308,$W308,$AA308,$AE308,$AI308)="Yes")+(CHOOSE({1,2,3,4,5},$S308,$W308,$AA308,$AE308,$AI308)=TRUE))&gt;0)))</f>
        <v/>
      </c>
      <c r="AM308" s="87"/>
      <c r="AN308" s="87" t="str">
        <f ca="1">IF(OR($A308="",$AM308=""),"",TODAY()-$AM308)</f>
        <v/>
      </c>
      <c r="AO308" s="87"/>
      <c r="AP308" s="106"/>
      <c r="AQ308" s="106"/>
      <c r="AR308" s="106"/>
      <c r="AS308" s="106"/>
      <c r="AT308" s="106"/>
      <c r="AU308" s="106"/>
      <c r="AV308" s="106"/>
      <c r="AW308" s="106"/>
      <c r="AX308" s="106"/>
      <c r="AY308" s="106"/>
    </row>
    <row r="309" spans="1:51" s="20" customFormat="1" ht="21" customHeight="1">
      <c r="A309" s="197"/>
      <c r="B309" s="87"/>
      <c r="C309" s="87"/>
      <c r="D309" s="196"/>
      <c r="E309" s="108"/>
      <c r="F309" s="196"/>
      <c r="G309" s="87"/>
      <c r="H309" s="197"/>
      <c r="I309" s="89"/>
      <c r="J309" s="204"/>
      <c r="K309" s="87"/>
      <c r="L309" s="87" t="str" cm="1">
        <f t="array" ref="L309">IF($A309="","",_xlfn.LET(_xlpm.stat,CHOOSE({1,2,3,4,5},$P309,$T309,$X309,$AB309,$AF309),_xlpm.rate,CHOOSE({1,2,3,4,5},$R309,$V309,$Z309,$AD309,$AH309),_xlpm.trn,CHOOSE({1,2,3,4,5},$S309,$W309,$AA309,$AE309,$AI309),_xlpm.nsC,SUMPRODUCT(--(_xlpm.stat="Ready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DLR",IF(AND(_xlpm.actRS&gt;0,_xlpm.actDone&lt;_xlpm.actRS),"Training",IF(_xlpm.actRS&gt;0,"Active",IF(AND(_xlpm.decC&gt;0,_xlpm.inPlay+_xlpm.actC=0),"Dead",IF(AND($AJ309&lt;&gt;"",$AK309=FALSE),"Waiting on Dealer",IF(_xlpm.subC&gt;0,"Waiting on Lender",IF(AND(_xlpm.appC+_xlpm.actC&gt;0,_xlpm.nsC+_xlpm.wdC=0),"Rate Sheet","Application Submitted")))))))))</f>
        <v/>
      </c>
      <c r="M309" s="87"/>
      <c r="N309" s="87"/>
      <c r="O309" s="197"/>
      <c r="P309" s="87" t="str">
        <f>IF($A309="","",IF($AK309=TRUE,"Ready 2 Submit","Waiting on Dealer"))</f>
        <v/>
      </c>
      <c r="Q309" s="148"/>
      <c r="R309" s="87"/>
      <c r="S309" s="87"/>
      <c r="T309" s="87" t="str">
        <f>IF($A309="","",IF($AK309=TRUE,"Ready 2 Submit","Waiting on Dealer"))</f>
        <v/>
      </c>
      <c r="U309" s="148"/>
      <c r="V309" s="87"/>
      <c r="W309" s="87"/>
      <c r="X309" s="87" t="str">
        <f>IF($A309="","",IF($AK309=TRUE,"Ready 2 Submit","Waiting on Dealer"))</f>
        <v/>
      </c>
      <c r="Y309" s="148"/>
      <c r="Z309" s="87"/>
      <c r="AA309" s="87"/>
      <c r="AB309" s="87" t="str">
        <f>IF($A309="","",IF($AK309=TRUE,"Ready 2 Submit","Waiting on Dealer"))</f>
        <v/>
      </c>
      <c r="AC309" s="148"/>
      <c r="AD309" s="87"/>
      <c r="AE309" s="87"/>
      <c r="AF309" s="87" t="str">
        <f>IF($A309="","",IF($AK309=TRUE,"Ready 2 Submit","Waiting on Dealer"))</f>
        <v/>
      </c>
      <c r="AG309" s="148"/>
      <c r="AH309" s="87"/>
      <c r="AI309" s="87"/>
      <c r="AJ309" s="197"/>
      <c r="AK309" s="110" t="b">
        <v>0</v>
      </c>
      <c r="AL309" s="87" t="str" cm="1">
        <f t="array" ref="AL309">IF($A309="","",SUMPRODUCT((CHOOSE({1,2,3,4,5},$R309,$V309,$Z309,$AD309,$AH309)="Yes")*(((CHOOSE({1,2,3,4,5},$S309,$W309,$AA309,$AE309,$AI309)="Yes")+(CHOOSE({1,2,3,4,5},$S309,$W309,$AA309,$AE309,$AI309)=TRUE))&gt;0)))</f>
        <v/>
      </c>
      <c r="AM309" s="87"/>
      <c r="AN309" s="87" t="str">
        <f ca="1">IF(OR($A309="",$AM309=""),"",TODAY()-$AM309)</f>
        <v/>
      </c>
      <c r="AO309" s="87"/>
      <c r="AP309" s="106"/>
      <c r="AQ309" s="106"/>
      <c r="AR309" s="106"/>
      <c r="AS309" s="106"/>
      <c r="AT309" s="106"/>
      <c r="AU309" s="106"/>
      <c r="AV309" s="106"/>
      <c r="AW309" s="106"/>
      <c r="AX309" s="106"/>
      <c r="AY309" s="106"/>
    </row>
    <row r="310" spans="1:51" s="20" customFormat="1" ht="21" customHeight="1">
      <c r="A310" s="197"/>
      <c r="B310" s="87"/>
      <c r="C310" s="87"/>
      <c r="D310" s="196"/>
      <c r="E310" s="108"/>
      <c r="F310" s="196"/>
      <c r="G310" s="87"/>
      <c r="H310" s="197"/>
      <c r="I310" s="89"/>
      <c r="J310" s="204"/>
      <c r="K310" s="87"/>
      <c r="L310" s="87" t="str" cm="1">
        <f t="array" ref="L310">IF($A310="","",_xlfn.LET(_xlpm.stat,CHOOSE({1,2,3,4,5},$P310,$T310,$X310,$AB310,$AF310),_xlpm.rate,CHOOSE({1,2,3,4,5},$R310,$V310,$Z310,$AD310,$AH310),_xlpm.trn,CHOOSE({1,2,3,4,5},$S310,$W310,$AA310,$AE310,$AI310),_xlpm.nsC,SUMPRODUCT(--(_xlpm.stat="Ready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DLR",IF(AND(_xlpm.actRS&gt;0,_xlpm.actDone&lt;_xlpm.actRS),"Training",IF(_xlpm.actRS&gt;0,"Active",IF(AND(_xlpm.decC&gt;0,_xlpm.inPlay+_xlpm.actC=0),"Dead",IF(AND($AJ310&lt;&gt;"",$AK310=FALSE),"Waiting on Dealer",IF(_xlpm.subC&gt;0,"Waiting on Lender",IF(AND(_xlpm.appC+_xlpm.actC&gt;0,_xlpm.nsC+_xlpm.wdC=0),"Rate Sheet","Application Submitted")))))))))</f>
        <v/>
      </c>
      <c r="M310" s="87"/>
      <c r="N310" s="87"/>
      <c r="O310" s="197"/>
      <c r="P310" s="87" t="str">
        <f>IF($A310="","",IF($AK310=TRUE,"Ready 2 Submit","Waiting on Dealer"))</f>
        <v/>
      </c>
      <c r="Q310" s="148"/>
      <c r="R310" s="87"/>
      <c r="S310" s="87"/>
      <c r="T310" s="87" t="str">
        <f>IF($A310="","",IF($AK310=TRUE,"Ready 2 Submit","Waiting on Dealer"))</f>
        <v/>
      </c>
      <c r="U310" s="148"/>
      <c r="V310" s="87"/>
      <c r="W310" s="87"/>
      <c r="X310" s="87" t="str">
        <f>IF($A310="","",IF($AK310=TRUE,"Ready 2 Submit","Waiting on Dealer"))</f>
        <v/>
      </c>
      <c r="Y310" s="148"/>
      <c r="Z310" s="87"/>
      <c r="AA310" s="87"/>
      <c r="AB310" s="87" t="str">
        <f>IF($A310="","",IF($AK310=TRUE,"Ready 2 Submit","Waiting on Dealer"))</f>
        <v/>
      </c>
      <c r="AC310" s="148"/>
      <c r="AD310" s="87"/>
      <c r="AE310" s="87"/>
      <c r="AF310" s="87" t="str">
        <f>IF($A310="","",IF($AK310=TRUE,"Ready 2 Submit","Waiting on Dealer"))</f>
        <v/>
      </c>
      <c r="AG310" s="148"/>
      <c r="AH310" s="87"/>
      <c r="AI310" s="87"/>
      <c r="AJ310" s="197"/>
      <c r="AK310" s="110" t="b">
        <v>0</v>
      </c>
      <c r="AL310" s="87" t="str" cm="1">
        <f t="array" ref="AL310">IF($A310="","",SUMPRODUCT((CHOOSE({1,2,3,4,5},$R310,$V310,$Z310,$AD310,$AH310)="Yes")*(((CHOOSE({1,2,3,4,5},$S310,$W310,$AA310,$AE310,$AI310)="Yes")+(CHOOSE({1,2,3,4,5},$S310,$W310,$AA310,$AE310,$AI310)=TRUE))&gt;0)))</f>
        <v/>
      </c>
      <c r="AM310" s="87"/>
      <c r="AN310" s="87" t="str">
        <f ca="1">IF(OR($A310="",$AM310=""),"",TODAY()-$AM310)</f>
        <v/>
      </c>
      <c r="AO310" s="87"/>
      <c r="AP310" s="106"/>
      <c r="AQ310" s="106"/>
      <c r="AR310" s="106"/>
      <c r="AS310" s="106"/>
      <c r="AT310" s="106"/>
      <c r="AU310" s="106"/>
      <c r="AV310" s="106"/>
      <c r="AW310" s="106"/>
      <c r="AX310" s="106"/>
      <c r="AY310" s="106"/>
    </row>
    <row r="311" spans="1:51" s="20" customFormat="1" ht="21" customHeight="1">
      <c r="A311" s="197"/>
      <c r="B311" s="87"/>
      <c r="C311" s="87"/>
      <c r="D311" s="196"/>
      <c r="E311" s="108"/>
      <c r="F311" s="196"/>
      <c r="G311" s="87"/>
      <c r="H311" s="197"/>
      <c r="I311" s="89"/>
      <c r="J311" s="204"/>
      <c r="K311" s="87"/>
      <c r="L311" s="87" t="str" cm="1">
        <f t="array" ref="L311">IF($A311="","",_xlfn.LET(_xlpm.stat,CHOOSE({1,2,3,4,5},$P311,$T311,$X311,$AB311,$AF311),_xlpm.rate,CHOOSE({1,2,3,4,5},$R311,$V311,$Z311,$AD311,$AH311),_xlpm.trn,CHOOSE({1,2,3,4,5},$S311,$W311,$AA311,$AE311,$AI311),_xlpm.nsC,SUMPRODUCT(--(_xlpm.stat="Ready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DLR",IF(AND(_xlpm.actRS&gt;0,_xlpm.actDone&lt;_xlpm.actRS),"Training",IF(_xlpm.actRS&gt;0,"Active",IF(AND(_xlpm.decC&gt;0,_xlpm.inPlay+_xlpm.actC=0),"Dead",IF(AND($AJ311&lt;&gt;"",$AK311=FALSE),"Waiting on Dealer",IF(_xlpm.subC&gt;0,"Waiting on Lender",IF(AND(_xlpm.appC+_xlpm.actC&gt;0,_xlpm.nsC+_xlpm.wdC=0),"Rate Sheet","Application Submitted")))))))))</f>
        <v/>
      </c>
      <c r="M311" s="87"/>
      <c r="N311" s="87"/>
      <c r="O311" s="197"/>
      <c r="P311" s="87" t="str">
        <f>IF($A311="","",IF($AK311=TRUE,"Ready 2 Submit","Waiting on Dealer"))</f>
        <v/>
      </c>
      <c r="Q311" s="148"/>
      <c r="R311" s="87"/>
      <c r="S311" s="87"/>
      <c r="T311" s="87" t="str">
        <f>IF($A311="","",IF($AK311=TRUE,"Ready 2 Submit","Waiting on Dealer"))</f>
        <v/>
      </c>
      <c r="U311" s="148"/>
      <c r="V311" s="87"/>
      <c r="W311" s="87"/>
      <c r="X311" s="87" t="str">
        <f>IF($A311="","",IF($AK311=TRUE,"Ready 2 Submit","Waiting on Dealer"))</f>
        <v/>
      </c>
      <c r="Y311" s="148"/>
      <c r="Z311" s="87"/>
      <c r="AA311" s="87"/>
      <c r="AB311" s="87" t="str">
        <f>IF($A311="","",IF($AK311=TRUE,"Ready 2 Submit","Waiting on Dealer"))</f>
        <v/>
      </c>
      <c r="AC311" s="148"/>
      <c r="AD311" s="87"/>
      <c r="AE311" s="87"/>
      <c r="AF311" s="87" t="str">
        <f>IF($A311="","",IF($AK311=TRUE,"Ready 2 Submit","Waiting on Dealer"))</f>
        <v/>
      </c>
      <c r="AG311" s="148"/>
      <c r="AH311" s="87"/>
      <c r="AI311" s="87"/>
      <c r="AJ311" s="197"/>
      <c r="AK311" s="110" t="b">
        <v>0</v>
      </c>
      <c r="AL311" s="87" t="str" cm="1">
        <f t="array" ref="AL311">IF($A311="","",SUMPRODUCT((CHOOSE({1,2,3,4,5},$R311,$V311,$Z311,$AD311,$AH311)="Yes")*(((CHOOSE({1,2,3,4,5},$S311,$W311,$AA311,$AE311,$AI311)="Yes")+(CHOOSE({1,2,3,4,5},$S311,$W311,$AA311,$AE311,$AI311)=TRUE))&gt;0)))</f>
        <v/>
      </c>
      <c r="AM311" s="87"/>
      <c r="AN311" s="87" t="str">
        <f ca="1">IF(OR($A311="",$AM311=""),"",TODAY()-$AM311)</f>
        <v/>
      </c>
      <c r="AO311" s="87"/>
      <c r="AP311" s="106"/>
      <c r="AQ311" s="106"/>
      <c r="AR311" s="106"/>
      <c r="AS311" s="106"/>
      <c r="AT311" s="106"/>
      <c r="AU311" s="106"/>
      <c r="AV311" s="106"/>
      <c r="AW311" s="106"/>
      <c r="AX311" s="106"/>
      <c r="AY311" s="106"/>
    </row>
    <row r="312" spans="1:51" s="20" customFormat="1" ht="21" customHeight="1">
      <c r="A312" s="197"/>
      <c r="B312" s="87"/>
      <c r="C312" s="87"/>
      <c r="D312" s="196"/>
      <c r="E312" s="108"/>
      <c r="F312" s="196"/>
      <c r="G312" s="87"/>
      <c r="H312" s="197"/>
      <c r="I312" s="89"/>
      <c r="J312" s="204"/>
      <c r="K312" s="87"/>
      <c r="L312" s="87" t="str" cm="1">
        <f t="array" ref="L312">IF($A312="","",_xlfn.LET(_xlpm.stat,CHOOSE({1,2,3,4,5},$P312,$T312,$X312,$AB312,$AF312),_xlpm.rate,CHOOSE({1,2,3,4,5},$R312,$V312,$Z312,$AD312,$AH312),_xlpm.trn,CHOOSE({1,2,3,4,5},$S312,$W312,$AA312,$AE312,$AI312),_xlpm.nsC,SUMPRODUCT(--(_xlpm.stat="Ready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DLR",IF(AND(_xlpm.actRS&gt;0,_xlpm.actDone&lt;_xlpm.actRS),"Training",IF(_xlpm.actRS&gt;0,"Active",IF(AND(_xlpm.decC&gt;0,_xlpm.inPlay+_xlpm.actC=0),"Dead",IF(AND($AJ312&lt;&gt;"",$AK312=FALSE),"Waiting on Dealer",IF(_xlpm.subC&gt;0,"Waiting on Lender",IF(AND(_xlpm.appC+_xlpm.actC&gt;0,_xlpm.nsC+_xlpm.wdC=0),"Rate Sheet","Application Submitted")))))))))</f>
        <v/>
      </c>
      <c r="M312" s="87"/>
      <c r="N312" s="87"/>
      <c r="O312" s="197"/>
      <c r="P312" s="87" t="str">
        <f>IF($A312="","",IF($AK312=TRUE,"Ready 2 Submit","Waiting on Dealer"))</f>
        <v/>
      </c>
      <c r="Q312" s="148"/>
      <c r="R312" s="87"/>
      <c r="S312" s="87"/>
      <c r="T312" s="87" t="str">
        <f>IF($A312="","",IF($AK312=TRUE,"Ready 2 Submit","Waiting on Dealer"))</f>
        <v/>
      </c>
      <c r="U312" s="148"/>
      <c r="V312" s="87"/>
      <c r="W312" s="87"/>
      <c r="X312" s="87" t="str">
        <f>IF($A312="","",IF($AK312=TRUE,"Ready 2 Submit","Waiting on Dealer"))</f>
        <v/>
      </c>
      <c r="Y312" s="148"/>
      <c r="Z312" s="87"/>
      <c r="AA312" s="87"/>
      <c r="AB312" s="87" t="str">
        <f>IF($A312="","",IF($AK312=TRUE,"Ready 2 Submit","Waiting on Dealer"))</f>
        <v/>
      </c>
      <c r="AC312" s="148"/>
      <c r="AD312" s="87"/>
      <c r="AE312" s="87"/>
      <c r="AF312" s="87" t="str">
        <f>IF($A312="","",IF($AK312=TRUE,"Ready 2 Submit","Waiting on Dealer"))</f>
        <v/>
      </c>
      <c r="AG312" s="148"/>
      <c r="AH312" s="87"/>
      <c r="AI312" s="87"/>
      <c r="AJ312" s="197"/>
      <c r="AK312" s="110" t="b">
        <v>0</v>
      </c>
      <c r="AL312" s="87" t="str" cm="1">
        <f t="array" ref="AL312">IF($A312="","",SUMPRODUCT((CHOOSE({1,2,3,4,5},$R312,$V312,$Z312,$AD312,$AH312)="Yes")*(((CHOOSE({1,2,3,4,5},$S312,$W312,$AA312,$AE312,$AI312)="Yes")+(CHOOSE({1,2,3,4,5},$S312,$W312,$AA312,$AE312,$AI312)=TRUE))&gt;0)))</f>
        <v/>
      </c>
      <c r="AM312" s="87"/>
      <c r="AN312" s="87" t="str">
        <f ca="1">IF(OR($A312="",$AM312=""),"",TODAY()-$AM312)</f>
        <v/>
      </c>
      <c r="AO312" s="87"/>
      <c r="AP312" s="106"/>
      <c r="AQ312" s="106"/>
      <c r="AR312" s="106"/>
      <c r="AS312" s="106"/>
      <c r="AT312" s="106"/>
      <c r="AU312" s="106"/>
      <c r="AV312" s="106"/>
      <c r="AW312" s="106"/>
      <c r="AX312" s="106"/>
      <c r="AY312" s="106"/>
    </row>
    <row r="313" spans="1:51" s="20" customFormat="1" ht="21" customHeight="1">
      <c r="A313" s="197"/>
      <c r="B313" s="87"/>
      <c r="C313" s="87"/>
      <c r="D313" s="196"/>
      <c r="E313" s="108"/>
      <c r="F313" s="196"/>
      <c r="G313" s="87"/>
      <c r="H313" s="197"/>
      <c r="I313" s="89"/>
      <c r="J313" s="204"/>
      <c r="K313" s="87"/>
      <c r="L313" s="87" t="str" cm="1">
        <f t="array" ref="L313">IF($A313="","",_xlfn.LET(_xlpm.stat,CHOOSE({1,2,3,4,5},$P313,$T313,$X313,$AB313,$AF313),_xlpm.rate,CHOOSE({1,2,3,4,5},$R313,$V313,$Z313,$AD313,$AH313),_xlpm.trn,CHOOSE({1,2,3,4,5},$S313,$W313,$AA313,$AE313,$AI313),_xlpm.nsC,SUMPRODUCT(--(_xlpm.stat="Ready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DLR",IF(AND(_xlpm.actRS&gt;0,_xlpm.actDone&lt;_xlpm.actRS),"Training",IF(_xlpm.actRS&gt;0,"Active",IF(AND(_xlpm.decC&gt;0,_xlpm.inPlay+_xlpm.actC=0),"Dead",IF(AND($AJ313&lt;&gt;"",$AK313=FALSE),"Waiting on Dealer",IF(_xlpm.subC&gt;0,"Waiting on Lender",IF(AND(_xlpm.appC+_xlpm.actC&gt;0,_xlpm.nsC+_xlpm.wdC=0),"Rate Sheet","Application Submitted")))))))))</f>
        <v/>
      </c>
      <c r="M313" s="87"/>
      <c r="N313" s="87"/>
      <c r="O313" s="197"/>
      <c r="P313" s="87" t="str">
        <f>IF($A313="","",IF($AK313=TRUE,"Ready 2 Submit","Waiting on Dealer"))</f>
        <v/>
      </c>
      <c r="Q313" s="148"/>
      <c r="R313" s="87"/>
      <c r="S313" s="87"/>
      <c r="T313" s="87" t="str">
        <f>IF($A313="","",IF($AK313=TRUE,"Ready 2 Submit","Waiting on Dealer"))</f>
        <v/>
      </c>
      <c r="U313" s="148"/>
      <c r="V313" s="87"/>
      <c r="W313" s="87"/>
      <c r="X313" s="87" t="str">
        <f>IF($A313="","",IF($AK313=TRUE,"Ready 2 Submit","Waiting on Dealer"))</f>
        <v/>
      </c>
      <c r="Y313" s="148"/>
      <c r="Z313" s="87"/>
      <c r="AA313" s="87"/>
      <c r="AB313" s="87" t="str">
        <f>IF($A313="","",IF($AK313=TRUE,"Ready 2 Submit","Waiting on Dealer"))</f>
        <v/>
      </c>
      <c r="AC313" s="148"/>
      <c r="AD313" s="87"/>
      <c r="AE313" s="87"/>
      <c r="AF313" s="87" t="str">
        <f>IF($A313="","",IF($AK313=TRUE,"Ready 2 Submit","Waiting on Dealer"))</f>
        <v/>
      </c>
      <c r="AG313" s="148"/>
      <c r="AH313" s="87"/>
      <c r="AI313" s="87"/>
      <c r="AJ313" s="197"/>
      <c r="AK313" s="110" t="b">
        <v>0</v>
      </c>
      <c r="AL313" s="87" t="str" cm="1">
        <f t="array" ref="AL313">IF($A313="","",SUMPRODUCT((CHOOSE({1,2,3,4,5},$R313,$V313,$Z313,$AD313,$AH313)="Yes")*(((CHOOSE({1,2,3,4,5},$S313,$W313,$AA313,$AE313,$AI313)="Yes")+(CHOOSE({1,2,3,4,5},$S313,$W313,$AA313,$AE313,$AI313)=TRUE))&gt;0)))</f>
        <v/>
      </c>
      <c r="AM313" s="87"/>
      <c r="AN313" s="87" t="str">
        <f ca="1">IF(OR($A313="",$AM313=""),"",TODAY()-$AM313)</f>
        <v/>
      </c>
      <c r="AO313" s="87"/>
      <c r="AP313" s="106"/>
      <c r="AQ313" s="106"/>
      <c r="AR313" s="106"/>
      <c r="AS313" s="106"/>
      <c r="AT313" s="106"/>
      <c r="AU313" s="106"/>
      <c r="AV313" s="106"/>
      <c r="AW313" s="106"/>
      <c r="AX313" s="106"/>
      <c r="AY313" s="106"/>
    </row>
    <row r="314" spans="1:51" s="20" customFormat="1" ht="21" customHeight="1">
      <c r="A314" s="197"/>
      <c r="B314" s="87"/>
      <c r="C314" s="87"/>
      <c r="D314" s="196"/>
      <c r="E314" s="108"/>
      <c r="F314" s="196"/>
      <c r="G314" s="87"/>
      <c r="H314" s="197"/>
      <c r="I314" s="89"/>
      <c r="J314" s="204"/>
      <c r="K314" s="87"/>
      <c r="L314" s="87" t="str" cm="1">
        <f t="array" ref="L314">IF($A314="","",_xlfn.LET(_xlpm.stat,CHOOSE({1,2,3,4,5},$P314,$T314,$X314,$AB314,$AF314),_xlpm.rate,CHOOSE({1,2,3,4,5},$R314,$V314,$Z314,$AD314,$AH314),_xlpm.trn,CHOOSE({1,2,3,4,5},$S314,$W314,$AA314,$AE314,$AI314),_xlpm.nsC,SUMPRODUCT(--(_xlpm.stat="Ready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DLR",IF(AND(_xlpm.actRS&gt;0,_xlpm.actDone&lt;_xlpm.actRS),"Training",IF(_xlpm.actRS&gt;0,"Active",IF(AND(_xlpm.decC&gt;0,_xlpm.inPlay+_xlpm.actC=0),"Dead",IF(AND($AJ314&lt;&gt;"",$AK314=FALSE),"Waiting on Dealer",IF(_xlpm.subC&gt;0,"Waiting on Lender",IF(AND(_xlpm.appC+_xlpm.actC&gt;0,_xlpm.nsC+_xlpm.wdC=0),"Rate Sheet","Application Submitted")))))))))</f>
        <v/>
      </c>
      <c r="M314" s="87"/>
      <c r="N314" s="87"/>
      <c r="O314" s="197"/>
      <c r="P314" s="87" t="str">
        <f>IF($A314="","",IF($AK314=TRUE,"Ready 2 Submit","Waiting on Dealer"))</f>
        <v/>
      </c>
      <c r="Q314" s="148"/>
      <c r="R314" s="87"/>
      <c r="S314" s="87"/>
      <c r="T314" s="87" t="str">
        <f>IF($A314="","",IF($AK314=TRUE,"Ready 2 Submit","Waiting on Dealer"))</f>
        <v/>
      </c>
      <c r="U314" s="148"/>
      <c r="V314" s="87"/>
      <c r="W314" s="87"/>
      <c r="X314" s="87" t="str">
        <f>IF($A314="","",IF($AK314=TRUE,"Ready 2 Submit","Waiting on Dealer"))</f>
        <v/>
      </c>
      <c r="Y314" s="148"/>
      <c r="Z314" s="87"/>
      <c r="AA314" s="87"/>
      <c r="AB314" s="87" t="str">
        <f>IF($A314="","",IF($AK314=TRUE,"Ready 2 Submit","Waiting on Dealer"))</f>
        <v/>
      </c>
      <c r="AC314" s="148"/>
      <c r="AD314" s="87"/>
      <c r="AE314" s="87"/>
      <c r="AF314" s="87" t="str">
        <f>IF($A314="","",IF($AK314=TRUE,"Ready 2 Submit","Waiting on Dealer"))</f>
        <v/>
      </c>
      <c r="AG314" s="148"/>
      <c r="AH314" s="87"/>
      <c r="AI314" s="87"/>
      <c r="AJ314" s="197"/>
      <c r="AK314" s="110" t="b">
        <v>0</v>
      </c>
      <c r="AL314" s="87" t="str" cm="1">
        <f t="array" ref="AL314">IF($A314="","",SUMPRODUCT((CHOOSE({1,2,3,4,5},$R314,$V314,$Z314,$AD314,$AH314)="Yes")*(((CHOOSE({1,2,3,4,5},$S314,$W314,$AA314,$AE314,$AI314)="Yes")+(CHOOSE({1,2,3,4,5},$S314,$W314,$AA314,$AE314,$AI314)=TRUE))&gt;0)))</f>
        <v/>
      </c>
      <c r="AM314" s="87"/>
      <c r="AN314" s="87" t="str">
        <f ca="1">IF(OR($A314="",$AM314=""),"",TODAY()-$AM314)</f>
        <v/>
      </c>
      <c r="AO314" s="87"/>
      <c r="AP314" s="106"/>
      <c r="AQ314" s="106"/>
      <c r="AR314" s="106"/>
      <c r="AS314" s="106"/>
      <c r="AT314" s="106"/>
      <c r="AU314" s="106"/>
      <c r="AV314" s="106"/>
      <c r="AW314" s="106"/>
      <c r="AX314" s="106"/>
      <c r="AY314" s="106"/>
    </row>
    <row r="315" spans="1:51" s="20" customFormat="1" ht="21" customHeight="1">
      <c r="A315" s="197"/>
      <c r="B315" s="87"/>
      <c r="C315" s="87"/>
      <c r="D315" s="196"/>
      <c r="E315" s="108"/>
      <c r="F315" s="196"/>
      <c r="G315" s="87"/>
      <c r="H315" s="197"/>
      <c r="I315" s="89"/>
      <c r="J315" s="204"/>
      <c r="K315" s="87"/>
      <c r="L315" s="87" t="str" cm="1">
        <f t="array" ref="L315">IF($A315="","",_xlfn.LET(_xlpm.stat,CHOOSE({1,2,3,4,5},$P315,$T315,$X315,$AB315,$AF315),_xlpm.rate,CHOOSE({1,2,3,4,5},$R315,$V315,$Z315,$AD315,$AH315),_xlpm.trn,CHOOSE({1,2,3,4,5},$S315,$W315,$AA315,$AE315,$AI315),_xlpm.nsC,SUMPRODUCT(--(_xlpm.stat="Ready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DLR",IF(AND(_xlpm.actRS&gt;0,_xlpm.actDone&lt;_xlpm.actRS),"Training",IF(_xlpm.actRS&gt;0,"Active",IF(AND(_xlpm.decC&gt;0,_xlpm.inPlay+_xlpm.actC=0),"Dead",IF(AND($AJ315&lt;&gt;"",$AK315=FALSE),"Waiting on Dealer",IF(_xlpm.subC&gt;0,"Waiting on Lender",IF(AND(_xlpm.appC+_xlpm.actC&gt;0,_xlpm.nsC+_xlpm.wdC=0),"Rate Sheet","Application Submitted")))))))))</f>
        <v/>
      </c>
      <c r="M315" s="87"/>
      <c r="N315" s="87"/>
      <c r="O315" s="197"/>
      <c r="P315" s="87" t="str">
        <f>IF($A315="","",IF($AK315=TRUE,"Ready 2 Submit","Waiting on Dealer"))</f>
        <v/>
      </c>
      <c r="Q315" s="148"/>
      <c r="R315" s="87"/>
      <c r="S315" s="87"/>
      <c r="T315" s="87" t="str">
        <f>IF($A315="","",IF($AK315=TRUE,"Ready 2 Submit","Waiting on Dealer"))</f>
        <v/>
      </c>
      <c r="U315" s="148"/>
      <c r="V315" s="87"/>
      <c r="W315" s="87"/>
      <c r="X315" s="87" t="str">
        <f>IF($A315="","",IF($AK315=TRUE,"Ready 2 Submit","Waiting on Dealer"))</f>
        <v/>
      </c>
      <c r="Y315" s="148"/>
      <c r="Z315" s="87"/>
      <c r="AA315" s="87"/>
      <c r="AB315" s="87" t="str">
        <f>IF($A315="","",IF($AK315=TRUE,"Ready 2 Submit","Waiting on Dealer"))</f>
        <v/>
      </c>
      <c r="AC315" s="148"/>
      <c r="AD315" s="87"/>
      <c r="AE315" s="87"/>
      <c r="AF315" s="87" t="str">
        <f>IF($A315="","",IF($AK315=TRUE,"Ready 2 Submit","Waiting on Dealer"))</f>
        <v/>
      </c>
      <c r="AG315" s="148"/>
      <c r="AH315" s="87"/>
      <c r="AI315" s="87"/>
      <c r="AJ315" s="197"/>
      <c r="AK315" s="110" t="b">
        <v>0</v>
      </c>
      <c r="AL315" s="87" t="str" cm="1">
        <f t="array" ref="AL315">IF($A315="","",SUMPRODUCT((CHOOSE({1,2,3,4,5},$R315,$V315,$Z315,$AD315,$AH315)="Yes")*(((CHOOSE({1,2,3,4,5},$S315,$W315,$AA315,$AE315,$AI315)="Yes")+(CHOOSE({1,2,3,4,5},$S315,$W315,$AA315,$AE315,$AI315)=TRUE))&gt;0)))</f>
        <v/>
      </c>
      <c r="AM315" s="87"/>
      <c r="AN315" s="87" t="str">
        <f ca="1">IF(OR($A315="",$AM315=""),"",TODAY()-$AM315)</f>
        <v/>
      </c>
      <c r="AO315" s="87"/>
      <c r="AP315" s="106"/>
      <c r="AQ315" s="106"/>
      <c r="AR315" s="106"/>
      <c r="AS315" s="106"/>
      <c r="AT315" s="106"/>
      <c r="AU315" s="106"/>
      <c r="AV315" s="106"/>
      <c r="AW315" s="106"/>
      <c r="AX315" s="106"/>
      <c r="AY315" s="106"/>
    </row>
    <row r="316" spans="1:51" s="20" customFormat="1" ht="21" customHeight="1">
      <c r="A316" s="197"/>
      <c r="B316" s="87"/>
      <c r="C316" s="87"/>
      <c r="D316" s="196"/>
      <c r="E316" s="108"/>
      <c r="F316" s="196"/>
      <c r="G316" s="87"/>
      <c r="H316" s="197"/>
      <c r="I316" s="89"/>
      <c r="J316" s="204"/>
      <c r="K316" s="87"/>
      <c r="L316" s="87" t="str" cm="1">
        <f t="array" ref="L316">IF($A316="","",_xlfn.LET(_xlpm.stat,CHOOSE({1,2,3,4,5},$P316,$T316,$X316,$AB316,$AF316),_xlpm.rate,CHOOSE({1,2,3,4,5},$R316,$V316,$Z316,$AD316,$AH316),_xlpm.trn,CHOOSE({1,2,3,4,5},$S316,$W316,$AA316,$AE316,$AI316),_xlpm.nsC,SUMPRODUCT(--(_xlpm.stat="Ready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DLR",IF(AND(_xlpm.actRS&gt;0,_xlpm.actDone&lt;_xlpm.actRS),"Training",IF(_xlpm.actRS&gt;0,"Active",IF(AND(_xlpm.decC&gt;0,_xlpm.inPlay+_xlpm.actC=0),"Dead",IF(AND($AJ316&lt;&gt;"",$AK316=FALSE),"Waiting on Dealer",IF(_xlpm.subC&gt;0,"Waiting on Lender",IF(AND(_xlpm.appC+_xlpm.actC&gt;0,_xlpm.nsC+_xlpm.wdC=0),"Rate Sheet","Application Submitted")))))))))</f>
        <v/>
      </c>
      <c r="M316" s="87"/>
      <c r="N316" s="87"/>
      <c r="O316" s="197"/>
      <c r="P316" s="87" t="str">
        <f>IF($A316="","",IF($AK316=TRUE,"Ready 2 Submit","Waiting on Dealer"))</f>
        <v/>
      </c>
      <c r="Q316" s="148"/>
      <c r="R316" s="87"/>
      <c r="S316" s="87"/>
      <c r="T316" s="87" t="str">
        <f>IF($A316="","",IF($AK316=TRUE,"Ready 2 Submit","Waiting on Dealer"))</f>
        <v/>
      </c>
      <c r="U316" s="148"/>
      <c r="V316" s="87"/>
      <c r="W316" s="87"/>
      <c r="X316" s="87" t="str">
        <f>IF($A316="","",IF($AK316=TRUE,"Ready 2 Submit","Waiting on Dealer"))</f>
        <v/>
      </c>
      <c r="Y316" s="148"/>
      <c r="Z316" s="87"/>
      <c r="AA316" s="87"/>
      <c r="AB316" s="87" t="str">
        <f>IF($A316="","",IF($AK316=TRUE,"Ready 2 Submit","Waiting on Dealer"))</f>
        <v/>
      </c>
      <c r="AC316" s="148"/>
      <c r="AD316" s="87"/>
      <c r="AE316" s="87"/>
      <c r="AF316" s="87" t="str">
        <f>IF($A316="","",IF($AK316=TRUE,"Ready 2 Submit","Waiting on Dealer"))</f>
        <v/>
      </c>
      <c r="AG316" s="148"/>
      <c r="AH316" s="87"/>
      <c r="AI316" s="87"/>
      <c r="AJ316" s="197"/>
      <c r="AK316" s="110" t="b">
        <v>0</v>
      </c>
      <c r="AL316" s="87" t="str" cm="1">
        <f t="array" ref="AL316">IF($A316="","",SUMPRODUCT((CHOOSE({1,2,3,4,5},$R316,$V316,$Z316,$AD316,$AH316)="Yes")*(((CHOOSE({1,2,3,4,5},$S316,$W316,$AA316,$AE316,$AI316)="Yes")+(CHOOSE({1,2,3,4,5},$S316,$W316,$AA316,$AE316,$AI316)=TRUE))&gt;0)))</f>
        <v/>
      </c>
      <c r="AM316" s="87"/>
      <c r="AN316" s="87" t="str">
        <f ca="1">IF(OR($A316="",$AM316=""),"",TODAY()-$AM316)</f>
        <v/>
      </c>
      <c r="AO316" s="87"/>
      <c r="AP316" s="106"/>
      <c r="AQ316" s="106"/>
      <c r="AR316" s="106"/>
      <c r="AS316" s="106"/>
      <c r="AT316" s="106"/>
      <c r="AU316" s="106"/>
      <c r="AV316" s="106"/>
      <c r="AW316" s="106"/>
      <c r="AX316" s="106"/>
      <c r="AY316" s="106"/>
    </row>
    <row r="317" spans="1:51" s="20" customFormat="1" ht="21" customHeight="1">
      <c r="A317" s="197"/>
      <c r="B317" s="87"/>
      <c r="C317" s="87"/>
      <c r="D317" s="196"/>
      <c r="E317" s="108"/>
      <c r="F317" s="196"/>
      <c r="G317" s="87"/>
      <c r="H317" s="197"/>
      <c r="I317" s="89"/>
      <c r="J317" s="204"/>
      <c r="K317" s="87"/>
      <c r="L317" s="87" t="str" cm="1">
        <f t="array" ref="L317">IF($A317="","",_xlfn.LET(_xlpm.stat,CHOOSE({1,2,3,4,5},$P317,$T317,$X317,$AB317,$AF317),_xlpm.rate,CHOOSE({1,2,3,4,5},$R317,$V317,$Z317,$AD317,$AH317),_xlpm.trn,CHOOSE({1,2,3,4,5},$S317,$W317,$AA317,$AE317,$AI317),_xlpm.nsC,SUMPRODUCT(--(_xlpm.stat="Ready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DLR",IF(AND(_xlpm.actRS&gt;0,_xlpm.actDone&lt;_xlpm.actRS),"Training",IF(_xlpm.actRS&gt;0,"Active",IF(AND(_xlpm.decC&gt;0,_xlpm.inPlay+_xlpm.actC=0),"Dead",IF(AND($AJ317&lt;&gt;"",$AK317=FALSE),"Waiting on Dealer",IF(_xlpm.subC&gt;0,"Waiting on Lender",IF(AND(_xlpm.appC+_xlpm.actC&gt;0,_xlpm.nsC+_xlpm.wdC=0),"Rate Sheet","Application Submitted")))))))))</f>
        <v/>
      </c>
      <c r="M317" s="87"/>
      <c r="N317" s="87"/>
      <c r="O317" s="197"/>
      <c r="P317" s="87" t="str">
        <f>IF($A317="","",IF($AK317=TRUE,"Ready 2 Submit","Waiting on Dealer"))</f>
        <v/>
      </c>
      <c r="Q317" s="148"/>
      <c r="R317" s="87"/>
      <c r="S317" s="87"/>
      <c r="T317" s="87" t="str">
        <f>IF($A317="","",IF($AK317=TRUE,"Ready 2 Submit","Waiting on Dealer"))</f>
        <v/>
      </c>
      <c r="U317" s="148"/>
      <c r="V317" s="87"/>
      <c r="W317" s="87"/>
      <c r="X317" s="87" t="str">
        <f>IF($A317="","",IF($AK317=TRUE,"Ready 2 Submit","Waiting on Dealer"))</f>
        <v/>
      </c>
      <c r="Y317" s="148"/>
      <c r="Z317" s="87"/>
      <c r="AA317" s="87"/>
      <c r="AB317" s="87" t="str">
        <f>IF($A317="","",IF($AK317=TRUE,"Ready 2 Submit","Waiting on Dealer"))</f>
        <v/>
      </c>
      <c r="AC317" s="148"/>
      <c r="AD317" s="87"/>
      <c r="AE317" s="87"/>
      <c r="AF317" s="87" t="str">
        <f>IF($A317="","",IF($AK317=TRUE,"Ready 2 Submit","Waiting on Dealer"))</f>
        <v/>
      </c>
      <c r="AG317" s="148"/>
      <c r="AH317" s="87"/>
      <c r="AI317" s="87"/>
      <c r="AJ317" s="197"/>
      <c r="AK317" s="110" t="b">
        <v>0</v>
      </c>
      <c r="AL317" s="87" t="str" cm="1">
        <f t="array" ref="AL317">IF($A317="","",SUMPRODUCT((CHOOSE({1,2,3,4,5},$R317,$V317,$Z317,$AD317,$AH317)="Yes")*(((CHOOSE({1,2,3,4,5},$S317,$W317,$AA317,$AE317,$AI317)="Yes")+(CHOOSE({1,2,3,4,5},$S317,$W317,$AA317,$AE317,$AI317)=TRUE))&gt;0)))</f>
        <v/>
      </c>
      <c r="AM317" s="87"/>
      <c r="AN317" s="87" t="str">
        <f ca="1">IF(OR($A317="",$AM317=""),"",TODAY()-$AM317)</f>
        <v/>
      </c>
      <c r="AO317" s="87"/>
      <c r="AP317" s="106"/>
      <c r="AQ317" s="106"/>
      <c r="AR317" s="106"/>
      <c r="AS317" s="106"/>
      <c r="AT317" s="106"/>
      <c r="AU317" s="106"/>
      <c r="AV317" s="106"/>
      <c r="AW317" s="106"/>
      <c r="AX317" s="106"/>
      <c r="AY317" s="106"/>
    </row>
    <row r="318" spans="1:51" s="20" customFormat="1" ht="21" customHeight="1">
      <c r="A318" s="197"/>
      <c r="B318" s="87"/>
      <c r="C318" s="87"/>
      <c r="D318" s="196"/>
      <c r="E318" s="108"/>
      <c r="F318" s="196"/>
      <c r="G318" s="87"/>
      <c r="H318" s="197"/>
      <c r="I318" s="89"/>
      <c r="J318" s="204"/>
      <c r="K318" s="87"/>
      <c r="L318" s="87" t="str" cm="1">
        <f t="array" ref="L318">IF($A318="","",_xlfn.LET(_xlpm.stat,CHOOSE({1,2,3,4,5},$P318,$T318,$X318,$AB318,$AF318),_xlpm.rate,CHOOSE({1,2,3,4,5},$R318,$V318,$Z318,$AD318,$AH318),_xlpm.trn,CHOOSE({1,2,3,4,5},$S318,$W318,$AA318,$AE318,$AI318),_xlpm.nsC,SUMPRODUCT(--(_xlpm.stat="Ready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DLR",IF(AND(_xlpm.actRS&gt;0,_xlpm.actDone&lt;_xlpm.actRS),"Training",IF(_xlpm.actRS&gt;0,"Active",IF(AND(_xlpm.decC&gt;0,_xlpm.inPlay+_xlpm.actC=0),"Dead",IF(AND($AJ318&lt;&gt;"",$AK318=FALSE),"Waiting on Dealer",IF(_xlpm.subC&gt;0,"Waiting on Lender",IF(AND(_xlpm.appC+_xlpm.actC&gt;0,_xlpm.nsC+_xlpm.wdC=0),"Rate Sheet","Application Submitted")))))))))</f>
        <v/>
      </c>
      <c r="M318" s="87"/>
      <c r="N318" s="87"/>
      <c r="O318" s="197"/>
      <c r="P318" s="87" t="str">
        <f>IF($A318="","",IF($AK318=TRUE,"Ready 2 Submit","Waiting on Dealer"))</f>
        <v/>
      </c>
      <c r="Q318" s="148"/>
      <c r="R318" s="87"/>
      <c r="S318" s="87"/>
      <c r="T318" s="87" t="str">
        <f>IF($A318="","",IF($AK318=TRUE,"Ready 2 Submit","Waiting on Dealer"))</f>
        <v/>
      </c>
      <c r="U318" s="148"/>
      <c r="V318" s="87"/>
      <c r="W318" s="87"/>
      <c r="X318" s="87" t="str">
        <f>IF($A318="","",IF($AK318=TRUE,"Ready 2 Submit","Waiting on Dealer"))</f>
        <v/>
      </c>
      <c r="Y318" s="148"/>
      <c r="Z318" s="87"/>
      <c r="AA318" s="87"/>
      <c r="AB318" s="87" t="str">
        <f>IF($A318="","",IF($AK318=TRUE,"Ready 2 Submit","Waiting on Dealer"))</f>
        <v/>
      </c>
      <c r="AC318" s="148"/>
      <c r="AD318" s="87"/>
      <c r="AE318" s="87"/>
      <c r="AF318" s="87" t="str">
        <f>IF($A318="","",IF($AK318=TRUE,"Ready 2 Submit","Waiting on Dealer"))</f>
        <v/>
      </c>
      <c r="AG318" s="148"/>
      <c r="AH318" s="87"/>
      <c r="AI318" s="87"/>
      <c r="AJ318" s="197"/>
      <c r="AK318" s="110" t="b">
        <v>0</v>
      </c>
      <c r="AL318" s="87" t="str" cm="1">
        <f t="array" ref="AL318">IF($A318="","",SUMPRODUCT((CHOOSE({1,2,3,4,5},$R318,$V318,$Z318,$AD318,$AH318)="Yes")*(((CHOOSE({1,2,3,4,5},$S318,$W318,$AA318,$AE318,$AI318)="Yes")+(CHOOSE({1,2,3,4,5},$S318,$W318,$AA318,$AE318,$AI318)=TRUE))&gt;0)))</f>
        <v/>
      </c>
      <c r="AM318" s="87"/>
      <c r="AN318" s="87" t="str">
        <f ca="1">IF(OR($A318="",$AM318=""),"",TODAY()-$AM318)</f>
        <v/>
      </c>
      <c r="AO318" s="87"/>
      <c r="AP318" s="106"/>
      <c r="AQ318" s="106"/>
      <c r="AR318" s="106"/>
      <c r="AS318" s="106"/>
      <c r="AT318" s="106"/>
      <c r="AU318" s="106"/>
      <c r="AV318" s="106"/>
      <c r="AW318" s="106"/>
      <c r="AX318" s="106"/>
      <c r="AY318" s="106"/>
    </row>
    <row r="319" spans="1:51" s="20" customFormat="1" ht="21" customHeight="1">
      <c r="A319" s="197"/>
      <c r="B319" s="87"/>
      <c r="C319" s="87"/>
      <c r="D319" s="196"/>
      <c r="E319" s="108"/>
      <c r="F319" s="196"/>
      <c r="G319" s="87"/>
      <c r="H319" s="197"/>
      <c r="I319" s="89"/>
      <c r="J319" s="204"/>
      <c r="K319" s="87"/>
      <c r="L319" s="87" t="str" cm="1">
        <f t="array" ref="L319">IF($A319="","",_xlfn.LET(_xlpm.stat,CHOOSE({1,2,3,4,5},$P319,$T319,$X319,$AB319,$AF319),_xlpm.rate,CHOOSE({1,2,3,4,5},$R319,$V319,$Z319,$AD319,$AH319),_xlpm.trn,CHOOSE({1,2,3,4,5},$S319,$W319,$AA319,$AE319,$AI319),_xlpm.nsC,SUMPRODUCT(--(_xlpm.stat="Ready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DLR",IF(AND(_xlpm.actRS&gt;0,_xlpm.actDone&lt;_xlpm.actRS),"Training",IF(_xlpm.actRS&gt;0,"Active",IF(AND(_xlpm.decC&gt;0,_xlpm.inPlay+_xlpm.actC=0),"Dead",IF(AND($AJ319&lt;&gt;"",$AK319=FALSE),"Waiting on Dealer",IF(_xlpm.subC&gt;0,"Waiting on Lender",IF(AND(_xlpm.appC+_xlpm.actC&gt;0,_xlpm.nsC+_xlpm.wdC=0),"Rate Sheet","Application Submitted")))))))))</f>
        <v/>
      </c>
      <c r="M319" s="87"/>
      <c r="N319" s="87"/>
      <c r="O319" s="197"/>
      <c r="P319" s="87" t="str">
        <f>IF($A319="","",IF($AK319=TRUE,"Ready 2 Submit","Waiting on Dealer"))</f>
        <v/>
      </c>
      <c r="Q319" s="148"/>
      <c r="R319" s="87"/>
      <c r="S319" s="87"/>
      <c r="T319" s="87" t="str">
        <f>IF($A319="","",IF($AK319=TRUE,"Ready 2 Submit","Waiting on Dealer"))</f>
        <v/>
      </c>
      <c r="U319" s="148"/>
      <c r="V319" s="87"/>
      <c r="W319" s="87"/>
      <c r="X319" s="87" t="str">
        <f>IF($A319="","",IF($AK319=TRUE,"Ready 2 Submit","Waiting on Dealer"))</f>
        <v/>
      </c>
      <c r="Y319" s="148"/>
      <c r="Z319" s="87"/>
      <c r="AA319" s="87"/>
      <c r="AB319" s="87" t="str">
        <f>IF($A319="","",IF($AK319=TRUE,"Ready 2 Submit","Waiting on Dealer"))</f>
        <v/>
      </c>
      <c r="AC319" s="148"/>
      <c r="AD319" s="87"/>
      <c r="AE319" s="87"/>
      <c r="AF319" s="87" t="str">
        <f>IF($A319="","",IF($AK319=TRUE,"Ready 2 Submit","Waiting on Dealer"))</f>
        <v/>
      </c>
      <c r="AG319" s="148"/>
      <c r="AH319" s="87"/>
      <c r="AI319" s="87"/>
      <c r="AJ319" s="197"/>
      <c r="AK319" s="110" t="b">
        <v>0</v>
      </c>
      <c r="AL319" s="87" t="str" cm="1">
        <f t="array" ref="AL319">IF($A319="","",SUMPRODUCT((CHOOSE({1,2,3,4,5},$R319,$V319,$Z319,$AD319,$AH319)="Yes")*(((CHOOSE({1,2,3,4,5},$S319,$W319,$AA319,$AE319,$AI319)="Yes")+(CHOOSE({1,2,3,4,5},$S319,$W319,$AA319,$AE319,$AI319)=TRUE))&gt;0)))</f>
        <v/>
      </c>
      <c r="AM319" s="87"/>
      <c r="AN319" s="87" t="str">
        <f ca="1">IF(OR($A319="",$AM319=""),"",TODAY()-$AM319)</f>
        <v/>
      </c>
      <c r="AO319" s="87"/>
      <c r="AP319" s="106"/>
      <c r="AQ319" s="106"/>
      <c r="AR319" s="106"/>
      <c r="AS319" s="106"/>
      <c r="AT319" s="106"/>
      <c r="AU319" s="106"/>
      <c r="AV319" s="106"/>
      <c r="AW319" s="106"/>
      <c r="AX319" s="106"/>
      <c r="AY319" s="106"/>
    </row>
    <row r="320" spans="1:51" s="20" customFormat="1" ht="21" customHeight="1">
      <c r="A320" s="197"/>
      <c r="B320" s="87"/>
      <c r="C320" s="87"/>
      <c r="D320" s="196"/>
      <c r="E320" s="108"/>
      <c r="F320" s="196"/>
      <c r="G320" s="87"/>
      <c r="H320" s="197"/>
      <c r="I320" s="89"/>
      <c r="J320" s="204"/>
      <c r="K320" s="87"/>
      <c r="L320" s="87" t="str" cm="1">
        <f t="array" ref="L320">IF($A320="","",_xlfn.LET(_xlpm.stat,CHOOSE({1,2,3,4,5},$P320,$T320,$X320,$AB320,$AF320),_xlpm.rate,CHOOSE({1,2,3,4,5},$R320,$V320,$Z320,$AD320,$AH320),_xlpm.trn,CHOOSE({1,2,3,4,5},$S320,$W320,$AA320,$AE320,$AI320),_xlpm.nsC,SUMPRODUCT(--(_xlpm.stat="Ready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DLR",IF(AND(_xlpm.actRS&gt;0,_xlpm.actDone&lt;_xlpm.actRS),"Training",IF(_xlpm.actRS&gt;0,"Active",IF(AND(_xlpm.decC&gt;0,_xlpm.inPlay+_xlpm.actC=0),"Dead",IF(AND($AJ320&lt;&gt;"",$AK320=FALSE),"Waiting on Dealer",IF(_xlpm.subC&gt;0,"Waiting on Lender",IF(AND(_xlpm.appC+_xlpm.actC&gt;0,_xlpm.nsC+_xlpm.wdC=0),"Rate Sheet","Application Submitted")))))))))</f>
        <v/>
      </c>
      <c r="M320" s="87"/>
      <c r="N320" s="87"/>
      <c r="O320" s="197"/>
      <c r="P320" s="87" t="str">
        <f>IF($A320="","",IF($AK320=TRUE,"Ready 2 Submit","Waiting on Dealer"))</f>
        <v/>
      </c>
      <c r="Q320" s="148"/>
      <c r="R320" s="87"/>
      <c r="S320" s="87"/>
      <c r="T320" s="87" t="str">
        <f>IF($A320="","",IF($AK320=TRUE,"Ready 2 Submit","Waiting on Dealer"))</f>
        <v/>
      </c>
      <c r="U320" s="148"/>
      <c r="V320" s="87"/>
      <c r="W320" s="87"/>
      <c r="X320" s="87" t="str">
        <f>IF($A320="","",IF($AK320=TRUE,"Ready 2 Submit","Waiting on Dealer"))</f>
        <v/>
      </c>
      <c r="Y320" s="148"/>
      <c r="Z320" s="87"/>
      <c r="AA320" s="87"/>
      <c r="AB320" s="87" t="str">
        <f>IF($A320="","",IF($AK320=TRUE,"Ready 2 Submit","Waiting on Dealer"))</f>
        <v/>
      </c>
      <c r="AC320" s="148"/>
      <c r="AD320" s="87"/>
      <c r="AE320" s="87"/>
      <c r="AF320" s="87" t="str">
        <f>IF($A320="","",IF($AK320=TRUE,"Ready 2 Submit","Waiting on Dealer"))</f>
        <v/>
      </c>
      <c r="AG320" s="148"/>
      <c r="AH320" s="87"/>
      <c r="AI320" s="87"/>
      <c r="AJ320" s="197"/>
      <c r="AK320" s="110" t="b">
        <v>0</v>
      </c>
      <c r="AL320" s="87" t="str" cm="1">
        <f t="array" ref="AL320">IF($A320="","",SUMPRODUCT((CHOOSE({1,2,3,4,5},$R320,$V320,$Z320,$AD320,$AH320)="Yes")*(((CHOOSE({1,2,3,4,5},$S320,$W320,$AA320,$AE320,$AI320)="Yes")+(CHOOSE({1,2,3,4,5},$S320,$W320,$AA320,$AE320,$AI320)=TRUE))&gt;0)))</f>
        <v/>
      </c>
      <c r="AM320" s="87"/>
      <c r="AN320" s="87" t="str">
        <f ca="1">IF(OR($A320="",$AM320=""),"",TODAY()-$AM320)</f>
        <v/>
      </c>
      <c r="AO320" s="87"/>
      <c r="AP320" s="106"/>
      <c r="AQ320" s="106"/>
      <c r="AR320" s="106"/>
      <c r="AS320" s="106"/>
      <c r="AT320" s="106"/>
      <c r="AU320" s="106"/>
      <c r="AV320" s="106"/>
      <c r="AW320" s="106"/>
      <c r="AX320" s="106"/>
      <c r="AY320" s="106"/>
    </row>
    <row r="321" spans="1:51" s="20" customFormat="1" ht="21" customHeight="1">
      <c r="A321" s="197"/>
      <c r="B321" s="87"/>
      <c r="C321" s="87"/>
      <c r="D321" s="196"/>
      <c r="E321" s="108"/>
      <c r="F321" s="196"/>
      <c r="G321" s="87"/>
      <c r="H321" s="197"/>
      <c r="I321" s="89"/>
      <c r="J321" s="204"/>
      <c r="K321" s="87"/>
      <c r="L321" s="87" t="str" cm="1">
        <f t="array" ref="L321">IF($A321="","",_xlfn.LET(_xlpm.stat,CHOOSE({1,2,3,4,5},$P321,$T321,$X321,$AB321,$AF321),_xlpm.rate,CHOOSE({1,2,3,4,5},$R321,$V321,$Z321,$AD321,$AH321),_xlpm.trn,CHOOSE({1,2,3,4,5},$S321,$W321,$AA321,$AE321,$AI321),_xlpm.nsC,SUMPRODUCT(--(_xlpm.stat="Ready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DLR",IF(AND(_xlpm.actRS&gt;0,_xlpm.actDone&lt;_xlpm.actRS),"Training",IF(_xlpm.actRS&gt;0,"Active",IF(AND(_xlpm.decC&gt;0,_xlpm.inPlay+_xlpm.actC=0),"Dead",IF(AND($AJ321&lt;&gt;"",$AK321=FALSE),"Waiting on Dealer",IF(_xlpm.subC&gt;0,"Waiting on Lender",IF(AND(_xlpm.appC+_xlpm.actC&gt;0,_xlpm.nsC+_xlpm.wdC=0),"Rate Sheet","Application Submitted")))))))))</f>
        <v/>
      </c>
      <c r="M321" s="87"/>
      <c r="N321" s="87"/>
      <c r="O321" s="197"/>
      <c r="P321" s="87" t="str">
        <f>IF($A321="","",IF($AK321=TRUE,"Ready 2 Submit","Waiting on Dealer"))</f>
        <v/>
      </c>
      <c r="Q321" s="148"/>
      <c r="R321" s="87"/>
      <c r="S321" s="87"/>
      <c r="T321" s="87" t="str">
        <f>IF($A321="","",IF($AK321=TRUE,"Ready 2 Submit","Waiting on Dealer"))</f>
        <v/>
      </c>
      <c r="U321" s="148"/>
      <c r="V321" s="87"/>
      <c r="W321" s="87"/>
      <c r="X321" s="87" t="str">
        <f>IF($A321="","",IF($AK321=TRUE,"Ready 2 Submit","Waiting on Dealer"))</f>
        <v/>
      </c>
      <c r="Y321" s="148"/>
      <c r="Z321" s="87"/>
      <c r="AA321" s="87"/>
      <c r="AB321" s="87" t="str">
        <f>IF($A321="","",IF($AK321=TRUE,"Ready 2 Submit","Waiting on Dealer"))</f>
        <v/>
      </c>
      <c r="AC321" s="148"/>
      <c r="AD321" s="87"/>
      <c r="AE321" s="87"/>
      <c r="AF321" s="87" t="str">
        <f>IF($A321="","",IF($AK321=TRUE,"Ready 2 Submit","Waiting on Dealer"))</f>
        <v/>
      </c>
      <c r="AG321" s="148"/>
      <c r="AH321" s="87"/>
      <c r="AI321" s="87"/>
      <c r="AJ321" s="197"/>
      <c r="AK321" s="110" t="b">
        <v>0</v>
      </c>
      <c r="AL321" s="87" t="str" cm="1">
        <f t="array" ref="AL321">IF($A321="","",SUMPRODUCT((CHOOSE({1,2,3,4,5},$R321,$V321,$Z321,$AD321,$AH321)="Yes")*(((CHOOSE({1,2,3,4,5},$S321,$W321,$AA321,$AE321,$AI321)="Yes")+(CHOOSE({1,2,3,4,5},$S321,$W321,$AA321,$AE321,$AI321)=TRUE))&gt;0)))</f>
        <v/>
      </c>
      <c r="AM321" s="87"/>
      <c r="AN321" s="87" t="str">
        <f ca="1">IF(OR($A321="",$AM321=""),"",TODAY()-$AM321)</f>
        <v/>
      </c>
      <c r="AO321" s="87"/>
      <c r="AP321" s="106"/>
      <c r="AQ321" s="106"/>
      <c r="AR321" s="106"/>
      <c r="AS321" s="106"/>
      <c r="AT321" s="106"/>
      <c r="AU321" s="106"/>
      <c r="AV321" s="106"/>
      <c r="AW321" s="106"/>
      <c r="AX321" s="106"/>
      <c r="AY321" s="106"/>
    </row>
    <row r="322" spans="1:51" s="20" customFormat="1" ht="21" customHeight="1">
      <c r="A322" s="197"/>
      <c r="B322" s="87"/>
      <c r="C322" s="87"/>
      <c r="D322" s="196"/>
      <c r="E322" s="108"/>
      <c r="F322" s="196"/>
      <c r="G322" s="87"/>
      <c r="H322" s="197"/>
      <c r="I322" s="89"/>
      <c r="J322" s="204"/>
      <c r="K322" s="87"/>
      <c r="L322" s="87" t="str" cm="1">
        <f t="array" ref="L322">IF($A322="","",_xlfn.LET(_xlpm.stat,CHOOSE({1,2,3,4,5},$P322,$T322,$X322,$AB322,$AF322),_xlpm.rate,CHOOSE({1,2,3,4,5},$R322,$V322,$Z322,$AD322,$AH322),_xlpm.trn,CHOOSE({1,2,3,4,5},$S322,$W322,$AA322,$AE322,$AI322),_xlpm.nsC,SUMPRODUCT(--(_xlpm.stat="Ready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DLR",IF(AND(_xlpm.actRS&gt;0,_xlpm.actDone&lt;_xlpm.actRS),"Training",IF(_xlpm.actRS&gt;0,"Active",IF(AND(_xlpm.decC&gt;0,_xlpm.inPlay+_xlpm.actC=0),"Dead",IF(AND($AJ322&lt;&gt;"",$AK322=FALSE),"Waiting on Dealer",IF(_xlpm.subC&gt;0,"Waiting on Lender",IF(AND(_xlpm.appC+_xlpm.actC&gt;0,_xlpm.nsC+_xlpm.wdC=0),"Rate Sheet","Application Submitted")))))))))</f>
        <v/>
      </c>
      <c r="M322" s="87"/>
      <c r="N322" s="87"/>
      <c r="O322" s="197"/>
      <c r="P322" s="87" t="str">
        <f>IF($A322="","",IF($AK322=TRUE,"Ready 2 Submit","Waiting on Dealer"))</f>
        <v/>
      </c>
      <c r="Q322" s="148"/>
      <c r="R322" s="87"/>
      <c r="S322" s="87"/>
      <c r="T322" s="87" t="str">
        <f>IF($A322="","",IF($AK322=TRUE,"Ready 2 Submit","Waiting on Dealer"))</f>
        <v/>
      </c>
      <c r="U322" s="148"/>
      <c r="V322" s="87"/>
      <c r="W322" s="87"/>
      <c r="X322" s="87" t="str">
        <f>IF($A322="","",IF($AK322=TRUE,"Ready 2 Submit","Waiting on Dealer"))</f>
        <v/>
      </c>
      <c r="Y322" s="148"/>
      <c r="Z322" s="87"/>
      <c r="AA322" s="87"/>
      <c r="AB322" s="87" t="str">
        <f>IF($A322="","",IF($AK322=TRUE,"Ready 2 Submit","Waiting on Dealer"))</f>
        <v/>
      </c>
      <c r="AC322" s="148"/>
      <c r="AD322" s="87"/>
      <c r="AE322" s="87"/>
      <c r="AF322" s="87" t="str">
        <f>IF($A322="","",IF($AK322=TRUE,"Ready 2 Submit","Waiting on Dealer"))</f>
        <v/>
      </c>
      <c r="AG322" s="148"/>
      <c r="AH322" s="87"/>
      <c r="AI322" s="87"/>
      <c r="AJ322" s="197"/>
      <c r="AK322" s="110" t="b">
        <v>0</v>
      </c>
      <c r="AL322" s="87" t="str" cm="1">
        <f t="array" ref="AL322">IF($A322="","",SUMPRODUCT((CHOOSE({1,2,3,4,5},$R322,$V322,$Z322,$AD322,$AH322)="Yes")*(((CHOOSE({1,2,3,4,5},$S322,$W322,$AA322,$AE322,$AI322)="Yes")+(CHOOSE({1,2,3,4,5},$S322,$W322,$AA322,$AE322,$AI322)=TRUE))&gt;0)))</f>
        <v/>
      </c>
      <c r="AM322" s="87"/>
      <c r="AN322" s="87" t="str">
        <f ca="1">IF(OR($A322="",$AM322=""),"",TODAY()-$AM322)</f>
        <v/>
      </c>
      <c r="AO322" s="87"/>
      <c r="AP322" s="106"/>
      <c r="AQ322" s="106"/>
      <c r="AR322" s="106"/>
      <c r="AS322" s="106"/>
      <c r="AT322" s="106"/>
      <c r="AU322" s="106"/>
      <c r="AV322" s="106"/>
      <c r="AW322" s="106"/>
      <c r="AX322" s="106"/>
      <c r="AY322" s="106"/>
    </row>
    <row r="323" spans="1:51" s="20" customFormat="1" ht="21" customHeight="1">
      <c r="A323" s="197"/>
      <c r="B323" s="87"/>
      <c r="C323" s="87"/>
      <c r="D323" s="196"/>
      <c r="E323" s="108"/>
      <c r="F323" s="196"/>
      <c r="G323" s="87"/>
      <c r="H323" s="197"/>
      <c r="I323" s="89"/>
      <c r="J323" s="204"/>
      <c r="K323" s="87"/>
      <c r="L323" s="87" t="str" cm="1">
        <f t="array" ref="L323">IF($A323="","",_xlfn.LET(_xlpm.stat,CHOOSE({1,2,3,4,5},$P323,$T323,$X323,$AB323,$AF323),_xlpm.rate,CHOOSE({1,2,3,4,5},$R323,$V323,$Z323,$AD323,$AH323),_xlpm.trn,CHOOSE({1,2,3,4,5},$S323,$W323,$AA323,$AE323,$AI323),_xlpm.nsC,SUMPRODUCT(--(_xlpm.stat="Ready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DLR",IF(AND(_xlpm.actRS&gt;0,_xlpm.actDone&lt;_xlpm.actRS),"Training",IF(_xlpm.actRS&gt;0,"Active",IF(AND(_xlpm.decC&gt;0,_xlpm.inPlay+_xlpm.actC=0),"Dead",IF(AND($AJ323&lt;&gt;"",$AK323=FALSE),"Waiting on Dealer",IF(_xlpm.subC&gt;0,"Waiting on Lender",IF(AND(_xlpm.appC+_xlpm.actC&gt;0,_xlpm.nsC+_xlpm.wdC=0),"Rate Sheet","Application Submitted")))))))))</f>
        <v/>
      </c>
      <c r="M323" s="87"/>
      <c r="N323" s="87"/>
      <c r="O323" s="197"/>
      <c r="P323" s="87" t="str">
        <f>IF($A323="","",IF($AK323=TRUE,"Ready 2 Submit","Waiting on Dealer"))</f>
        <v/>
      </c>
      <c r="Q323" s="148"/>
      <c r="R323" s="87"/>
      <c r="S323" s="87"/>
      <c r="T323" s="87" t="str">
        <f>IF($A323="","",IF($AK323=TRUE,"Ready 2 Submit","Waiting on Dealer"))</f>
        <v/>
      </c>
      <c r="U323" s="148"/>
      <c r="V323" s="87"/>
      <c r="W323" s="87"/>
      <c r="X323" s="87" t="str">
        <f>IF($A323="","",IF($AK323=TRUE,"Ready 2 Submit","Waiting on Dealer"))</f>
        <v/>
      </c>
      <c r="Y323" s="148"/>
      <c r="Z323" s="87"/>
      <c r="AA323" s="87"/>
      <c r="AB323" s="87" t="str">
        <f>IF($A323="","",IF($AK323=TRUE,"Ready 2 Submit","Waiting on Dealer"))</f>
        <v/>
      </c>
      <c r="AC323" s="148"/>
      <c r="AD323" s="87"/>
      <c r="AE323" s="87"/>
      <c r="AF323" s="87" t="str">
        <f>IF($A323="","",IF($AK323=TRUE,"Ready 2 Submit","Waiting on Dealer"))</f>
        <v/>
      </c>
      <c r="AG323" s="148"/>
      <c r="AH323" s="87"/>
      <c r="AI323" s="87"/>
      <c r="AJ323" s="197"/>
      <c r="AK323" s="110" t="b">
        <v>0</v>
      </c>
      <c r="AL323" s="87" t="str" cm="1">
        <f t="array" ref="AL323">IF($A323="","",SUMPRODUCT((CHOOSE({1,2,3,4,5},$R323,$V323,$Z323,$AD323,$AH323)="Yes")*(((CHOOSE({1,2,3,4,5},$S323,$W323,$AA323,$AE323,$AI323)="Yes")+(CHOOSE({1,2,3,4,5},$S323,$W323,$AA323,$AE323,$AI323)=TRUE))&gt;0)))</f>
        <v/>
      </c>
      <c r="AM323" s="87"/>
      <c r="AN323" s="87" t="str">
        <f ca="1">IF(OR($A323="",$AM323=""),"",TODAY()-$AM323)</f>
        <v/>
      </c>
      <c r="AO323" s="87"/>
      <c r="AP323" s="106"/>
      <c r="AQ323" s="106"/>
      <c r="AR323" s="106"/>
      <c r="AS323" s="106"/>
      <c r="AT323" s="106"/>
      <c r="AU323" s="106"/>
      <c r="AV323" s="106"/>
      <c r="AW323" s="106"/>
      <c r="AX323" s="106"/>
      <c r="AY323" s="106"/>
    </row>
    <row r="324" spans="1:51" s="20" customFormat="1" ht="21" customHeight="1">
      <c r="A324" s="197"/>
      <c r="B324" s="87"/>
      <c r="C324" s="87"/>
      <c r="D324" s="196"/>
      <c r="E324" s="108"/>
      <c r="F324" s="196"/>
      <c r="G324" s="87"/>
      <c r="H324" s="197"/>
      <c r="I324" s="89"/>
      <c r="J324" s="204"/>
      <c r="K324" s="87"/>
      <c r="L324" s="87" t="str" cm="1">
        <f t="array" ref="L324">IF($A324="","",_xlfn.LET(_xlpm.stat,CHOOSE({1,2,3,4,5},$P324,$T324,$X324,$AB324,$AF324),_xlpm.rate,CHOOSE({1,2,3,4,5},$R324,$V324,$Z324,$AD324,$AH324),_xlpm.trn,CHOOSE({1,2,3,4,5},$S324,$W324,$AA324,$AE324,$AI324),_xlpm.nsC,SUMPRODUCT(--(_xlpm.stat="Ready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DLR",IF(AND(_xlpm.actRS&gt;0,_xlpm.actDone&lt;_xlpm.actRS),"Training",IF(_xlpm.actRS&gt;0,"Active",IF(AND(_xlpm.decC&gt;0,_xlpm.inPlay+_xlpm.actC=0),"Dead",IF(AND($AJ324&lt;&gt;"",$AK324=FALSE),"Waiting on Dealer",IF(_xlpm.subC&gt;0,"Waiting on Lender",IF(AND(_xlpm.appC+_xlpm.actC&gt;0,_xlpm.nsC+_xlpm.wdC=0),"Rate Sheet","Application Submitted")))))))))</f>
        <v/>
      </c>
      <c r="M324" s="87"/>
      <c r="N324" s="87"/>
      <c r="O324" s="197"/>
      <c r="P324" s="87" t="str">
        <f>IF($A324="","",IF($AK324=TRUE,"Ready 2 Submit","Waiting on Dealer"))</f>
        <v/>
      </c>
      <c r="Q324" s="148"/>
      <c r="R324" s="87"/>
      <c r="S324" s="87"/>
      <c r="T324" s="87" t="str">
        <f>IF($A324="","",IF($AK324=TRUE,"Ready 2 Submit","Waiting on Dealer"))</f>
        <v/>
      </c>
      <c r="U324" s="148"/>
      <c r="V324" s="87"/>
      <c r="W324" s="87"/>
      <c r="X324" s="87" t="str">
        <f>IF($A324="","",IF($AK324=TRUE,"Ready 2 Submit","Waiting on Dealer"))</f>
        <v/>
      </c>
      <c r="Y324" s="148"/>
      <c r="Z324" s="87"/>
      <c r="AA324" s="87"/>
      <c r="AB324" s="87" t="str">
        <f>IF($A324="","",IF($AK324=TRUE,"Ready 2 Submit","Waiting on Dealer"))</f>
        <v/>
      </c>
      <c r="AC324" s="148"/>
      <c r="AD324" s="87"/>
      <c r="AE324" s="87"/>
      <c r="AF324" s="87" t="str">
        <f>IF($A324="","",IF($AK324=TRUE,"Ready 2 Submit","Waiting on Dealer"))</f>
        <v/>
      </c>
      <c r="AG324" s="148"/>
      <c r="AH324" s="87"/>
      <c r="AI324" s="87"/>
      <c r="AJ324" s="197"/>
      <c r="AK324" s="110" t="b">
        <v>0</v>
      </c>
      <c r="AL324" s="87" t="str" cm="1">
        <f t="array" ref="AL324">IF($A324="","",SUMPRODUCT((CHOOSE({1,2,3,4,5},$R324,$V324,$Z324,$AD324,$AH324)="Yes")*(((CHOOSE({1,2,3,4,5},$S324,$W324,$AA324,$AE324,$AI324)="Yes")+(CHOOSE({1,2,3,4,5},$S324,$W324,$AA324,$AE324,$AI324)=TRUE))&gt;0)))</f>
        <v/>
      </c>
      <c r="AM324" s="87"/>
      <c r="AN324" s="87" t="str">
        <f ca="1">IF(OR($A324="",$AM324=""),"",TODAY()-$AM324)</f>
        <v/>
      </c>
      <c r="AO324" s="87"/>
      <c r="AP324" s="106"/>
      <c r="AQ324" s="106"/>
      <c r="AR324" s="106"/>
      <c r="AS324" s="106"/>
      <c r="AT324" s="106"/>
      <c r="AU324" s="106"/>
      <c r="AV324" s="106"/>
      <c r="AW324" s="106"/>
      <c r="AX324" s="106"/>
      <c r="AY324" s="106"/>
    </row>
    <row r="325" spans="1:51" s="20" customFormat="1" ht="21" customHeight="1">
      <c r="A325" s="197"/>
      <c r="B325" s="87"/>
      <c r="C325" s="87"/>
      <c r="D325" s="196"/>
      <c r="E325" s="108"/>
      <c r="F325" s="196"/>
      <c r="G325" s="87"/>
      <c r="H325" s="197"/>
      <c r="I325" s="89"/>
      <c r="J325" s="204"/>
      <c r="K325" s="87"/>
      <c r="L325" s="87" t="str" cm="1">
        <f t="array" ref="L325">IF($A325="","",_xlfn.LET(_xlpm.stat,CHOOSE({1,2,3,4,5},$P325,$T325,$X325,$AB325,$AF325),_xlpm.rate,CHOOSE({1,2,3,4,5},$R325,$V325,$Z325,$AD325,$AH325),_xlpm.trn,CHOOSE({1,2,3,4,5},$S325,$W325,$AA325,$AE325,$AI325),_xlpm.nsC,SUMPRODUCT(--(_xlpm.stat="Ready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DLR",IF(AND(_xlpm.actRS&gt;0,_xlpm.actDone&lt;_xlpm.actRS),"Training",IF(_xlpm.actRS&gt;0,"Active",IF(AND(_xlpm.decC&gt;0,_xlpm.inPlay+_xlpm.actC=0),"Dead",IF(AND($AJ325&lt;&gt;"",$AK325=FALSE),"Waiting on Dealer",IF(_xlpm.subC&gt;0,"Waiting on Lender",IF(AND(_xlpm.appC+_xlpm.actC&gt;0,_xlpm.nsC+_xlpm.wdC=0),"Rate Sheet","Application Submitted")))))))))</f>
        <v/>
      </c>
      <c r="M325" s="87"/>
      <c r="N325" s="87"/>
      <c r="O325" s="197"/>
      <c r="P325" s="87" t="str">
        <f>IF($A325="","",IF($AK325=TRUE,"Ready 2 Submit","Waiting on Dealer"))</f>
        <v/>
      </c>
      <c r="Q325" s="148"/>
      <c r="R325" s="87"/>
      <c r="S325" s="87"/>
      <c r="T325" s="87" t="str">
        <f>IF($A325="","",IF($AK325=TRUE,"Ready 2 Submit","Waiting on Dealer"))</f>
        <v/>
      </c>
      <c r="U325" s="148"/>
      <c r="V325" s="87"/>
      <c r="W325" s="87"/>
      <c r="X325" s="87" t="str">
        <f>IF($A325="","",IF($AK325=TRUE,"Ready 2 Submit","Waiting on Dealer"))</f>
        <v/>
      </c>
      <c r="Y325" s="148"/>
      <c r="Z325" s="87"/>
      <c r="AA325" s="87"/>
      <c r="AB325" s="87" t="str">
        <f>IF($A325="","",IF($AK325=TRUE,"Ready 2 Submit","Waiting on Dealer"))</f>
        <v/>
      </c>
      <c r="AC325" s="148"/>
      <c r="AD325" s="87"/>
      <c r="AE325" s="87"/>
      <c r="AF325" s="87" t="str">
        <f>IF($A325="","",IF($AK325=TRUE,"Ready 2 Submit","Waiting on Dealer"))</f>
        <v/>
      </c>
      <c r="AG325" s="148"/>
      <c r="AH325" s="87"/>
      <c r="AI325" s="87"/>
      <c r="AJ325" s="197"/>
      <c r="AK325" s="110" t="b">
        <v>0</v>
      </c>
      <c r="AL325" s="87" t="str" cm="1">
        <f t="array" ref="AL325">IF($A325="","",SUMPRODUCT((CHOOSE({1,2,3,4,5},$R325,$V325,$Z325,$AD325,$AH325)="Yes")*(((CHOOSE({1,2,3,4,5},$S325,$W325,$AA325,$AE325,$AI325)="Yes")+(CHOOSE({1,2,3,4,5},$S325,$W325,$AA325,$AE325,$AI325)=TRUE))&gt;0)))</f>
        <v/>
      </c>
      <c r="AM325" s="87"/>
      <c r="AN325" s="87" t="str">
        <f ca="1">IF(OR($A325="",$AM325=""),"",TODAY()-$AM325)</f>
        <v/>
      </c>
      <c r="AO325" s="87"/>
      <c r="AP325" s="106"/>
      <c r="AQ325" s="106"/>
      <c r="AR325" s="106"/>
      <c r="AS325" s="106"/>
      <c r="AT325" s="106"/>
      <c r="AU325" s="106"/>
      <c r="AV325" s="106"/>
      <c r="AW325" s="106"/>
      <c r="AX325" s="106"/>
      <c r="AY325" s="106"/>
    </row>
    <row r="326" spans="1:51" s="20" customFormat="1" ht="21" customHeight="1">
      <c r="A326" s="197"/>
      <c r="B326" s="87"/>
      <c r="C326" s="87"/>
      <c r="D326" s="196"/>
      <c r="E326" s="108"/>
      <c r="F326" s="196"/>
      <c r="G326" s="87"/>
      <c r="H326" s="197"/>
      <c r="I326" s="89"/>
      <c r="J326" s="204"/>
      <c r="K326" s="87"/>
      <c r="L326" s="87" t="str" cm="1">
        <f t="array" ref="L326">IF($A326="","",_xlfn.LET(_xlpm.stat,CHOOSE({1,2,3,4,5},$P326,$T326,$X326,$AB326,$AF326),_xlpm.rate,CHOOSE({1,2,3,4,5},$R326,$V326,$Z326,$AD326,$AH326),_xlpm.trn,CHOOSE({1,2,3,4,5},$S326,$W326,$AA326,$AE326,$AI326),_xlpm.nsC,SUMPRODUCT(--(_xlpm.stat="Ready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DLR",IF(AND(_xlpm.actRS&gt;0,_xlpm.actDone&lt;_xlpm.actRS),"Training",IF(_xlpm.actRS&gt;0,"Active",IF(AND(_xlpm.decC&gt;0,_xlpm.inPlay+_xlpm.actC=0),"Dead",IF(AND($AJ326&lt;&gt;"",$AK326=FALSE),"Waiting on Dealer",IF(_xlpm.subC&gt;0,"Waiting on Lender",IF(AND(_xlpm.appC+_xlpm.actC&gt;0,_xlpm.nsC+_xlpm.wdC=0),"Rate Sheet","Application Submitted")))))))))</f>
        <v/>
      </c>
      <c r="M326" s="87"/>
      <c r="N326" s="87"/>
      <c r="O326" s="197"/>
      <c r="P326" s="87" t="str">
        <f>IF($A326="","",IF($AK326=TRUE,"Ready 2 Submit","Waiting on Dealer"))</f>
        <v/>
      </c>
      <c r="Q326" s="148"/>
      <c r="R326" s="87"/>
      <c r="S326" s="87"/>
      <c r="T326" s="87" t="str">
        <f>IF($A326="","",IF($AK326=TRUE,"Ready 2 Submit","Waiting on Dealer"))</f>
        <v/>
      </c>
      <c r="U326" s="148"/>
      <c r="V326" s="87"/>
      <c r="W326" s="87"/>
      <c r="X326" s="87" t="str">
        <f>IF($A326="","",IF($AK326=TRUE,"Ready 2 Submit","Waiting on Dealer"))</f>
        <v/>
      </c>
      <c r="Y326" s="148"/>
      <c r="Z326" s="87"/>
      <c r="AA326" s="87"/>
      <c r="AB326" s="87" t="str">
        <f>IF($A326="","",IF($AK326=TRUE,"Ready 2 Submit","Waiting on Dealer"))</f>
        <v/>
      </c>
      <c r="AC326" s="148"/>
      <c r="AD326" s="87"/>
      <c r="AE326" s="87"/>
      <c r="AF326" s="87" t="str">
        <f>IF($A326="","",IF($AK326=TRUE,"Ready 2 Submit","Waiting on Dealer"))</f>
        <v/>
      </c>
      <c r="AG326" s="148"/>
      <c r="AH326" s="87"/>
      <c r="AI326" s="87"/>
      <c r="AJ326" s="197"/>
      <c r="AK326" s="110" t="b">
        <v>0</v>
      </c>
      <c r="AL326" s="87" t="str" cm="1">
        <f t="array" ref="AL326">IF($A326="","",SUMPRODUCT((CHOOSE({1,2,3,4,5},$R326,$V326,$Z326,$AD326,$AH326)="Yes")*(((CHOOSE({1,2,3,4,5},$S326,$W326,$AA326,$AE326,$AI326)="Yes")+(CHOOSE({1,2,3,4,5},$S326,$W326,$AA326,$AE326,$AI326)=TRUE))&gt;0)))</f>
        <v/>
      </c>
      <c r="AM326" s="87"/>
      <c r="AN326" s="87" t="str">
        <f ca="1">IF(OR($A326="",$AM326=""),"",TODAY()-$AM326)</f>
        <v/>
      </c>
      <c r="AO326" s="87"/>
      <c r="AP326" s="106"/>
      <c r="AQ326" s="106"/>
      <c r="AR326" s="106"/>
      <c r="AS326" s="106"/>
      <c r="AT326" s="106"/>
      <c r="AU326" s="106"/>
      <c r="AV326" s="106"/>
      <c r="AW326" s="106"/>
      <c r="AX326" s="106"/>
      <c r="AY326" s="106"/>
    </row>
    <row r="327" spans="1:51" s="20" customFormat="1" ht="21" customHeight="1">
      <c r="A327" s="197"/>
      <c r="B327" s="87"/>
      <c r="C327" s="87"/>
      <c r="D327" s="196"/>
      <c r="E327" s="108"/>
      <c r="F327" s="196"/>
      <c r="G327" s="87"/>
      <c r="H327" s="197"/>
      <c r="I327" s="89"/>
      <c r="J327" s="204"/>
      <c r="K327" s="87"/>
      <c r="L327" s="87" t="str" cm="1">
        <f t="array" ref="L327">IF($A327="","",_xlfn.LET(_xlpm.stat,CHOOSE({1,2,3,4,5},$P327,$T327,$X327,$AB327,$AF327),_xlpm.rate,CHOOSE({1,2,3,4,5},$R327,$V327,$Z327,$AD327,$AH327),_xlpm.trn,CHOOSE({1,2,3,4,5},$S327,$W327,$AA327,$AE327,$AI327),_xlpm.nsC,SUMPRODUCT(--(_xlpm.stat="Ready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DLR",IF(AND(_xlpm.actRS&gt;0,_xlpm.actDone&lt;_xlpm.actRS),"Training",IF(_xlpm.actRS&gt;0,"Active",IF(AND(_xlpm.decC&gt;0,_xlpm.inPlay+_xlpm.actC=0),"Dead",IF(AND($AJ327&lt;&gt;"",$AK327=FALSE),"Waiting on Dealer",IF(_xlpm.subC&gt;0,"Waiting on Lender",IF(AND(_xlpm.appC+_xlpm.actC&gt;0,_xlpm.nsC+_xlpm.wdC=0),"Rate Sheet","Application Submitted")))))))))</f>
        <v/>
      </c>
      <c r="M327" s="87"/>
      <c r="N327" s="87"/>
      <c r="O327" s="197"/>
      <c r="P327" s="87" t="str">
        <f>IF($A327="","",IF($AK327=TRUE,"Ready 2 Submit","Waiting on Dealer"))</f>
        <v/>
      </c>
      <c r="Q327" s="148"/>
      <c r="R327" s="87"/>
      <c r="S327" s="87"/>
      <c r="T327" s="87" t="str">
        <f>IF($A327="","",IF($AK327=TRUE,"Ready 2 Submit","Waiting on Dealer"))</f>
        <v/>
      </c>
      <c r="U327" s="148"/>
      <c r="V327" s="87"/>
      <c r="W327" s="87"/>
      <c r="X327" s="87" t="str">
        <f>IF($A327="","",IF($AK327=TRUE,"Ready 2 Submit","Waiting on Dealer"))</f>
        <v/>
      </c>
      <c r="Y327" s="148"/>
      <c r="Z327" s="87"/>
      <c r="AA327" s="87"/>
      <c r="AB327" s="87" t="str">
        <f>IF($A327="","",IF($AK327=TRUE,"Ready 2 Submit","Waiting on Dealer"))</f>
        <v/>
      </c>
      <c r="AC327" s="148"/>
      <c r="AD327" s="87"/>
      <c r="AE327" s="87"/>
      <c r="AF327" s="87" t="str">
        <f>IF($A327="","",IF($AK327=TRUE,"Ready 2 Submit","Waiting on Dealer"))</f>
        <v/>
      </c>
      <c r="AG327" s="148"/>
      <c r="AH327" s="87"/>
      <c r="AI327" s="87"/>
      <c r="AJ327" s="197"/>
      <c r="AK327" s="110" t="b">
        <v>0</v>
      </c>
      <c r="AL327" s="87" t="str" cm="1">
        <f t="array" ref="AL327">IF($A327="","",SUMPRODUCT((CHOOSE({1,2,3,4,5},$R327,$V327,$Z327,$AD327,$AH327)="Yes")*(((CHOOSE({1,2,3,4,5},$S327,$W327,$AA327,$AE327,$AI327)="Yes")+(CHOOSE({1,2,3,4,5},$S327,$W327,$AA327,$AE327,$AI327)=TRUE))&gt;0)))</f>
        <v/>
      </c>
      <c r="AM327" s="87"/>
      <c r="AN327" s="87" t="str">
        <f ca="1">IF(OR($A327="",$AM327=""),"",TODAY()-$AM327)</f>
        <v/>
      </c>
      <c r="AO327" s="87"/>
      <c r="AP327" s="106"/>
      <c r="AQ327" s="106"/>
      <c r="AR327" s="106"/>
      <c r="AS327" s="106"/>
      <c r="AT327" s="106"/>
      <c r="AU327" s="106"/>
      <c r="AV327" s="106"/>
      <c r="AW327" s="106"/>
      <c r="AX327" s="106"/>
      <c r="AY327" s="106"/>
    </row>
    <row r="328" spans="1:51" s="20" customFormat="1" ht="21" customHeight="1">
      <c r="A328" s="197"/>
      <c r="B328" s="87"/>
      <c r="C328" s="87"/>
      <c r="D328" s="196"/>
      <c r="E328" s="108"/>
      <c r="F328" s="196"/>
      <c r="G328" s="87"/>
      <c r="H328" s="197"/>
      <c r="I328" s="89"/>
      <c r="J328" s="204"/>
      <c r="K328" s="87"/>
      <c r="L328" s="87" t="str" cm="1">
        <f t="array" ref="L328">IF($A328="","",_xlfn.LET(_xlpm.stat,CHOOSE({1,2,3,4,5},$P328,$T328,$X328,$AB328,$AF328),_xlpm.rate,CHOOSE({1,2,3,4,5},$R328,$V328,$Z328,$AD328,$AH328),_xlpm.trn,CHOOSE({1,2,3,4,5},$S328,$W328,$AA328,$AE328,$AI328),_xlpm.nsC,SUMPRODUCT(--(_xlpm.stat="Ready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DLR",IF(AND(_xlpm.actRS&gt;0,_xlpm.actDone&lt;_xlpm.actRS),"Training",IF(_xlpm.actRS&gt;0,"Active",IF(AND(_xlpm.decC&gt;0,_xlpm.inPlay+_xlpm.actC=0),"Dead",IF(AND($AJ328&lt;&gt;"",$AK328=FALSE),"Waiting on Dealer",IF(_xlpm.subC&gt;0,"Waiting on Lender",IF(AND(_xlpm.appC+_xlpm.actC&gt;0,_xlpm.nsC+_xlpm.wdC=0),"Rate Sheet","Application Submitted")))))))))</f>
        <v/>
      </c>
      <c r="M328" s="87"/>
      <c r="N328" s="87"/>
      <c r="O328" s="197"/>
      <c r="P328" s="87" t="str">
        <f>IF($A328="","",IF($AK328=TRUE,"Ready 2 Submit","Waiting on Dealer"))</f>
        <v/>
      </c>
      <c r="Q328" s="148"/>
      <c r="R328" s="87"/>
      <c r="S328" s="87"/>
      <c r="T328" s="87" t="str">
        <f>IF($A328="","",IF($AK328=TRUE,"Ready 2 Submit","Waiting on Dealer"))</f>
        <v/>
      </c>
      <c r="U328" s="148"/>
      <c r="V328" s="87"/>
      <c r="W328" s="87"/>
      <c r="X328" s="87" t="str">
        <f>IF($A328="","",IF($AK328=TRUE,"Ready 2 Submit","Waiting on Dealer"))</f>
        <v/>
      </c>
      <c r="Y328" s="148"/>
      <c r="Z328" s="87"/>
      <c r="AA328" s="87"/>
      <c r="AB328" s="87" t="str">
        <f>IF($A328="","",IF($AK328=TRUE,"Ready 2 Submit","Waiting on Dealer"))</f>
        <v/>
      </c>
      <c r="AC328" s="148"/>
      <c r="AD328" s="87"/>
      <c r="AE328" s="87"/>
      <c r="AF328" s="87" t="str">
        <f>IF($A328="","",IF($AK328=TRUE,"Ready 2 Submit","Waiting on Dealer"))</f>
        <v/>
      </c>
      <c r="AG328" s="148"/>
      <c r="AH328" s="87"/>
      <c r="AI328" s="87"/>
      <c r="AJ328" s="197"/>
      <c r="AK328" s="110" t="b">
        <v>0</v>
      </c>
      <c r="AL328" s="87" t="str" cm="1">
        <f t="array" ref="AL328">IF($A328="","",SUMPRODUCT((CHOOSE({1,2,3,4,5},$R328,$V328,$Z328,$AD328,$AH328)="Yes")*(((CHOOSE({1,2,3,4,5},$S328,$W328,$AA328,$AE328,$AI328)="Yes")+(CHOOSE({1,2,3,4,5},$S328,$W328,$AA328,$AE328,$AI328)=TRUE))&gt;0)))</f>
        <v/>
      </c>
      <c r="AM328" s="87"/>
      <c r="AN328" s="87" t="str">
        <f ca="1">IF(OR($A328="",$AM328=""),"",TODAY()-$AM328)</f>
        <v/>
      </c>
      <c r="AO328" s="87"/>
      <c r="AP328" s="106"/>
      <c r="AQ328" s="106"/>
      <c r="AR328" s="106"/>
      <c r="AS328" s="106"/>
      <c r="AT328" s="106"/>
      <c r="AU328" s="106"/>
      <c r="AV328" s="106"/>
      <c r="AW328" s="106"/>
      <c r="AX328" s="106"/>
      <c r="AY328" s="106"/>
    </row>
    <row r="329" spans="1:51" s="20" customFormat="1" ht="21" customHeight="1">
      <c r="A329" s="197"/>
      <c r="B329" s="87"/>
      <c r="C329" s="87"/>
      <c r="D329" s="196"/>
      <c r="E329" s="108"/>
      <c r="F329" s="196"/>
      <c r="G329" s="87"/>
      <c r="H329" s="197"/>
      <c r="I329" s="89"/>
      <c r="J329" s="204"/>
      <c r="K329" s="87"/>
      <c r="L329" s="87" t="str" cm="1">
        <f t="array" ref="L329">IF($A329="","",_xlfn.LET(_xlpm.stat,CHOOSE({1,2,3,4,5},$P329,$T329,$X329,$AB329,$AF329),_xlpm.rate,CHOOSE({1,2,3,4,5},$R329,$V329,$Z329,$AD329,$AH329),_xlpm.trn,CHOOSE({1,2,3,4,5},$S329,$W329,$AA329,$AE329,$AI329),_xlpm.nsC,SUMPRODUCT(--(_xlpm.stat="Ready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DLR",IF(AND(_xlpm.actRS&gt;0,_xlpm.actDone&lt;_xlpm.actRS),"Training",IF(_xlpm.actRS&gt;0,"Active",IF(AND(_xlpm.decC&gt;0,_xlpm.inPlay+_xlpm.actC=0),"Dead",IF(AND($AJ329&lt;&gt;"",$AK329=FALSE),"Waiting on Dealer",IF(_xlpm.subC&gt;0,"Waiting on Lender",IF(AND(_xlpm.appC+_xlpm.actC&gt;0,_xlpm.nsC+_xlpm.wdC=0),"Rate Sheet","Application Submitted")))))))))</f>
        <v/>
      </c>
      <c r="M329" s="87"/>
      <c r="N329" s="87"/>
      <c r="O329" s="197"/>
      <c r="P329" s="87" t="str">
        <f>IF($A329="","",IF($AK329=TRUE,"Ready 2 Submit","Waiting on Dealer"))</f>
        <v/>
      </c>
      <c r="Q329" s="148"/>
      <c r="R329" s="87"/>
      <c r="S329" s="87"/>
      <c r="T329" s="87" t="str">
        <f>IF($A329="","",IF($AK329=TRUE,"Ready 2 Submit","Waiting on Dealer"))</f>
        <v/>
      </c>
      <c r="U329" s="148"/>
      <c r="V329" s="87"/>
      <c r="W329" s="87"/>
      <c r="X329" s="87" t="str">
        <f>IF($A329="","",IF($AK329=TRUE,"Ready 2 Submit","Waiting on Dealer"))</f>
        <v/>
      </c>
      <c r="Y329" s="148"/>
      <c r="Z329" s="87"/>
      <c r="AA329" s="87"/>
      <c r="AB329" s="87" t="str">
        <f>IF($A329="","",IF($AK329=TRUE,"Ready 2 Submit","Waiting on Dealer"))</f>
        <v/>
      </c>
      <c r="AC329" s="148"/>
      <c r="AD329" s="87"/>
      <c r="AE329" s="87"/>
      <c r="AF329" s="87" t="str">
        <f>IF($A329="","",IF($AK329=TRUE,"Ready 2 Submit","Waiting on Dealer"))</f>
        <v/>
      </c>
      <c r="AG329" s="148"/>
      <c r="AH329" s="87"/>
      <c r="AI329" s="87"/>
      <c r="AJ329" s="197"/>
      <c r="AK329" s="110" t="b">
        <v>0</v>
      </c>
      <c r="AL329" s="87" t="str" cm="1">
        <f t="array" ref="AL329">IF($A329="","",SUMPRODUCT((CHOOSE({1,2,3,4,5},$R329,$V329,$Z329,$AD329,$AH329)="Yes")*(((CHOOSE({1,2,3,4,5},$S329,$W329,$AA329,$AE329,$AI329)="Yes")+(CHOOSE({1,2,3,4,5},$S329,$W329,$AA329,$AE329,$AI329)=TRUE))&gt;0)))</f>
        <v/>
      </c>
      <c r="AM329" s="87"/>
      <c r="AN329" s="87" t="str">
        <f ca="1">IF(OR($A329="",$AM329=""),"",TODAY()-$AM329)</f>
        <v/>
      </c>
      <c r="AO329" s="87"/>
      <c r="AP329" s="106"/>
      <c r="AQ329" s="106"/>
      <c r="AR329" s="106"/>
      <c r="AS329" s="106"/>
      <c r="AT329" s="106"/>
      <c r="AU329" s="106"/>
      <c r="AV329" s="106"/>
      <c r="AW329" s="106"/>
      <c r="AX329" s="106"/>
      <c r="AY329" s="106"/>
    </row>
    <row r="330" spans="1:51" s="20" customFormat="1" ht="21" customHeight="1">
      <c r="A330" s="197"/>
      <c r="B330" s="87"/>
      <c r="C330" s="87"/>
      <c r="D330" s="196"/>
      <c r="E330" s="108"/>
      <c r="F330" s="196"/>
      <c r="G330" s="87"/>
      <c r="H330" s="197"/>
      <c r="I330" s="89"/>
      <c r="J330" s="204"/>
      <c r="K330" s="87"/>
      <c r="L330" s="87" t="str" cm="1">
        <f t="array" ref="L330">IF($A330="","",_xlfn.LET(_xlpm.stat,CHOOSE({1,2,3,4,5},$P330,$T330,$X330,$AB330,$AF330),_xlpm.rate,CHOOSE({1,2,3,4,5},$R330,$V330,$Z330,$AD330,$AH330),_xlpm.trn,CHOOSE({1,2,3,4,5},$S330,$W330,$AA330,$AE330,$AI330),_xlpm.nsC,SUMPRODUCT(--(_xlpm.stat="Ready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DLR",IF(AND(_xlpm.actRS&gt;0,_xlpm.actDone&lt;_xlpm.actRS),"Training",IF(_xlpm.actRS&gt;0,"Active",IF(AND(_xlpm.decC&gt;0,_xlpm.inPlay+_xlpm.actC=0),"Dead",IF(AND($AJ330&lt;&gt;"",$AK330=FALSE),"Waiting on Dealer",IF(_xlpm.subC&gt;0,"Waiting on Lender",IF(AND(_xlpm.appC+_xlpm.actC&gt;0,_xlpm.nsC+_xlpm.wdC=0),"Rate Sheet","Application Submitted")))))))))</f>
        <v/>
      </c>
      <c r="M330" s="87"/>
      <c r="N330" s="87"/>
      <c r="O330" s="197"/>
      <c r="P330" s="87" t="str">
        <f>IF($A330="","",IF($AK330=TRUE,"Ready 2 Submit","Waiting on Dealer"))</f>
        <v/>
      </c>
      <c r="Q330" s="148"/>
      <c r="R330" s="87"/>
      <c r="S330" s="87"/>
      <c r="T330" s="87" t="str">
        <f>IF($A330="","",IF($AK330=TRUE,"Ready 2 Submit","Waiting on Dealer"))</f>
        <v/>
      </c>
      <c r="U330" s="148"/>
      <c r="V330" s="87"/>
      <c r="W330" s="87"/>
      <c r="X330" s="87" t="str">
        <f>IF($A330="","",IF($AK330=TRUE,"Ready 2 Submit","Waiting on Dealer"))</f>
        <v/>
      </c>
      <c r="Y330" s="148"/>
      <c r="Z330" s="87"/>
      <c r="AA330" s="87"/>
      <c r="AB330" s="87" t="str">
        <f>IF($A330="","",IF($AK330=TRUE,"Ready 2 Submit","Waiting on Dealer"))</f>
        <v/>
      </c>
      <c r="AC330" s="148"/>
      <c r="AD330" s="87"/>
      <c r="AE330" s="87"/>
      <c r="AF330" s="87" t="str">
        <f>IF($A330="","",IF($AK330=TRUE,"Ready 2 Submit","Waiting on Dealer"))</f>
        <v/>
      </c>
      <c r="AG330" s="148"/>
      <c r="AH330" s="87"/>
      <c r="AI330" s="87"/>
      <c r="AJ330" s="197"/>
      <c r="AK330" s="110" t="b">
        <v>0</v>
      </c>
      <c r="AL330" s="87" t="str" cm="1">
        <f t="array" ref="AL330">IF($A330="","",SUMPRODUCT((CHOOSE({1,2,3,4,5},$R330,$V330,$Z330,$AD330,$AH330)="Yes")*(((CHOOSE({1,2,3,4,5},$S330,$W330,$AA330,$AE330,$AI330)="Yes")+(CHOOSE({1,2,3,4,5},$S330,$W330,$AA330,$AE330,$AI330)=TRUE))&gt;0)))</f>
        <v/>
      </c>
      <c r="AM330" s="87"/>
      <c r="AN330" s="87" t="str">
        <f ca="1">IF(OR($A330="",$AM330=""),"",TODAY()-$AM330)</f>
        <v/>
      </c>
      <c r="AO330" s="87"/>
      <c r="AP330" s="106"/>
      <c r="AQ330" s="106"/>
      <c r="AR330" s="106"/>
      <c r="AS330" s="106"/>
      <c r="AT330" s="106"/>
      <c r="AU330" s="106"/>
      <c r="AV330" s="106"/>
      <c r="AW330" s="106"/>
      <c r="AX330" s="106"/>
      <c r="AY330" s="106"/>
    </row>
    <row r="331" spans="1:51" s="20" customFormat="1" ht="21" customHeight="1">
      <c r="A331" s="197"/>
      <c r="B331" s="87"/>
      <c r="C331" s="87"/>
      <c r="D331" s="196"/>
      <c r="E331" s="108"/>
      <c r="F331" s="196"/>
      <c r="G331" s="87"/>
      <c r="H331" s="197"/>
      <c r="I331" s="89"/>
      <c r="J331" s="204"/>
      <c r="K331" s="87"/>
      <c r="L331" s="87" t="str" cm="1">
        <f t="array" ref="L331">IF($A331="","",_xlfn.LET(_xlpm.stat,CHOOSE({1,2,3,4,5},$P331,$T331,$X331,$AB331,$AF331),_xlpm.rate,CHOOSE({1,2,3,4,5},$R331,$V331,$Z331,$AD331,$AH331),_xlpm.trn,CHOOSE({1,2,3,4,5},$S331,$W331,$AA331,$AE331,$AI331),_xlpm.nsC,SUMPRODUCT(--(_xlpm.stat="Ready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DLR",IF(AND(_xlpm.actRS&gt;0,_xlpm.actDone&lt;_xlpm.actRS),"Training",IF(_xlpm.actRS&gt;0,"Active",IF(AND(_xlpm.decC&gt;0,_xlpm.inPlay+_xlpm.actC=0),"Dead",IF(AND($AJ331&lt;&gt;"",$AK331=FALSE),"Waiting on Dealer",IF(_xlpm.subC&gt;0,"Waiting on Lender",IF(AND(_xlpm.appC+_xlpm.actC&gt;0,_xlpm.nsC+_xlpm.wdC=0),"Rate Sheet","Application Submitted")))))))))</f>
        <v/>
      </c>
      <c r="M331" s="87"/>
      <c r="N331" s="87"/>
      <c r="O331" s="197"/>
      <c r="P331" s="87" t="str">
        <f>IF($A331="","",IF($AK331=TRUE,"Ready 2 Submit","Waiting on Dealer"))</f>
        <v/>
      </c>
      <c r="Q331" s="148"/>
      <c r="R331" s="87"/>
      <c r="S331" s="87"/>
      <c r="T331" s="87" t="str">
        <f>IF($A331="","",IF($AK331=TRUE,"Ready 2 Submit","Waiting on Dealer"))</f>
        <v/>
      </c>
      <c r="U331" s="148"/>
      <c r="V331" s="87"/>
      <c r="W331" s="87"/>
      <c r="X331" s="87" t="str">
        <f>IF($A331="","",IF($AK331=TRUE,"Ready 2 Submit","Waiting on Dealer"))</f>
        <v/>
      </c>
      <c r="Y331" s="148"/>
      <c r="Z331" s="87"/>
      <c r="AA331" s="87"/>
      <c r="AB331" s="87" t="str">
        <f>IF($A331="","",IF($AK331=TRUE,"Ready 2 Submit","Waiting on Dealer"))</f>
        <v/>
      </c>
      <c r="AC331" s="148"/>
      <c r="AD331" s="87"/>
      <c r="AE331" s="87"/>
      <c r="AF331" s="87" t="str">
        <f>IF($A331="","",IF($AK331=TRUE,"Ready 2 Submit","Waiting on Dealer"))</f>
        <v/>
      </c>
      <c r="AG331" s="148"/>
      <c r="AH331" s="87"/>
      <c r="AI331" s="87"/>
      <c r="AJ331" s="197"/>
      <c r="AK331" s="110" t="b">
        <v>0</v>
      </c>
      <c r="AL331" s="87" t="str" cm="1">
        <f t="array" ref="AL331">IF($A331="","",SUMPRODUCT((CHOOSE({1,2,3,4,5},$R331,$V331,$Z331,$AD331,$AH331)="Yes")*(((CHOOSE({1,2,3,4,5},$S331,$W331,$AA331,$AE331,$AI331)="Yes")+(CHOOSE({1,2,3,4,5},$S331,$W331,$AA331,$AE331,$AI331)=TRUE))&gt;0)))</f>
        <v/>
      </c>
      <c r="AM331" s="87"/>
      <c r="AN331" s="87" t="str">
        <f ca="1">IF(OR($A331="",$AM331=""),"",TODAY()-$AM331)</f>
        <v/>
      </c>
      <c r="AO331" s="87"/>
      <c r="AP331" s="106"/>
      <c r="AQ331" s="106"/>
      <c r="AR331" s="106"/>
      <c r="AS331" s="106"/>
      <c r="AT331" s="106"/>
      <c r="AU331" s="106"/>
      <c r="AV331" s="106"/>
      <c r="AW331" s="106"/>
      <c r="AX331" s="106"/>
      <c r="AY331" s="106"/>
    </row>
    <row r="332" spans="1:51" s="20" customFormat="1" ht="21" customHeight="1">
      <c r="A332" s="197"/>
      <c r="B332" s="87"/>
      <c r="C332" s="87"/>
      <c r="D332" s="196"/>
      <c r="E332" s="108"/>
      <c r="F332" s="196"/>
      <c r="G332" s="87"/>
      <c r="H332" s="197"/>
      <c r="I332" s="89"/>
      <c r="J332" s="204"/>
      <c r="K332" s="87"/>
      <c r="L332" s="87" t="str" cm="1">
        <f t="array" ref="L332">IF($A332="","",_xlfn.LET(_xlpm.stat,CHOOSE({1,2,3,4,5},$P332,$T332,$X332,$AB332,$AF332),_xlpm.rate,CHOOSE({1,2,3,4,5},$R332,$V332,$Z332,$AD332,$AH332),_xlpm.trn,CHOOSE({1,2,3,4,5},$S332,$W332,$AA332,$AE332,$AI332),_xlpm.nsC,SUMPRODUCT(--(_xlpm.stat="Ready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DLR",IF(AND(_xlpm.actRS&gt;0,_xlpm.actDone&lt;_xlpm.actRS),"Training",IF(_xlpm.actRS&gt;0,"Active",IF(AND(_xlpm.decC&gt;0,_xlpm.inPlay+_xlpm.actC=0),"Dead",IF(AND($AJ332&lt;&gt;"",$AK332=FALSE),"Waiting on Dealer",IF(_xlpm.subC&gt;0,"Waiting on Lender",IF(AND(_xlpm.appC+_xlpm.actC&gt;0,_xlpm.nsC+_xlpm.wdC=0),"Rate Sheet","Application Submitted")))))))))</f>
        <v/>
      </c>
      <c r="M332" s="87"/>
      <c r="N332" s="87"/>
      <c r="O332" s="197"/>
      <c r="P332" s="87" t="str">
        <f>IF($A332="","",IF($AK332=TRUE,"Ready 2 Submit","Waiting on Dealer"))</f>
        <v/>
      </c>
      <c r="Q332" s="148"/>
      <c r="R332" s="87"/>
      <c r="S332" s="87"/>
      <c r="T332" s="87" t="str">
        <f>IF($A332="","",IF($AK332=TRUE,"Ready 2 Submit","Waiting on Dealer"))</f>
        <v/>
      </c>
      <c r="U332" s="148"/>
      <c r="V332" s="87"/>
      <c r="W332" s="87"/>
      <c r="X332" s="87" t="str">
        <f>IF($A332="","",IF($AK332=TRUE,"Ready 2 Submit","Waiting on Dealer"))</f>
        <v/>
      </c>
      <c r="Y332" s="148"/>
      <c r="Z332" s="87"/>
      <c r="AA332" s="87"/>
      <c r="AB332" s="87" t="str">
        <f>IF($A332="","",IF($AK332=TRUE,"Ready 2 Submit","Waiting on Dealer"))</f>
        <v/>
      </c>
      <c r="AC332" s="148"/>
      <c r="AD332" s="87"/>
      <c r="AE332" s="87"/>
      <c r="AF332" s="87" t="str">
        <f>IF($A332="","",IF($AK332=TRUE,"Ready 2 Submit","Waiting on Dealer"))</f>
        <v/>
      </c>
      <c r="AG332" s="148"/>
      <c r="AH332" s="87"/>
      <c r="AI332" s="87"/>
      <c r="AJ332" s="197"/>
      <c r="AK332" s="110" t="b">
        <v>0</v>
      </c>
      <c r="AL332" s="87" t="str" cm="1">
        <f t="array" ref="AL332">IF($A332="","",SUMPRODUCT((CHOOSE({1,2,3,4,5},$R332,$V332,$Z332,$AD332,$AH332)="Yes")*(((CHOOSE({1,2,3,4,5},$S332,$W332,$AA332,$AE332,$AI332)="Yes")+(CHOOSE({1,2,3,4,5},$S332,$W332,$AA332,$AE332,$AI332)=TRUE))&gt;0)))</f>
        <v/>
      </c>
      <c r="AM332" s="87"/>
      <c r="AN332" s="87" t="str">
        <f ca="1">IF(OR($A332="",$AM332=""),"",TODAY()-$AM332)</f>
        <v/>
      </c>
      <c r="AO332" s="87"/>
      <c r="AP332" s="106"/>
      <c r="AQ332" s="106"/>
      <c r="AR332" s="106"/>
      <c r="AS332" s="106"/>
      <c r="AT332" s="106"/>
      <c r="AU332" s="106"/>
      <c r="AV332" s="106"/>
      <c r="AW332" s="106"/>
      <c r="AX332" s="106"/>
      <c r="AY332" s="106"/>
    </row>
    <row r="333" spans="1:51" s="20" customFormat="1" ht="21" customHeight="1">
      <c r="A333" s="197"/>
      <c r="B333" s="87"/>
      <c r="C333" s="87"/>
      <c r="D333" s="196"/>
      <c r="E333" s="108"/>
      <c r="F333" s="196"/>
      <c r="G333" s="87"/>
      <c r="H333" s="197"/>
      <c r="I333" s="89"/>
      <c r="J333" s="204"/>
      <c r="K333" s="87"/>
      <c r="L333" s="87" t="str" cm="1">
        <f t="array" ref="L333">IF($A333="","",_xlfn.LET(_xlpm.stat,CHOOSE({1,2,3,4,5},$P333,$T333,$X333,$AB333,$AF333),_xlpm.rate,CHOOSE({1,2,3,4,5},$R333,$V333,$Z333,$AD333,$AH333),_xlpm.trn,CHOOSE({1,2,3,4,5},$S333,$W333,$AA333,$AE333,$AI333),_xlpm.nsC,SUMPRODUCT(--(_xlpm.stat="Ready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DLR",IF(AND(_xlpm.actRS&gt;0,_xlpm.actDone&lt;_xlpm.actRS),"Training",IF(_xlpm.actRS&gt;0,"Active",IF(AND(_xlpm.decC&gt;0,_xlpm.inPlay+_xlpm.actC=0),"Dead",IF(AND($AJ333&lt;&gt;"",$AK333=FALSE),"Waiting on Dealer",IF(_xlpm.subC&gt;0,"Waiting on Lender",IF(AND(_xlpm.appC+_xlpm.actC&gt;0,_xlpm.nsC+_xlpm.wdC=0),"Rate Sheet","Application Submitted")))))))))</f>
        <v/>
      </c>
      <c r="M333" s="87"/>
      <c r="N333" s="87"/>
      <c r="O333" s="197"/>
      <c r="P333" s="87" t="str">
        <f>IF($A333="","",IF($AK333=TRUE,"Ready 2 Submit","Waiting on Dealer"))</f>
        <v/>
      </c>
      <c r="Q333" s="148"/>
      <c r="R333" s="87"/>
      <c r="S333" s="87"/>
      <c r="T333" s="87" t="str">
        <f>IF($A333="","",IF($AK333=TRUE,"Ready 2 Submit","Waiting on Dealer"))</f>
        <v/>
      </c>
      <c r="U333" s="148"/>
      <c r="V333" s="87"/>
      <c r="W333" s="87"/>
      <c r="X333" s="87" t="str">
        <f>IF($A333="","",IF($AK333=TRUE,"Ready 2 Submit","Waiting on Dealer"))</f>
        <v/>
      </c>
      <c r="Y333" s="148"/>
      <c r="Z333" s="87"/>
      <c r="AA333" s="87"/>
      <c r="AB333" s="87" t="str">
        <f>IF($A333="","",IF($AK333=TRUE,"Ready 2 Submit","Waiting on Dealer"))</f>
        <v/>
      </c>
      <c r="AC333" s="148"/>
      <c r="AD333" s="87"/>
      <c r="AE333" s="87"/>
      <c r="AF333" s="87" t="str">
        <f>IF($A333="","",IF($AK333=TRUE,"Ready 2 Submit","Waiting on Dealer"))</f>
        <v/>
      </c>
      <c r="AG333" s="148"/>
      <c r="AH333" s="87"/>
      <c r="AI333" s="87"/>
      <c r="AJ333" s="197"/>
      <c r="AK333" s="110" t="b">
        <v>0</v>
      </c>
      <c r="AL333" s="87" t="str" cm="1">
        <f t="array" ref="AL333">IF($A333="","",SUMPRODUCT((CHOOSE({1,2,3,4,5},$R333,$V333,$Z333,$AD333,$AH333)="Yes")*(((CHOOSE({1,2,3,4,5},$S333,$W333,$AA333,$AE333,$AI333)="Yes")+(CHOOSE({1,2,3,4,5},$S333,$W333,$AA333,$AE333,$AI333)=TRUE))&gt;0)))</f>
        <v/>
      </c>
      <c r="AM333" s="87"/>
      <c r="AN333" s="87" t="str">
        <f ca="1">IF(OR($A333="",$AM333=""),"",TODAY()-$AM333)</f>
        <v/>
      </c>
      <c r="AO333" s="87"/>
      <c r="AP333" s="106"/>
      <c r="AQ333" s="106"/>
      <c r="AR333" s="106"/>
      <c r="AS333" s="106"/>
      <c r="AT333" s="106"/>
      <c r="AU333" s="106"/>
      <c r="AV333" s="106"/>
      <c r="AW333" s="106"/>
      <c r="AX333" s="106"/>
      <c r="AY333" s="106"/>
    </row>
    <row r="334" spans="1:51" s="20" customFormat="1" ht="21" customHeight="1">
      <c r="A334" s="197"/>
      <c r="B334" s="87"/>
      <c r="C334" s="87"/>
      <c r="D334" s="196"/>
      <c r="E334" s="108"/>
      <c r="F334" s="196"/>
      <c r="G334" s="87"/>
      <c r="H334" s="197"/>
      <c r="I334" s="89"/>
      <c r="J334" s="204"/>
      <c r="K334" s="87"/>
      <c r="L334" s="87" t="str" cm="1">
        <f t="array" ref="L334">IF($A334="","",_xlfn.LET(_xlpm.stat,CHOOSE({1,2,3,4,5},$P334,$T334,$X334,$AB334,$AF334),_xlpm.rate,CHOOSE({1,2,3,4,5},$R334,$V334,$Z334,$AD334,$AH334),_xlpm.trn,CHOOSE({1,2,3,4,5},$S334,$W334,$AA334,$AE334,$AI334),_xlpm.nsC,SUMPRODUCT(--(_xlpm.stat="Ready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DLR",IF(AND(_xlpm.actRS&gt;0,_xlpm.actDone&lt;_xlpm.actRS),"Training",IF(_xlpm.actRS&gt;0,"Active",IF(AND(_xlpm.decC&gt;0,_xlpm.inPlay+_xlpm.actC=0),"Dead",IF(AND($AJ334&lt;&gt;"",$AK334=FALSE),"Waiting on Dealer",IF(_xlpm.subC&gt;0,"Waiting on Lender",IF(AND(_xlpm.appC+_xlpm.actC&gt;0,_xlpm.nsC+_xlpm.wdC=0),"Rate Sheet","Application Submitted")))))))))</f>
        <v/>
      </c>
      <c r="M334" s="87"/>
      <c r="N334" s="87"/>
      <c r="O334" s="197"/>
      <c r="P334" s="87" t="str">
        <f>IF($A334="","",IF($AK334=TRUE,"Ready 2 Submit","Waiting on Dealer"))</f>
        <v/>
      </c>
      <c r="Q334" s="148"/>
      <c r="R334" s="87"/>
      <c r="S334" s="87"/>
      <c r="T334" s="87" t="str">
        <f>IF($A334="","",IF($AK334=TRUE,"Ready 2 Submit","Waiting on Dealer"))</f>
        <v/>
      </c>
      <c r="U334" s="148"/>
      <c r="V334" s="87"/>
      <c r="W334" s="87"/>
      <c r="X334" s="87" t="str">
        <f>IF($A334="","",IF($AK334=TRUE,"Ready 2 Submit","Waiting on Dealer"))</f>
        <v/>
      </c>
      <c r="Y334" s="148"/>
      <c r="Z334" s="87"/>
      <c r="AA334" s="87"/>
      <c r="AB334" s="87" t="str">
        <f>IF($A334="","",IF($AK334=TRUE,"Ready 2 Submit","Waiting on Dealer"))</f>
        <v/>
      </c>
      <c r="AC334" s="148"/>
      <c r="AD334" s="87"/>
      <c r="AE334" s="87"/>
      <c r="AF334" s="87" t="str">
        <f>IF($A334="","",IF($AK334=TRUE,"Ready 2 Submit","Waiting on Dealer"))</f>
        <v/>
      </c>
      <c r="AG334" s="148"/>
      <c r="AH334" s="87"/>
      <c r="AI334" s="87"/>
      <c r="AJ334" s="197"/>
      <c r="AK334" s="110" t="b">
        <v>0</v>
      </c>
      <c r="AL334" s="87" t="str" cm="1">
        <f t="array" ref="AL334">IF($A334="","",SUMPRODUCT((CHOOSE({1,2,3,4,5},$R334,$V334,$Z334,$AD334,$AH334)="Yes")*(((CHOOSE({1,2,3,4,5},$S334,$W334,$AA334,$AE334,$AI334)="Yes")+(CHOOSE({1,2,3,4,5},$S334,$W334,$AA334,$AE334,$AI334)=TRUE))&gt;0)))</f>
        <v/>
      </c>
      <c r="AM334" s="87"/>
      <c r="AN334" s="87" t="str">
        <f ca="1">IF(OR($A334="",$AM334=""),"",TODAY()-$AM334)</f>
        <v/>
      </c>
      <c r="AO334" s="87"/>
      <c r="AP334" s="106"/>
      <c r="AQ334" s="106"/>
      <c r="AR334" s="106"/>
      <c r="AS334" s="106"/>
      <c r="AT334" s="106"/>
      <c r="AU334" s="106"/>
      <c r="AV334" s="106"/>
      <c r="AW334" s="106"/>
      <c r="AX334" s="106"/>
      <c r="AY334" s="106"/>
    </row>
    <row r="335" spans="1:51" s="20" customFormat="1" ht="21" customHeight="1">
      <c r="A335" s="197"/>
      <c r="B335" s="87"/>
      <c r="C335" s="87"/>
      <c r="D335" s="196"/>
      <c r="E335" s="108"/>
      <c r="F335" s="196"/>
      <c r="G335" s="87"/>
      <c r="H335" s="197"/>
      <c r="I335" s="89"/>
      <c r="J335" s="204"/>
      <c r="K335" s="87"/>
      <c r="L335" s="87" t="str" cm="1">
        <f t="array" ref="L335">IF($A335="","",_xlfn.LET(_xlpm.stat,CHOOSE({1,2,3,4,5},$P335,$T335,$X335,$AB335,$AF335),_xlpm.rate,CHOOSE({1,2,3,4,5},$R335,$V335,$Z335,$AD335,$AH335),_xlpm.trn,CHOOSE({1,2,3,4,5},$S335,$W335,$AA335,$AE335,$AI335),_xlpm.nsC,SUMPRODUCT(--(_xlpm.stat="Ready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DLR",IF(AND(_xlpm.actRS&gt;0,_xlpm.actDone&lt;_xlpm.actRS),"Training",IF(_xlpm.actRS&gt;0,"Active",IF(AND(_xlpm.decC&gt;0,_xlpm.inPlay+_xlpm.actC=0),"Dead",IF(AND($AJ335&lt;&gt;"",$AK335=FALSE),"Waiting on Dealer",IF(_xlpm.subC&gt;0,"Waiting on Lender",IF(AND(_xlpm.appC+_xlpm.actC&gt;0,_xlpm.nsC+_xlpm.wdC=0),"Rate Sheet","Application Submitted")))))))))</f>
        <v/>
      </c>
      <c r="M335" s="87"/>
      <c r="N335" s="87"/>
      <c r="O335" s="197"/>
      <c r="P335" s="87" t="str">
        <f>IF($A335="","",IF($AK335=TRUE,"Ready 2 Submit","Waiting on Dealer"))</f>
        <v/>
      </c>
      <c r="Q335" s="148"/>
      <c r="R335" s="87"/>
      <c r="S335" s="87"/>
      <c r="T335" s="87" t="str">
        <f>IF($A335="","",IF($AK335=TRUE,"Ready 2 Submit","Waiting on Dealer"))</f>
        <v/>
      </c>
      <c r="U335" s="148"/>
      <c r="V335" s="87"/>
      <c r="W335" s="87"/>
      <c r="X335" s="87" t="str">
        <f>IF($A335="","",IF($AK335=TRUE,"Ready 2 Submit","Waiting on Dealer"))</f>
        <v/>
      </c>
      <c r="Y335" s="148"/>
      <c r="Z335" s="87"/>
      <c r="AA335" s="87"/>
      <c r="AB335" s="87" t="str">
        <f>IF($A335="","",IF($AK335=TRUE,"Ready 2 Submit","Waiting on Dealer"))</f>
        <v/>
      </c>
      <c r="AC335" s="148"/>
      <c r="AD335" s="87"/>
      <c r="AE335" s="87"/>
      <c r="AF335" s="87" t="str">
        <f>IF($A335="","",IF($AK335=TRUE,"Ready 2 Submit","Waiting on Dealer"))</f>
        <v/>
      </c>
      <c r="AG335" s="148"/>
      <c r="AH335" s="87"/>
      <c r="AI335" s="87"/>
      <c r="AJ335" s="197"/>
      <c r="AK335" s="110" t="b">
        <v>0</v>
      </c>
      <c r="AL335" s="87" t="str" cm="1">
        <f t="array" ref="AL335">IF($A335="","",SUMPRODUCT((CHOOSE({1,2,3,4,5},$R335,$V335,$Z335,$AD335,$AH335)="Yes")*(((CHOOSE({1,2,3,4,5},$S335,$W335,$AA335,$AE335,$AI335)="Yes")+(CHOOSE({1,2,3,4,5},$S335,$W335,$AA335,$AE335,$AI335)=TRUE))&gt;0)))</f>
        <v/>
      </c>
      <c r="AM335" s="87"/>
      <c r="AN335" s="87" t="str">
        <f ca="1">IF(OR($A335="",$AM335=""),"",TODAY()-$AM335)</f>
        <v/>
      </c>
      <c r="AO335" s="87"/>
      <c r="AP335" s="106"/>
      <c r="AQ335" s="106"/>
      <c r="AR335" s="106"/>
      <c r="AS335" s="106"/>
      <c r="AT335" s="106"/>
      <c r="AU335" s="106"/>
      <c r="AV335" s="106"/>
      <c r="AW335" s="106"/>
      <c r="AX335" s="106"/>
      <c r="AY335" s="106"/>
    </row>
    <row r="336" spans="1:51" s="20" customFormat="1" ht="21" customHeight="1">
      <c r="A336" s="197"/>
      <c r="B336" s="87"/>
      <c r="C336" s="87"/>
      <c r="D336" s="196"/>
      <c r="E336" s="108"/>
      <c r="F336" s="196"/>
      <c r="G336" s="87"/>
      <c r="H336" s="197"/>
      <c r="I336" s="89"/>
      <c r="J336" s="204"/>
      <c r="K336" s="87"/>
      <c r="L336" s="87" t="str" cm="1">
        <f t="array" ref="L336">IF($A336="","",_xlfn.LET(_xlpm.stat,CHOOSE({1,2,3,4,5},$P336,$T336,$X336,$AB336,$AF336),_xlpm.rate,CHOOSE({1,2,3,4,5},$R336,$V336,$Z336,$AD336,$AH336),_xlpm.trn,CHOOSE({1,2,3,4,5},$S336,$W336,$AA336,$AE336,$AI336),_xlpm.nsC,SUMPRODUCT(--(_xlpm.stat="Ready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DLR",IF(AND(_xlpm.actRS&gt;0,_xlpm.actDone&lt;_xlpm.actRS),"Training",IF(_xlpm.actRS&gt;0,"Active",IF(AND(_xlpm.decC&gt;0,_xlpm.inPlay+_xlpm.actC=0),"Dead",IF(AND($AJ336&lt;&gt;"",$AK336=FALSE),"Waiting on Dealer",IF(_xlpm.subC&gt;0,"Waiting on Lender",IF(AND(_xlpm.appC+_xlpm.actC&gt;0,_xlpm.nsC+_xlpm.wdC=0),"Rate Sheet","Application Submitted")))))))))</f>
        <v/>
      </c>
      <c r="M336" s="87"/>
      <c r="N336" s="87"/>
      <c r="O336" s="197"/>
      <c r="P336" s="87" t="str">
        <f>IF($A336="","",IF($AK336=TRUE,"Ready 2 Submit","Waiting on Dealer"))</f>
        <v/>
      </c>
      <c r="Q336" s="148"/>
      <c r="R336" s="87"/>
      <c r="S336" s="87"/>
      <c r="T336" s="87" t="str">
        <f>IF($A336="","",IF($AK336=TRUE,"Ready 2 Submit","Waiting on Dealer"))</f>
        <v/>
      </c>
      <c r="U336" s="148"/>
      <c r="V336" s="87"/>
      <c r="W336" s="87"/>
      <c r="X336" s="87" t="str">
        <f>IF($A336="","",IF($AK336=TRUE,"Ready 2 Submit","Waiting on Dealer"))</f>
        <v/>
      </c>
      <c r="Y336" s="148"/>
      <c r="Z336" s="87"/>
      <c r="AA336" s="87"/>
      <c r="AB336" s="87" t="str">
        <f>IF($A336="","",IF($AK336=TRUE,"Ready 2 Submit","Waiting on Dealer"))</f>
        <v/>
      </c>
      <c r="AC336" s="148"/>
      <c r="AD336" s="87"/>
      <c r="AE336" s="87"/>
      <c r="AF336" s="87" t="str">
        <f>IF($A336="","",IF($AK336=TRUE,"Ready 2 Submit","Waiting on Dealer"))</f>
        <v/>
      </c>
      <c r="AG336" s="148"/>
      <c r="AH336" s="87"/>
      <c r="AI336" s="87"/>
      <c r="AJ336" s="197"/>
      <c r="AK336" s="110" t="b">
        <v>0</v>
      </c>
      <c r="AL336" s="87" t="str" cm="1">
        <f t="array" ref="AL336">IF($A336="","",SUMPRODUCT((CHOOSE({1,2,3,4,5},$R336,$V336,$Z336,$AD336,$AH336)="Yes")*(((CHOOSE({1,2,3,4,5},$S336,$W336,$AA336,$AE336,$AI336)="Yes")+(CHOOSE({1,2,3,4,5},$S336,$W336,$AA336,$AE336,$AI336)=TRUE))&gt;0)))</f>
        <v/>
      </c>
      <c r="AM336" s="87"/>
      <c r="AN336" s="87" t="str">
        <f ca="1">IF(OR($A336="",$AM336=""),"",TODAY()-$AM336)</f>
        <v/>
      </c>
      <c r="AO336" s="87"/>
      <c r="AP336" s="106"/>
      <c r="AQ336" s="106"/>
      <c r="AR336" s="106"/>
      <c r="AS336" s="106"/>
      <c r="AT336" s="106"/>
      <c r="AU336" s="106"/>
      <c r="AV336" s="106"/>
      <c r="AW336" s="106"/>
      <c r="AX336" s="106"/>
      <c r="AY336" s="106"/>
    </row>
    <row r="337" spans="1:51" s="20" customFormat="1" ht="21" customHeight="1">
      <c r="A337" s="197"/>
      <c r="B337" s="87"/>
      <c r="C337" s="87"/>
      <c r="D337" s="196"/>
      <c r="E337" s="108"/>
      <c r="F337" s="196"/>
      <c r="G337" s="87"/>
      <c r="H337" s="197"/>
      <c r="I337" s="89"/>
      <c r="J337" s="204"/>
      <c r="K337" s="87"/>
      <c r="L337" s="87" t="str" cm="1">
        <f t="array" ref="L337">IF($A337="","",_xlfn.LET(_xlpm.stat,CHOOSE({1,2,3,4,5},$P337,$T337,$X337,$AB337,$AF337),_xlpm.rate,CHOOSE({1,2,3,4,5},$R337,$V337,$Z337,$AD337,$AH337),_xlpm.trn,CHOOSE({1,2,3,4,5},$S337,$W337,$AA337,$AE337,$AI337),_xlpm.nsC,SUMPRODUCT(--(_xlpm.stat="Ready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DLR",IF(AND(_xlpm.actRS&gt;0,_xlpm.actDone&lt;_xlpm.actRS),"Training",IF(_xlpm.actRS&gt;0,"Active",IF(AND(_xlpm.decC&gt;0,_xlpm.inPlay+_xlpm.actC=0),"Dead",IF(AND($AJ337&lt;&gt;"",$AK337=FALSE),"Waiting on Dealer",IF(_xlpm.subC&gt;0,"Waiting on Lender",IF(AND(_xlpm.appC+_xlpm.actC&gt;0,_xlpm.nsC+_xlpm.wdC=0),"Rate Sheet","Application Submitted")))))))))</f>
        <v/>
      </c>
      <c r="M337" s="87"/>
      <c r="N337" s="87"/>
      <c r="O337" s="197"/>
      <c r="P337" s="87" t="str">
        <f>IF($A337="","",IF($AK337=TRUE,"Ready 2 Submit","Waiting on Dealer"))</f>
        <v/>
      </c>
      <c r="Q337" s="148"/>
      <c r="R337" s="87"/>
      <c r="S337" s="87"/>
      <c r="T337" s="87" t="str">
        <f>IF($A337="","",IF($AK337=TRUE,"Ready 2 Submit","Waiting on Dealer"))</f>
        <v/>
      </c>
      <c r="U337" s="148"/>
      <c r="V337" s="87"/>
      <c r="W337" s="87"/>
      <c r="X337" s="87" t="str">
        <f>IF($A337="","",IF($AK337=TRUE,"Ready 2 Submit","Waiting on Dealer"))</f>
        <v/>
      </c>
      <c r="Y337" s="148"/>
      <c r="Z337" s="87"/>
      <c r="AA337" s="87"/>
      <c r="AB337" s="87" t="str">
        <f>IF($A337="","",IF($AK337=TRUE,"Ready 2 Submit","Waiting on Dealer"))</f>
        <v/>
      </c>
      <c r="AC337" s="148"/>
      <c r="AD337" s="87"/>
      <c r="AE337" s="87"/>
      <c r="AF337" s="87" t="str">
        <f>IF($A337="","",IF($AK337=TRUE,"Ready 2 Submit","Waiting on Dealer"))</f>
        <v/>
      </c>
      <c r="AG337" s="148"/>
      <c r="AH337" s="87"/>
      <c r="AI337" s="87"/>
      <c r="AJ337" s="197"/>
      <c r="AK337" s="110" t="b">
        <v>0</v>
      </c>
      <c r="AL337" s="87" t="str" cm="1">
        <f t="array" ref="AL337">IF($A337="","",SUMPRODUCT((CHOOSE({1,2,3,4,5},$R337,$V337,$Z337,$AD337,$AH337)="Yes")*(((CHOOSE({1,2,3,4,5},$S337,$W337,$AA337,$AE337,$AI337)="Yes")+(CHOOSE({1,2,3,4,5},$S337,$W337,$AA337,$AE337,$AI337)=TRUE))&gt;0)))</f>
        <v/>
      </c>
      <c r="AM337" s="87"/>
      <c r="AN337" s="87" t="str">
        <f ca="1">IF(OR($A337="",$AM337=""),"",TODAY()-$AM337)</f>
        <v/>
      </c>
      <c r="AO337" s="87"/>
      <c r="AP337" s="106"/>
      <c r="AQ337" s="106"/>
      <c r="AR337" s="106"/>
      <c r="AS337" s="106"/>
      <c r="AT337" s="106"/>
      <c r="AU337" s="106"/>
      <c r="AV337" s="106"/>
      <c r="AW337" s="106"/>
      <c r="AX337" s="106"/>
      <c r="AY337" s="106"/>
    </row>
    <row r="338" spans="1:51" s="20" customFormat="1" ht="21" customHeight="1">
      <c r="A338" s="197"/>
      <c r="B338" s="87"/>
      <c r="C338" s="87"/>
      <c r="D338" s="196"/>
      <c r="E338" s="108"/>
      <c r="F338" s="196"/>
      <c r="G338" s="87"/>
      <c r="H338" s="197"/>
      <c r="I338" s="89"/>
      <c r="J338" s="204"/>
      <c r="K338" s="87"/>
      <c r="L338" s="87" t="str" cm="1">
        <f t="array" ref="L338">IF($A338="","",_xlfn.LET(_xlpm.stat,CHOOSE({1,2,3,4,5},$P338,$T338,$X338,$AB338,$AF338),_xlpm.rate,CHOOSE({1,2,3,4,5},$R338,$V338,$Z338,$AD338,$AH338),_xlpm.trn,CHOOSE({1,2,3,4,5},$S338,$W338,$AA338,$AE338,$AI338),_xlpm.nsC,SUMPRODUCT(--(_xlpm.stat="Ready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DLR",IF(AND(_xlpm.actRS&gt;0,_xlpm.actDone&lt;_xlpm.actRS),"Training",IF(_xlpm.actRS&gt;0,"Active",IF(AND(_xlpm.decC&gt;0,_xlpm.inPlay+_xlpm.actC=0),"Dead",IF(AND($AJ338&lt;&gt;"",$AK338=FALSE),"Waiting on Dealer",IF(_xlpm.subC&gt;0,"Waiting on Lender",IF(AND(_xlpm.appC+_xlpm.actC&gt;0,_xlpm.nsC+_xlpm.wdC=0),"Rate Sheet","Application Submitted")))))))))</f>
        <v/>
      </c>
      <c r="M338" s="87"/>
      <c r="N338" s="87"/>
      <c r="O338" s="197"/>
      <c r="P338" s="87" t="str">
        <f>IF($A338="","",IF($AK338=TRUE,"Ready 2 Submit","Waiting on Dealer"))</f>
        <v/>
      </c>
      <c r="Q338" s="148"/>
      <c r="R338" s="87"/>
      <c r="S338" s="87"/>
      <c r="T338" s="87" t="str">
        <f>IF($A338="","",IF($AK338=TRUE,"Ready 2 Submit","Waiting on Dealer"))</f>
        <v/>
      </c>
      <c r="U338" s="148"/>
      <c r="V338" s="87"/>
      <c r="W338" s="87"/>
      <c r="X338" s="87" t="str">
        <f>IF($A338="","",IF($AK338=TRUE,"Ready 2 Submit","Waiting on Dealer"))</f>
        <v/>
      </c>
      <c r="Y338" s="148"/>
      <c r="Z338" s="87"/>
      <c r="AA338" s="87"/>
      <c r="AB338" s="87" t="str">
        <f>IF($A338="","",IF($AK338=TRUE,"Ready 2 Submit","Waiting on Dealer"))</f>
        <v/>
      </c>
      <c r="AC338" s="148"/>
      <c r="AD338" s="87"/>
      <c r="AE338" s="87"/>
      <c r="AF338" s="87" t="str">
        <f>IF($A338="","",IF($AK338=TRUE,"Ready 2 Submit","Waiting on Dealer"))</f>
        <v/>
      </c>
      <c r="AG338" s="148"/>
      <c r="AH338" s="87"/>
      <c r="AI338" s="87"/>
      <c r="AJ338" s="197"/>
      <c r="AK338" s="110" t="b">
        <v>0</v>
      </c>
      <c r="AL338" s="87" t="str" cm="1">
        <f t="array" ref="AL338">IF($A338="","",SUMPRODUCT((CHOOSE({1,2,3,4,5},$R338,$V338,$Z338,$AD338,$AH338)="Yes")*(((CHOOSE({1,2,3,4,5},$S338,$W338,$AA338,$AE338,$AI338)="Yes")+(CHOOSE({1,2,3,4,5},$S338,$W338,$AA338,$AE338,$AI338)=TRUE))&gt;0)))</f>
        <v/>
      </c>
      <c r="AM338" s="87"/>
      <c r="AN338" s="87" t="str">
        <f ca="1">IF(OR($A338="",$AM338=""),"",TODAY()-$AM338)</f>
        <v/>
      </c>
      <c r="AO338" s="87"/>
      <c r="AP338" s="106"/>
      <c r="AQ338" s="106"/>
      <c r="AR338" s="106"/>
      <c r="AS338" s="106"/>
      <c r="AT338" s="106"/>
      <c r="AU338" s="106"/>
      <c r="AV338" s="106"/>
      <c r="AW338" s="106"/>
      <c r="AX338" s="106"/>
      <c r="AY338" s="106"/>
    </row>
    <row r="339" spans="1:51" s="20" customFormat="1" ht="21" customHeight="1">
      <c r="A339" s="197"/>
      <c r="B339" s="87"/>
      <c r="C339" s="87"/>
      <c r="D339" s="196"/>
      <c r="E339" s="108"/>
      <c r="F339" s="196"/>
      <c r="G339" s="87"/>
      <c r="H339" s="197"/>
      <c r="I339" s="89"/>
      <c r="J339" s="204"/>
      <c r="K339" s="87"/>
      <c r="L339" s="87" t="str" cm="1">
        <f t="array" ref="L339">IF($A339="","",_xlfn.LET(_xlpm.stat,CHOOSE({1,2,3,4,5},$P339,$T339,$X339,$AB339,$AF339),_xlpm.rate,CHOOSE({1,2,3,4,5},$R339,$V339,$Z339,$AD339,$AH339),_xlpm.trn,CHOOSE({1,2,3,4,5},$S339,$W339,$AA339,$AE339,$AI339),_xlpm.nsC,SUMPRODUCT(--(_xlpm.stat="Ready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DLR",IF(AND(_xlpm.actRS&gt;0,_xlpm.actDone&lt;_xlpm.actRS),"Training",IF(_xlpm.actRS&gt;0,"Active",IF(AND(_xlpm.decC&gt;0,_xlpm.inPlay+_xlpm.actC=0),"Dead",IF(AND($AJ339&lt;&gt;"",$AK339=FALSE),"Waiting on Dealer",IF(_xlpm.subC&gt;0,"Waiting on Lender",IF(AND(_xlpm.appC+_xlpm.actC&gt;0,_xlpm.nsC+_xlpm.wdC=0),"Rate Sheet","Application Submitted")))))))))</f>
        <v/>
      </c>
      <c r="M339" s="87"/>
      <c r="N339" s="87"/>
      <c r="O339" s="197"/>
      <c r="P339" s="87" t="str">
        <f>IF($A339="","",IF($AK339=TRUE,"Ready 2 Submit","Waiting on Dealer"))</f>
        <v/>
      </c>
      <c r="Q339" s="148"/>
      <c r="R339" s="87"/>
      <c r="S339" s="87"/>
      <c r="T339" s="87" t="str">
        <f>IF($A339="","",IF($AK339=TRUE,"Ready 2 Submit","Waiting on Dealer"))</f>
        <v/>
      </c>
      <c r="U339" s="148"/>
      <c r="V339" s="87"/>
      <c r="W339" s="87"/>
      <c r="X339" s="87" t="str">
        <f>IF($A339="","",IF($AK339=TRUE,"Ready 2 Submit","Waiting on Dealer"))</f>
        <v/>
      </c>
      <c r="Y339" s="148"/>
      <c r="Z339" s="87"/>
      <c r="AA339" s="87"/>
      <c r="AB339" s="87" t="str">
        <f>IF($A339="","",IF($AK339=TRUE,"Ready 2 Submit","Waiting on Dealer"))</f>
        <v/>
      </c>
      <c r="AC339" s="148"/>
      <c r="AD339" s="87"/>
      <c r="AE339" s="87"/>
      <c r="AF339" s="87" t="str">
        <f>IF($A339="","",IF($AK339=TRUE,"Ready 2 Submit","Waiting on Dealer"))</f>
        <v/>
      </c>
      <c r="AG339" s="148"/>
      <c r="AH339" s="87"/>
      <c r="AI339" s="87"/>
      <c r="AJ339" s="197"/>
      <c r="AK339" s="110" t="b">
        <v>0</v>
      </c>
      <c r="AL339" s="87" t="str" cm="1">
        <f t="array" ref="AL339">IF($A339="","",SUMPRODUCT((CHOOSE({1,2,3,4,5},$R339,$V339,$Z339,$AD339,$AH339)="Yes")*(((CHOOSE({1,2,3,4,5},$S339,$W339,$AA339,$AE339,$AI339)="Yes")+(CHOOSE({1,2,3,4,5},$S339,$W339,$AA339,$AE339,$AI339)=TRUE))&gt;0)))</f>
        <v/>
      </c>
      <c r="AM339" s="87"/>
      <c r="AN339" s="87" t="str">
        <f ca="1">IF(OR($A339="",$AM339=""),"",TODAY()-$AM339)</f>
        <v/>
      </c>
      <c r="AO339" s="87"/>
      <c r="AP339" s="106"/>
      <c r="AQ339" s="106"/>
      <c r="AR339" s="106"/>
      <c r="AS339" s="106"/>
      <c r="AT339" s="106"/>
      <c r="AU339" s="106"/>
      <c r="AV339" s="106"/>
      <c r="AW339" s="106"/>
      <c r="AX339" s="106"/>
      <c r="AY339" s="106"/>
    </row>
    <row r="340" spans="1:51" s="20" customFormat="1" ht="21" customHeight="1">
      <c r="A340" s="197"/>
      <c r="B340" s="87"/>
      <c r="C340" s="87"/>
      <c r="D340" s="196"/>
      <c r="E340" s="108"/>
      <c r="F340" s="196"/>
      <c r="G340" s="87"/>
      <c r="H340" s="197"/>
      <c r="I340" s="89"/>
      <c r="J340" s="204"/>
      <c r="K340" s="87"/>
      <c r="L340" s="87" t="str" cm="1">
        <f t="array" ref="L340">IF($A340="","",_xlfn.LET(_xlpm.stat,CHOOSE({1,2,3,4,5},$P340,$T340,$X340,$AB340,$AF340),_xlpm.rate,CHOOSE({1,2,3,4,5},$R340,$V340,$Z340,$AD340,$AH340),_xlpm.trn,CHOOSE({1,2,3,4,5},$S340,$W340,$AA340,$AE340,$AI340),_xlpm.nsC,SUMPRODUCT(--(_xlpm.stat="Ready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DLR",IF(AND(_xlpm.actRS&gt;0,_xlpm.actDone&lt;_xlpm.actRS),"Training",IF(_xlpm.actRS&gt;0,"Active",IF(AND(_xlpm.decC&gt;0,_xlpm.inPlay+_xlpm.actC=0),"Dead",IF(AND($AJ340&lt;&gt;"",$AK340=FALSE),"Waiting on Dealer",IF(_xlpm.subC&gt;0,"Waiting on Lender",IF(AND(_xlpm.appC+_xlpm.actC&gt;0,_xlpm.nsC+_xlpm.wdC=0),"Rate Sheet","Application Submitted")))))))))</f>
        <v/>
      </c>
      <c r="M340" s="87"/>
      <c r="N340" s="87"/>
      <c r="O340" s="197"/>
      <c r="P340" s="87" t="str">
        <f>IF($A340="","",IF($AK340=TRUE,"Ready 2 Submit","Waiting on Dealer"))</f>
        <v/>
      </c>
      <c r="Q340" s="148"/>
      <c r="R340" s="87"/>
      <c r="S340" s="87"/>
      <c r="T340" s="87" t="str">
        <f>IF($A340="","",IF($AK340=TRUE,"Ready 2 Submit","Waiting on Dealer"))</f>
        <v/>
      </c>
      <c r="U340" s="148"/>
      <c r="V340" s="87"/>
      <c r="W340" s="87"/>
      <c r="X340" s="87" t="str">
        <f>IF($A340="","",IF($AK340=TRUE,"Ready 2 Submit","Waiting on Dealer"))</f>
        <v/>
      </c>
      <c r="Y340" s="148"/>
      <c r="Z340" s="87"/>
      <c r="AA340" s="87"/>
      <c r="AB340" s="87" t="str">
        <f>IF($A340="","",IF($AK340=TRUE,"Ready 2 Submit","Waiting on Dealer"))</f>
        <v/>
      </c>
      <c r="AC340" s="148"/>
      <c r="AD340" s="87"/>
      <c r="AE340" s="87"/>
      <c r="AF340" s="87" t="str">
        <f>IF($A340="","",IF($AK340=TRUE,"Ready 2 Submit","Waiting on Dealer"))</f>
        <v/>
      </c>
      <c r="AG340" s="148"/>
      <c r="AH340" s="87"/>
      <c r="AI340" s="87"/>
      <c r="AJ340" s="197"/>
      <c r="AK340" s="110" t="b">
        <v>0</v>
      </c>
      <c r="AL340" s="87" t="str" cm="1">
        <f t="array" ref="AL340">IF($A340="","",SUMPRODUCT((CHOOSE({1,2,3,4,5},$R340,$V340,$Z340,$AD340,$AH340)="Yes")*(((CHOOSE({1,2,3,4,5},$S340,$W340,$AA340,$AE340,$AI340)="Yes")+(CHOOSE({1,2,3,4,5},$S340,$W340,$AA340,$AE340,$AI340)=TRUE))&gt;0)))</f>
        <v/>
      </c>
      <c r="AM340" s="87"/>
      <c r="AN340" s="87" t="str">
        <f ca="1">IF(OR($A340="",$AM340=""),"",TODAY()-$AM340)</f>
        <v/>
      </c>
      <c r="AO340" s="87"/>
      <c r="AP340" s="106"/>
      <c r="AQ340" s="106"/>
      <c r="AR340" s="106"/>
      <c r="AS340" s="106"/>
      <c r="AT340" s="106"/>
      <c r="AU340" s="106"/>
      <c r="AV340" s="106"/>
      <c r="AW340" s="106"/>
      <c r="AX340" s="106"/>
      <c r="AY340" s="106"/>
    </row>
    <row r="341" spans="1:51" s="20" customFormat="1" ht="21" customHeight="1">
      <c r="A341" s="197"/>
      <c r="B341" s="87"/>
      <c r="C341" s="87"/>
      <c r="D341" s="196"/>
      <c r="E341" s="108"/>
      <c r="F341" s="196"/>
      <c r="G341" s="87"/>
      <c r="H341" s="197"/>
      <c r="I341" s="89"/>
      <c r="J341" s="204"/>
      <c r="K341" s="87"/>
      <c r="L341" s="87" t="str" cm="1">
        <f t="array" ref="L341">IF($A341="","",_xlfn.LET(_xlpm.stat,CHOOSE({1,2,3,4,5},$P341,$T341,$X341,$AB341,$AF341),_xlpm.rate,CHOOSE({1,2,3,4,5},$R341,$V341,$Z341,$AD341,$AH341),_xlpm.trn,CHOOSE({1,2,3,4,5},$S341,$W341,$AA341,$AE341,$AI341),_xlpm.nsC,SUMPRODUCT(--(_xlpm.stat="Ready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DLR",IF(AND(_xlpm.actRS&gt;0,_xlpm.actDone&lt;_xlpm.actRS),"Training",IF(_xlpm.actRS&gt;0,"Active",IF(AND(_xlpm.decC&gt;0,_xlpm.inPlay+_xlpm.actC=0),"Dead",IF(AND($AJ341&lt;&gt;"",$AK341=FALSE),"Waiting on Dealer",IF(_xlpm.subC&gt;0,"Waiting on Lender",IF(AND(_xlpm.appC+_xlpm.actC&gt;0,_xlpm.nsC+_xlpm.wdC=0),"Rate Sheet","Application Submitted")))))))))</f>
        <v/>
      </c>
      <c r="M341" s="87"/>
      <c r="N341" s="87"/>
      <c r="O341" s="197"/>
      <c r="P341" s="87" t="str">
        <f>IF($A341="","",IF($AK341=TRUE,"Ready 2 Submit","Waiting on Dealer"))</f>
        <v/>
      </c>
      <c r="Q341" s="148"/>
      <c r="R341" s="87"/>
      <c r="S341" s="87"/>
      <c r="T341" s="87" t="str">
        <f>IF($A341="","",IF($AK341=TRUE,"Ready 2 Submit","Waiting on Dealer"))</f>
        <v/>
      </c>
      <c r="U341" s="148"/>
      <c r="V341" s="87"/>
      <c r="W341" s="87"/>
      <c r="X341" s="87" t="str">
        <f>IF($A341="","",IF($AK341=TRUE,"Ready 2 Submit","Waiting on Dealer"))</f>
        <v/>
      </c>
      <c r="Y341" s="148"/>
      <c r="Z341" s="87"/>
      <c r="AA341" s="87"/>
      <c r="AB341" s="87" t="str">
        <f>IF($A341="","",IF($AK341=TRUE,"Ready 2 Submit","Waiting on Dealer"))</f>
        <v/>
      </c>
      <c r="AC341" s="148"/>
      <c r="AD341" s="87"/>
      <c r="AE341" s="87"/>
      <c r="AF341" s="87" t="str">
        <f>IF($A341="","",IF($AK341=TRUE,"Ready 2 Submit","Waiting on Dealer"))</f>
        <v/>
      </c>
      <c r="AG341" s="148"/>
      <c r="AH341" s="87"/>
      <c r="AI341" s="87"/>
      <c r="AJ341" s="197"/>
      <c r="AK341" s="110" t="b">
        <v>0</v>
      </c>
      <c r="AL341" s="87" t="str" cm="1">
        <f t="array" ref="AL341">IF($A341="","",SUMPRODUCT((CHOOSE({1,2,3,4,5},$R341,$V341,$Z341,$AD341,$AH341)="Yes")*(((CHOOSE({1,2,3,4,5},$S341,$W341,$AA341,$AE341,$AI341)="Yes")+(CHOOSE({1,2,3,4,5},$S341,$W341,$AA341,$AE341,$AI341)=TRUE))&gt;0)))</f>
        <v/>
      </c>
      <c r="AM341" s="87"/>
      <c r="AN341" s="87" t="str">
        <f ca="1">IF(OR($A341="",$AM341=""),"",TODAY()-$AM341)</f>
        <v/>
      </c>
      <c r="AO341" s="87"/>
      <c r="AP341" s="106"/>
      <c r="AQ341" s="106"/>
      <c r="AR341" s="106"/>
      <c r="AS341" s="106"/>
      <c r="AT341" s="106"/>
      <c r="AU341" s="106"/>
      <c r="AV341" s="106"/>
      <c r="AW341" s="106"/>
      <c r="AX341" s="106"/>
      <c r="AY341" s="106"/>
    </row>
    <row r="342" spans="1:51" s="20" customFormat="1" ht="21" customHeight="1">
      <c r="A342" s="197"/>
      <c r="B342" s="87"/>
      <c r="C342" s="87"/>
      <c r="D342" s="196"/>
      <c r="E342" s="108"/>
      <c r="F342" s="196"/>
      <c r="G342" s="87"/>
      <c r="H342" s="197"/>
      <c r="I342" s="89"/>
      <c r="J342" s="204"/>
      <c r="K342" s="87"/>
      <c r="L342" s="87" t="str" cm="1">
        <f t="array" ref="L342">IF($A342="","",_xlfn.LET(_xlpm.stat,CHOOSE({1,2,3,4,5},$P342,$T342,$X342,$AB342,$AF342),_xlpm.rate,CHOOSE({1,2,3,4,5},$R342,$V342,$Z342,$AD342,$AH342),_xlpm.trn,CHOOSE({1,2,3,4,5},$S342,$W342,$AA342,$AE342,$AI342),_xlpm.nsC,SUMPRODUCT(--(_xlpm.stat="Ready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DLR",IF(AND(_xlpm.actRS&gt;0,_xlpm.actDone&lt;_xlpm.actRS),"Training",IF(_xlpm.actRS&gt;0,"Active",IF(AND(_xlpm.decC&gt;0,_xlpm.inPlay+_xlpm.actC=0),"Dead",IF(AND($AJ342&lt;&gt;"",$AK342=FALSE),"Waiting on Dealer",IF(_xlpm.subC&gt;0,"Waiting on Lender",IF(AND(_xlpm.appC+_xlpm.actC&gt;0,_xlpm.nsC+_xlpm.wdC=0),"Rate Sheet","Application Submitted")))))))))</f>
        <v/>
      </c>
      <c r="M342" s="87"/>
      <c r="N342" s="87"/>
      <c r="O342" s="197"/>
      <c r="P342" s="87" t="str">
        <f>IF($A342="","",IF($AK342=TRUE,"Ready 2 Submit","Waiting on Dealer"))</f>
        <v/>
      </c>
      <c r="Q342" s="148"/>
      <c r="R342" s="87"/>
      <c r="S342" s="87"/>
      <c r="T342" s="87" t="str">
        <f>IF($A342="","",IF($AK342=TRUE,"Ready 2 Submit","Waiting on Dealer"))</f>
        <v/>
      </c>
      <c r="U342" s="148"/>
      <c r="V342" s="87"/>
      <c r="W342" s="87"/>
      <c r="X342" s="87" t="str">
        <f>IF($A342="","",IF($AK342=TRUE,"Ready 2 Submit","Waiting on Dealer"))</f>
        <v/>
      </c>
      <c r="Y342" s="148"/>
      <c r="Z342" s="87"/>
      <c r="AA342" s="87"/>
      <c r="AB342" s="87" t="str">
        <f>IF($A342="","",IF($AK342=TRUE,"Ready 2 Submit","Waiting on Dealer"))</f>
        <v/>
      </c>
      <c r="AC342" s="148"/>
      <c r="AD342" s="87"/>
      <c r="AE342" s="87"/>
      <c r="AF342" s="87" t="str">
        <f>IF($A342="","",IF($AK342=TRUE,"Ready 2 Submit","Waiting on Dealer"))</f>
        <v/>
      </c>
      <c r="AG342" s="148"/>
      <c r="AH342" s="87"/>
      <c r="AI342" s="87"/>
      <c r="AJ342" s="197"/>
      <c r="AK342" s="110" t="b">
        <v>0</v>
      </c>
      <c r="AL342" s="87" t="str" cm="1">
        <f t="array" ref="AL342">IF($A342="","",SUMPRODUCT((CHOOSE({1,2,3,4,5},$R342,$V342,$Z342,$AD342,$AH342)="Yes")*(((CHOOSE({1,2,3,4,5},$S342,$W342,$AA342,$AE342,$AI342)="Yes")+(CHOOSE({1,2,3,4,5},$S342,$W342,$AA342,$AE342,$AI342)=TRUE))&gt;0)))</f>
        <v/>
      </c>
      <c r="AM342" s="87"/>
      <c r="AN342" s="87" t="str">
        <f ca="1">IF(OR($A342="",$AM342=""),"",TODAY()-$AM342)</f>
        <v/>
      </c>
      <c r="AO342" s="87"/>
      <c r="AP342" s="106"/>
      <c r="AQ342" s="106"/>
      <c r="AR342" s="106"/>
      <c r="AS342" s="106"/>
      <c r="AT342" s="106"/>
      <c r="AU342" s="106"/>
      <c r="AV342" s="106"/>
      <c r="AW342" s="106"/>
      <c r="AX342" s="106"/>
      <c r="AY342" s="106"/>
    </row>
    <row r="343" spans="1:51" s="20" customFormat="1" ht="21" customHeight="1">
      <c r="A343" s="197"/>
      <c r="B343" s="87"/>
      <c r="C343" s="87"/>
      <c r="D343" s="196"/>
      <c r="E343" s="108"/>
      <c r="F343" s="196"/>
      <c r="G343" s="87"/>
      <c r="H343" s="197"/>
      <c r="I343" s="89"/>
      <c r="J343" s="204"/>
      <c r="K343" s="87"/>
      <c r="L343" s="87" t="str" cm="1">
        <f t="array" ref="L343">IF($A343="","",_xlfn.LET(_xlpm.stat,CHOOSE({1,2,3,4,5},$P343,$T343,$X343,$AB343,$AF343),_xlpm.rate,CHOOSE({1,2,3,4,5},$R343,$V343,$Z343,$AD343,$AH343),_xlpm.trn,CHOOSE({1,2,3,4,5},$S343,$W343,$AA343,$AE343,$AI343),_xlpm.nsC,SUMPRODUCT(--(_xlpm.stat="Ready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DLR",IF(AND(_xlpm.actRS&gt;0,_xlpm.actDone&lt;_xlpm.actRS),"Training",IF(_xlpm.actRS&gt;0,"Active",IF(AND(_xlpm.decC&gt;0,_xlpm.inPlay+_xlpm.actC=0),"Dead",IF(AND($AJ343&lt;&gt;"",$AK343=FALSE),"Waiting on Dealer",IF(_xlpm.subC&gt;0,"Waiting on Lender",IF(AND(_xlpm.appC+_xlpm.actC&gt;0,_xlpm.nsC+_xlpm.wdC=0),"Rate Sheet","Application Submitted")))))))))</f>
        <v/>
      </c>
      <c r="M343" s="87"/>
      <c r="N343" s="87"/>
      <c r="O343" s="197"/>
      <c r="P343" s="87" t="str">
        <f>IF($A343="","",IF($AK343=TRUE,"Ready 2 Submit","Waiting on Dealer"))</f>
        <v/>
      </c>
      <c r="Q343" s="148"/>
      <c r="R343" s="87"/>
      <c r="S343" s="87"/>
      <c r="T343" s="87" t="str">
        <f>IF($A343="","",IF($AK343=TRUE,"Ready 2 Submit","Waiting on Dealer"))</f>
        <v/>
      </c>
      <c r="U343" s="148"/>
      <c r="V343" s="87"/>
      <c r="W343" s="87"/>
      <c r="X343" s="87" t="str">
        <f>IF($A343="","",IF($AK343=TRUE,"Ready 2 Submit","Waiting on Dealer"))</f>
        <v/>
      </c>
      <c r="Y343" s="148"/>
      <c r="Z343" s="87"/>
      <c r="AA343" s="87"/>
      <c r="AB343" s="87" t="str">
        <f>IF($A343="","",IF($AK343=TRUE,"Ready 2 Submit","Waiting on Dealer"))</f>
        <v/>
      </c>
      <c r="AC343" s="148"/>
      <c r="AD343" s="87"/>
      <c r="AE343" s="87"/>
      <c r="AF343" s="87" t="str">
        <f>IF($A343="","",IF($AK343=TRUE,"Ready 2 Submit","Waiting on Dealer"))</f>
        <v/>
      </c>
      <c r="AG343" s="148"/>
      <c r="AH343" s="87"/>
      <c r="AI343" s="87"/>
      <c r="AJ343" s="197"/>
      <c r="AK343" s="110" t="b">
        <v>0</v>
      </c>
      <c r="AL343" s="87" t="str" cm="1">
        <f t="array" ref="AL343">IF($A343="","",SUMPRODUCT((CHOOSE({1,2,3,4,5},$R343,$V343,$Z343,$AD343,$AH343)="Yes")*(((CHOOSE({1,2,3,4,5},$S343,$W343,$AA343,$AE343,$AI343)="Yes")+(CHOOSE({1,2,3,4,5},$S343,$W343,$AA343,$AE343,$AI343)=TRUE))&gt;0)))</f>
        <v/>
      </c>
      <c r="AM343" s="87"/>
      <c r="AN343" s="87" t="str">
        <f ca="1">IF(OR($A343="",$AM343=""),"",TODAY()-$AM343)</f>
        <v/>
      </c>
      <c r="AO343" s="87"/>
      <c r="AP343" s="106"/>
      <c r="AQ343" s="106"/>
      <c r="AR343" s="106"/>
      <c r="AS343" s="106"/>
      <c r="AT343" s="106"/>
      <c r="AU343" s="106"/>
      <c r="AV343" s="106"/>
      <c r="AW343" s="106"/>
      <c r="AX343" s="106"/>
      <c r="AY343" s="106"/>
    </row>
    <row r="344" spans="1:51" s="20" customFormat="1" ht="21" customHeight="1">
      <c r="A344" s="197"/>
      <c r="B344" s="87"/>
      <c r="C344" s="87"/>
      <c r="D344" s="196"/>
      <c r="E344" s="108"/>
      <c r="F344" s="196"/>
      <c r="G344" s="87"/>
      <c r="H344" s="197"/>
      <c r="I344" s="89"/>
      <c r="J344" s="204"/>
      <c r="K344" s="87"/>
      <c r="L344" s="87" t="str" cm="1">
        <f t="array" ref="L344">IF($A344="","",_xlfn.LET(_xlpm.stat,CHOOSE({1,2,3,4,5},$P344,$T344,$X344,$AB344,$AF344),_xlpm.rate,CHOOSE({1,2,3,4,5},$R344,$V344,$Z344,$AD344,$AH344),_xlpm.trn,CHOOSE({1,2,3,4,5},$S344,$W344,$AA344,$AE344,$AI344),_xlpm.nsC,SUMPRODUCT(--(_xlpm.stat="Ready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DLR",IF(AND(_xlpm.actRS&gt;0,_xlpm.actDone&lt;_xlpm.actRS),"Training",IF(_xlpm.actRS&gt;0,"Active",IF(AND(_xlpm.decC&gt;0,_xlpm.inPlay+_xlpm.actC=0),"Dead",IF(AND($AJ344&lt;&gt;"",$AK344=FALSE),"Waiting on Dealer",IF(_xlpm.subC&gt;0,"Waiting on Lender",IF(AND(_xlpm.appC+_xlpm.actC&gt;0,_xlpm.nsC+_xlpm.wdC=0),"Rate Sheet","Application Submitted")))))))))</f>
        <v/>
      </c>
      <c r="M344" s="87"/>
      <c r="N344" s="87"/>
      <c r="O344" s="197"/>
      <c r="P344" s="87" t="str">
        <f>IF($A344="","",IF($AK344=TRUE,"Ready 2 Submit","Waiting on Dealer"))</f>
        <v/>
      </c>
      <c r="Q344" s="148"/>
      <c r="R344" s="87"/>
      <c r="S344" s="87"/>
      <c r="T344" s="87" t="str">
        <f>IF($A344="","",IF($AK344=TRUE,"Ready 2 Submit","Waiting on Dealer"))</f>
        <v/>
      </c>
      <c r="U344" s="148"/>
      <c r="V344" s="87"/>
      <c r="W344" s="87"/>
      <c r="X344" s="87" t="str">
        <f>IF($A344="","",IF($AK344=TRUE,"Ready 2 Submit","Waiting on Dealer"))</f>
        <v/>
      </c>
      <c r="Y344" s="148"/>
      <c r="Z344" s="87"/>
      <c r="AA344" s="87"/>
      <c r="AB344" s="87" t="str">
        <f>IF($A344="","",IF($AK344=TRUE,"Ready 2 Submit","Waiting on Dealer"))</f>
        <v/>
      </c>
      <c r="AC344" s="148"/>
      <c r="AD344" s="87"/>
      <c r="AE344" s="87"/>
      <c r="AF344" s="87" t="str">
        <f>IF($A344="","",IF($AK344=TRUE,"Ready 2 Submit","Waiting on Dealer"))</f>
        <v/>
      </c>
      <c r="AG344" s="148"/>
      <c r="AH344" s="87"/>
      <c r="AI344" s="87"/>
      <c r="AJ344" s="197"/>
      <c r="AK344" s="110" t="b">
        <v>0</v>
      </c>
      <c r="AL344" s="87" t="str" cm="1">
        <f t="array" ref="AL344">IF($A344="","",SUMPRODUCT((CHOOSE({1,2,3,4,5},$R344,$V344,$Z344,$AD344,$AH344)="Yes")*(((CHOOSE({1,2,3,4,5},$S344,$W344,$AA344,$AE344,$AI344)="Yes")+(CHOOSE({1,2,3,4,5},$S344,$W344,$AA344,$AE344,$AI344)=TRUE))&gt;0)))</f>
        <v/>
      </c>
      <c r="AM344" s="87"/>
      <c r="AN344" s="87" t="str">
        <f ca="1">IF(OR($A344="",$AM344=""),"",TODAY()-$AM344)</f>
        <v/>
      </c>
      <c r="AO344" s="87"/>
      <c r="AP344" s="106"/>
      <c r="AQ344" s="106"/>
      <c r="AR344" s="106"/>
      <c r="AS344" s="106"/>
      <c r="AT344" s="106"/>
      <c r="AU344" s="106"/>
      <c r="AV344" s="106"/>
      <c r="AW344" s="106"/>
      <c r="AX344" s="106"/>
      <c r="AY344" s="106"/>
    </row>
    <row r="345" spans="1:51" s="20" customFormat="1" ht="21" customHeight="1">
      <c r="A345" s="197"/>
      <c r="B345" s="87"/>
      <c r="C345" s="87"/>
      <c r="D345" s="196"/>
      <c r="E345" s="108"/>
      <c r="F345" s="196"/>
      <c r="G345" s="87"/>
      <c r="H345" s="197"/>
      <c r="I345" s="89"/>
      <c r="J345" s="204"/>
      <c r="K345" s="87"/>
      <c r="L345" s="87" t="str" cm="1">
        <f t="array" ref="L345">IF($A345="","",_xlfn.LET(_xlpm.stat,CHOOSE({1,2,3,4,5},$P345,$T345,$X345,$AB345,$AF345),_xlpm.rate,CHOOSE({1,2,3,4,5},$R345,$V345,$Z345,$AD345,$AH345),_xlpm.trn,CHOOSE({1,2,3,4,5},$S345,$W345,$AA345,$AE345,$AI345),_xlpm.nsC,SUMPRODUCT(--(_xlpm.stat="Ready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DLR",IF(AND(_xlpm.actRS&gt;0,_xlpm.actDone&lt;_xlpm.actRS),"Training",IF(_xlpm.actRS&gt;0,"Active",IF(AND(_xlpm.decC&gt;0,_xlpm.inPlay+_xlpm.actC=0),"Dead",IF(AND($AJ345&lt;&gt;"",$AK345=FALSE),"Waiting on Dealer",IF(_xlpm.subC&gt;0,"Waiting on Lender",IF(AND(_xlpm.appC+_xlpm.actC&gt;0,_xlpm.nsC+_xlpm.wdC=0),"Rate Sheet","Application Submitted")))))))))</f>
        <v/>
      </c>
      <c r="M345" s="87"/>
      <c r="N345" s="87"/>
      <c r="O345" s="197"/>
      <c r="P345" s="87" t="str">
        <f>IF($A345="","",IF($AK345=TRUE,"Ready 2 Submit","Waiting on Dealer"))</f>
        <v/>
      </c>
      <c r="Q345" s="148"/>
      <c r="R345" s="87"/>
      <c r="S345" s="87"/>
      <c r="T345" s="87" t="str">
        <f>IF($A345="","",IF($AK345=TRUE,"Ready 2 Submit","Waiting on Dealer"))</f>
        <v/>
      </c>
      <c r="U345" s="148"/>
      <c r="V345" s="87"/>
      <c r="W345" s="87"/>
      <c r="X345" s="87" t="str">
        <f>IF($A345="","",IF($AK345=TRUE,"Ready 2 Submit","Waiting on Dealer"))</f>
        <v/>
      </c>
      <c r="Y345" s="148"/>
      <c r="Z345" s="87"/>
      <c r="AA345" s="87"/>
      <c r="AB345" s="87" t="str">
        <f>IF($A345="","",IF($AK345=TRUE,"Ready 2 Submit","Waiting on Dealer"))</f>
        <v/>
      </c>
      <c r="AC345" s="148"/>
      <c r="AD345" s="87"/>
      <c r="AE345" s="87"/>
      <c r="AF345" s="87" t="str">
        <f>IF($A345="","",IF($AK345=TRUE,"Ready 2 Submit","Waiting on Dealer"))</f>
        <v/>
      </c>
      <c r="AG345" s="148"/>
      <c r="AH345" s="87"/>
      <c r="AI345" s="87"/>
      <c r="AJ345" s="197"/>
      <c r="AK345" s="110" t="b">
        <v>0</v>
      </c>
      <c r="AL345" s="87" t="str" cm="1">
        <f t="array" ref="AL345">IF($A345="","",SUMPRODUCT((CHOOSE({1,2,3,4,5},$R345,$V345,$Z345,$AD345,$AH345)="Yes")*(((CHOOSE({1,2,3,4,5},$S345,$W345,$AA345,$AE345,$AI345)="Yes")+(CHOOSE({1,2,3,4,5},$S345,$W345,$AA345,$AE345,$AI345)=TRUE))&gt;0)))</f>
        <v/>
      </c>
      <c r="AM345" s="87"/>
      <c r="AN345" s="87" t="str">
        <f ca="1">IF(OR($A345="",$AM345=""),"",TODAY()-$AM345)</f>
        <v/>
      </c>
      <c r="AO345" s="87"/>
      <c r="AP345" s="106"/>
      <c r="AQ345" s="106"/>
      <c r="AR345" s="106"/>
      <c r="AS345" s="106"/>
      <c r="AT345" s="106"/>
      <c r="AU345" s="106"/>
      <c r="AV345" s="106"/>
      <c r="AW345" s="106"/>
      <c r="AX345" s="106"/>
      <c r="AY345" s="106"/>
    </row>
    <row r="346" spans="1:51" s="20" customFormat="1" ht="21" customHeight="1">
      <c r="A346" s="197"/>
      <c r="B346" s="87"/>
      <c r="C346" s="87"/>
      <c r="D346" s="196"/>
      <c r="E346" s="108"/>
      <c r="F346" s="196"/>
      <c r="G346" s="87"/>
      <c r="H346" s="197"/>
      <c r="I346" s="89"/>
      <c r="J346" s="204"/>
      <c r="K346" s="87"/>
      <c r="L346" s="87" t="str" cm="1">
        <f t="array" ref="L346">IF($A346="","",_xlfn.LET(_xlpm.stat,CHOOSE({1,2,3,4,5},$P346,$T346,$X346,$AB346,$AF346),_xlpm.rate,CHOOSE({1,2,3,4,5},$R346,$V346,$Z346,$AD346,$AH346),_xlpm.trn,CHOOSE({1,2,3,4,5},$S346,$W346,$AA346,$AE346,$AI346),_xlpm.nsC,SUMPRODUCT(--(_xlpm.stat="Ready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DLR",IF(AND(_xlpm.actRS&gt;0,_xlpm.actDone&lt;_xlpm.actRS),"Training",IF(_xlpm.actRS&gt;0,"Active",IF(AND(_xlpm.decC&gt;0,_xlpm.inPlay+_xlpm.actC=0),"Dead",IF(AND($AJ346&lt;&gt;"",$AK346=FALSE),"Waiting on Dealer",IF(_xlpm.subC&gt;0,"Waiting on Lender",IF(AND(_xlpm.appC+_xlpm.actC&gt;0,_xlpm.nsC+_xlpm.wdC=0),"Rate Sheet","Application Submitted")))))))))</f>
        <v/>
      </c>
      <c r="M346" s="87"/>
      <c r="N346" s="87"/>
      <c r="O346" s="197"/>
      <c r="P346" s="87" t="str">
        <f>IF($A346="","",IF($AK346=TRUE,"Ready 2 Submit","Waiting on Dealer"))</f>
        <v/>
      </c>
      <c r="Q346" s="148"/>
      <c r="R346" s="87"/>
      <c r="S346" s="87"/>
      <c r="T346" s="87" t="str">
        <f>IF($A346="","",IF($AK346=TRUE,"Ready 2 Submit","Waiting on Dealer"))</f>
        <v/>
      </c>
      <c r="U346" s="148"/>
      <c r="V346" s="87"/>
      <c r="W346" s="87"/>
      <c r="X346" s="87" t="str">
        <f>IF($A346="","",IF($AK346=TRUE,"Ready 2 Submit","Waiting on Dealer"))</f>
        <v/>
      </c>
      <c r="Y346" s="148"/>
      <c r="Z346" s="87"/>
      <c r="AA346" s="87"/>
      <c r="AB346" s="87" t="str">
        <f>IF($A346="","",IF($AK346=TRUE,"Ready 2 Submit","Waiting on Dealer"))</f>
        <v/>
      </c>
      <c r="AC346" s="148"/>
      <c r="AD346" s="87"/>
      <c r="AE346" s="87"/>
      <c r="AF346" s="87" t="str">
        <f>IF($A346="","",IF($AK346=TRUE,"Ready 2 Submit","Waiting on Dealer"))</f>
        <v/>
      </c>
      <c r="AG346" s="148"/>
      <c r="AH346" s="87"/>
      <c r="AI346" s="87"/>
      <c r="AJ346" s="197"/>
      <c r="AK346" s="110" t="b">
        <v>0</v>
      </c>
      <c r="AL346" s="87" t="str" cm="1">
        <f t="array" ref="AL346">IF($A346="","",SUMPRODUCT((CHOOSE({1,2,3,4,5},$R346,$V346,$Z346,$AD346,$AH346)="Yes")*(((CHOOSE({1,2,3,4,5},$S346,$W346,$AA346,$AE346,$AI346)="Yes")+(CHOOSE({1,2,3,4,5},$S346,$W346,$AA346,$AE346,$AI346)=TRUE))&gt;0)))</f>
        <v/>
      </c>
      <c r="AM346" s="87"/>
      <c r="AN346" s="87" t="str">
        <f ca="1">IF(OR($A346="",$AM346=""),"",TODAY()-$AM346)</f>
        <v/>
      </c>
      <c r="AO346" s="87"/>
      <c r="AP346" s="106"/>
      <c r="AQ346" s="106"/>
      <c r="AR346" s="106"/>
      <c r="AS346" s="106"/>
      <c r="AT346" s="106"/>
      <c r="AU346" s="106"/>
      <c r="AV346" s="106"/>
      <c r="AW346" s="106"/>
      <c r="AX346" s="106"/>
      <c r="AY346" s="106"/>
    </row>
    <row r="347" spans="1:51" s="20" customFormat="1" ht="21" customHeight="1">
      <c r="A347" s="197"/>
      <c r="B347" s="87"/>
      <c r="C347" s="87"/>
      <c r="D347" s="196"/>
      <c r="E347" s="108"/>
      <c r="F347" s="196"/>
      <c r="G347" s="87"/>
      <c r="H347" s="197"/>
      <c r="I347" s="89"/>
      <c r="J347" s="204"/>
      <c r="K347" s="87"/>
      <c r="L347" s="87" t="str" cm="1">
        <f t="array" ref="L347">IF($A347="","",_xlfn.LET(_xlpm.stat,CHOOSE({1,2,3,4,5},$P347,$T347,$X347,$AB347,$AF347),_xlpm.rate,CHOOSE({1,2,3,4,5},$R347,$V347,$Z347,$AD347,$AH347),_xlpm.trn,CHOOSE({1,2,3,4,5},$S347,$W347,$AA347,$AE347,$AI347),_xlpm.nsC,SUMPRODUCT(--(_xlpm.stat="Ready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DLR",IF(AND(_xlpm.actRS&gt;0,_xlpm.actDone&lt;_xlpm.actRS),"Training",IF(_xlpm.actRS&gt;0,"Active",IF(AND(_xlpm.decC&gt;0,_xlpm.inPlay+_xlpm.actC=0),"Dead",IF(AND($AJ347&lt;&gt;"",$AK347=FALSE),"Waiting on Dealer",IF(_xlpm.subC&gt;0,"Waiting on Lender",IF(AND(_xlpm.appC+_xlpm.actC&gt;0,_xlpm.nsC+_xlpm.wdC=0),"Rate Sheet","Application Submitted")))))))))</f>
        <v/>
      </c>
      <c r="M347" s="87"/>
      <c r="N347" s="87"/>
      <c r="O347" s="197"/>
      <c r="P347" s="87" t="str">
        <f>IF($A347="","",IF($AK347=TRUE,"Ready 2 Submit","Waiting on Dealer"))</f>
        <v/>
      </c>
      <c r="Q347" s="148"/>
      <c r="R347" s="87"/>
      <c r="S347" s="87"/>
      <c r="T347" s="87" t="str">
        <f>IF($A347="","",IF($AK347=TRUE,"Ready 2 Submit","Waiting on Dealer"))</f>
        <v/>
      </c>
      <c r="U347" s="148"/>
      <c r="V347" s="87"/>
      <c r="W347" s="87"/>
      <c r="X347" s="87" t="str">
        <f>IF($A347="","",IF($AK347=TRUE,"Ready 2 Submit","Waiting on Dealer"))</f>
        <v/>
      </c>
      <c r="Y347" s="148"/>
      <c r="Z347" s="87"/>
      <c r="AA347" s="87"/>
      <c r="AB347" s="87" t="str">
        <f>IF($A347="","",IF($AK347=TRUE,"Ready 2 Submit","Waiting on Dealer"))</f>
        <v/>
      </c>
      <c r="AC347" s="148"/>
      <c r="AD347" s="87"/>
      <c r="AE347" s="87"/>
      <c r="AF347" s="87" t="str">
        <f>IF($A347="","",IF($AK347=TRUE,"Ready 2 Submit","Waiting on Dealer"))</f>
        <v/>
      </c>
      <c r="AG347" s="148"/>
      <c r="AH347" s="87"/>
      <c r="AI347" s="87"/>
      <c r="AJ347" s="197"/>
      <c r="AK347" s="110" t="b">
        <v>0</v>
      </c>
      <c r="AL347" s="87" t="str" cm="1">
        <f t="array" ref="AL347">IF($A347="","",SUMPRODUCT((CHOOSE({1,2,3,4,5},$R347,$V347,$Z347,$AD347,$AH347)="Yes")*(((CHOOSE({1,2,3,4,5},$S347,$W347,$AA347,$AE347,$AI347)="Yes")+(CHOOSE({1,2,3,4,5},$S347,$W347,$AA347,$AE347,$AI347)=TRUE))&gt;0)))</f>
        <v/>
      </c>
      <c r="AM347" s="87"/>
      <c r="AN347" s="87" t="str">
        <f ca="1">IF(OR($A347="",$AM347=""),"",TODAY()-$AM347)</f>
        <v/>
      </c>
      <c r="AO347" s="87"/>
      <c r="AP347" s="106"/>
      <c r="AQ347" s="106"/>
      <c r="AR347" s="106"/>
      <c r="AS347" s="106"/>
      <c r="AT347" s="106"/>
      <c r="AU347" s="106"/>
      <c r="AV347" s="106"/>
      <c r="AW347" s="106"/>
      <c r="AX347" s="106"/>
      <c r="AY347" s="106"/>
    </row>
    <row r="348" spans="1:51" s="20" customFormat="1" ht="21" customHeight="1">
      <c r="A348" s="197"/>
      <c r="B348" s="87"/>
      <c r="C348" s="87"/>
      <c r="D348" s="196"/>
      <c r="E348" s="108"/>
      <c r="F348" s="196"/>
      <c r="G348" s="87"/>
      <c r="H348" s="197"/>
      <c r="I348" s="89"/>
      <c r="J348" s="204"/>
      <c r="K348" s="87"/>
      <c r="L348" s="87" t="str" cm="1">
        <f t="array" ref="L348">IF($A348="","",_xlfn.LET(_xlpm.stat,CHOOSE({1,2,3,4,5},$P348,$T348,$X348,$AB348,$AF348),_xlpm.rate,CHOOSE({1,2,3,4,5},$R348,$V348,$Z348,$AD348,$AH348),_xlpm.trn,CHOOSE({1,2,3,4,5},$S348,$W348,$AA348,$AE348,$AI348),_xlpm.nsC,SUMPRODUCT(--(_xlpm.stat="Ready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DLR",IF(AND(_xlpm.actRS&gt;0,_xlpm.actDone&lt;_xlpm.actRS),"Training",IF(_xlpm.actRS&gt;0,"Active",IF(AND(_xlpm.decC&gt;0,_xlpm.inPlay+_xlpm.actC=0),"Dead",IF(AND($AJ348&lt;&gt;"",$AK348=FALSE),"Waiting on Dealer",IF(_xlpm.subC&gt;0,"Waiting on Lender",IF(AND(_xlpm.appC+_xlpm.actC&gt;0,_xlpm.nsC+_xlpm.wdC=0),"Rate Sheet","Application Submitted")))))))))</f>
        <v/>
      </c>
      <c r="M348" s="87"/>
      <c r="N348" s="87"/>
      <c r="O348" s="197"/>
      <c r="P348" s="87" t="str">
        <f>IF($A348="","",IF($AK348=TRUE,"Ready 2 Submit","Waiting on Dealer"))</f>
        <v/>
      </c>
      <c r="Q348" s="148"/>
      <c r="R348" s="87"/>
      <c r="S348" s="87"/>
      <c r="T348" s="87" t="str">
        <f>IF($A348="","",IF($AK348=TRUE,"Ready 2 Submit","Waiting on Dealer"))</f>
        <v/>
      </c>
      <c r="U348" s="148"/>
      <c r="V348" s="87"/>
      <c r="W348" s="87"/>
      <c r="X348" s="87" t="str">
        <f>IF($A348="","",IF($AK348=TRUE,"Ready 2 Submit","Waiting on Dealer"))</f>
        <v/>
      </c>
      <c r="Y348" s="148"/>
      <c r="Z348" s="87"/>
      <c r="AA348" s="87"/>
      <c r="AB348" s="87" t="str">
        <f>IF($A348="","",IF($AK348=TRUE,"Ready 2 Submit","Waiting on Dealer"))</f>
        <v/>
      </c>
      <c r="AC348" s="148"/>
      <c r="AD348" s="87"/>
      <c r="AE348" s="87"/>
      <c r="AF348" s="87" t="str">
        <f>IF($A348="","",IF($AK348=TRUE,"Ready 2 Submit","Waiting on Dealer"))</f>
        <v/>
      </c>
      <c r="AG348" s="148"/>
      <c r="AH348" s="87"/>
      <c r="AI348" s="87"/>
      <c r="AJ348" s="197"/>
      <c r="AK348" s="110" t="b">
        <v>0</v>
      </c>
      <c r="AL348" s="87" t="str" cm="1">
        <f t="array" ref="AL348">IF($A348="","",SUMPRODUCT((CHOOSE({1,2,3,4,5},$R348,$V348,$Z348,$AD348,$AH348)="Yes")*(((CHOOSE({1,2,3,4,5},$S348,$W348,$AA348,$AE348,$AI348)="Yes")+(CHOOSE({1,2,3,4,5},$S348,$W348,$AA348,$AE348,$AI348)=TRUE))&gt;0)))</f>
        <v/>
      </c>
      <c r="AM348" s="87"/>
      <c r="AN348" s="87" t="str">
        <f ca="1">IF(OR($A348="",$AM348=""),"",TODAY()-$AM348)</f>
        <v/>
      </c>
      <c r="AO348" s="87"/>
      <c r="AP348" s="106"/>
      <c r="AQ348" s="106"/>
      <c r="AR348" s="106"/>
      <c r="AS348" s="106"/>
      <c r="AT348" s="106"/>
      <c r="AU348" s="106"/>
      <c r="AV348" s="106"/>
      <c r="AW348" s="106"/>
      <c r="AX348" s="106"/>
      <c r="AY348" s="106"/>
    </row>
    <row r="349" spans="1:51" s="20" customFormat="1" ht="21" customHeight="1">
      <c r="A349" s="197"/>
      <c r="B349" s="87"/>
      <c r="C349" s="87"/>
      <c r="D349" s="196"/>
      <c r="E349" s="108"/>
      <c r="F349" s="196"/>
      <c r="G349" s="87"/>
      <c r="H349" s="197"/>
      <c r="I349" s="89"/>
      <c r="J349" s="204"/>
      <c r="K349" s="87"/>
      <c r="L349" s="87" t="str" cm="1">
        <f t="array" ref="L349">IF($A349="","",_xlfn.LET(_xlpm.stat,CHOOSE({1,2,3,4,5},$P349,$T349,$X349,$AB349,$AF349),_xlpm.rate,CHOOSE({1,2,3,4,5},$R349,$V349,$Z349,$AD349,$AH349),_xlpm.trn,CHOOSE({1,2,3,4,5},$S349,$W349,$AA349,$AE349,$AI349),_xlpm.nsC,SUMPRODUCT(--(_xlpm.stat="Ready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DLR",IF(AND(_xlpm.actRS&gt;0,_xlpm.actDone&lt;_xlpm.actRS),"Training",IF(_xlpm.actRS&gt;0,"Active",IF(AND(_xlpm.decC&gt;0,_xlpm.inPlay+_xlpm.actC=0),"Dead",IF(AND($AJ349&lt;&gt;"",$AK349=FALSE),"Waiting on Dealer",IF(_xlpm.subC&gt;0,"Waiting on Lender",IF(AND(_xlpm.appC+_xlpm.actC&gt;0,_xlpm.nsC+_xlpm.wdC=0),"Rate Sheet","Application Submitted")))))))))</f>
        <v/>
      </c>
      <c r="M349" s="87"/>
      <c r="N349" s="87"/>
      <c r="O349" s="197"/>
      <c r="P349" s="87" t="str">
        <f>IF($A349="","",IF($AK349=TRUE,"Ready 2 Submit","Waiting on Dealer"))</f>
        <v/>
      </c>
      <c r="Q349" s="148"/>
      <c r="R349" s="87"/>
      <c r="S349" s="87"/>
      <c r="T349" s="87" t="str">
        <f>IF($A349="","",IF($AK349=TRUE,"Ready 2 Submit","Waiting on Dealer"))</f>
        <v/>
      </c>
      <c r="U349" s="148"/>
      <c r="V349" s="87"/>
      <c r="W349" s="87"/>
      <c r="X349" s="87" t="str">
        <f>IF($A349="","",IF($AK349=TRUE,"Ready 2 Submit","Waiting on Dealer"))</f>
        <v/>
      </c>
      <c r="Y349" s="148"/>
      <c r="Z349" s="87"/>
      <c r="AA349" s="87"/>
      <c r="AB349" s="87" t="str">
        <f>IF($A349="","",IF($AK349=TRUE,"Ready 2 Submit","Waiting on Dealer"))</f>
        <v/>
      </c>
      <c r="AC349" s="148"/>
      <c r="AD349" s="87"/>
      <c r="AE349" s="87"/>
      <c r="AF349" s="87" t="str">
        <f>IF($A349="","",IF($AK349=TRUE,"Ready 2 Submit","Waiting on Dealer"))</f>
        <v/>
      </c>
      <c r="AG349" s="148"/>
      <c r="AH349" s="87"/>
      <c r="AI349" s="87"/>
      <c r="AJ349" s="197"/>
      <c r="AK349" s="110" t="b">
        <v>0</v>
      </c>
      <c r="AL349" s="87" t="str" cm="1">
        <f t="array" ref="AL349">IF($A349="","",SUMPRODUCT((CHOOSE({1,2,3,4,5},$R349,$V349,$Z349,$AD349,$AH349)="Yes")*(((CHOOSE({1,2,3,4,5},$S349,$W349,$AA349,$AE349,$AI349)="Yes")+(CHOOSE({1,2,3,4,5},$S349,$W349,$AA349,$AE349,$AI349)=TRUE))&gt;0)))</f>
        <v/>
      </c>
      <c r="AM349" s="87"/>
      <c r="AN349" s="87" t="str">
        <f ca="1">IF(OR($A349="",$AM349=""),"",TODAY()-$AM349)</f>
        <v/>
      </c>
      <c r="AO349" s="87"/>
      <c r="AP349" s="106"/>
      <c r="AQ349" s="106"/>
      <c r="AR349" s="106"/>
      <c r="AS349" s="106"/>
      <c r="AT349" s="106"/>
      <c r="AU349" s="106"/>
      <c r="AV349" s="106"/>
      <c r="AW349" s="106"/>
      <c r="AX349" s="106"/>
      <c r="AY349" s="106"/>
    </row>
    <row r="350" spans="1:51" s="20" customFormat="1" ht="21" customHeight="1">
      <c r="A350" s="197"/>
      <c r="B350" s="87"/>
      <c r="C350" s="87"/>
      <c r="D350" s="196"/>
      <c r="E350" s="108"/>
      <c r="F350" s="196"/>
      <c r="G350" s="87"/>
      <c r="H350" s="197"/>
      <c r="I350" s="89"/>
      <c r="J350" s="204"/>
      <c r="K350" s="87"/>
      <c r="L350" s="87" t="str" cm="1">
        <f t="array" ref="L350">IF($A350="","",_xlfn.LET(_xlpm.stat,CHOOSE({1,2,3,4,5},$P350,$T350,$X350,$AB350,$AF350),_xlpm.rate,CHOOSE({1,2,3,4,5},$R350,$V350,$Z350,$AD350,$AH350),_xlpm.trn,CHOOSE({1,2,3,4,5},$S350,$W350,$AA350,$AE350,$AI350),_xlpm.nsC,SUMPRODUCT(--(_xlpm.stat="Ready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DLR",IF(AND(_xlpm.actRS&gt;0,_xlpm.actDone&lt;_xlpm.actRS),"Training",IF(_xlpm.actRS&gt;0,"Active",IF(AND(_xlpm.decC&gt;0,_xlpm.inPlay+_xlpm.actC=0),"Dead",IF(AND($AJ350&lt;&gt;"",$AK350=FALSE),"Waiting on Dealer",IF(_xlpm.subC&gt;0,"Waiting on Lender",IF(AND(_xlpm.appC+_xlpm.actC&gt;0,_xlpm.nsC+_xlpm.wdC=0),"Rate Sheet","Application Submitted")))))))))</f>
        <v/>
      </c>
      <c r="M350" s="87"/>
      <c r="N350" s="87"/>
      <c r="O350" s="197"/>
      <c r="P350" s="87" t="str">
        <f>IF($A350="","",IF($AK350=TRUE,"Ready 2 Submit","Waiting on Dealer"))</f>
        <v/>
      </c>
      <c r="Q350" s="148"/>
      <c r="R350" s="87"/>
      <c r="S350" s="87"/>
      <c r="T350" s="87" t="str">
        <f>IF($A350="","",IF($AK350=TRUE,"Ready 2 Submit","Waiting on Dealer"))</f>
        <v/>
      </c>
      <c r="U350" s="148"/>
      <c r="V350" s="87"/>
      <c r="W350" s="87"/>
      <c r="X350" s="87" t="str">
        <f>IF($A350="","",IF($AK350=TRUE,"Ready 2 Submit","Waiting on Dealer"))</f>
        <v/>
      </c>
      <c r="Y350" s="148"/>
      <c r="Z350" s="87"/>
      <c r="AA350" s="87"/>
      <c r="AB350" s="87" t="str">
        <f>IF($A350="","",IF($AK350=TRUE,"Ready 2 Submit","Waiting on Dealer"))</f>
        <v/>
      </c>
      <c r="AC350" s="148"/>
      <c r="AD350" s="87"/>
      <c r="AE350" s="87"/>
      <c r="AF350" s="87" t="str">
        <f>IF($A350="","",IF($AK350=TRUE,"Ready 2 Submit","Waiting on Dealer"))</f>
        <v/>
      </c>
      <c r="AG350" s="148"/>
      <c r="AH350" s="87"/>
      <c r="AI350" s="87"/>
      <c r="AJ350" s="197"/>
      <c r="AK350" s="110" t="b">
        <v>0</v>
      </c>
      <c r="AL350" s="87" t="str" cm="1">
        <f t="array" ref="AL350">IF($A350="","",SUMPRODUCT((CHOOSE({1,2,3,4,5},$R350,$V350,$Z350,$AD350,$AH350)="Yes")*(((CHOOSE({1,2,3,4,5},$S350,$W350,$AA350,$AE350,$AI350)="Yes")+(CHOOSE({1,2,3,4,5},$S350,$W350,$AA350,$AE350,$AI350)=TRUE))&gt;0)))</f>
        <v/>
      </c>
      <c r="AM350" s="87"/>
      <c r="AN350" s="87" t="str">
        <f ca="1">IF(OR($A350="",$AM350=""),"",TODAY()-$AM350)</f>
        <v/>
      </c>
      <c r="AO350" s="87"/>
      <c r="AP350" s="106"/>
      <c r="AQ350" s="106"/>
      <c r="AR350" s="106"/>
      <c r="AS350" s="106"/>
      <c r="AT350" s="106"/>
      <c r="AU350" s="106"/>
      <c r="AV350" s="106"/>
      <c r="AW350" s="106"/>
      <c r="AX350" s="106"/>
      <c r="AY350" s="106"/>
    </row>
    <row r="351" spans="1:51" s="20" customFormat="1" ht="21" customHeight="1">
      <c r="A351" s="197"/>
      <c r="B351" s="87"/>
      <c r="C351" s="87"/>
      <c r="D351" s="196"/>
      <c r="E351" s="108"/>
      <c r="F351" s="196"/>
      <c r="G351" s="87"/>
      <c r="H351" s="197"/>
      <c r="I351" s="89"/>
      <c r="J351" s="204"/>
      <c r="K351" s="87"/>
      <c r="L351" s="87" t="str" cm="1">
        <f t="array" ref="L351">IF($A351="","",_xlfn.LET(_xlpm.stat,CHOOSE({1,2,3,4,5},$P351,$T351,$X351,$AB351,$AF351),_xlpm.rate,CHOOSE({1,2,3,4,5},$R351,$V351,$Z351,$AD351,$AH351),_xlpm.trn,CHOOSE({1,2,3,4,5},$S351,$W351,$AA351,$AE351,$AI351),_xlpm.nsC,SUMPRODUCT(--(_xlpm.stat="Ready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DLR",IF(AND(_xlpm.actRS&gt;0,_xlpm.actDone&lt;_xlpm.actRS),"Training",IF(_xlpm.actRS&gt;0,"Active",IF(AND(_xlpm.decC&gt;0,_xlpm.inPlay+_xlpm.actC=0),"Dead",IF(AND($AJ351&lt;&gt;"",$AK351=FALSE),"Waiting on Dealer",IF(_xlpm.subC&gt;0,"Waiting on Lender",IF(AND(_xlpm.appC+_xlpm.actC&gt;0,_xlpm.nsC+_xlpm.wdC=0),"Rate Sheet","Application Submitted")))))))))</f>
        <v/>
      </c>
      <c r="M351" s="87"/>
      <c r="N351" s="87"/>
      <c r="O351" s="197"/>
      <c r="P351" s="87" t="str">
        <f>IF($A351="","",IF($AK351=TRUE,"Ready 2 Submit","Waiting on Dealer"))</f>
        <v/>
      </c>
      <c r="Q351" s="148"/>
      <c r="R351" s="87"/>
      <c r="S351" s="87"/>
      <c r="T351" s="87" t="str">
        <f>IF($A351="","",IF($AK351=TRUE,"Ready 2 Submit","Waiting on Dealer"))</f>
        <v/>
      </c>
      <c r="U351" s="148"/>
      <c r="V351" s="87"/>
      <c r="W351" s="87"/>
      <c r="X351" s="87" t="str">
        <f>IF($A351="","",IF($AK351=TRUE,"Ready 2 Submit","Waiting on Dealer"))</f>
        <v/>
      </c>
      <c r="Y351" s="148"/>
      <c r="Z351" s="87"/>
      <c r="AA351" s="87"/>
      <c r="AB351" s="87" t="str">
        <f>IF($A351="","",IF($AK351=TRUE,"Ready 2 Submit","Waiting on Dealer"))</f>
        <v/>
      </c>
      <c r="AC351" s="148"/>
      <c r="AD351" s="87"/>
      <c r="AE351" s="87"/>
      <c r="AF351" s="87" t="str">
        <f>IF($A351="","",IF($AK351=TRUE,"Ready 2 Submit","Waiting on Dealer"))</f>
        <v/>
      </c>
      <c r="AG351" s="148"/>
      <c r="AH351" s="87"/>
      <c r="AI351" s="87"/>
      <c r="AJ351" s="197"/>
      <c r="AK351" s="110" t="b">
        <v>0</v>
      </c>
      <c r="AL351" s="87" t="str" cm="1">
        <f t="array" ref="AL351">IF($A351="","",SUMPRODUCT((CHOOSE({1,2,3,4,5},$R351,$V351,$Z351,$AD351,$AH351)="Yes")*(((CHOOSE({1,2,3,4,5},$S351,$W351,$AA351,$AE351,$AI351)="Yes")+(CHOOSE({1,2,3,4,5},$S351,$W351,$AA351,$AE351,$AI351)=TRUE))&gt;0)))</f>
        <v/>
      </c>
      <c r="AM351" s="87"/>
      <c r="AN351" s="87" t="str">
        <f ca="1">IF(OR($A351="",$AM351=""),"",TODAY()-$AM351)</f>
        <v/>
      </c>
      <c r="AO351" s="87"/>
      <c r="AP351" s="106"/>
      <c r="AQ351" s="106"/>
      <c r="AR351" s="106"/>
      <c r="AS351" s="106"/>
      <c r="AT351" s="106"/>
      <c r="AU351" s="106"/>
      <c r="AV351" s="106"/>
      <c r="AW351" s="106"/>
      <c r="AX351" s="106"/>
      <c r="AY351" s="106"/>
    </row>
    <row r="352" spans="1:51" s="20" customFormat="1" ht="21" customHeight="1">
      <c r="A352" s="197"/>
      <c r="B352" s="87"/>
      <c r="C352" s="87"/>
      <c r="D352" s="196"/>
      <c r="E352" s="108"/>
      <c r="F352" s="196"/>
      <c r="G352" s="87"/>
      <c r="H352" s="197"/>
      <c r="I352" s="89"/>
      <c r="J352" s="204"/>
      <c r="K352" s="87"/>
      <c r="L352" s="87" t="str" cm="1">
        <f t="array" ref="L352">IF($A352="","",_xlfn.LET(_xlpm.stat,CHOOSE({1,2,3,4,5},$P352,$T352,$X352,$AB352,$AF352),_xlpm.rate,CHOOSE({1,2,3,4,5},$R352,$V352,$Z352,$AD352,$AH352),_xlpm.trn,CHOOSE({1,2,3,4,5},$S352,$W352,$AA352,$AE352,$AI352),_xlpm.nsC,SUMPRODUCT(--(_xlpm.stat="Ready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DLR",IF(AND(_xlpm.actRS&gt;0,_xlpm.actDone&lt;_xlpm.actRS),"Training",IF(_xlpm.actRS&gt;0,"Active",IF(AND(_xlpm.decC&gt;0,_xlpm.inPlay+_xlpm.actC=0),"Dead",IF(AND($AJ352&lt;&gt;"",$AK352=FALSE),"Waiting on Dealer",IF(_xlpm.subC&gt;0,"Waiting on Lender",IF(AND(_xlpm.appC+_xlpm.actC&gt;0,_xlpm.nsC+_xlpm.wdC=0),"Rate Sheet","Application Submitted")))))))))</f>
        <v/>
      </c>
      <c r="M352" s="87"/>
      <c r="N352" s="87"/>
      <c r="O352" s="197"/>
      <c r="P352" s="87" t="str">
        <f>IF($A352="","",IF($AK352=TRUE,"Ready 2 Submit","Waiting on Dealer"))</f>
        <v/>
      </c>
      <c r="Q352" s="148"/>
      <c r="R352" s="87"/>
      <c r="S352" s="87"/>
      <c r="T352" s="87" t="str">
        <f>IF($A352="","",IF($AK352=TRUE,"Ready 2 Submit","Waiting on Dealer"))</f>
        <v/>
      </c>
      <c r="U352" s="148"/>
      <c r="V352" s="87"/>
      <c r="W352" s="87"/>
      <c r="X352" s="87" t="str">
        <f>IF($A352="","",IF($AK352=TRUE,"Ready 2 Submit","Waiting on Dealer"))</f>
        <v/>
      </c>
      <c r="Y352" s="148"/>
      <c r="Z352" s="87"/>
      <c r="AA352" s="87"/>
      <c r="AB352" s="87" t="str">
        <f>IF($A352="","",IF($AK352=TRUE,"Ready 2 Submit","Waiting on Dealer"))</f>
        <v/>
      </c>
      <c r="AC352" s="148"/>
      <c r="AD352" s="87"/>
      <c r="AE352" s="87"/>
      <c r="AF352" s="87" t="str">
        <f>IF($A352="","",IF($AK352=TRUE,"Ready 2 Submit","Waiting on Dealer"))</f>
        <v/>
      </c>
      <c r="AG352" s="148"/>
      <c r="AH352" s="87"/>
      <c r="AI352" s="87"/>
      <c r="AJ352" s="197"/>
      <c r="AK352" s="110" t="b">
        <v>0</v>
      </c>
      <c r="AL352" s="87" t="str" cm="1">
        <f t="array" ref="AL352">IF($A352="","",SUMPRODUCT((CHOOSE({1,2,3,4,5},$R352,$V352,$Z352,$AD352,$AH352)="Yes")*(((CHOOSE({1,2,3,4,5},$S352,$W352,$AA352,$AE352,$AI352)="Yes")+(CHOOSE({1,2,3,4,5},$S352,$W352,$AA352,$AE352,$AI352)=TRUE))&gt;0)))</f>
        <v/>
      </c>
      <c r="AM352" s="87"/>
      <c r="AN352" s="87" t="str">
        <f ca="1">IF(OR($A352="",$AM352=""),"",TODAY()-$AM352)</f>
        <v/>
      </c>
      <c r="AO352" s="87"/>
      <c r="AP352" s="106"/>
      <c r="AQ352" s="106"/>
      <c r="AR352" s="106"/>
      <c r="AS352" s="106"/>
      <c r="AT352" s="106"/>
      <c r="AU352" s="106"/>
      <c r="AV352" s="106"/>
      <c r="AW352" s="106"/>
      <c r="AX352" s="106"/>
      <c r="AY352" s="106"/>
    </row>
    <row r="353" spans="1:51" s="20" customFormat="1" ht="21" customHeight="1">
      <c r="A353" s="197"/>
      <c r="B353" s="87"/>
      <c r="C353" s="87"/>
      <c r="D353" s="196"/>
      <c r="E353" s="108"/>
      <c r="F353" s="196"/>
      <c r="G353" s="87"/>
      <c r="H353" s="197"/>
      <c r="I353" s="89"/>
      <c r="J353" s="204"/>
      <c r="K353" s="87"/>
      <c r="L353" s="87" t="str" cm="1">
        <f t="array" ref="L353">IF($A353="","",_xlfn.LET(_xlpm.stat,CHOOSE({1,2,3,4,5},$P353,$T353,$X353,$AB353,$AF353),_xlpm.rate,CHOOSE({1,2,3,4,5},$R353,$V353,$Z353,$AD353,$AH353),_xlpm.trn,CHOOSE({1,2,3,4,5},$S353,$W353,$AA353,$AE353,$AI353),_xlpm.nsC,SUMPRODUCT(--(_xlpm.stat="Ready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DLR",IF(AND(_xlpm.actRS&gt;0,_xlpm.actDone&lt;_xlpm.actRS),"Training",IF(_xlpm.actRS&gt;0,"Active",IF(AND(_xlpm.decC&gt;0,_xlpm.inPlay+_xlpm.actC=0),"Dead",IF(AND($AJ353&lt;&gt;"",$AK353=FALSE),"Waiting on Dealer",IF(_xlpm.subC&gt;0,"Waiting on Lender",IF(AND(_xlpm.appC+_xlpm.actC&gt;0,_xlpm.nsC+_xlpm.wdC=0),"Rate Sheet","Application Submitted")))))))))</f>
        <v/>
      </c>
      <c r="M353" s="87"/>
      <c r="N353" s="87"/>
      <c r="O353" s="197"/>
      <c r="P353" s="87" t="str">
        <f>IF($A353="","",IF($AK353=TRUE,"Ready 2 Submit","Waiting on Dealer"))</f>
        <v/>
      </c>
      <c r="Q353" s="148"/>
      <c r="R353" s="87"/>
      <c r="S353" s="87"/>
      <c r="T353" s="87" t="str">
        <f>IF($A353="","",IF($AK353=TRUE,"Ready 2 Submit","Waiting on Dealer"))</f>
        <v/>
      </c>
      <c r="U353" s="148"/>
      <c r="V353" s="87"/>
      <c r="W353" s="87"/>
      <c r="X353" s="87" t="str">
        <f>IF($A353="","",IF($AK353=TRUE,"Ready 2 Submit","Waiting on Dealer"))</f>
        <v/>
      </c>
      <c r="Y353" s="148"/>
      <c r="Z353" s="87"/>
      <c r="AA353" s="87"/>
      <c r="AB353" s="87" t="str">
        <f>IF($A353="","",IF($AK353=TRUE,"Ready 2 Submit","Waiting on Dealer"))</f>
        <v/>
      </c>
      <c r="AC353" s="148"/>
      <c r="AD353" s="87"/>
      <c r="AE353" s="87"/>
      <c r="AF353" s="87" t="str">
        <f>IF($A353="","",IF($AK353=TRUE,"Ready 2 Submit","Waiting on Dealer"))</f>
        <v/>
      </c>
      <c r="AG353" s="148"/>
      <c r="AH353" s="87"/>
      <c r="AI353" s="87"/>
      <c r="AJ353" s="197"/>
      <c r="AK353" s="110" t="b">
        <v>0</v>
      </c>
      <c r="AL353" s="87" t="str" cm="1">
        <f t="array" ref="AL353">IF($A353="","",SUMPRODUCT((CHOOSE({1,2,3,4,5},$R353,$V353,$Z353,$AD353,$AH353)="Yes")*(((CHOOSE({1,2,3,4,5},$S353,$W353,$AA353,$AE353,$AI353)="Yes")+(CHOOSE({1,2,3,4,5},$S353,$W353,$AA353,$AE353,$AI353)=TRUE))&gt;0)))</f>
        <v/>
      </c>
      <c r="AM353" s="87"/>
      <c r="AN353" s="87" t="str">
        <f ca="1">IF(OR($A353="",$AM353=""),"",TODAY()-$AM353)</f>
        <v/>
      </c>
      <c r="AO353" s="87"/>
      <c r="AP353" s="106"/>
      <c r="AQ353" s="106"/>
      <c r="AR353" s="106"/>
      <c r="AS353" s="106"/>
      <c r="AT353" s="106"/>
      <c r="AU353" s="106"/>
      <c r="AV353" s="106"/>
      <c r="AW353" s="106"/>
      <c r="AX353" s="106"/>
      <c r="AY353" s="106"/>
    </row>
    <row r="354" spans="1:51" s="20" customFormat="1" ht="21" customHeight="1">
      <c r="A354" s="197"/>
      <c r="B354" s="87"/>
      <c r="C354" s="87"/>
      <c r="D354" s="196"/>
      <c r="E354" s="108"/>
      <c r="F354" s="196"/>
      <c r="G354" s="87"/>
      <c r="H354" s="197"/>
      <c r="I354" s="89"/>
      <c r="J354" s="204"/>
      <c r="K354" s="87"/>
      <c r="L354" s="87" t="str" cm="1">
        <f t="array" ref="L354">IF($A354="","",_xlfn.LET(_xlpm.stat,CHOOSE({1,2,3,4,5},$P354,$T354,$X354,$AB354,$AF354),_xlpm.rate,CHOOSE({1,2,3,4,5},$R354,$V354,$Z354,$AD354,$AH354),_xlpm.trn,CHOOSE({1,2,3,4,5},$S354,$W354,$AA354,$AE354,$AI354),_xlpm.nsC,SUMPRODUCT(--(_xlpm.stat="Ready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DLR",IF(AND(_xlpm.actRS&gt;0,_xlpm.actDone&lt;_xlpm.actRS),"Training",IF(_xlpm.actRS&gt;0,"Active",IF(AND(_xlpm.decC&gt;0,_xlpm.inPlay+_xlpm.actC=0),"Dead",IF(AND($AJ354&lt;&gt;"",$AK354=FALSE),"Waiting on Dealer",IF(_xlpm.subC&gt;0,"Waiting on Lender",IF(AND(_xlpm.appC+_xlpm.actC&gt;0,_xlpm.nsC+_xlpm.wdC=0),"Rate Sheet","Application Submitted")))))))))</f>
        <v/>
      </c>
      <c r="M354" s="87"/>
      <c r="N354" s="87"/>
      <c r="O354" s="197"/>
      <c r="P354" s="87" t="str">
        <f>IF($A354="","",IF($AK354=TRUE,"Ready 2 Submit","Waiting on Dealer"))</f>
        <v/>
      </c>
      <c r="Q354" s="148"/>
      <c r="R354" s="87"/>
      <c r="S354" s="87"/>
      <c r="T354" s="87" t="str">
        <f>IF($A354="","",IF($AK354=TRUE,"Ready 2 Submit","Waiting on Dealer"))</f>
        <v/>
      </c>
      <c r="U354" s="148"/>
      <c r="V354" s="87"/>
      <c r="W354" s="87"/>
      <c r="X354" s="87" t="str">
        <f>IF($A354="","",IF($AK354=TRUE,"Ready 2 Submit","Waiting on Dealer"))</f>
        <v/>
      </c>
      <c r="Y354" s="148"/>
      <c r="Z354" s="87"/>
      <c r="AA354" s="87"/>
      <c r="AB354" s="87" t="str">
        <f>IF($A354="","",IF($AK354=TRUE,"Ready 2 Submit","Waiting on Dealer"))</f>
        <v/>
      </c>
      <c r="AC354" s="148"/>
      <c r="AD354" s="87"/>
      <c r="AE354" s="87"/>
      <c r="AF354" s="87" t="str">
        <f>IF($A354="","",IF($AK354=TRUE,"Ready 2 Submit","Waiting on Dealer"))</f>
        <v/>
      </c>
      <c r="AG354" s="148"/>
      <c r="AH354" s="87"/>
      <c r="AI354" s="87"/>
      <c r="AJ354" s="197"/>
      <c r="AK354" s="110" t="b">
        <v>0</v>
      </c>
      <c r="AL354" s="87" t="str" cm="1">
        <f t="array" ref="AL354">IF($A354="","",SUMPRODUCT((CHOOSE({1,2,3,4,5},$R354,$V354,$Z354,$AD354,$AH354)="Yes")*(((CHOOSE({1,2,3,4,5},$S354,$W354,$AA354,$AE354,$AI354)="Yes")+(CHOOSE({1,2,3,4,5},$S354,$W354,$AA354,$AE354,$AI354)=TRUE))&gt;0)))</f>
        <v/>
      </c>
      <c r="AM354" s="87"/>
      <c r="AN354" s="87" t="str">
        <f ca="1">IF(OR($A354="",$AM354=""),"",TODAY()-$AM354)</f>
        <v/>
      </c>
      <c r="AO354" s="87"/>
      <c r="AP354" s="106"/>
      <c r="AQ354" s="106"/>
      <c r="AR354" s="106"/>
      <c r="AS354" s="106"/>
      <c r="AT354" s="106"/>
      <c r="AU354" s="106"/>
      <c r="AV354" s="106"/>
      <c r="AW354" s="106"/>
      <c r="AX354" s="106"/>
      <c r="AY354" s="106"/>
    </row>
    <row r="355" spans="1:51" s="20" customFormat="1" ht="21" customHeight="1">
      <c r="A355" s="197"/>
      <c r="B355" s="87"/>
      <c r="C355" s="87"/>
      <c r="D355" s="196"/>
      <c r="E355" s="108"/>
      <c r="F355" s="196"/>
      <c r="G355" s="87"/>
      <c r="H355" s="197"/>
      <c r="I355" s="89"/>
      <c r="J355" s="204"/>
      <c r="K355" s="87"/>
      <c r="L355" s="87" t="str" cm="1">
        <f t="array" ref="L355">IF($A355="","",_xlfn.LET(_xlpm.stat,CHOOSE({1,2,3,4,5},$P355,$T355,$X355,$AB355,$AF355),_xlpm.rate,CHOOSE({1,2,3,4,5},$R355,$V355,$Z355,$AD355,$AH355),_xlpm.trn,CHOOSE({1,2,3,4,5},$S355,$W355,$AA355,$AE355,$AI355),_xlpm.nsC,SUMPRODUCT(--(_xlpm.stat="Ready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DLR",IF(AND(_xlpm.actRS&gt;0,_xlpm.actDone&lt;_xlpm.actRS),"Training",IF(_xlpm.actRS&gt;0,"Active",IF(AND(_xlpm.decC&gt;0,_xlpm.inPlay+_xlpm.actC=0),"Dead",IF(AND($AJ355&lt;&gt;"",$AK355=FALSE),"Waiting on Dealer",IF(_xlpm.subC&gt;0,"Waiting on Lender",IF(AND(_xlpm.appC+_xlpm.actC&gt;0,_xlpm.nsC+_xlpm.wdC=0),"Rate Sheet","Application Submitted")))))))))</f>
        <v/>
      </c>
      <c r="M355" s="87"/>
      <c r="N355" s="87"/>
      <c r="O355" s="197"/>
      <c r="P355" s="87" t="str">
        <f>IF($A355="","",IF($AK355=TRUE,"Ready 2 Submit","Waiting on Dealer"))</f>
        <v/>
      </c>
      <c r="Q355" s="148"/>
      <c r="R355" s="87"/>
      <c r="S355" s="87"/>
      <c r="T355" s="87" t="str">
        <f>IF($A355="","",IF($AK355=TRUE,"Ready 2 Submit","Waiting on Dealer"))</f>
        <v/>
      </c>
      <c r="U355" s="148"/>
      <c r="V355" s="87"/>
      <c r="W355" s="87"/>
      <c r="X355" s="87" t="str">
        <f>IF($A355="","",IF($AK355=TRUE,"Ready 2 Submit","Waiting on Dealer"))</f>
        <v/>
      </c>
      <c r="Y355" s="148"/>
      <c r="Z355" s="87"/>
      <c r="AA355" s="87"/>
      <c r="AB355" s="87" t="str">
        <f>IF($A355="","",IF($AK355=TRUE,"Ready 2 Submit","Waiting on Dealer"))</f>
        <v/>
      </c>
      <c r="AC355" s="148"/>
      <c r="AD355" s="87"/>
      <c r="AE355" s="87"/>
      <c r="AF355" s="87" t="str">
        <f>IF($A355="","",IF($AK355=TRUE,"Ready 2 Submit","Waiting on Dealer"))</f>
        <v/>
      </c>
      <c r="AG355" s="148"/>
      <c r="AH355" s="87"/>
      <c r="AI355" s="87"/>
      <c r="AJ355" s="197"/>
      <c r="AK355" s="110" t="b">
        <v>0</v>
      </c>
      <c r="AL355" s="87" t="str" cm="1">
        <f t="array" ref="AL355">IF($A355="","",SUMPRODUCT((CHOOSE({1,2,3,4,5},$R355,$V355,$Z355,$AD355,$AH355)="Yes")*(((CHOOSE({1,2,3,4,5},$S355,$W355,$AA355,$AE355,$AI355)="Yes")+(CHOOSE({1,2,3,4,5},$S355,$W355,$AA355,$AE355,$AI355)=TRUE))&gt;0)))</f>
        <v/>
      </c>
      <c r="AM355" s="87"/>
      <c r="AN355" s="87" t="str">
        <f ca="1">IF(OR($A355="",$AM355=""),"",TODAY()-$AM355)</f>
        <v/>
      </c>
      <c r="AO355" s="87"/>
      <c r="AP355" s="106"/>
      <c r="AQ355" s="106"/>
      <c r="AR355" s="106"/>
      <c r="AS355" s="106"/>
      <c r="AT355" s="106"/>
      <c r="AU355" s="106"/>
      <c r="AV355" s="106"/>
      <c r="AW355" s="106"/>
      <c r="AX355" s="106"/>
      <c r="AY355" s="106"/>
    </row>
    <row r="356" spans="1:51" s="20" customFormat="1" ht="21" customHeight="1">
      <c r="A356" s="197"/>
      <c r="B356" s="87"/>
      <c r="C356" s="87"/>
      <c r="D356" s="196"/>
      <c r="E356" s="108"/>
      <c r="F356" s="196"/>
      <c r="G356" s="87"/>
      <c r="H356" s="197"/>
      <c r="I356" s="89"/>
      <c r="J356" s="204"/>
      <c r="K356" s="87"/>
      <c r="L356" s="87" t="str" cm="1">
        <f t="array" ref="L356">IF($A356="","",_xlfn.LET(_xlpm.stat,CHOOSE({1,2,3,4,5},$P356,$T356,$X356,$AB356,$AF356),_xlpm.rate,CHOOSE({1,2,3,4,5},$R356,$V356,$Z356,$AD356,$AH356),_xlpm.trn,CHOOSE({1,2,3,4,5},$S356,$W356,$AA356,$AE356,$AI356),_xlpm.nsC,SUMPRODUCT(--(_xlpm.stat="Ready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DLR",IF(AND(_xlpm.actRS&gt;0,_xlpm.actDone&lt;_xlpm.actRS),"Training",IF(_xlpm.actRS&gt;0,"Active",IF(AND(_xlpm.decC&gt;0,_xlpm.inPlay+_xlpm.actC=0),"Dead",IF(AND($AJ356&lt;&gt;"",$AK356=FALSE),"Waiting on Dealer",IF(_xlpm.subC&gt;0,"Waiting on Lender",IF(AND(_xlpm.appC+_xlpm.actC&gt;0,_xlpm.nsC+_xlpm.wdC=0),"Rate Sheet","Application Submitted")))))))))</f>
        <v/>
      </c>
      <c r="M356" s="87"/>
      <c r="N356" s="87"/>
      <c r="O356" s="197"/>
      <c r="P356" s="87" t="str">
        <f>IF($A356="","",IF($AK356=TRUE,"Ready 2 Submit","Waiting on Dealer"))</f>
        <v/>
      </c>
      <c r="Q356" s="148"/>
      <c r="R356" s="87"/>
      <c r="S356" s="87"/>
      <c r="T356" s="87" t="str">
        <f>IF($A356="","",IF($AK356=TRUE,"Ready 2 Submit","Waiting on Dealer"))</f>
        <v/>
      </c>
      <c r="U356" s="148"/>
      <c r="V356" s="87"/>
      <c r="W356" s="87"/>
      <c r="X356" s="87" t="str">
        <f>IF($A356="","",IF($AK356=TRUE,"Ready 2 Submit","Waiting on Dealer"))</f>
        <v/>
      </c>
      <c r="Y356" s="148"/>
      <c r="Z356" s="87"/>
      <c r="AA356" s="87"/>
      <c r="AB356" s="87" t="str">
        <f>IF($A356="","",IF($AK356=TRUE,"Ready 2 Submit","Waiting on Dealer"))</f>
        <v/>
      </c>
      <c r="AC356" s="148"/>
      <c r="AD356" s="87"/>
      <c r="AE356" s="87"/>
      <c r="AF356" s="87" t="str">
        <f>IF($A356="","",IF($AK356=TRUE,"Ready 2 Submit","Waiting on Dealer"))</f>
        <v/>
      </c>
      <c r="AG356" s="148"/>
      <c r="AH356" s="87"/>
      <c r="AI356" s="87"/>
      <c r="AJ356" s="197"/>
      <c r="AK356" s="110" t="b">
        <v>0</v>
      </c>
      <c r="AL356" s="87" t="str" cm="1">
        <f t="array" ref="AL356">IF($A356="","",SUMPRODUCT((CHOOSE({1,2,3,4,5},$R356,$V356,$Z356,$AD356,$AH356)="Yes")*(((CHOOSE({1,2,3,4,5},$S356,$W356,$AA356,$AE356,$AI356)="Yes")+(CHOOSE({1,2,3,4,5},$S356,$W356,$AA356,$AE356,$AI356)=TRUE))&gt;0)))</f>
        <v/>
      </c>
      <c r="AM356" s="87"/>
      <c r="AN356" s="87" t="str">
        <f ca="1">IF(OR($A356="",$AM356=""),"",TODAY()-$AM356)</f>
        <v/>
      </c>
      <c r="AO356" s="87"/>
      <c r="AP356" s="106"/>
      <c r="AQ356" s="106"/>
      <c r="AR356" s="106"/>
      <c r="AS356" s="106"/>
      <c r="AT356" s="106"/>
      <c r="AU356" s="106"/>
      <c r="AV356" s="106"/>
      <c r="AW356" s="106"/>
      <c r="AX356" s="106"/>
      <c r="AY356" s="106"/>
    </row>
    <row r="357" spans="1:51" s="20" customFormat="1" ht="21" customHeight="1">
      <c r="A357" s="197"/>
      <c r="B357" s="87"/>
      <c r="C357" s="87"/>
      <c r="D357" s="196"/>
      <c r="E357" s="108"/>
      <c r="F357" s="196"/>
      <c r="G357" s="87"/>
      <c r="H357" s="197"/>
      <c r="I357" s="89"/>
      <c r="J357" s="204"/>
      <c r="K357" s="87"/>
      <c r="L357" s="87" t="str" cm="1">
        <f t="array" ref="L357">IF($A357="","",_xlfn.LET(_xlpm.stat,CHOOSE({1,2,3,4,5},$P357,$T357,$X357,$AB357,$AF357),_xlpm.rate,CHOOSE({1,2,3,4,5},$R357,$V357,$Z357,$AD357,$AH357),_xlpm.trn,CHOOSE({1,2,3,4,5},$S357,$W357,$AA357,$AE357,$AI357),_xlpm.nsC,SUMPRODUCT(--(_xlpm.stat="Ready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DLR",IF(AND(_xlpm.actRS&gt;0,_xlpm.actDone&lt;_xlpm.actRS),"Training",IF(_xlpm.actRS&gt;0,"Active",IF(AND(_xlpm.decC&gt;0,_xlpm.inPlay+_xlpm.actC=0),"Dead",IF(AND($AJ357&lt;&gt;"",$AK357=FALSE),"Waiting on Dealer",IF(_xlpm.subC&gt;0,"Waiting on Lender",IF(AND(_xlpm.appC+_xlpm.actC&gt;0,_xlpm.nsC+_xlpm.wdC=0),"Rate Sheet","Application Submitted")))))))))</f>
        <v/>
      </c>
      <c r="M357" s="87"/>
      <c r="N357" s="87"/>
      <c r="O357" s="197"/>
      <c r="P357" s="87" t="str">
        <f>IF($A357="","",IF($AK357=TRUE,"Ready 2 Submit","Waiting on Dealer"))</f>
        <v/>
      </c>
      <c r="Q357" s="148"/>
      <c r="R357" s="87"/>
      <c r="S357" s="87"/>
      <c r="T357" s="87" t="str">
        <f>IF($A357="","",IF($AK357=TRUE,"Ready 2 Submit","Waiting on Dealer"))</f>
        <v/>
      </c>
      <c r="U357" s="148"/>
      <c r="V357" s="87"/>
      <c r="W357" s="87"/>
      <c r="X357" s="87" t="str">
        <f>IF($A357="","",IF($AK357=TRUE,"Ready 2 Submit","Waiting on Dealer"))</f>
        <v/>
      </c>
      <c r="Y357" s="148"/>
      <c r="Z357" s="87"/>
      <c r="AA357" s="87"/>
      <c r="AB357" s="87" t="str">
        <f>IF($A357="","",IF($AK357=TRUE,"Ready 2 Submit","Waiting on Dealer"))</f>
        <v/>
      </c>
      <c r="AC357" s="148"/>
      <c r="AD357" s="87"/>
      <c r="AE357" s="87"/>
      <c r="AF357" s="87" t="str">
        <f>IF($A357="","",IF($AK357=TRUE,"Ready 2 Submit","Waiting on Dealer"))</f>
        <v/>
      </c>
      <c r="AG357" s="148"/>
      <c r="AH357" s="87"/>
      <c r="AI357" s="87"/>
      <c r="AJ357" s="197"/>
      <c r="AK357" s="110" t="b">
        <v>0</v>
      </c>
      <c r="AL357" s="87" t="str" cm="1">
        <f t="array" ref="AL357">IF($A357="","",SUMPRODUCT((CHOOSE({1,2,3,4,5},$R357,$V357,$Z357,$AD357,$AH357)="Yes")*(((CHOOSE({1,2,3,4,5},$S357,$W357,$AA357,$AE357,$AI357)="Yes")+(CHOOSE({1,2,3,4,5},$S357,$W357,$AA357,$AE357,$AI357)=TRUE))&gt;0)))</f>
        <v/>
      </c>
      <c r="AM357" s="87"/>
      <c r="AN357" s="87" t="str">
        <f ca="1">IF(OR($A357="",$AM357=""),"",TODAY()-$AM357)</f>
        <v/>
      </c>
      <c r="AO357" s="87"/>
      <c r="AP357" s="106"/>
      <c r="AQ357" s="106"/>
      <c r="AR357" s="106"/>
      <c r="AS357" s="106"/>
      <c r="AT357" s="106"/>
      <c r="AU357" s="106"/>
      <c r="AV357" s="106"/>
      <c r="AW357" s="106"/>
      <c r="AX357" s="106"/>
      <c r="AY357" s="106"/>
    </row>
    <row r="358" spans="1:51" s="20" customFormat="1" ht="21" customHeight="1">
      <c r="A358" s="197"/>
      <c r="B358" s="87"/>
      <c r="C358" s="87"/>
      <c r="D358" s="196"/>
      <c r="E358" s="108"/>
      <c r="F358" s="196"/>
      <c r="G358" s="87"/>
      <c r="H358" s="197"/>
      <c r="I358" s="89"/>
      <c r="J358" s="204"/>
      <c r="K358" s="87"/>
      <c r="L358" s="87" t="str" cm="1">
        <f t="array" ref="L358">IF($A358="","",_xlfn.LET(_xlpm.stat,CHOOSE({1,2,3,4,5},$P358,$T358,$X358,$AB358,$AF358),_xlpm.rate,CHOOSE({1,2,3,4,5},$R358,$V358,$Z358,$AD358,$AH358),_xlpm.trn,CHOOSE({1,2,3,4,5},$S358,$W358,$AA358,$AE358,$AI358),_xlpm.nsC,SUMPRODUCT(--(_xlpm.stat="Ready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DLR",IF(AND(_xlpm.actRS&gt;0,_xlpm.actDone&lt;_xlpm.actRS),"Training",IF(_xlpm.actRS&gt;0,"Active",IF(AND(_xlpm.decC&gt;0,_xlpm.inPlay+_xlpm.actC=0),"Dead",IF(AND($AJ358&lt;&gt;"",$AK358=FALSE),"Waiting on Dealer",IF(_xlpm.subC&gt;0,"Waiting on Lender",IF(AND(_xlpm.appC+_xlpm.actC&gt;0,_xlpm.nsC+_xlpm.wdC=0),"Rate Sheet","Application Submitted")))))))))</f>
        <v/>
      </c>
      <c r="M358" s="87"/>
      <c r="N358" s="87"/>
      <c r="O358" s="197"/>
      <c r="P358" s="87" t="str">
        <f>IF($A358="","",IF($AK358=TRUE,"Ready 2 Submit","Waiting on Dealer"))</f>
        <v/>
      </c>
      <c r="Q358" s="148"/>
      <c r="R358" s="87"/>
      <c r="S358" s="87"/>
      <c r="T358" s="87" t="str">
        <f>IF($A358="","",IF($AK358=TRUE,"Ready 2 Submit","Waiting on Dealer"))</f>
        <v/>
      </c>
      <c r="U358" s="148"/>
      <c r="V358" s="87"/>
      <c r="W358" s="87"/>
      <c r="X358" s="87" t="str">
        <f>IF($A358="","",IF($AK358=TRUE,"Ready 2 Submit","Waiting on Dealer"))</f>
        <v/>
      </c>
      <c r="Y358" s="148"/>
      <c r="Z358" s="87"/>
      <c r="AA358" s="87"/>
      <c r="AB358" s="87" t="str">
        <f>IF($A358="","",IF($AK358=TRUE,"Ready 2 Submit","Waiting on Dealer"))</f>
        <v/>
      </c>
      <c r="AC358" s="148"/>
      <c r="AD358" s="87"/>
      <c r="AE358" s="87"/>
      <c r="AF358" s="87" t="str">
        <f>IF($A358="","",IF($AK358=TRUE,"Ready 2 Submit","Waiting on Dealer"))</f>
        <v/>
      </c>
      <c r="AG358" s="148"/>
      <c r="AH358" s="87"/>
      <c r="AI358" s="87"/>
      <c r="AJ358" s="197"/>
      <c r="AK358" s="110" t="b">
        <v>0</v>
      </c>
      <c r="AL358" s="87" t="str" cm="1">
        <f t="array" ref="AL358">IF($A358="","",SUMPRODUCT((CHOOSE({1,2,3,4,5},$R358,$V358,$Z358,$AD358,$AH358)="Yes")*(((CHOOSE({1,2,3,4,5},$S358,$W358,$AA358,$AE358,$AI358)="Yes")+(CHOOSE({1,2,3,4,5},$S358,$W358,$AA358,$AE358,$AI358)=TRUE))&gt;0)))</f>
        <v/>
      </c>
      <c r="AM358" s="87"/>
      <c r="AN358" s="87" t="str">
        <f ca="1">IF(OR($A358="",$AM358=""),"",TODAY()-$AM358)</f>
        <v/>
      </c>
      <c r="AO358" s="87"/>
      <c r="AP358" s="106"/>
      <c r="AQ358" s="106"/>
      <c r="AR358" s="106"/>
      <c r="AS358" s="106"/>
      <c r="AT358" s="106"/>
      <c r="AU358" s="106"/>
      <c r="AV358" s="106"/>
      <c r="AW358" s="106"/>
      <c r="AX358" s="106"/>
      <c r="AY358" s="106"/>
    </row>
    <row r="359" spans="1:51" s="20" customFormat="1" ht="21" customHeight="1">
      <c r="A359" s="197"/>
      <c r="B359" s="87"/>
      <c r="C359" s="87"/>
      <c r="D359" s="196"/>
      <c r="E359" s="108"/>
      <c r="F359" s="196"/>
      <c r="G359" s="87"/>
      <c r="H359" s="197"/>
      <c r="I359" s="89"/>
      <c r="J359" s="204"/>
      <c r="K359" s="87"/>
      <c r="L359" s="87" t="str" cm="1">
        <f t="array" ref="L359">IF($A359="","",_xlfn.LET(_xlpm.stat,CHOOSE({1,2,3,4,5},$P359,$T359,$X359,$AB359,$AF359),_xlpm.rate,CHOOSE({1,2,3,4,5},$R359,$V359,$Z359,$AD359,$AH359),_xlpm.trn,CHOOSE({1,2,3,4,5},$S359,$W359,$AA359,$AE359,$AI359),_xlpm.nsC,SUMPRODUCT(--(_xlpm.stat="Ready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DLR",IF(AND(_xlpm.actRS&gt;0,_xlpm.actDone&lt;_xlpm.actRS),"Training",IF(_xlpm.actRS&gt;0,"Active",IF(AND(_xlpm.decC&gt;0,_xlpm.inPlay+_xlpm.actC=0),"Dead",IF(AND($AJ359&lt;&gt;"",$AK359=FALSE),"Waiting on Dealer",IF(_xlpm.subC&gt;0,"Waiting on Lender",IF(AND(_xlpm.appC+_xlpm.actC&gt;0,_xlpm.nsC+_xlpm.wdC=0),"Rate Sheet","Application Submitted")))))))))</f>
        <v/>
      </c>
      <c r="M359" s="87"/>
      <c r="N359" s="87"/>
      <c r="O359" s="197"/>
      <c r="P359" s="87" t="str">
        <f>IF($A359="","",IF($AK359=TRUE,"Ready 2 Submit","Waiting on Dealer"))</f>
        <v/>
      </c>
      <c r="Q359" s="148"/>
      <c r="R359" s="87"/>
      <c r="S359" s="87"/>
      <c r="T359" s="87" t="str">
        <f>IF($A359="","",IF($AK359=TRUE,"Ready 2 Submit","Waiting on Dealer"))</f>
        <v/>
      </c>
      <c r="U359" s="148"/>
      <c r="V359" s="87"/>
      <c r="W359" s="87"/>
      <c r="X359" s="87" t="str">
        <f>IF($A359="","",IF($AK359=TRUE,"Ready 2 Submit","Waiting on Dealer"))</f>
        <v/>
      </c>
      <c r="Y359" s="148"/>
      <c r="Z359" s="87"/>
      <c r="AA359" s="87"/>
      <c r="AB359" s="87" t="str">
        <f>IF($A359="","",IF($AK359=TRUE,"Ready 2 Submit","Waiting on Dealer"))</f>
        <v/>
      </c>
      <c r="AC359" s="148"/>
      <c r="AD359" s="87"/>
      <c r="AE359" s="87"/>
      <c r="AF359" s="87" t="str">
        <f>IF($A359="","",IF($AK359=TRUE,"Ready 2 Submit","Waiting on Dealer"))</f>
        <v/>
      </c>
      <c r="AG359" s="148"/>
      <c r="AH359" s="87"/>
      <c r="AI359" s="87"/>
      <c r="AJ359" s="197"/>
      <c r="AK359" s="110" t="b">
        <v>0</v>
      </c>
      <c r="AL359" s="87" t="str" cm="1">
        <f t="array" ref="AL359">IF($A359="","",SUMPRODUCT((CHOOSE({1,2,3,4,5},$R359,$V359,$Z359,$AD359,$AH359)="Yes")*(((CHOOSE({1,2,3,4,5},$S359,$W359,$AA359,$AE359,$AI359)="Yes")+(CHOOSE({1,2,3,4,5},$S359,$W359,$AA359,$AE359,$AI359)=TRUE))&gt;0)))</f>
        <v/>
      </c>
      <c r="AM359" s="87"/>
      <c r="AN359" s="87" t="str">
        <f ca="1">IF(OR($A359="",$AM359=""),"",TODAY()-$AM359)</f>
        <v/>
      </c>
      <c r="AO359" s="87"/>
      <c r="AP359" s="106"/>
      <c r="AQ359" s="106"/>
      <c r="AR359" s="106"/>
      <c r="AS359" s="106"/>
      <c r="AT359" s="106"/>
      <c r="AU359" s="106"/>
      <c r="AV359" s="106"/>
      <c r="AW359" s="106"/>
      <c r="AX359" s="106"/>
      <c r="AY359" s="106"/>
    </row>
    <row r="360" spans="1:51" s="20" customFormat="1" ht="21" customHeight="1">
      <c r="A360" s="197"/>
      <c r="B360" s="87"/>
      <c r="C360" s="87"/>
      <c r="D360" s="196"/>
      <c r="E360" s="108"/>
      <c r="F360" s="196"/>
      <c r="G360" s="87"/>
      <c r="H360" s="197"/>
      <c r="I360" s="89"/>
      <c r="J360" s="204"/>
      <c r="K360" s="87"/>
      <c r="L360" s="87" t="str" cm="1">
        <f t="array" ref="L360">IF($A360="","",_xlfn.LET(_xlpm.stat,CHOOSE({1,2,3,4,5},$P360,$T360,$X360,$AB360,$AF360),_xlpm.rate,CHOOSE({1,2,3,4,5},$R360,$V360,$Z360,$AD360,$AH360),_xlpm.trn,CHOOSE({1,2,3,4,5},$S360,$W360,$AA360,$AE360,$AI360),_xlpm.nsC,SUMPRODUCT(--(_xlpm.stat="Ready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DLR",IF(AND(_xlpm.actRS&gt;0,_xlpm.actDone&lt;_xlpm.actRS),"Training",IF(_xlpm.actRS&gt;0,"Active",IF(AND(_xlpm.decC&gt;0,_xlpm.inPlay+_xlpm.actC=0),"Dead",IF(AND($AJ360&lt;&gt;"",$AK360=FALSE),"Waiting on Dealer",IF(_xlpm.subC&gt;0,"Waiting on Lender",IF(AND(_xlpm.appC+_xlpm.actC&gt;0,_xlpm.nsC+_xlpm.wdC=0),"Rate Sheet","Application Submitted")))))))))</f>
        <v/>
      </c>
      <c r="M360" s="87"/>
      <c r="N360" s="87"/>
      <c r="O360" s="197"/>
      <c r="P360" s="87" t="str">
        <f>IF($A360="","",IF($AK360=TRUE,"Ready 2 Submit","Waiting on Dealer"))</f>
        <v/>
      </c>
      <c r="Q360" s="148"/>
      <c r="R360" s="87"/>
      <c r="S360" s="87"/>
      <c r="T360" s="87" t="str">
        <f>IF($A360="","",IF($AK360=TRUE,"Ready 2 Submit","Waiting on Dealer"))</f>
        <v/>
      </c>
      <c r="U360" s="148"/>
      <c r="V360" s="87"/>
      <c r="W360" s="87"/>
      <c r="X360" s="87" t="str">
        <f>IF($A360="","",IF($AK360=TRUE,"Ready 2 Submit","Waiting on Dealer"))</f>
        <v/>
      </c>
      <c r="Y360" s="148"/>
      <c r="Z360" s="87"/>
      <c r="AA360" s="87"/>
      <c r="AB360" s="87" t="str">
        <f>IF($A360="","",IF($AK360=TRUE,"Ready 2 Submit","Waiting on Dealer"))</f>
        <v/>
      </c>
      <c r="AC360" s="148"/>
      <c r="AD360" s="87"/>
      <c r="AE360" s="87"/>
      <c r="AF360" s="87" t="str">
        <f>IF($A360="","",IF($AK360=TRUE,"Ready 2 Submit","Waiting on Dealer"))</f>
        <v/>
      </c>
      <c r="AG360" s="148"/>
      <c r="AH360" s="87"/>
      <c r="AI360" s="87"/>
      <c r="AJ360" s="197"/>
      <c r="AK360" s="110" t="b">
        <v>0</v>
      </c>
      <c r="AL360" s="87" t="str" cm="1">
        <f t="array" ref="AL360">IF($A360="","",SUMPRODUCT((CHOOSE({1,2,3,4,5},$R360,$V360,$Z360,$AD360,$AH360)="Yes")*(((CHOOSE({1,2,3,4,5},$S360,$W360,$AA360,$AE360,$AI360)="Yes")+(CHOOSE({1,2,3,4,5},$S360,$W360,$AA360,$AE360,$AI360)=TRUE))&gt;0)))</f>
        <v/>
      </c>
      <c r="AM360" s="87"/>
      <c r="AN360" s="87" t="str">
        <f ca="1">IF(OR($A360="",$AM360=""),"",TODAY()-$AM360)</f>
        <v/>
      </c>
      <c r="AO360" s="87"/>
      <c r="AP360" s="106"/>
      <c r="AQ360" s="106"/>
      <c r="AR360" s="106"/>
      <c r="AS360" s="106"/>
      <c r="AT360" s="106"/>
      <c r="AU360" s="106"/>
      <c r="AV360" s="106"/>
      <c r="AW360" s="106"/>
      <c r="AX360" s="106"/>
      <c r="AY360" s="106"/>
    </row>
    <row r="361" spans="1:51" s="20" customFormat="1" ht="21" customHeight="1">
      <c r="A361" s="197"/>
      <c r="B361" s="87"/>
      <c r="C361" s="87"/>
      <c r="D361" s="196"/>
      <c r="E361" s="108"/>
      <c r="F361" s="196"/>
      <c r="G361" s="87"/>
      <c r="H361" s="197"/>
      <c r="I361" s="89"/>
      <c r="J361" s="204"/>
      <c r="K361" s="87"/>
      <c r="L361" s="87" t="str" cm="1">
        <f t="array" ref="L361">IF($A361="","",_xlfn.LET(_xlpm.stat,CHOOSE({1,2,3,4,5},$P361,$T361,$X361,$AB361,$AF361),_xlpm.rate,CHOOSE({1,2,3,4,5},$R361,$V361,$Z361,$AD361,$AH361),_xlpm.trn,CHOOSE({1,2,3,4,5},$S361,$W361,$AA361,$AE361,$AI361),_xlpm.nsC,SUMPRODUCT(--(_xlpm.stat="Ready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DLR",IF(AND(_xlpm.actRS&gt;0,_xlpm.actDone&lt;_xlpm.actRS),"Training",IF(_xlpm.actRS&gt;0,"Active",IF(AND(_xlpm.decC&gt;0,_xlpm.inPlay+_xlpm.actC=0),"Dead",IF(AND($AJ361&lt;&gt;"",$AK361=FALSE),"Waiting on Dealer",IF(_xlpm.subC&gt;0,"Waiting on Lender",IF(AND(_xlpm.appC+_xlpm.actC&gt;0,_xlpm.nsC+_xlpm.wdC=0),"Rate Sheet","Application Submitted")))))))))</f>
        <v/>
      </c>
      <c r="M361" s="87"/>
      <c r="N361" s="87"/>
      <c r="O361" s="197"/>
      <c r="P361" s="87" t="str">
        <f>IF($A361="","",IF($AK361=TRUE,"Ready 2 Submit","Waiting on Dealer"))</f>
        <v/>
      </c>
      <c r="Q361" s="148"/>
      <c r="R361" s="87"/>
      <c r="S361" s="87"/>
      <c r="T361" s="87" t="str">
        <f>IF($A361="","",IF($AK361=TRUE,"Ready 2 Submit","Waiting on Dealer"))</f>
        <v/>
      </c>
      <c r="U361" s="148"/>
      <c r="V361" s="87"/>
      <c r="W361" s="87"/>
      <c r="X361" s="87" t="str">
        <f>IF($A361="","",IF($AK361=TRUE,"Ready 2 Submit","Waiting on Dealer"))</f>
        <v/>
      </c>
      <c r="Y361" s="148"/>
      <c r="Z361" s="87"/>
      <c r="AA361" s="87"/>
      <c r="AB361" s="87" t="str">
        <f>IF($A361="","",IF($AK361=TRUE,"Ready 2 Submit","Waiting on Dealer"))</f>
        <v/>
      </c>
      <c r="AC361" s="148"/>
      <c r="AD361" s="87"/>
      <c r="AE361" s="87"/>
      <c r="AF361" s="87" t="str">
        <f>IF($A361="","",IF($AK361=TRUE,"Ready 2 Submit","Waiting on Dealer"))</f>
        <v/>
      </c>
      <c r="AG361" s="148"/>
      <c r="AH361" s="87"/>
      <c r="AI361" s="87"/>
      <c r="AJ361" s="197"/>
      <c r="AK361" s="110" t="b">
        <v>0</v>
      </c>
      <c r="AL361" s="87" t="str" cm="1">
        <f t="array" ref="AL361">IF($A361="","",SUMPRODUCT((CHOOSE({1,2,3,4,5},$R361,$V361,$Z361,$AD361,$AH361)="Yes")*(((CHOOSE({1,2,3,4,5},$S361,$W361,$AA361,$AE361,$AI361)="Yes")+(CHOOSE({1,2,3,4,5},$S361,$W361,$AA361,$AE361,$AI361)=TRUE))&gt;0)))</f>
        <v/>
      </c>
      <c r="AM361" s="87"/>
      <c r="AN361" s="87" t="str">
        <f ca="1">IF(OR($A361="",$AM361=""),"",TODAY()-$AM361)</f>
        <v/>
      </c>
      <c r="AO361" s="87"/>
      <c r="AP361" s="106"/>
      <c r="AQ361" s="106"/>
      <c r="AR361" s="106"/>
      <c r="AS361" s="106"/>
      <c r="AT361" s="106"/>
      <c r="AU361" s="106"/>
      <c r="AV361" s="106"/>
      <c r="AW361" s="106"/>
      <c r="AX361" s="106"/>
      <c r="AY361" s="106"/>
    </row>
    <row r="362" spans="1:51" s="20" customFormat="1" ht="21" customHeight="1">
      <c r="A362" s="197"/>
      <c r="B362" s="87"/>
      <c r="C362" s="87"/>
      <c r="D362" s="196"/>
      <c r="E362" s="108"/>
      <c r="F362" s="196"/>
      <c r="G362" s="87"/>
      <c r="H362" s="197"/>
      <c r="I362" s="89"/>
      <c r="J362" s="204"/>
      <c r="K362" s="87"/>
      <c r="L362" s="87" t="str" cm="1">
        <f t="array" ref="L362">IF($A362="","",_xlfn.LET(_xlpm.stat,CHOOSE({1,2,3,4,5},$P362,$T362,$X362,$AB362,$AF362),_xlpm.rate,CHOOSE({1,2,3,4,5},$R362,$V362,$Z362,$AD362,$AH362),_xlpm.trn,CHOOSE({1,2,3,4,5},$S362,$W362,$AA362,$AE362,$AI362),_xlpm.nsC,SUMPRODUCT(--(_xlpm.stat="Ready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DLR",IF(AND(_xlpm.actRS&gt;0,_xlpm.actDone&lt;_xlpm.actRS),"Training",IF(_xlpm.actRS&gt;0,"Active",IF(AND(_xlpm.decC&gt;0,_xlpm.inPlay+_xlpm.actC=0),"Dead",IF(AND($AJ362&lt;&gt;"",$AK362=FALSE),"Waiting on Dealer",IF(_xlpm.subC&gt;0,"Waiting on Lender",IF(AND(_xlpm.appC+_xlpm.actC&gt;0,_xlpm.nsC+_xlpm.wdC=0),"Rate Sheet","Application Submitted")))))))))</f>
        <v/>
      </c>
      <c r="M362" s="87"/>
      <c r="N362" s="87"/>
      <c r="O362" s="197"/>
      <c r="P362" s="87" t="str">
        <f>IF($A362="","",IF($AK362=TRUE,"Ready 2 Submit","Waiting on Dealer"))</f>
        <v/>
      </c>
      <c r="Q362" s="148"/>
      <c r="R362" s="87"/>
      <c r="S362" s="87"/>
      <c r="T362" s="87" t="str">
        <f>IF($A362="","",IF($AK362=TRUE,"Ready 2 Submit","Waiting on Dealer"))</f>
        <v/>
      </c>
      <c r="U362" s="148"/>
      <c r="V362" s="87"/>
      <c r="W362" s="87"/>
      <c r="X362" s="87" t="str">
        <f>IF($A362="","",IF($AK362=TRUE,"Ready 2 Submit","Waiting on Dealer"))</f>
        <v/>
      </c>
      <c r="Y362" s="148"/>
      <c r="Z362" s="87"/>
      <c r="AA362" s="87"/>
      <c r="AB362" s="87" t="str">
        <f>IF($A362="","",IF($AK362=TRUE,"Ready 2 Submit","Waiting on Dealer"))</f>
        <v/>
      </c>
      <c r="AC362" s="148"/>
      <c r="AD362" s="87"/>
      <c r="AE362" s="87"/>
      <c r="AF362" s="87" t="str">
        <f>IF($A362="","",IF($AK362=TRUE,"Ready 2 Submit","Waiting on Dealer"))</f>
        <v/>
      </c>
      <c r="AG362" s="148"/>
      <c r="AH362" s="87"/>
      <c r="AI362" s="87"/>
      <c r="AJ362" s="197"/>
      <c r="AK362" s="110" t="b">
        <v>0</v>
      </c>
      <c r="AL362" s="87" t="str" cm="1">
        <f t="array" ref="AL362">IF($A362="","",SUMPRODUCT((CHOOSE({1,2,3,4,5},$R362,$V362,$Z362,$AD362,$AH362)="Yes")*(((CHOOSE({1,2,3,4,5},$S362,$W362,$AA362,$AE362,$AI362)="Yes")+(CHOOSE({1,2,3,4,5},$S362,$W362,$AA362,$AE362,$AI362)=TRUE))&gt;0)))</f>
        <v/>
      </c>
      <c r="AM362" s="87"/>
      <c r="AN362" s="87" t="str">
        <f ca="1">IF(OR($A362="",$AM362=""),"",TODAY()-$AM362)</f>
        <v/>
      </c>
      <c r="AO362" s="87"/>
      <c r="AP362" s="106"/>
      <c r="AQ362" s="106"/>
      <c r="AR362" s="106"/>
      <c r="AS362" s="106"/>
      <c r="AT362" s="106"/>
      <c r="AU362" s="106"/>
      <c r="AV362" s="106"/>
      <c r="AW362" s="106"/>
      <c r="AX362" s="106"/>
      <c r="AY362" s="106"/>
    </row>
    <row r="363" spans="1:51" s="20" customFormat="1" ht="21" customHeight="1">
      <c r="A363" s="197"/>
      <c r="B363" s="87"/>
      <c r="C363" s="87"/>
      <c r="D363" s="196"/>
      <c r="E363" s="108"/>
      <c r="F363" s="196"/>
      <c r="G363" s="87"/>
      <c r="H363" s="197"/>
      <c r="I363" s="89"/>
      <c r="J363" s="204"/>
      <c r="K363" s="87"/>
      <c r="L363" s="87" t="str" cm="1">
        <f t="array" ref="L363">IF($A363="","",_xlfn.LET(_xlpm.stat,CHOOSE({1,2,3,4,5},$P363,$T363,$X363,$AB363,$AF363),_xlpm.rate,CHOOSE({1,2,3,4,5},$R363,$V363,$Z363,$AD363,$AH363),_xlpm.trn,CHOOSE({1,2,3,4,5},$S363,$W363,$AA363,$AE363,$AI363),_xlpm.nsC,SUMPRODUCT(--(_xlpm.stat="Ready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DLR",IF(AND(_xlpm.actRS&gt;0,_xlpm.actDone&lt;_xlpm.actRS),"Training",IF(_xlpm.actRS&gt;0,"Active",IF(AND(_xlpm.decC&gt;0,_xlpm.inPlay+_xlpm.actC=0),"Dead",IF(AND($AJ363&lt;&gt;"",$AK363=FALSE),"Waiting on Dealer",IF(_xlpm.subC&gt;0,"Waiting on Lender",IF(AND(_xlpm.appC+_xlpm.actC&gt;0,_xlpm.nsC+_xlpm.wdC=0),"Rate Sheet","Application Submitted")))))))))</f>
        <v/>
      </c>
      <c r="M363" s="87"/>
      <c r="N363" s="87"/>
      <c r="O363" s="197"/>
      <c r="P363" s="87" t="str">
        <f>IF($A363="","",IF($AK363=TRUE,"Ready 2 Submit","Waiting on Dealer"))</f>
        <v/>
      </c>
      <c r="Q363" s="148"/>
      <c r="R363" s="87"/>
      <c r="S363" s="87"/>
      <c r="T363" s="87" t="str">
        <f>IF($A363="","",IF($AK363=TRUE,"Ready 2 Submit","Waiting on Dealer"))</f>
        <v/>
      </c>
      <c r="U363" s="148"/>
      <c r="V363" s="87"/>
      <c r="W363" s="87"/>
      <c r="X363" s="87" t="str">
        <f>IF($A363="","",IF($AK363=TRUE,"Ready 2 Submit","Waiting on Dealer"))</f>
        <v/>
      </c>
      <c r="Y363" s="148"/>
      <c r="Z363" s="87"/>
      <c r="AA363" s="87"/>
      <c r="AB363" s="87" t="str">
        <f>IF($A363="","",IF($AK363=TRUE,"Ready 2 Submit","Waiting on Dealer"))</f>
        <v/>
      </c>
      <c r="AC363" s="148"/>
      <c r="AD363" s="87"/>
      <c r="AE363" s="87"/>
      <c r="AF363" s="87" t="str">
        <f>IF($A363="","",IF($AK363=TRUE,"Ready 2 Submit","Waiting on Dealer"))</f>
        <v/>
      </c>
      <c r="AG363" s="148"/>
      <c r="AH363" s="87"/>
      <c r="AI363" s="87"/>
      <c r="AJ363" s="197"/>
      <c r="AK363" s="110" t="b">
        <v>0</v>
      </c>
      <c r="AL363" s="87" t="str" cm="1">
        <f t="array" ref="AL363">IF($A363="","",SUMPRODUCT((CHOOSE({1,2,3,4,5},$R363,$V363,$Z363,$AD363,$AH363)="Yes")*(((CHOOSE({1,2,3,4,5},$S363,$W363,$AA363,$AE363,$AI363)="Yes")+(CHOOSE({1,2,3,4,5},$S363,$W363,$AA363,$AE363,$AI363)=TRUE))&gt;0)))</f>
        <v/>
      </c>
      <c r="AM363" s="87"/>
      <c r="AN363" s="87" t="str">
        <f ca="1">IF(OR($A363="",$AM363=""),"",TODAY()-$AM363)</f>
        <v/>
      </c>
      <c r="AO363" s="87"/>
      <c r="AP363" s="106"/>
      <c r="AQ363" s="106"/>
      <c r="AR363" s="106"/>
      <c r="AS363" s="106"/>
      <c r="AT363" s="106"/>
      <c r="AU363" s="106"/>
      <c r="AV363" s="106"/>
      <c r="AW363" s="106"/>
      <c r="AX363" s="106"/>
      <c r="AY363" s="106"/>
    </row>
    <row r="364" spans="1:51" s="20" customFormat="1" ht="21" customHeight="1">
      <c r="A364" s="197"/>
      <c r="B364" s="87"/>
      <c r="C364" s="87"/>
      <c r="D364" s="196"/>
      <c r="E364" s="108"/>
      <c r="F364" s="196"/>
      <c r="G364" s="87"/>
      <c r="H364" s="197"/>
      <c r="I364" s="89"/>
      <c r="J364" s="204"/>
      <c r="K364" s="87"/>
      <c r="L364" s="87" t="str" cm="1">
        <f t="array" ref="L364">IF($A364="","",_xlfn.LET(_xlpm.stat,CHOOSE({1,2,3,4,5},$P364,$T364,$X364,$AB364,$AF364),_xlpm.rate,CHOOSE({1,2,3,4,5},$R364,$V364,$Z364,$AD364,$AH364),_xlpm.trn,CHOOSE({1,2,3,4,5},$S364,$W364,$AA364,$AE364,$AI364),_xlpm.nsC,SUMPRODUCT(--(_xlpm.stat="Ready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DLR",IF(AND(_xlpm.actRS&gt;0,_xlpm.actDone&lt;_xlpm.actRS),"Training",IF(_xlpm.actRS&gt;0,"Active",IF(AND(_xlpm.decC&gt;0,_xlpm.inPlay+_xlpm.actC=0),"Dead",IF(AND($AJ364&lt;&gt;"",$AK364=FALSE),"Waiting on Dealer",IF(_xlpm.subC&gt;0,"Waiting on Lender",IF(AND(_xlpm.appC+_xlpm.actC&gt;0,_xlpm.nsC+_xlpm.wdC=0),"Rate Sheet","Application Submitted")))))))))</f>
        <v/>
      </c>
      <c r="M364" s="87"/>
      <c r="N364" s="87"/>
      <c r="O364" s="197"/>
      <c r="P364" s="87" t="str">
        <f>IF($A364="","",IF($AK364=TRUE,"Ready 2 Submit","Waiting on Dealer"))</f>
        <v/>
      </c>
      <c r="Q364" s="148"/>
      <c r="R364" s="87"/>
      <c r="S364" s="87"/>
      <c r="T364" s="87" t="str">
        <f>IF($A364="","",IF($AK364=TRUE,"Ready 2 Submit","Waiting on Dealer"))</f>
        <v/>
      </c>
      <c r="U364" s="148"/>
      <c r="V364" s="87"/>
      <c r="W364" s="87"/>
      <c r="X364" s="87" t="str">
        <f>IF($A364="","",IF($AK364=TRUE,"Ready 2 Submit","Waiting on Dealer"))</f>
        <v/>
      </c>
      <c r="Y364" s="148"/>
      <c r="Z364" s="87"/>
      <c r="AA364" s="87"/>
      <c r="AB364" s="87" t="str">
        <f>IF($A364="","",IF($AK364=TRUE,"Ready 2 Submit","Waiting on Dealer"))</f>
        <v/>
      </c>
      <c r="AC364" s="148"/>
      <c r="AD364" s="87"/>
      <c r="AE364" s="87"/>
      <c r="AF364" s="87" t="str">
        <f>IF($A364="","",IF($AK364=TRUE,"Ready 2 Submit","Waiting on Dealer"))</f>
        <v/>
      </c>
      <c r="AG364" s="148"/>
      <c r="AH364" s="87"/>
      <c r="AI364" s="87"/>
      <c r="AJ364" s="197"/>
      <c r="AK364" s="110" t="b">
        <v>0</v>
      </c>
      <c r="AL364" s="87" t="str" cm="1">
        <f t="array" ref="AL364">IF($A364="","",SUMPRODUCT((CHOOSE({1,2,3,4,5},$R364,$V364,$Z364,$AD364,$AH364)="Yes")*(((CHOOSE({1,2,3,4,5},$S364,$W364,$AA364,$AE364,$AI364)="Yes")+(CHOOSE({1,2,3,4,5},$S364,$W364,$AA364,$AE364,$AI364)=TRUE))&gt;0)))</f>
        <v/>
      </c>
      <c r="AM364" s="87"/>
      <c r="AN364" s="87" t="str">
        <f ca="1">IF(OR($A364="",$AM364=""),"",TODAY()-$AM364)</f>
        <v/>
      </c>
      <c r="AO364" s="87"/>
      <c r="AP364" s="106"/>
      <c r="AQ364" s="106"/>
      <c r="AR364" s="106"/>
      <c r="AS364" s="106"/>
      <c r="AT364" s="106"/>
      <c r="AU364" s="106"/>
      <c r="AV364" s="106"/>
      <c r="AW364" s="106"/>
      <c r="AX364" s="106"/>
      <c r="AY364" s="106"/>
    </row>
    <row r="365" spans="1:51" s="20" customFormat="1" ht="21" customHeight="1">
      <c r="A365" s="197"/>
      <c r="B365" s="87"/>
      <c r="C365" s="87"/>
      <c r="D365" s="196"/>
      <c r="E365" s="108"/>
      <c r="F365" s="196"/>
      <c r="G365" s="87"/>
      <c r="H365" s="197"/>
      <c r="I365" s="89"/>
      <c r="J365" s="204"/>
      <c r="K365" s="87"/>
      <c r="L365" s="87" t="str" cm="1">
        <f t="array" ref="L365">IF($A365="","",_xlfn.LET(_xlpm.stat,CHOOSE({1,2,3,4,5},$P365,$T365,$X365,$AB365,$AF365),_xlpm.rate,CHOOSE({1,2,3,4,5},$R365,$V365,$Z365,$AD365,$AH365),_xlpm.trn,CHOOSE({1,2,3,4,5},$S365,$W365,$AA365,$AE365,$AI365),_xlpm.nsC,SUMPRODUCT(--(_xlpm.stat="Ready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DLR",IF(AND(_xlpm.actRS&gt;0,_xlpm.actDone&lt;_xlpm.actRS),"Training",IF(_xlpm.actRS&gt;0,"Active",IF(AND(_xlpm.decC&gt;0,_xlpm.inPlay+_xlpm.actC=0),"Dead",IF(AND($AJ365&lt;&gt;"",$AK365=FALSE),"Waiting on Dealer",IF(_xlpm.subC&gt;0,"Waiting on Lender",IF(AND(_xlpm.appC+_xlpm.actC&gt;0,_xlpm.nsC+_xlpm.wdC=0),"Rate Sheet","Application Submitted")))))))))</f>
        <v/>
      </c>
      <c r="M365" s="87"/>
      <c r="N365" s="87"/>
      <c r="O365" s="197"/>
      <c r="P365" s="87" t="str">
        <f>IF($A365="","",IF($AK365=TRUE,"Ready 2 Submit","Waiting on Dealer"))</f>
        <v/>
      </c>
      <c r="Q365" s="148"/>
      <c r="R365" s="87"/>
      <c r="S365" s="87"/>
      <c r="T365" s="87" t="str">
        <f>IF($A365="","",IF($AK365=TRUE,"Ready 2 Submit","Waiting on Dealer"))</f>
        <v/>
      </c>
      <c r="U365" s="148"/>
      <c r="V365" s="87"/>
      <c r="W365" s="87"/>
      <c r="X365" s="87" t="str">
        <f>IF($A365="","",IF($AK365=TRUE,"Ready 2 Submit","Waiting on Dealer"))</f>
        <v/>
      </c>
      <c r="Y365" s="148"/>
      <c r="Z365" s="87"/>
      <c r="AA365" s="87"/>
      <c r="AB365" s="87" t="str">
        <f>IF($A365="","",IF($AK365=TRUE,"Ready 2 Submit","Waiting on Dealer"))</f>
        <v/>
      </c>
      <c r="AC365" s="148"/>
      <c r="AD365" s="87"/>
      <c r="AE365" s="87"/>
      <c r="AF365" s="87" t="str">
        <f>IF($A365="","",IF($AK365=TRUE,"Ready 2 Submit","Waiting on Dealer"))</f>
        <v/>
      </c>
      <c r="AG365" s="148"/>
      <c r="AH365" s="87"/>
      <c r="AI365" s="87"/>
      <c r="AJ365" s="197"/>
      <c r="AK365" s="110" t="b">
        <v>0</v>
      </c>
      <c r="AL365" s="87" t="str" cm="1">
        <f t="array" ref="AL365">IF($A365="","",SUMPRODUCT((CHOOSE({1,2,3,4,5},$R365,$V365,$Z365,$AD365,$AH365)="Yes")*(((CHOOSE({1,2,3,4,5},$S365,$W365,$AA365,$AE365,$AI365)="Yes")+(CHOOSE({1,2,3,4,5},$S365,$W365,$AA365,$AE365,$AI365)=TRUE))&gt;0)))</f>
        <v/>
      </c>
      <c r="AM365" s="87"/>
      <c r="AN365" s="87" t="str">
        <f ca="1">IF(OR($A365="",$AM365=""),"",TODAY()-$AM365)</f>
        <v/>
      </c>
      <c r="AO365" s="87"/>
      <c r="AP365" s="106"/>
      <c r="AQ365" s="106"/>
      <c r="AR365" s="106"/>
      <c r="AS365" s="106"/>
      <c r="AT365" s="106"/>
      <c r="AU365" s="106"/>
      <c r="AV365" s="106"/>
      <c r="AW365" s="106"/>
      <c r="AX365" s="106"/>
      <c r="AY365" s="106"/>
    </row>
    <row r="366" spans="1:51" s="20" customFormat="1" ht="21" customHeight="1">
      <c r="A366" s="197"/>
      <c r="B366" s="87"/>
      <c r="C366" s="87"/>
      <c r="D366" s="196"/>
      <c r="E366" s="108"/>
      <c r="F366" s="196"/>
      <c r="G366" s="87"/>
      <c r="H366" s="197"/>
      <c r="I366" s="89"/>
      <c r="J366" s="204"/>
      <c r="K366" s="87"/>
      <c r="L366" s="87" t="str" cm="1">
        <f t="array" ref="L366">IF($A366="","",_xlfn.LET(_xlpm.stat,CHOOSE({1,2,3,4,5},$P366,$T366,$X366,$AB366,$AF366),_xlpm.rate,CHOOSE({1,2,3,4,5},$R366,$V366,$Z366,$AD366,$AH366),_xlpm.trn,CHOOSE({1,2,3,4,5},$S366,$W366,$AA366,$AE366,$AI366),_xlpm.nsC,SUMPRODUCT(--(_xlpm.stat="Ready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DLR",IF(AND(_xlpm.actRS&gt;0,_xlpm.actDone&lt;_xlpm.actRS),"Training",IF(_xlpm.actRS&gt;0,"Active",IF(AND(_xlpm.decC&gt;0,_xlpm.inPlay+_xlpm.actC=0),"Dead",IF(AND($AJ366&lt;&gt;"",$AK366=FALSE),"Waiting on Dealer",IF(_xlpm.subC&gt;0,"Waiting on Lender",IF(AND(_xlpm.appC+_xlpm.actC&gt;0,_xlpm.nsC+_xlpm.wdC=0),"Rate Sheet","Application Submitted")))))))))</f>
        <v/>
      </c>
      <c r="M366" s="87"/>
      <c r="N366" s="87"/>
      <c r="O366" s="197"/>
      <c r="P366" s="87" t="str">
        <f>IF($A366="","",IF($AK366=TRUE,"Ready 2 Submit","Waiting on Dealer"))</f>
        <v/>
      </c>
      <c r="Q366" s="148"/>
      <c r="R366" s="87"/>
      <c r="S366" s="87"/>
      <c r="T366" s="87" t="str">
        <f>IF($A366="","",IF($AK366=TRUE,"Ready 2 Submit","Waiting on Dealer"))</f>
        <v/>
      </c>
      <c r="U366" s="148"/>
      <c r="V366" s="87"/>
      <c r="W366" s="87"/>
      <c r="X366" s="87" t="str">
        <f>IF($A366="","",IF($AK366=TRUE,"Ready 2 Submit","Waiting on Dealer"))</f>
        <v/>
      </c>
      <c r="Y366" s="148"/>
      <c r="Z366" s="87"/>
      <c r="AA366" s="87"/>
      <c r="AB366" s="87" t="str">
        <f>IF($A366="","",IF($AK366=TRUE,"Ready 2 Submit","Waiting on Dealer"))</f>
        <v/>
      </c>
      <c r="AC366" s="148"/>
      <c r="AD366" s="87"/>
      <c r="AE366" s="87"/>
      <c r="AF366" s="87" t="str">
        <f>IF($A366="","",IF($AK366=TRUE,"Ready 2 Submit","Waiting on Dealer"))</f>
        <v/>
      </c>
      <c r="AG366" s="148"/>
      <c r="AH366" s="87"/>
      <c r="AI366" s="87"/>
      <c r="AJ366" s="197"/>
      <c r="AK366" s="110" t="b">
        <v>0</v>
      </c>
      <c r="AL366" s="87" t="str" cm="1">
        <f t="array" ref="AL366">IF($A366="","",SUMPRODUCT((CHOOSE({1,2,3,4,5},$R366,$V366,$Z366,$AD366,$AH366)="Yes")*(((CHOOSE({1,2,3,4,5},$S366,$W366,$AA366,$AE366,$AI366)="Yes")+(CHOOSE({1,2,3,4,5},$S366,$W366,$AA366,$AE366,$AI366)=TRUE))&gt;0)))</f>
        <v/>
      </c>
      <c r="AM366" s="87"/>
      <c r="AN366" s="87" t="str">
        <f ca="1">IF(OR($A366="",$AM366=""),"",TODAY()-$AM366)</f>
        <v/>
      </c>
      <c r="AO366" s="87"/>
      <c r="AP366" s="106"/>
      <c r="AQ366" s="106"/>
      <c r="AR366" s="106"/>
      <c r="AS366" s="106"/>
      <c r="AT366" s="106"/>
      <c r="AU366" s="106"/>
      <c r="AV366" s="106"/>
      <c r="AW366" s="106"/>
      <c r="AX366" s="106"/>
      <c r="AY366" s="106"/>
    </row>
    <row r="367" spans="1:51" s="20" customFormat="1" ht="21" customHeight="1">
      <c r="A367" s="197"/>
      <c r="B367" s="87"/>
      <c r="C367" s="87"/>
      <c r="D367" s="196"/>
      <c r="E367" s="108"/>
      <c r="F367" s="196"/>
      <c r="G367" s="87"/>
      <c r="H367" s="197"/>
      <c r="I367" s="89"/>
      <c r="J367" s="204"/>
      <c r="K367" s="87"/>
      <c r="L367" s="87" t="str" cm="1">
        <f t="array" ref="L367">IF($A367="","",_xlfn.LET(_xlpm.stat,CHOOSE({1,2,3,4,5},$P367,$T367,$X367,$AB367,$AF367),_xlpm.rate,CHOOSE({1,2,3,4,5},$R367,$V367,$Z367,$AD367,$AH367),_xlpm.trn,CHOOSE({1,2,3,4,5},$S367,$W367,$AA367,$AE367,$AI367),_xlpm.nsC,SUMPRODUCT(--(_xlpm.stat="Ready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DLR",IF(AND(_xlpm.actRS&gt;0,_xlpm.actDone&lt;_xlpm.actRS),"Training",IF(_xlpm.actRS&gt;0,"Active",IF(AND(_xlpm.decC&gt;0,_xlpm.inPlay+_xlpm.actC=0),"Dead",IF(AND($AJ367&lt;&gt;"",$AK367=FALSE),"Waiting on Dealer",IF(_xlpm.subC&gt;0,"Waiting on Lender",IF(AND(_xlpm.appC+_xlpm.actC&gt;0,_xlpm.nsC+_xlpm.wdC=0),"Rate Sheet","Application Submitted")))))))))</f>
        <v/>
      </c>
      <c r="M367" s="87"/>
      <c r="N367" s="87"/>
      <c r="O367" s="197"/>
      <c r="P367" s="87" t="str">
        <f>IF($A367="","",IF($AK367=TRUE,"Ready 2 Submit","Waiting on Dealer"))</f>
        <v/>
      </c>
      <c r="Q367" s="148"/>
      <c r="R367" s="87"/>
      <c r="S367" s="87"/>
      <c r="T367" s="87" t="str">
        <f>IF($A367="","",IF($AK367=TRUE,"Ready 2 Submit","Waiting on Dealer"))</f>
        <v/>
      </c>
      <c r="U367" s="148"/>
      <c r="V367" s="87"/>
      <c r="W367" s="87"/>
      <c r="X367" s="87" t="str">
        <f>IF($A367="","",IF($AK367=TRUE,"Ready 2 Submit","Waiting on Dealer"))</f>
        <v/>
      </c>
      <c r="Y367" s="148"/>
      <c r="Z367" s="87"/>
      <c r="AA367" s="87"/>
      <c r="AB367" s="87" t="str">
        <f>IF($A367="","",IF($AK367=TRUE,"Ready 2 Submit","Waiting on Dealer"))</f>
        <v/>
      </c>
      <c r="AC367" s="148"/>
      <c r="AD367" s="87"/>
      <c r="AE367" s="87"/>
      <c r="AF367" s="87" t="str">
        <f>IF($A367="","",IF($AK367=TRUE,"Ready 2 Submit","Waiting on Dealer"))</f>
        <v/>
      </c>
      <c r="AG367" s="148"/>
      <c r="AH367" s="87"/>
      <c r="AI367" s="87"/>
      <c r="AJ367" s="197"/>
      <c r="AK367" s="110" t="b">
        <v>0</v>
      </c>
      <c r="AL367" s="87" t="str" cm="1">
        <f t="array" ref="AL367">IF($A367="","",SUMPRODUCT((CHOOSE({1,2,3,4,5},$R367,$V367,$Z367,$AD367,$AH367)="Yes")*(((CHOOSE({1,2,3,4,5},$S367,$W367,$AA367,$AE367,$AI367)="Yes")+(CHOOSE({1,2,3,4,5},$S367,$W367,$AA367,$AE367,$AI367)=TRUE))&gt;0)))</f>
        <v/>
      </c>
      <c r="AM367" s="87"/>
      <c r="AN367" s="87" t="str">
        <f ca="1">IF(OR($A367="",$AM367=""),"",TODAY()-$AM367)</f>
        <v/>
      </c>
      <c r="AO367" s="87"/>
      <c r="AP367" s="106"/>
      <c r="AQ367" s="106"/>
      <c r="AR367" s="106"/>
      <c r="AS367" s="106"/>
      <c r="AT367" s="106"/>
      <c r="AU367" s="106"/>
      <c r="AV367" s="106"/>
      <c r="AW367" s="106"/>
      <c r="AX367" s="106"/>
      <c r="AY367" s="106"/>
    </row>
    <row r="368" spans="1:51" s="20" customFormat="1" ht="21" customHeight="1">
      <c r="A368" s="197"/>
      <c r="B368" s="87"/>
      <c r="C368" s="87"/>
      <c r="D368" s="196"/>
      <c r="E368" s="108"/>
      <c r="F368" s="196"/>
      <c r="G368" s="87"/>
      <c r="H368" s="197"/>
      <c r="I368" s="89"/>
      <c r="J368" s="204"/>
      <c r="K368" s="87"/>
      <c r="L368" s="87" t="str" cm="1">
        <f t="array" ref="L368">IF($A368="","",_xlfn.LET(_xlpm.stat,CHOOSE({1,2,3,4,5},$P368,$T368,$X368,$AB368,$AF368),_xlpm.rate,CHOOSE({1,2,3,4,5},$R368,$V368,$Z368,$AD368,$AH368),_xlpm.trn,CHOOSE({1,2,3,4,5},$S368,$W368,$AA368,$AE368,$AI368),_xlpm.nsC,SUMPRODUCT(--(_xlpm.stat="Ready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DLR",IF(AND(_xlpm.actRS&gt;0,_xlpm.actDone&lt;_xlpm.actRS),"Training",IF(_xlpm.actRS&gt;0,"Active",IF(AND(_xlpm.decC&gt;0,_xlpm.inPlay+_xlpm.actC=0),"Dead",IF(AND($AJ368&lt;&gt;"",$AK368=FALSE),"Waiting on Dealer",IF(_xlpm.subC&gt;0,"Waiting on Lender",IF(AND(_xlpm.appC+_xlpm.actC&gt;0,_xlpm.nsC+_xlpm.wdC=0),"Rate Sheet","Application Submitted")))))))))</f>
        <v/>
      </c>
      <c r="M368" s="87"/>
      <c r="N368" s="87"/>
      <c r="O368" s="197"/>
      <c r="P368" s="87" t="str">
        <f>IF($A368="","",IF($AK368=TRUE,"Ready 2 Submit","Waiting on Dealer"))</f>
        <v/>
      </c>
      <c r="Q368" s="148"/>
      <c r="R368" s="87"/>
      <c r="S368" s="87"/>
      <c r="T368" s="87" t="str">
        <f>IF($A368="","",IF($AK368=TRUE,"Ready 2 Submit","Waiting on Dealer"))</f>
        <v/>
      </c>
      <c r="U368" s="148"/>
      <c r="V368" s="87"/>
      <c r="W368" s="87"/>
      <c r="X368" s="87" t="str">
        <f>IF($A368="","",IF($AK368=TRUE,"Ready 2 Submit","Waiting on Dealer"))</f>
        <v/>
      </c>
      <c r="Y368" s="148"/>
      <c r="Z368" s="87"/>
      <c r="AA368" s="87"/>
      <c r="AB368" s="87" t="str">
        <f>IF($A368="","",IF($AK368=TRUE,"Ready 2 Submit","Waiting on Dealer"))</f>
        <v/>
      </c>
      <c r="AC368" s="148"/>
      <c r="AD368" s="87"/>
      <c r="AE368" s="87"/>
      <c r="AF368" s="87" t="str">
        <f>IF($A368="","",IF($AK368=TRUE,"Ready 2 Submit","Waiting on Dealer"))</f>
        <v/>
      </c>
      <c r="AG368" s="148"/>
      <c r="AH368" s="87"/>
      <c r="AI368" s="87"/>
      <c r="AJ368" s="197"/>
      <c r="AK368" s="110" t="b">
        <v>0</v>
      </c>
      <c r="AL368" s="87" t="str" cm="1">
        <f t="array" ref="AL368">IF($A368="","",SUMPRODUCT((CHOOSE({1,2,3,4,5},$R368,$V368,$Z368,$AD368,$AH368)="Yes")*(((CHOOSE({1,2,3,4,5},$S368,$W368,$AA368,$AE368,$AI368)="Yes")+(CHOOSE({1,2,3,4,5},$S368,$W368,$AA368,$AE368,$AI368)=TRUE))&gt;0)))</f>
        <v/>
      </c>
      <c r="AM368" s="87"/>
      <c r="AN368" s="87" t="str">
        <f ca="1">IF(OR($A368="",$AM368=""),"",TODAY()-$AM368)</f>
        <v/>
      </c>
      <c r="AO368" s="87"/>
      <c r="AP368" s="106"/>
      <c r="AQ368" s="106"/>
      <c r="AR368" s="106"/>
      <c r="AS368" s="106"/>
      <c r="AT368" s="106"/>
      <c r="AU368" s="106"/>
      <c r="AV368" s="106"/>
      <c r="AW368" s="106"/>
      <c r="AX368" s="106"/>
      <c r="AY368" s="106"/>
    </row>
    <row r="369" spans="1:51" s="20" customFormat="1" ht="21" customHeight="1">
      <c r="A369" s="197"/>
      <c r="B369" s="87"/>
      <c r="C369" s="87"/>
      <c r="D369" s="196"/>
      <c r="E369" s="108"/>
      <c r="F369" s="196"/>
      <c r="G369" s="87"/>
      <c r="H369" s="197"/>
      <c r="I369" s="89"/>
      <c r="J369" s="204"/>
      <c r="K369" s="87"/>
      <c r="L369" s="87" t="str" cm="1">
        <f t="array" ref="L369">IF($A369="","",_xlfn.LET(_xlpm.stat,CHOOSE({1,2,3,4,5},$P369,$T369,$X369,$AB369,$AF369),_xlpm.rate,CHOOSE({1,2,3,4,5},$R369,$V369,$Z369,$AD369,$AH369),_xlpm.trn,CHOOSE({1,2,3,4,5},$S369,$W369,$AA369,$AE369,$AI369),_xlpm.nsC,SUMPRODUCT(--(_xlpm.stat="Ready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DLR",IF(AND(_xlpm.actRS&gt;0,_xlpm.actDone&lt;_xlpm.actRS),"Training",IF(_xlpm.actRS&gt;0,"Active",IF(AND(_xlpm.decC&gt;0,_xlpm.inPlay+_xlpm.actC=0),"Dead",IF(AND($AJ369&lt;&gt;"",$AK369=FALSE),"Waiting on Dealer",IF(_xlpm.subC&gt;0,"Waiting on Lender",IF(AND(_xlpm.appC+_xlpm.actC&gt;0,_xlpm.nsC+_xlpm.wdC=0),"Rate Sheet","Application Submitted")))))))))</f>
        <v/>
      </c>
      <c r="M369" s="87"/>
      <c r="N369" s="87"/>
      <c r="O369" s="197"/>
      <c r="P369" s="87" t="str">
        <f>IF($A369="","",IF($AK369=TRUE,"Ready 2 Submit","Waiting on Dealer"))</f>
        <v/>
      </c>
      <c r="Q369" s="148"/>
      <c r="R369" s="87"/>
      <c r="S369" s="87"/>
      <c r="T369" s="87" t="str">
        <f>IF($A369="","",IF($AK369=TRUE,"Ready 2 Submit","Waiting on Dealer"))</f>
        <v/>
      </c>
      <c r="U369" s="148"/>
      <c r="V369" s="87"/>
      <c r="W369" s="87"/>
      <c r="X369" s="87" t="str">
        <f>IF($A369="","",IF($AK369=TRUE,"Ready 2 Submit","Waiting on Dealer"))</f>
        <v/>
      </c>
      <c r="Y369" s="148"/>
      <c r="Z369" s="87"/>
      <c r="AA369" s="87"/>
      <c r="AB369" s="87" t="str">
        <f>IF($A369="","",IF($AK369=TRUE,"Ready 2 Submit","Waiting on Dealer"))</f>
        <v/>
      </c>
      <c r="AC369" s="148"/>
      <c r="AD369" s="87"/>
      <c r="AE369" s="87"/>
      <c r="AF369" s="87" t="str">
        <f>IF($A369="","",IF($AK369=TRUE,"Ready 2 Submit","Waiting on Dealer"))</f>
        <v/>
      </c>
      <c r="AG369" s="148"/>
      <c r="AH369" s="87"/>
      <c r="AI369" s="87"/>
      <c r="AJ369" s="197"/>
      <c r="AK369" s="110" t="b">
        <v>0</v>
      </c>
      <c r="AL369" s="87" t="str" cm="1">
        <f t="array" ref="AL369">IF($A369="","",SUMPRODUCT((CHOOSE({1,2,3,4,5},$R369,$V369,$Z369,$AD369,$AH369)="Yes")*(((CHOOSE({1,2,3,4,5},$S369,$W369,$AA369,$AE369,$AI369)="Yes")+(CHOOSE({1,2,3,4,5},$S369,$W369,$AA369,$AE369,$AI369)=TRUE))&gt;0)))</f>
        <v/>
      </c>
      <c r="AM369" s="87"/>
      <c r="AN369" s="87" t="str">
        <f ca="1">IF(OR($A369="",$AM369=""),"",TODAY()-$AM369)</f>
        <v/>
      </c>
      <c r="AO369" s="87"/>
      <c r="AP369" s="106"/>
      <c r="AQ369" s="106"/>
      <c r="AR369" s="106"/>
      <c r="AS369" s="106"/>
      <c r="AT369" s="106"/>
      <c r="AU369" s="106"/>
      <c r="AV369" s="106"/>
      <c r="AW369" s="106"/>
      <c r="AX369" s="106"/>
      <c r="AY369" s="106"/>
    </row>
    <row r="370" spans="1:51" s="20" customFormat="1" ht="21" customHeight="1">
      <c r="A370" s="197"/>
      <c r="B370" s="87"/>
      <c r="C370" s="87"/>
      <c r="D370" s="196"/>
      <c r="E370" s="108"/>
      <c r="F370" s="196"/>
      <c r="G370" s="87"/>
      <c r="H370" s="197"/>
      <c r="I370" s="89"/>
      <c r="J370" s="204"/>
      <c r="K370" s="87"/>
      <c r="L370" s="87" t="str" cm="1">
        <f t="array" ref="L370">IF($A370="","",_xlfn.LET(_xlpm.stat,CHOOSE({1,2,3,4,5},$P370,$T370,$X370,$AB370,$AF370),_xlpm.rate,CHOOSE({1,2,3,4,5},$R370,$V370,$Z370,$AD370,$AH370),_xlpm.trn,CHOOSE({1,2,3,4,5},$S370,$W370,$AA370,$AE370,$AI370),_xlpm.nsC,SUMPRODUCT(--(_xlpm.stat="Ready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DLR",IF(AND(_xlpm.actRS&gt;0,_xlpm.actDone&lt;_xlpm.actRS),"Training",IF(_xlpm.actRS&gt;0,"Active",IF(AND(_xlpm.decC&gt;0,_xlpm.inPlay+_xlpm.actC=0),"Dead",IF(AND($AJ370&lt;&gt;"",$AK370=FALSE),"Waiting on Dealer",IF(_xlpm.subC&gt;0,"Waiting on Lender",IF(AND(_xlpm.appC+_xlpm.actC&gt;0,_xlpm.nsC+_xlpm.wdC=0),"Rate Sheet","Application Submitted")))))))))</f>
        <v/>
      </c>
      <c r="M370" s="87"/>
      <c r="N370" s="87"/>
      <c r="O370" s="197"/>
      <c r="P370" s="87" t="str">
        <f>IF($A370="","",IF($AK370=TRUE,"Ready 2 Submit","Waiting on Dealer"))</f>
        <v/>
      </c>
      <c r="Q370" s="148"/>
      <c r="R370" s="87"/>
      <c r="S370" s="87"/>
      <c r="T370" s="87" t="str">
        <f>IF($A370="","",IF($AK370=TRUE,"Ready 2 Submit","Waiting on Dealer"))</f>
        <v/>
      </c>
      <c r="U370" s="148"/>
      <c r="V370" s="87"/>
      <c r="W370" s="87"/>
      <c r="X370" s="87" t="str">
        <f>IF($A370="","",IF($AK370=TRUE,"Ready 2 Submit","Waiting on Dealer"))</f>
        <v/>
      </c>
      <c r="Y370" s="148"/>
      <c r="Z370" s="87"/>
      <c r="AA370" s="87"/>
      <c r="AB370" s="87" t="str">
        <f>IF($A370="","",IF($AK370=TRUE,"Ready 2 Submit","Waiting on Dealer"))</f>
        <v/>
      </c>
      <c r="AC370" s="148"/>
      <c r="AD370" s="87"/>
      <c r="AE370" s="87"/>
      <c r="AF370" s="87" t="str">
        <f>IF($A370="","",IF($AK370=TRUE,"Ready 2 Submit","Waiting on Dealer"))</f>
        <v/>
      </c>
      <c r="AG370" s="148"/>
      <c r="AH370" s="87"/>
      <c r="AI370" s="87"/>
      <c r="AJ370" s="197"/>
      <c r="AK370" s="110" t="b">
        <v>0</v>
      </c>
      <c r="AL370" s="87" t="str" cm="1">
        <f t="array" ref="AL370">IF($A370="","",SUMPRODUCT((CHOOSE({1,2,3,4,5},$R370,$V370,$Z370,$AD370,$AH370)="Yes")*(((CHOOSE({1,2,3,4,5},$S370,$W370,$AA370,$AE370,$AI370)="Yes")+(CHOOSE({1,2,3,4,5},$S370,$W370,$AA370,$AE370,$AI370)=TRUE))&gt;0)))</f>
        <v/>
      </c>
      <c r="AM370" s="87"/>
      <c r="AN370" s="87" t="str">
        <f ca="1">IF(OR($A370="",$AM370=""),"",TODAY()-$AM370)</f>
        <v/>
      </c>
      <c r="AO370" s="87"/>
      <c r="AP370" s="106"/>
      <c r="AQ370" s="106"/>
      <c r="AR370" s="106"/>
      <c r="AS370" s="106"/>
      <c r="AT370" s="106"/>
      <c r="AU370" s="106"/>
      <c r="AV370" s="106"/>
      <c r="AW370" s="106"/>
      <c r="AX370" s="106"/>
      <c r="AY370" s="106"/>
    </row>
    <row r="371" spans="1:51" s="20" customFormat="1" ht="21" customHeight="1">
      <c r="A371" s="197"/>
      <c r="B371" s="87"/>
      <c r="C371" s="87"/>
      <c r="D371" s="196"/>
      <c r="E371" s="108"/>
      <c r="F371" s="196"/>
      <c r="G371" s="87"/>
      <c r="H371" s="197"/>
      <c r="I371" s="89"/>
      <c r="J371" s="204"/>
      <c r="K371" s="87"/>
      <c r="L371" s="87" t="str" cm="1">
        <f t="array" ref="L371">IF($A371="","",_xlfn.LET(_xlpm.stat,CHOOSE({1,2,3,4,5},$P371,$T371,$X371,$AB371,$AF371),_xlpm.rate,CHOOSE({1,2,3,4,5},$R371,$V371,$Z371,$AD371,$AH371),_xlpm.trn,CHOOSE({1,2,3,4,5},$S371,$W371,$AA371,$AE371,$AI371),_xlpm.nsC,SUMPRODUCT(--(_xlpm.stat="Ready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DLR",IF(AND(_xlpm.actRS&gt;0,_xlpm.actDone&lt;_xlpm.actRS),"Training",IF(_xlpm.actRS&gt;0,"Active",IF(AND(_xlpm.decC&gt;0,_xlpm.inPlay+_xlpm.actC=0),"Dead",IF(AND($AJ371&lt;&gt;"",$AK371=FALSE),"Waiting on Dealer",IF(_xlpm.subC&gt;0,"Waiting on Lender",IF(AND(_xlpm.appC+_xlpm.actC&gt;0,_xlpm.nsC+_xlpm.wdC=0),"Rate Sheet","Application Submitted")))))))))</f>
        <v/>
      </c>
      <c r="M371" s="87"/>
      <c r="N371" s="87"/>
      <c r="O371" s="197"/>
      <c r="P371" s="87" t="str">
        <f>IF($A371="","",IF($AK371=TRUE,"Ready 2 Submit","Waiting on Dealer"))</f>
        <v/>
      </c>
      <c r="Q371" s="148"/>
      <c r="R371" s="87"/>
      <c r="S371" s="87"/>
      <c r="T371" s="87" t="str">
        <f>IF($A371="","",IF($AK371=TRUE,"Ready 2 Submit","Waiting on Dealer"))</f>
        <v/>
      </c>
      <c r="U371" s="148"/>
      <c r="V371" s="87"/>
      <c r="W371" s="87"/>
      <c r="X371" s="87" t="str">
        <f>IF($A371="","",IF($AK371=TRUE,"Ready 2 Submit","Waiting on Dealer"))</f>
        <v/>
      </c>
      <c r="Y371" s="148"/>
      <c r="Z371" s="87"/>
      <c r="AA371" s="87"/>
      <c r="AB371" s="87" t="str">
        <f>IF($A371="","",IF($AK371=TRUE,"Ready 2 Submit","Waiting on Dealer"))</f>
        <v/>
      </c>
      <c r="AC371" s="148"/>
      <c r="AD371" s="87"/>
      <c r="AE371" s="87"/>
      <c r="AF371" s="87" t="str">
        <f>IF($A371="","",IF($AK371=TRUE,"Ready 2 Submit","Waiting on Dealer"))</f>
        <v/>
      </c>
      <c r="AG371" s="148"/>
      <c r="AH371" s="87"/>
      <c r="AI371" s="87"/>
      <c r="AJ371" s="197"/>
      <c r="AK371" s="110" t="b">
        <v>0</v>
      </c>
      <c r="AL371" s="87" t="str" cm="1">
        <f t="array" ref="AL371">IF($A371="","",SUMPRODUCT((CHOOSE({1,2,3,4,5},$R371,$V371,$Z371,$AD371,$AH371)="Yes")*(((CHOOSE({1,2,3,4,5},$S371,$W371,$AA371,$AE371,$AI371)="Yes")+(CHOOSE({1,2,3,4,5},$S371,$W371,$AA371,$AE371,$AI371)=TRUE))&gt;0)))</f>
        <v/>
      </c>
      <c r="AM371" s="87"/>
      <c r="AN371" s="87" t="str">
        <f ca="1">IF(OR($A371="",$AM371=""),"",TODAY()-$AM371)</f>
        <v/>
      </c>
      <c r="AO371" s="87"/>
      <c r="AP371" s="106"/>
      <c r="AQ371" s="106"/>
      <c r="AR371" s="106"/>
      <c r="AS371" s="106"/>
      <c r="AT371" s="106"/>
      <c r="AU371" s="106"/>
      <c r="AV371" s="106"/>
      <c r="AW371" s="106"/>
      <c r="AX371" s="106"/>
      <c r="AY371" s="106"/>
    </row>
    <row r="372" spans="1:51" s="20" customFormat="1" ht="21" customHeight="1">
      <c r="A372" s="197"/>
      <c r="B372" s="87"/>
      <c r="C372" s="87"/>
      <c r="D372" s="196"/>
      <c r="E372" s="108"/>
      <c r="F372" s="196"/>
      <c r="G372" s="87"/>
      <c r="H372" s="197"/>
      <c r="I372" s="89"/>
      <c r="J372" s="204"/>
      <c r="K372" s="87"/>
      <c r="L372" s="87" t="str" cm="1">
        <f t="array" ref="L372">IF($A372="","",_xlfn.LET(_xlpm.stat,CHOOSE({1,2,3,4,5},$P372,$T372,$X372,$AB372,$AF372),_xlpm.rate,CHOOSE({1,2,3,4,5},$R372,$V372,$Z372,$AD372,$AH372),_xlpm.trn,CHOOSE({1,2,3,4,5},$S372,$W372,$AA372,$AE372,$AI372),_xlpm.nsC,SUMPRODUCT(--(_xlpm.stat="Ready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DLR",IF(AND(_xlpm.actRS&gt;0,_xlpm.actDone&lt;_xlpm.actRS),"Training",IF(_xlpm.actRS&gt;0,"Active",IF(AND(_xlpm.decC&gt;0,_xlpm.inPlay+_xlpm.actC=0),"Dead",IF(AND($AJ372&lt;&gt;"",$AK372=FALSE),"Waiting on Dealer",IF(_xlpm.subC&gt;0,"Waiting on Lender",IF(AND(_xlpm.appC+_xlpm.actC&gt;0,_xlpm.nsC+_xlpm.wdC=0),"Rate Sheet","Application Submitted")))))))))</f>
        <v/>
      </c>
      <c r="M372" s="87"/>
      <c r="N372" s="87"/>
      <c r="O372" s="197"/>
      <c r="P372" s="87" t="str">
        <f>IF($A372="","",IF($AK372=TRUE,"Ready 2 Submit","Waiting on Dealer"))</f>
        <v/>
      </c>
      <c r="Q372" s="148"/>
      <c r="R372" s="87"/>
      <c r="S372" s="87"/>
      <c r="T372" s="87" t="str">
        <f>IF($A372="","",IF($AK372=TRUE,"Ready 2 Submit","Waiting on Dealer"))</f>
        <v/>
      </c>
      <c r="U372" s="148"/>
      <c r="V372" s="87"/>
      <c r="W372" s="87"/>
      <c r="X372" s="87" t="str">
        <f>IF($A372="","",IF($AK372=TRUE,"Ready 2 Submit","Waiting on Dealer"))</f>
        <v/>
      </c>
      <c r="Y372" s="148"/>
      <c r="Z372" s="87"/>
      <c r="AA372" s="87"/>
      <c r="AB372" s="87" t="str">
        <f>IF($A372="","",IF($AK372=TRUE,"Ready 2 Submit","Waiting on Dealer"))</f>
        <v/>
      </c>
      <c r="AC372" s="148"/>
      <c r="AD372" s="87"/>
      <c r="AE372" s="87"/>
      <c r="AF372" s="87" t="str">
        <f>IF($A372="","",IF($AK372=TRUE,"Ready 2 Submit","Waiting on Dealer"))</f>
        <v/>
      </c>
      <c r="AG372" s="148"/>
      <c r="AH372" s="87"/>
      <c r="AI372" s="87"/>
      <c r="AJ372" s="197"/>
      <c r="AK372" s="110" t="b">
        <v>0</v>
      </c>
      <c r="AL372" s="87" t="str" cm="1">
        <f t="array" ref="AL372">IF($A372="","",SUMPRODUCT((CHOOSE({1,2,3,4,5},$R372,$V372,$Z372,$AD372,$AH372)="Yes")*(((CHOOSE({1,2,3,4,5},$S372,$W372,$AA372,$AE372,$AI372)="Yes")+(CHOOSE({1,2,3,4,5},$S372,$W372,$AA372,$AE372,$AI372)=TRUE))&gt;0)))</f>
        <v/>
      </c>
      <c r="AM372" s="87"/>
      <c r="AN372" s="87" t="str">
        <f ca="1">IF(OR($A372="",$AM372=""),"",TODAY()-$AM372)</f>
        <v/>
      </c>
      <c r="AO372" s="87"/>
      <c r="AP372" s="106"/>
      <c r="AQ372" s="106"/>
      <c r="AR372" s="106"/>
      <c r="AS372" s="106"/>
      <c r="AT372" s="106"/>
      <c r="AU372" s="106"/>
      <c r="AV372" s="106"/>
      <c r="AW372" s="106"/>
      <c r="AX372" s="106"/>
      <c r="AY372" s="106"/>
    </row>
    <row r="373" spans="1:51" s="20" customFormat="1" ht="21" customHeight="1">
      <c r="A373" s="197"/>
      <c r="B373" s="87"/>
      <c r="C373" s="87"/>
      <c r="D373" s="196"/>
      <c r="E373" s="108"/>
      <c r="F373" s="196"/>
      <c r="G373" s="87"/>
      <c r="H373" s="197"/>
      <c r="I373" s="89"/>
      <c r="J373" s="204"/>
      <c r="K373" s="87"/>
      <c r="L373" s="87" t="str" cm="1">
        <f t="array" ref="L373">IF($A373="","",_xlfn.LET(_xlpm.stat,CHOOSE({1,2,3,4,5},$P373,$T373,$X373,$AB373,$AF373),_xlpm.rate,CHOOSE({1,2,3,4,5},$R373,$V373,$Z373,$AD373,$AH373),_xlpm.trn,CHOOSE({1,2,3,4,5},$S373,$W373,$AA373,$AE373,$AI373),_xlpm.nsC,SUMPRODUCT(--(_xlpm.stat="Ready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DLR",IF(AND(_xlpm.actRS&gt;0,_xlpm.actDone&lt;_xlpm.actRS),"Training",IF(_xlpm.actRS&gt;0,"Active",IF(AND(_xlpm.decC&gt;0,_xlpm.inPlay+_xlpm.actC=0),"Dead",IF(AND($AJ373&lt;&gt;"",$AK373=FALSE),"Waiting on Dealer",IF(_xlpm.subC&gt;0,"Waiting on Lender",IF(AND(_xlpm.appC+_xlpm.actC&gt;0,_xlpm.nsC+_xlpm.wdC=0),"Rate Sheet","Application Submitted")))))))))</f>
        <v/>
      </c>
      <c r="M373" s="87"/>
      <c r="N373" s="87"/>
      <c r="O373" s="197"/>
      <c r="P373" s="87" t="str">
        <f>IF($A373="","",IF($AK373=TRUE,"Ready 2 Submit","Waiting on Dealer"))</f>
        <v/>
      </c>
      <c r="Q373" s="148"/>
      <c r="R373" s="87"/>
      <c r="S373" s="87"/>
      <c r="T373" s="87" t="str">
        <f>IF($A373="","",IF($AK373=TRUE,"Ready 2 Submit","Waiting on Dealer"))</f>
        <v/>
      </c>
      <c r="U373" s="148"/>
      <c r="V373" s="87"/>
      <c r="W373" s="87"/>
      <c r="X373" s="87" t="str">
        <f>IF($A373="","",IF($AK373=TRUE,"Ready 2 Submit","Waiting on Dealer"))</f>
        <v/>
      </c>
      <c r="Y373" s="148"/>
      <c r="Z373" s="87"/>
      <c r="AA373" s="87"/>
      <c r="AB373" s="87" t="str">
        <f>IF($A373="","",IF($AK373=TRUE,"Ready 2 Submit","Waiting on Dealer"))</f>
        <v/>
      </c>
      <c r="AC373" s="148"/>
      <c r="AD373" s="87"/>
      <c r="AE373" s="87"/>
      <c r="AF373" s="87" t="str">
        <f>IF($A373="","",IF($AK373=TRUE,"Ready 2 Submit","Waiting on Dealer"))</f>
        <v/>
      </c>
      <c r="AG373" s="148"/>
      <c r="AH373" s="87"/>
      <c r="AI373" s="87"/>
      <c r="AJ373" s="197"/>
      <c r="AK373" s="110" t="b">
        <v>0</v>
      </c>
      <c r="AL373" s="87" t="str" cm="1">
        <f t="array" ref="AL373">IF($A373="","",SUMPRODUCT((CHOOSE({1,2,3,4,5},$R373,$V373,$Z373,$AD373,$AH373)="Yes")*(((CHOOSE({1,2,3,4,5},$S373,$W373,$AA373,$AE373,$AI373)="Yes")+(CHOOSE({1,2,3,4,5},$S373,$W373,$AA373,$AE373,$AI373)=TRUE))&gt;0)))</f>
        <v/>
      </c>
      <c r="AM373" s="87"/>
      <c r="AN373" s="87" t="str">
        <f ca="1">IF(OR($A373="",$AM373=""),"",TODAY()-$AM373)</f>
        <v/>
      </c>
      <c r="AO373" s="87"/>
      <c r="AP373" s="106"/>
      <c r="AQ373" s="106"/>
      <c r="AR373" s="106"/>
      <c r="AS373" s="106"/>
      <c r="AT373" s="106"/>
      <c r="AU373" s="106"/>
      <c r="AV373" s="106"/>
      <c r="AW373" s="106"/>
      <c r="AX373" s="106"/>
      <c r="AY373" s="106"/>
    </row>
    <row r="374" spans="1:51" s="20" customFormat="1" ht="21" customHeight="1">
      <c r="A374" s="197"/>
      <c r="B374" s="87"/>
      <c r="C374" s="87"/>
      <c r="D374" s="196"/>
      <c r="E374" s="108"/>
      <c r="F374" s="196"/>
      <c r="G374" s="87"/>
      <c r="H374" s="197"/>
      <c r="I374" s="89"/>
      <c r="J374" s="204"/>
      <c r="K374" s="87"/>
      <c r="L374" s="87" t="str" cm="1">
        <f t="array" ref="L374">IF($A374="","",_xlfn.LET(_xlpm.stat,CHOOSE({1,2,3,4,5},$P374,$T374,$X374,$AB374,$AF374),_xlpm.rate,CHOOSE({1,2,3,4,5},$R374,$V374,$Z374,$AD374,$AH374),_xlpm.trn,CHOOSE({1,2,3,4,5},$S374,$W374,$AA374,$AE374,$AI374),_xlpm.nsC,SUMPRODUCT(--(_xlpm.stat="Ready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DLR",IF(AND(_xlpm.actRS&gt;0,_xlpm.actDone&lt;_xlpm.actRS),"Training",IF(_xlpm.actRS&gt;0,"Active",IF(AND(_xlpm.decC&gt;0,_xlpm.inPlay+_xlpm.actC=0),"Dead",IF(AND($AJ374&lt;&gt;"",$AK374=FALSE),"Waiting on Dealer",IF(_xlpm.subC&gt;0,"Waiting on Lender",IF(AND(_xlpm.appC+_xlpm.actC&gt;0,_xlpm.nsC+_xlpm.wdC=0),"Rate Sheet","Application Submitted")))))))))</f>
        <v/>
      </c>
      <c r="M374" s="87"/>
      <c r="N374" s="87"/>
      <c r="O374" s="197"/>
      <c r="P374" s="87" t="str">
        <f>IF($A374="","",IF($AK374=TRUE,"Ready 2 Submit","Waiting on Dealer"))</f>
        <v/>
      </c>
      <c r="Q374" s="148"/>
      <c r="R374" s="87"/>
      <c r="S374" s="87"/>
      <c r="T374" s="87" t="str">
        <f>IF($A374="","",IF($AK374=TRUE,"Ready 2 Submit","Waiting on Dealer"))</f>
        <v/>
      </c>
      <c r="U374" s="148"/>
      <c r="V374" s="87"/>
      <c r="W374" s="87"/>
      <c r="X374" s="87" t="str">
        <f>IF($A374="","",IF($AK374=TRUE,"Ready 2 Submit","Waiting on Dealer"))</f>
        <v/>
      </c>
      <c r="Y374" s="148"/>
      <c r="Z374" s="87"/>
      <c r="AA374" s="87"/>
      <c r="AB374" s="87" t="str">
        <f>IF($A374="","",IF($AK374=TRUE,"Ready 2 Submit","Waiting on Dealer"))</f>
        <v/>
      </c>
      <c r="AC374" s="148"/>
      <c r="AD374" s="87"/>
      <c r="AE374" s="87"/>
      <c r="AF374" s="87" t="str">
        <f>IF($A374="","",IF($AK374=TRUE,"Ready 2 Submit","Waiting on Dealer"))</f>
        <v/>
      </c>
      <c r="AG374" s="148"/>
      <c r="AH374" s="87"/>
      <c r="AI374" s="87"/>
      <c r="AJ374" s="197"/>
      <c r="AK374" s="110" t="b">
        <v>0</v>
      </c>
      <c r="AL374" s="87" t="str" cm="1">
        <f t="array" ref="AL374">IF($A374="","",SUMPRODUCT((CHOOSE({1,2,3,4,5},$R374,$V374,$Z374,$AD374,$AH374)="Yes")*(((CHOOSE({1,2,3,4,5},$S374,$W374,$AA374,$AE374,$AI374)="Yes")+(CHOOSE({1,2,3,4,5},$S374,$W374,$AA374,$AE374,$AI374)=TRUE))&gt;0)))</f>
        <v/>
      </c>
      <c r="AM374" s="87"/>
      <c r="AN374" s="87" t="str">
        <f ca="1">IF(OR($A374="",$AM374=""),"",TODAY()-$AM374)</f>
        <v/>
      </c>
      <c r="AO374" s="87"/>
      <c r="AP374" s="106"/>
      <c r="AQ374" s="106"/>
      <c r="AR374" s="106"/>
      <c r="AS374" s="106"/>
      <c r="AT374" s="106"/>
      <c r="AU374" s="106"/>
      <c r="AV374" s="106"/>
      <c r="AW374" s="106"/>
      <c r="AX374" s="106"/>
      <c r="AY374" s="106"/>
    </row>
    <row r="375" spans="1:51" s="20" customFormat="1" ht="21" customHeight="1">
      <c r="A375" s="197"/>
      <c r="B375" s="87"/>
      <c r="C375" s="87"/>
      <c r="D375" s="196"/>
      <c r="E375" s="108"/>
      <c r="F375" s="196"/>
      <c r="G375" s="87"/>
      <c r="H375" s="197"/>
      <c r="I375" s="89"/>
      <c r="J375" s="204"/>
      <c r="K375" s="87"/>
      <c r="L375" s="87" t="str" cm="1">
        <f t="array" ref="L375">IF($A375="","",_xlfn.LET(_xlpm.stat,CHOOSE({1,2,3,4,5},$P375,$T375,$X375,$AB375,$AF375),_xlpm.rate,CHOOSE({1,2,3,4,5},$R375,$V375,$Z375,$AD375,$AH375),_xlpm.trn,CHOOSE({1,2,3,4,5},$S375,$W375,$AA375,$AE375,$AI375),_xlpm.nsC,SUMPRODUCT(--(_xlpm.stat="Ready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DLR",IF(AND(_xlpm.actRS&gt;0,_xlpm.actDone&lt;_xlpm.actRS),"Training",IF(_xlpm.actRS&gt;0,"Active",IF(AND(_xlpm.decC&gt;0,_xlpm.inPlay+_xlpm.actC=0),"Dead",IF(AND($AJ375&lt;&gt;"",$AK375=FALSE),"Waiting on Dealer",IF(_xlpm.subC&gt;0,"Waiting on Lender",IF(AND(_xlpm.appC+_xlpm.actC&gt;0,_xlpm.nsC+_xlpm.wdC=0),"Rate Sheet","Application Submitted")))))))))</f>
        <v/>
      </c>
      <c r="M375" s="87"/>
      <c r="N375" s="87"/>
      <c r="O375" s="197"/>
      <c r="P375" s="87" t="str">
        <f>IF($A375="","",IF($AK375=TRUE,"Ready 2 Submit","Waiting on Dealer"))</f>
        <v/>
      </c>
      <c r="Q375" s="148"/>
      <c r="R375" s="87"/>
      <c r="S375" s="87"/>
      <c r="T375" s="87" t="str">
        <f>IF($A375="","",IF($AK375=TRUE,"Ready 2 Submit","Waiting on Dealer"))</f>
        <v/>
      </c>
      <c r="U375" s="148"/>
      <c r="V375" s="87"/>
      <c r="W375" s="87"/>
      <c r="X375" s="87" t="str">
        <f>IF($A375="","",IF($AK375=TRUE,"Ready 2 Submit","Waiting on Dealer"))</f>
        <v/>
      </c>
      <c r="Y375" s="148"/>
      <c r="Z375" s="87"/>
      <c r="AA375" s="87"/>
      <c r="AB375" s="87" t="str">
        <f>IF($A375="","",IF($AK375=TRUE,"Ready 2 Submit","Waiting on Dealer"))</f>
        <v/>
      </c>
      <c r="AC375" s="148"/>
      <c r="AD375" s="87"/>
      <c r="AE375" s="87"/>
      <c r="AF375" s="87" t="str">
        <f>IF($A375="","",IF($AK375=TRUE,"Ready 2 Submit","Waiting on Dealer"))</f>
        <v/>
      </c>
      <c r="AG375" s="148"/>
      <c r="AH375" s="87"/>
      <c r="AI375" s="87"/>
      <c r="AJ375" s="197"/>
      <c r="AK375" s="110" t="b">
        <v>0</v>
      </c>
      <c r="AL375" s="87" t="str" cm="1">
        <f t="array" ref="AL375">IF($A375="","",SUMPRODUCT((CHOOSE({1,2,3,4,5},$R375,$V375,$Z375,$AD375,$AH375)="Yes")*(((CHOOSE({1,2,3,4,5},$S375,$W375,$AA375,$AE375,$AI375)="Yes")+(CHOOSE({1,2,3,4,5},$S375,$W375,$AA375,$AE375,$AI375)=TRUE))&gt;0)))</f>
        <v/>
      </c>
      <c r="AM375" s="87"/>
      <c r="AN375" s="87" t="str">
        <f ca="1">IF(OR($A375="",$AM375=""),"",TODAY()-$AM375)</f>
        <v/>
      </c>
      <c r="AO375" s="87"/>
      <c r="AP375" s="106"/>
      <c r="AQ375" s="106"/>
      <c r="AR375" s="106"/>
      <c r="AS375" s="106"/>
      <c r="AT375" s="106"/>
      <c r="AU375" s="106"/>
      <c r="AV375" s="106"/>
      <c r="AW375" s="106"/>
      <c r="AX375" s="106"/>
      <c r="AY375" s="106"/>
    </row>
    <row r="376" spans="1:51" s="20" customFormat="1" ht="21" customHeight="1">
      <c r="A376" s="197"/>
      <c r="B376" s="87"/>
      <c r="C376" s="87"/>
      <c r="D376" s="196"/>
      <c r="E376" s="108"/>
      <c r="F376" s="196"/>
      <c r="G376" s="87"/>
      <c r="H376" s="197"/>
      <c r="I376" s="89"/>
      <c r="J376" s="204"/>
      <c r="K376" s="87"/>
      <c r="L376" s="87" t="str" cm="1">
        <f t="array" ref="L376">IF($A376="","",_xlfn.LET(_xlpm.stat,CHOOSE({1,2,3,4,5},$P376,$T376,$X376,$AB376,$AF376),_xlpm.rate,CHOOSE({1,2,3,4,5},$R376,$V376,$Z376,$AD376,$AH376),_xlpm.trn,CHOOSE({1,2,3,4,5},$S376,$W376,$AA376,$AE376,$AI376),_xlpm.nsC,SUMPRODUCT(--(_xlpm.stat="Ready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DLR",IF(AND(_xlpm.actRS&gt;0,_xlpm.actDone&lt;_xlpm.actRS),"Training",IF(_xlpm.actRS&gt;0,"Active",IF(AND(_xlpm.decC&gt;0,_xlpm.inPlay+_xlpm.actC=0),"Dead",IF(AND($AJ376&lt;&gt;"",$AK376=FALSE),"Waiting on Dealer",IF(_xlpm.subC&gt;0,"Waiting on Lender",IF(AND(_xlpm.appC+_xlpm.actC&gt;0,_xlpm.nsC+_xlpm.wdC=0),"Rate Sheet","Application Submitted")))))))))</f>
        <v/>
      </c>
      <c r="M376" s="87"/>
      <c r="N376" s="87"/>
      <c r="O376" s="197"/>
      <c r="P376" s="87" t="str">
        <f>IF($A376="","",IF($AK376=TRUE,"Ready 2 Submit","Waiting on Dealer"))</f>
        <v/>
      </c>
      <c r="Q376" s="148"/>
      <c r="R376" s="87"/>
      <c r="S376" s="87"/>
      <c r="T376" s="87" t="str">
        <f>IF($A376="","",IF($AK376=TRUE,"Ready 2 Submit","Waiting on Dealer"))</f>
        <v/>
      </c>
      <c r="U376" s="148"/>
      <c r="V376" s="87"/>
      <c r="W376" s="87"/>
      <c r="X376" s="87" t="str">
        <f>IF($A376="","",IF($AK376=TRUE,"Ready 2 Submit","Waiting on Dealer"))</f>
        <v/>
      </c>
      <c r="Y376" s="148"/>
      <c r="Z376" s="87"/>
      <c r="AA376" s="87"/>
      <c r="AB376" s="87" t="str">
        <f>IF($A376="","",IF($AK376=TRUE,"Ready 2 Submit","Waiting on Dealer"))</f>
        <v/>
      </c>
      <c r="AC376" s="148"/>
      <c r="AD376" s="87"/>
      <c r="AE376" s="87"/>
      <c r="AF376" s="87" t="str">
        <f>IF($A376="","",IF($AK376=TRUE,"Ready 2 Submit","Waiting on Dealer"))</f>
        <v/>
      </c>
      <c r="AG376" s="148"/>
      <c r="AH376" s="87"/>
      <c r="AI376" s="87"/>
      <c r="AJ376" s="197"/>
      <c r="AK376" s="110" t="b">
        <v>0</v>
      </c>
      <c r="AL376" s="87" t="str" cm="1">
        <f t="array" ref="AL376">IF($A376="","",SUMPRODUCT((CHOOSE({1,2,3,4,5},$R376,$V376,$Z376,$AD376,$AH376)="Yes")*(((CHOOSE({1,2,3,4,5},$S376,$W376,$AA376,$AE376,$AI376)="Yes")+(CHOOSE({1,2,3,4,5},$S376,$W376,$AA376,$AE376,$AI376)=TRUE))&gt;0)))</f>
        <v/>
      </c>
      <c r="AM376" s="87"/>
      <c r="AN376" s="87" t="str">
        <f ca="1">IF(OR($A376="",$AM376=""),"",TODAY()-$AM376)</f>
        <v/>
      </c>
      <c r="AO376" s="87"/>
      <c r="AP376" s="106"/>
      <c r="AQ376" s="106"/>
      <c r="AR376" s="106"/>
      <c r="AS376" s="106"/>
      <c r="AT376" s="106"/>
      <c r="AU376" s="106"/>
      <c r="AV376" s="106"/>
      <c r="AW376" s="106"/>
      <c r="AX376" s="106"/>
      <c r="AY376" s="106"/>
    </row>
    <row r="377" spans="1:51" s="20" customFormat="1" ht="21" customHeight="1">
      <c r="A377" s="197"/>
      <c r="B377" s="87"/>
      <c r="C377" s="87"/>
      <c r="D377" s="196"/>
      <c r="E377" s="108"/>
      <c r="F377" s="196"/>
      <c r="G377" s="87"/>
      <c r="H377" s="197"/>
      <c r="I377" s="89"/>
      <c r="J377" s="204"/>
      <c r="K377" s="87"/>
      <c r="L377" s="87" t="str" cm="1">
        <f t="array" ref="L377">IF($A377="","",_xlfn.LET(_xlpm.stat,CHOOSE({1,2,3,4,5},$P377,$T377,$X377,$AB377,$AF377),_xlpm.rate,CHOOSE({1,2,3,4,5},$R377,$V377,$Z377,$AD377,$AH377),_xlpm.trn,CHOOSE({1,2,3,4,5},$S377,$W377,$AA377,$AE377,$AI377),_xlpm.nsC,SUMPRODUCT(--(_xlpm.stat="Ready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DLR",IF(AND(_xlpm.actRS&gt;0,_xlpm.actDone&lt;_xlpm.actRS),"Training",IF(_xlpm.actRS&gt;0,"Active",IF(AND(_xlpm.decC&gt;0,_xlpm.inPlay+_xlpm.actC=0),"Dead",IF(AND($AJ377&lt;&gt;"",$AK377=FALSE),"Waiting on Dealer",IF(_xlpm.subC&gt;0,"Waiting on Lender",IF(AND(_xlpm.appC+_xlpm.actC&gt;0,_xlpm.nsC+_xlpm.wdC=0),"Rate Sheet","Application Submitted")))))))))</f>
        <v/>
      </c>
      <c r="M377" s="87"/>
      <c r="N377" s="87"/>
      <c r="O377" s="197"/>
      <c r="P377" s="87" t="str">
        <f>IF($A377="","",IF($AK377=TRUE,"Ready 2 Submit","Waiting on Dealer"))</f>
        <v/>
      </c>
      <c r="Q377" s="148"/>
      <c r="R377" s="87"/>
      <c r="S377" s="87"/>
      <c r="T377" s="87" t="str">
        <f>IF($A377="","",IF($AK377=TRUE,"Ready 2 Submit","Waiting on Dealer"))</f>
        <v/>
      </c>
      <c r="U377" s="148"/>
      <c r="V377" s="87"/>
      <c r="W377" s="87"/>
      <c r="X377" s="87" t="str">
        <f>IF($A377="","",IF($AK377=TRUE,"Ready 2 Submit","Waiting on Dealer"))</f>
        <v/>
      </c>
      <c r="Y377" s="148"/>
      <c r="Z377" s="87"/>
      <c r="AA377" s="87"/>
      <c r="AB377" s="87" t="str">
        <f>IF($A377="","",IF($AK377=TRUE,"Ready 2 Submit","Waiting on Dealer"))</f>
        <v/>
      </c>
      <c r="AC377" s="148"/>
      <c r="AD377" s="87"/>
      <c r="AE377" s="87"/>
      <c r="AF377" s="87" t="str">
        <f>IF($A377="","",IF($AK377=TRUE,"Ready 2 Submit","Waiting on Dealer"))</f>
        <v/>
      </c>
      <c r="AG377" s="148"/>
      <c r="AH377" s="87"/>
      <c r="AI377" s="87"/>
      <c r="AJ377" s="197"/>
      <c r="AK377" s="110" t="b">
        <v>0</v>
      </c>
      <c r="AL377" s="87" t="str" cm="1">
        <f t="array" ref="AL377">IF($A377="","",SUMPRODUCT((CHOOSE({1,2,3,4,5},$R377,$V377,$Z377,$AD377,$AH377)="Yes")*(((CHOOSE({1,2,3,4,5},$S377,$W377,$AA377,$AE377,$AI377)="Yes")+(CHOOSE({1,2,3,4,5},$S377,$W377,$AA377,$AE377,$AI377)=TRUE))&gt;0)))</f>
        <v/>
      </c>
      <c r="AM377" s="87"/>
      <c r="AN377" s="87" t="str">
        <f ca="1">IF(OR($A377="",$AM377=""),"",TODAY()-$AM377)</f>
        <v/>
      </c>
      <c r="AO377" s="87"/>
      <c r="AP377" s="106"/>
      <c r="AQ377" s="106"/>
      <c r="AR377" s="106"/>
      <c r="AS377" s="106"/>
      <c r="AT377" s="106"/>
      <c r="AU377" s="106"/>
      <c r="AV377" s="106"/>
      <c r="AW377" s="106"/>
      <c r="AX377" s="106"/>
      <c r="AY377" s="106"/>
    </row>
    <row r="378" spans="1:51" s="20" customFormat="1" ht="21" customHeight="1">
      <c r="A378" s="197"/>
      <c r="B378" s="87"/>
      <c r="C378" s="87"/>
      <c r="D378" s="196"/>
      <c r="E378" s="108"/>
      <c r="F378" s="196"/>
      <c r="G378" s="87"/>
      <c r="H378" s="197"/>
      <c r="I378" s="89"/>
      <c r="J378" s="204"/>
      <c r="K378" s="87"/>
      <c r="L378" s="87" t="str" cm="1">
        <f t="array" ref="L378">IF($A378="","",_xlfn.LET(_xlpm.stat,CHOOSE({1,2,3,4,5},$P378,$T378,$X378,$AB378,$AF378),_xlpm.rate,CHOOSE({1,2,3,4,5},$R378,$V378,$Z378,$AD378,$AH378),_xlpm.trn,CHOOSE({1,2,3,4,5},$S378,$W378,$AA378,$AE378,$AI378),_xlpm.nsC,SUMPRODUCT(--(_xlpm.stat="Ready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DLR",IF(AND(_xlpm.actRS&gt;0,_xlpm.actDone&lt;_xlpm.actRS),"Training",IF(_xlpm.actRS&gt;0,"Active",IF(AND(_xlpm.decC&gt;0,_xlpm.inPlay+_xlpm.actC=0),"Dead",IF(AND($AJ378&lt;&gt;"",$AK378=FALSE),"Waiting on Dealer",IF(_xlpm.subC&gt;0,"Waiting on Lender",IF(AND(_xlpm.appC+_xlpm.actC&gt;0,_xlpm.nsC+_xlpm.wdC=0),"Rate Sheet","Application Submitted")))))))))</f>
        <v/>
      </c>
      <c r="M378" s="87"/>
      <c r="N378" s="87"/>
      <c r="O378" s="197"/>
      <c r="P378" s="87" t="str">
        <f>IF($A378="","",IF($AK378=TRUE,"Ready 2 Submit","Waiting on Dealer"))</f>
        <v/>
      </c>
      <c r="Q378" s="148"/>
      <c r="R378" s="87"/>
      <c r="S378" s="87"/>
      <c r="T378" s="87" t="str">
        <f>IF($A378="","",IF($AK378=TRUE,"Ready 2 Submit","Waiting on Dealer"))</f>
        <v/>
      </c>
      <c r="U378" s="148"/>
      <c r="V378" s="87"/>
      <c r="W378" s="87"/>
      <c r="X378" s="87" t="str">
        <f>IF($A378="","",IF($AK378=TRUE,"Ready 2 Submit","Waiting on Dealer"))</f>
        <v/>
      </c>
      <c r="Y378" s="148"/>
      <c r="Z378" s="87"/>
      <c r="AA378" s="87"/>
      <c r="AB378" s="87" t="str">
        <f>IF($A378="","",IF($AK378=TRUE,"Ready 2 Submit","Waiting on Dealer"))</f>
        <v/>
      </c>
      <c r="AC378" s="148"/>
      <c r="AD378" s="87"/>
      <c r="AE378" s="87"/>
      <c r="AF378" s="87" t="str">
        <f>IF($A378="","",IF($AK378=TRUE,"Ready 2 Submit","Waiting on Dealer"))</f>
        <v/>
      </c>
      <c r="AG378" s="148"/>
      <c r="AH378" s="87"/>
      <c r="AI378" s="87"/>
      <c r="AJ378" s="197"/>
      <c r="AK378" s="110" t="b">
        <v>0</v>
      </c>
      <c r="AL378" s="87" t="str" cm="1">
        <f t="array" ref="AL378">IF($A378="","",SUMPRODUCT((CHOOSE({1,2,3,4,5},$R378,$V378,$Z378,$AD378,$AH378)="Yes")*(((CHOOSE({1,2,3,4,5},$S378,$W378,$AA378,$AE378,$AI378)="Yes")+(CHOOSE({1,2,3,4,5},$S378,$W378,$AA378,$AE378,$AI378)=TRUE))&gt;0)))</f>
        <v/>
      </c>
      <c r="AM378" s="87"/>
      <c r="AN378" s="87" t="str">
        <f ca="1">IF(OR($A378="",$AM378=""),"",TODAY()-$AM378)</f>
        <v/>
      </c>
      <c r="AO378" s="87"/>
      <c r="AP378" s="106"/>
      <c r="AQ378" s="106"/>
      <c r="AR378" s="106"/>
      <c r="AS378" s="106"/>
      <c r="AT378" s="106"/>
      <c r="AU378" s="106"/>
      <c r="AV378" s="106"/>
      <c r="AW378" s="106"/>
      <c r="AX378" s="106"/>
      <c r="AY378" s="106"/>
    </row>
    <row r="379" spans="1:51" s="20" customFormat="1" ht="21" customHeight="1">
      <c r="A379" s="197"/>
      <c r="B379" s="87"/>
      <c r="C379" s="87"/>
      <c r="D379" s="196"/>
      <c r="E379" s="108"/>
      <c r="F379" s="196"/>
      <c r="G379" s="87"/>
      <c r="H379" s="197"/>
      <c r="I379" s="89"/>
      <c r="J379" s="204"/>
      <c r="K379" s="87"/>
      <c r="L379" s="87" t="str" cm="1">
        <f t="array" ref="L379">IF($A379="","",_xlfn.LET(_xlpm.stat,CHOOSE({1,2,3,4,5},$P379,$T379,$X379,$AB379,$AF379),_xlpm.rate,CHOOSE({1,2,3,4,5},$R379,$V379,$Z379,$AD379,$AH379),_xlpm.trn,CHOOSE({1,2,3,4,5},$S379,$W379,$AA379,$AE379,$AI379),_xlpm.nsC,SUMPRODUCT(--(_xlpm.stat="Ready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DLR",IF(AND(_xlpm.actRS&gt;0,_xlpm.actDone&lt;_xlpm.actRS),"Training",IF(_xlpm.actRS&gt;0,"Active",IF(AND(_xlpm.decC&gt;0,_xlpm.inPlay+_xlpm.actC=0),"Dead",IF(AND($AJ379&lt;&gt;"",$AK379=FALSE),"Waiting on Dealer",IF(_xlpm.subC&gt;0,"Waiting on Lender",IF(AND(_xlpm.appC+_xlpm.actC&gt;0,_xlpm.nsC+_xlpm.wdC=0),"Rate Sheet","Application Submitted")))))))))</f>
        <v/>
      </c>
      <c r="M379" s="87"/>
      <c r="N379" s="87"/>
      <c r="O379" s="197"/>
      <c r="P379" s="87" t="str">
        <f>IF($A379="","",IF($AK379=TRUE,"Ready 2 Submit","Waiting on Dealer"))</f>
        <v/>
      </c>
      <c r="Q379" s="148"/>
      <c r="R379" s="87"/>
      <c r="S379" s="87"/>
      <c r="T379" s="87" t="str">
        <f>IF($A379="","",IF($AK379=TRUE,"Ready 2 Submit","Waiting on Dealer"))</f>
        <v/>
      </c>
      <c r="U379" s="148"/>
      <c r="V379" s="87"/>
      <c r="W379" s="87"/>
      <c r="X379" s="87" t="str">
        <f>IF($A379="","",IF($AK379=TRUE,"Ready 2 Submit","Waiting on Dealer"))</f>
        <v/>
      </c>
      <c r="Y379" s="148"/>
      <c r="Z379" s="87"/>
      <c r="AA379" s="87"/>
      <c r="AB379" s="87" t="str">
        <f>IF($A379="","",IF($AK379=TRUE,"Ready 2 Submit","Waiting on Dealer"))</f>
        <v/>
      </c>
      <c r="AC379" s="148"/>
      <c r="AD379" s="87"/>
      <c r="AE379" s="87"/>
      <c r="AF379" s="87" t="str">
        <f>IF($A379="","",IF($AK379=TRUE,"Ready 2 Submit","Waiting on Dealer"))</f>
        <v/>
      </c>
      <c r="AG379" s="148"/>
      <c r="AH379" s="87"/>
      <c r="AI379" s="87"/>
      <c r="AJ379" s="197"/>
      <c r="AK379" s="110" t="b">
        <v>0</v>
      </c>
      <c r="AL379" s="87" t="str" cm="1">
        <f t="array" ref="AL379">IF($A379="","",SUMPRODUCT((CHOOSE({1,2,3,4,5},$R379,$V379,$Z379,$AD379,$AH379)="Yes")*(((CHOOSE({1,2,3,4,5},$S379,$W379,$AA379,$AE379,$AI379)="Yes")+(CHOOSE({1,2,3,4,5},$S379,$W379,$AA379,$AE379,$AI379)=TRUE))&gt;0)))</f>
        <v/>
      </c>
      <c r="AM379" s="87"/>
      <c r="AN379" s="87" t="str">
        <f ca="1">IF(OR($A379="",$AM379=""),"",TODAY()-$AM379)</f>
        <v/>
      </c>
      <c r="AO379" s="87"/>
      <c r="AP379" s="106"/>
      <c r="AQ379" s="106"/>
      <c r="AR379" s="106"/>
      <c r="AS379" s="106"/>
      <c r="AT379" s="106"/>
      <c r="AU379" s="106"/>
      <c r="AV379" s="106"/>
      <c r="AW379" s="106"/>
      <c r="AX379" s="106"/>
      <c r="AY379" s="106"/>
    </row>
    <row r="380" spans="1:51" s="20" customFormat="1" ht="21" customHeight="1">
      <c r="A380" s="197"/>
      <c r="B380" s="87"/>
      <c r="C380" s="87"/>
      <c r="D380" s="196"/>
      <c r="E380" s="108"/>
      <c r="F380" s="196"/>
      <c r="G380" s="87"/>
      <c r="H380" s="197"/>
      <c r="I380" s="89"/>
      <c r="J380" s="204"/>
      <c r="K380" s="87"/>
      <c r="L380" s="87" t="str" cm="1">
        <f t="array" ref="L380">IF($A380="","",_xlfn.LET(_xlpm.stat,CHOOSE({1,2,3,4,5},$P380,$T380,$X380,$AB380,$AF380),_xlpm.rate,CHOOSE({1,2,3,4,5},$R380,$V380,$Z380,$AD380,$AH380),_xlpm.trn,CHOOSE({1,2,3,4,5},$S380,$W380,$AA380,$AE380,$AI380),_xlpm.nsC,SUMPRODUCT(--(_xlpm.stat="Ready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DLR",IF(AND(_xlpm.actRS&gt;0,_xlpm.actDone&lt;_xlpm.actRS),"Training",IF(_xlpm.actRS&gt;0,"Active",IF(AND(_xlpm.decC&gt;0,_xlpm.inPlay+_xlpm.actC=0),"Dead",IF(AND($AJ380&lt;&gt;"",$AK380=FALSE),"Waiting on Dealer",IF(_xlpm.subC&gt;0,"Waiting on Lender",IF(AND(_xlpm.appC+_xlpm.actC&gt;0,_xlpm.nsC+_xlpm.wdC=0),"Rate Sheet","Application Submitted")))))))))</f>
        <v/>
      </c>
      <c r="M380" s="87"/>
      <c r="N380" s="87"/>
      <c r="O380" s="197"/>
      <c r="P380" s="87" t="str">
        <f>IF($A380="","",IF($AK380=TRUE,"Ready 2 Submit","Waiting on Dealer"))</f>
        <v/>
      </c>
      <c r="Q380" s="148"/>
      <c r="R380" s="87"/>
      <c r="S380" s="87"/>
      <c r="T380" s="87" t="str">
        <f>IF($A380="","",IF($AK380=TRUE,"Ready 2 Submit","Waiting on Dealer"))</f>
        <v/>
      </c>
      <c r="U380" s="148"/>
      <c r="V380" s="87"/>
      <c r="W380" s="87"/>
      <c r="X380" s="87" t="str">
        <f>IF($A380="","",IF($AK380=TRUE,"Ready 2 Submit","Waiting on Dealer"))</f>
        <v/>
      </c>
      <c r="Y380" s="148"/>
      <c r="Z380" s="87"/>
      <c r="AA380" s="87"/>
      <c r="AB380" s="87" t="str">
        <f>IF($A380="","",IF($AK380=TRUE,"Ready 2 Submit","Waiting on Dealer"))</f>
        <v/>
      </c>
      <c r="AC380" s="148"/>
      <c r="AD380" s="87"/>
      <c r="AE380" s="87"/>
      <c r="AF380" s="87" t="str">
        <f>IF($A380="","",IF($AK380=TRUE,"Ready 2 Submit","Waiting on Dealer"))</f>
        <v/>
      </c>
      <c r="AG380" s="148"/>
      <c r="AH380" s="87"/>
      <c r="AI380" s="87"/>
      <c r="AJ380" s="197"/>
      <c r="AK380" s="110" t="b">
        <v>0</v>
      </c>
      <c r="AL380" s="87" t="str" cm="1">
        <f t="array" ref="AL380">IF($A380="","",SUMPRODUCT((CHOOSE({1,2,3,4,5},$R380,$V380,$Z380,$AD380,$AH380)="Yes")*(((CHOOSE({1,2,3,4,5},$S380,$W380,$AA380,$AE380,$AI380)="Yes")+(CHOOSE({1,2,3,4,5},$S380,$W380,$AA380,$AE380,$AI380)=TRUE))&gt;0)))</f>
        <v/>
      </c>
      <c r="AM380" s="87"/>
      <c r="AN380" s="87" t="str">
        <f ca="1">IF(OR($A380="",$AM380=""),"",TODAY()-$AM380)</f>
        <v/>
      </c>
      <c r="AO380" s="87"/>
      <c r="AP380" s="106"/>
      <c r="AQ380" s="106"/>
      <c r="AR380" s="106"/>
      <c r="AS380" s="106"/>
      <c r="AT380" s="106"/>
      <c r="AU380" s="106"/>
      <c r="AV380" s="106"/>
      <c r="AW380" s="106"/>
      <c r="AX380" s="106"/>
      <c r="AY380" s="106"/>
    </row>
    <row r="381" spans="1:51" s="20" customFormat="1" ht="21" customHeight="1">
      <c r="A381" s="197"/>
      <c r="B381" s="87"/>
      <c r="C381" s="87"/>
      <c r="D381" s="196"/>
      <c r="E381" s="108"/>
      <c r="F381" s="196"/>
      <c r="G381" s="87"/>
      <c r="H381" s="197"/>
      <c r="I381" s="89"/>
      <c r="J381" s="204"/>
      <c r="K381" s="87"/>
      <c r="L381" s="87" t="str" cm="1">
        <f t="array" ref="L381">IF($A381="","",_xlfn.LET(_xlpm.stat,CHOOSE({1,2,3,4,5},$P381,$T381,$X381,$AB381,$AF381),_xlpm.rate,CHOOSE({1,2,3,4,5},$R381,$V381,$Z381,$AD381,$AH381),_xlpm.trn,CHOOSE({1,2,3,4,5},$S381,$W381,$AA381,$AE381,$AI381),_xlpm.nsC,SUMPRODUCT(--(_xlpm.stat="Ready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DLR",IF(AND(_xlpm.actRS&gt;0,_xlpm.actDone&lt;_xlpm.actRS),"Training",IF(_xlpm.actRS&gt;0,"Active",IF(AND(_xlpm.decC&gt;0,_xlpm.inPlay+_xlpm.actC=0),"Dead",IF(AND($AJ381&lt;&gt;"",$AK381=FALSE),"Waiting on Dealer",IF(_xlpm.subC&gt;0,"Waiting on Lender",IF(AND(_xlpm.appC+_xlpm.actC&gt;0,_xlpm.nsC+_xlpm.wdC=0),"Rate Sheet","Application Submitted")))))))))</f>
        <v/>
      </c>
      <c r="M381" s="87"/>
      <c r="N381" s="87"/>
      <c r="O381" s="197"/>
      <c r="P381" s="87" t="str">
        <f>IF($A381="","",IF($AK381=TRUE,"Ready 2 Submit","Waiting on Dealer"))</f>
        <v/>
      </c>
      <c r="Q381" s="148"/>
      <c r="R381" s="87"/>
      <c r="S381" s="87"/>
      <c r="T381" s="87" t="str">
        <f>IF($A381="","",IF($AK381=TRUE,"Ready 2 Submit","Waiting on Dealer"))</f>
        <v/>
      </c>
      <c r="U381" s="148"/>
      <c r="V381" s="87"/>
      <c r="W381" s="87"/>
      <c r="X381" s="87" t="str">
        <f>IF($A381="","",IF($AK381=TRUE,"Ready 2 Submit","Waiting on Dealer"))</f>
        <v/>
      </c>
      <c r="Y381" s="148"/>
      <c r="Z381" s="87"/>
      <c r="AA381" s="87"/>
      <c r="AB381" s="87" t="str">
        <f>IF($A381="","",IF($AK381=TRUE,"Ready 2 Submit","Waiting on Dealer"))</f>
        <v/>
      </c>
      <c r="AC381" s="148"/>
      <c r="AD381" s="87"/>
      <c r="AE381" s="87"/>
      <c r="AF381" s="87" t="str">
        <f>IF($A381="","",IF($AK381=TRUE,"Ready 2 Submit","Waiting on Dealer"))</f>
        <v/>
      </c>
      <c r="AG381" s="148"/>
      <c r="AH381" s="87"/>
      <c r="AI381" s="87"/>
      <c r="AJ381" s="197"/>
      <c r="AK381" s="110" t="b">
        <v>0</v>
      </c>
      <c r="AL381" s="87" t="str" cm="1">
        <f t="array" ref="AL381">IF($A381="","",SUMPRODUCT((CHOOSE({1,2,3,4,5},$R381,$V381,$Z381,$AD381,$AH381)="Yes")*(((CHOOSE({1,2,3,4,5},$S381,$W381,$AA381,$AE381,$AI381)="Yes")+(CHOOSE({1,2,3,4,5},$S381,$W381,$AA381,$AE381,$AI381)=TRUE))&gt;0)))</f>
        <v/>
      </c>
      <c r="AM381" s="87"/>
      <c r="AN381" s="87" t="str">
        <f ca="1">IF(OR($A381="",$AM381=""),"",TODAY()-$AM381)</f>
        <v/>
      </c>
      <c r="AO381" s="87"/>
      <c r="AP381" s="106"/>
      <c r="AQ381" s="106"/>
      <c r="AR381" s="106"/>
      <c r="AS381" s="106"/>
      <c r="AT381" s="106"/>
      <c r="AU381" s="106"/>
      <c r="AV381" s="106"/>
      <c r="AW381" s="106"/>
      <c r="AX381" s="106"/>
      <c r="AY381" s="106"/>
    </row>
    <row r="382" spans="1:51" s="20" customFormat="1" ht="21" customHeight="1">
      <c r="A382" s="197"/>
      <c r="B382" s="87"/>
      <c r="C382" s="87"/>
      <c r="D382" s="196"/>
      <c r="E382" s="108"/>
      <c r="F382" s="196"/>
      <c r="G382" s="87"/>
      <c r="H382" s="197"/>
      <c r="I382" s="89"/>
      <c r="J382" s="204"/>
      <c r="K382" s="87"/>
      <c r="L382" s="87" t="str" cm="1">
        <f t="array" ref="L382">IF($A382="","",_xlfn.LET(_xlpm.stat,CHOOSE({1,2,3,4,5},$P382,$T382,$X382,$AB382,$AF382),_xlpm.rate,CHOOSE({1,2,3,4,5},$R382,$V382,$Z382,$AD382,$AH382),_xlpm.trn,CHOOSE({1,2,3,4,5},$S382,$W382,$AA382,$AE382,$AI382),_xlpm.nsC,SUMPRODUCT(--(_xlpm.stat="Ready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DLR",IF(AND(_xlpm.actRS&gt;0,_xlpm.actDone&lt;_xlpm.actRS),"Training",IF(_xlpm.actRS&gt;0,"Active",IF(AND(_xlpm.decC&gt;0,_xlpm.inPlay+_xlpm.actC=0),"Dead",IF(AND($AJ382&lt;&gt;"",$AK382=FALSE),"Waiting on Dealer",IF(_xlpm.subC&gt;0,"Waiting on Lender",IF(AND(_xlpm.appC+_xlpm.actC&gt;0,_xlpm.nsC+_xlpm.wdC=0),"Rate Sheet","Application Submitted")))))))))</f>
        <v/>
      </c>
      <c r="M382" s="87"/>
      <c r="N382" s="87"/>
      <c r="O382" s="197"/>
      <c r="P382" s="87" t="str">
        <f>IF($A382="","",IF($AK382=TRUE,"Ready 2 Submit","Waiting on Dealer"))</f>
        <v/>
      </c>
      <c r="Q382" s="148"/>
      <c r="R382" s="87"/>
      <c r="S382" s="87"/>
      <c r="T382" s="87" t="str">
        <f>IF($A382="","",IF($AK382=TRUE,"Ready 2 Submit","Waiting on Dealer"))</f>
        <v/>
      </c>
      <c r="U382" s="148"/>
      <c r="V382" s="87"/>
      <c r="W382" s="87"/>
      <c r="X382" s="87" t="str">
        <f>IF($A382="","",IF($AK382=TRUE,"Ready 2 Submit","Waiting on Dealer"))</f>
        <v/>
      </c>
      <c r="Y382" s="148"/>
      <c r="Z382" s="87"/>
      <c r="AA382" s="87"/>
      <c r="AB382" s="87" t="str">
        <f>IF($A382="","",IF($AK382=TRUE,"Ready 2 Submit","Waiting on Dealer"))</f>
        <v/>
      </c>
      <c r="AC382" s="148"/>
      <c r="AD382" s="87"/>
      <c r="AE382" s="87"/>
      <c r="AF382" s="87" t="str">
        <f>IF($A382="","",IF($AK382=TRUE,"Ready 2 Submit","Waiting on Dealer"))</f>
        <v/>
      </c>
      <c r="AG382" s="148"/>
      <c r="AH382" s="87"/>
      <c r="AI382" s="87"/>
      <c r="AJ382" s="197"/>
      <c r="AK382" s="110" t="b">
        <v>0</v>
      </c>
      <c r="AL382" s="87" t="str" cm="1">
        <f t="array" ref="AL382">IF($A382="","",SUMPRODUCT((CHOOSE({1,2,3,4,5},$R382,$V382,$Z382,$AD382,$AH382)="Yes")*(((CHOOSE({1,2,3,4,5},$S382,$W382,$AA382,$AE382,$AI382)="Yes")+(CHOOSE({1,2,3,4,5},$S382,$W382,$AA382,$AE382,$AI382)=TRUE))&gt;0)))</f>
        <v/>
      </c>
      <c r="AM382" s="87"/>
      <c r="AN382" s="87" t="str">
        <f ca="1">IF(OR($A382="",$AM382=""),"",TODAY()-$AM382)</f>
        <v/>
      </c>
      <c r="AO382" s="87"/>
      <c r="AP382" s="106"/>
      <c r="AQ382" s="106"/>
      <c r="AR382" s="106"/>
      <c r="AS382" s="106"/>
      <c r="AT382" s="106"/>
      <c r="AU382" s="106"/>
      <c r="AV382" s="106"/>
      <c r="AW382" s="106"/>
      <c r="AX382" s="106"/>
      <c r="AY382" s="106"/>
    </row>
    <row r="383" spans="1:51" s="20" customFormat="1" ht="21" customHeight="1">
      <c r="A383" s="197"/>
      <c r="B383" s="87"/>
      <c r="C383" s="87"/>
      <c r="D383" s="196"/>
      <c r="E383" s="108"/>
      <c r="F383" s="196"/>
      <c r="G383" s="87"/>
      <c r="H383" s="197"/>
      <c r="I383" s="89"/>
      <c r="J383" s="204"/>
      <c r="K383" s="87"/>
      <c r="L383" s="87" t="str" cm="1">
        <f t="array" ref="L383">IF($A383="","",_xlfn.LET(_xlpm.stat,CHOOSE({1,2,3,4,5},$P383,$T383,$X383,$AB383,$AF383),_xlpm.rate,CHOOSE({1,2,3,4,5},$R383,$V383,$Z383,$AD383,$AH383),_xlpm.trn,CHOOSE({1,2,3,4,5},$S383,$W383,$AA383,$AE383,$AI383),_xlpm.nsC,SUMPRODUCT(--(_xlpm.stat="Ready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DLR",IF(AND(_xlpm.actRS&gt;0,_xlpm.actDone&lt;_xlpm.actRS),"Training",IF(_xlpm.actRS&gt;0,"Active",IF(AND(_xlpm.decC&gt;0,_xlpm.inPlay+_xlpm.actC=0),"Dead",IF(AND($AJ383&lt;&gt;"",$AK383=FALSE),"Waiting on Dealer",IF(_xlpm.subC&gt;0,"Waiting on Lender",IF(AND(_xlpm.appC+_xlpm.actC&gt;0,_xlpm.nsC+_xlpm.wdC=0),"Rate Sheet","Application Submitted")))))))))</f>
        <v/>
      </c>
      <c r="M383" s="87"/>
      <c r="N383" s="87"/>
      <c r="O383" s="197"/>
      <c r="P383" s="87" t="str">
        <f>IF($A383="","",IF($AK383=TRUE,"Ready 2 Submit","Waiting on Dealer"))</f>
        <v/>
      </c>
      <c r="Q383" s="148"/>
      <c r="R383" s="87"/>
      <c r="S383" s="87"/>
      <c r="T383" s="87" t="str">
        <f>IF($A383="","",IF($AK383=TRUE,"Ready 2 Submit","Waiting on Dealer"))</f>
        <v/>
      </c>
      <c r="U383" s="148"/>
      <c r="V383" s="87"/>
      <c r="W383" s="87"/>
      <c r="X383" s="87" t="str">
        <f>IF($A383="","",IF($AK383=TRUE,"Ready 2 Submit","Waiting on Dealer"))</f>
        <v/>
      </c>
      <c r="Y383" s="148"/>
      <c r="Z383" s="87"/>
      <c r="AA383" s="87"/>
      <c r="AB383" s="87" t="str">
        <f>IF($A383="","",IF($AK383=TRUE,"Ready 2 Submit","Waiting on Dealer"))</f>
        <v/>
      </c>
      <c r="AC383" s="148"/>
      <c r="AD383" s="87"/>
      <c r="AE383" s="87"/>
      <c r="AF383" s="87" t="str">
        <f>IF($A383="","",IF($AK383=TRUE,"Ready 2 Submit","Waiting on Dealer"))</f>
        <v/>
      </c>
      <c r="AG383" s="148"/>
      <c r="AH383" s="87"/>
      <c r="AI383" s="87"/>
      <c r="AJ383" s="197"/>
      <c r="AK383" s="110" t="b">
        <v>0</v>
      </c>
      <c r="AL383" s="87" t="str" cm="1">
        <f t="array" ref="AL383">IF($A383="","",SUMPRODUCT((CHOOSE({1,2,3,4,5},$R383,$V383,$Z383,$AD383,$AH383)="Yes")*(((CHOOSE({1,2,3,4,5},$S383,$W383,$AA383,$AE383,$AI383)="Yes")+(CHOOSE({1,2,3,4,5},$S383,$W383,$AA383,$AE383,$AI383)=TRUE))&gt;0)))</f>
        <v/>
      </c>
      <c r="AM383" s="87"/>
      <c r="AN383" s="87" t="str">
        <f ca="1">IF(OR($A383="",$AM383=""),"",TODAY()-$AM383)</f>
        <v/>
      </c>
      <c r="AO383" s="87"/>
      <c r="AP383" s="106"/>
      <c r="AQ383" s="106"/>
      <c r="AR383" s="106"/>
      <c r="AS383" s="106"/>
      <c r="AT383" s="106"/>
      <c r="AU383" s="106"/>
      <c r="AV383" s="106"/>
      <c r="AW383" s="106"/>
      <c r="AX383" s="106"/>
      <c r="AY383" s="106"/>
    </row>
    <row r="384" spans="1:51" s="20" customFormat="1" ht="21" customHeight="1">
      <c r="A384" s="197"/>
      <c r="B384" s="87"/>
      <c r="C384" s="87"/>
      <c r="D384" s="196"/>
      <c r="E384" s="108"/>
      <c r="F384" s="196"/>
      <c r="G384" s="87"/>
      <c r="H384" s="197"/>
      <c r="I384" s="89"/>
      <c r="J384" s="204"/>
      <c r="K384" s="87"/>
      <c r="L384" s="87" t="str" cm="1">
        <f t="array" ref="L384">IF($A384="","",_xlfn.LET(_xlpm.stat,CHOOSE({1,2,3,4,5},$P384,$T384,$X384,$AB384,$AF384),_xlpm.rate,CHOOSE({1,2,3,4,5},$R384,$V384,$Z384,$AD384,$AH384),_xlpm.trn,CHOOSE({1,2,3,4,5},$S384,$W384,$AA384,$AE384,$AI384),_xlpm.nsC,SUMPRODUCT(--(_xlpm.stat="Ready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DLR",IF(AND(_xlpm.actRS&gt;0,_xlpm.actDone&lt;_xlpm.actRS),"Training",IF(_xlpm.actRS&gt;0,"Active",IF(AND(_xlpm.decC&gt;0,_xlpm.inPlay+_xlpm.actC=0),"Dead",IF(AND($AJ384&lt;&gt;"",$AK384=FALSE),"Waiting on Dealer",IF(_xlpm.subC&gt;0,"Waiting on Lender",IF(AND(_xlpm.appC+_xlpm.actC&gt;0,_xlpm.nsC+_xlpm.wdC=0),"Rate Sheet","Application Submitted")))))))))</f>
        <v/>
      </c>
      <c r="M384" s="87"/>
      <c r="N384" s="87"/>
      <c r="O384" s="197"/>
      <c r="P384" s="87" t="str">
        <f>IF($A384="","",IF($AK384=TRUE,"Ready 2 Submit","Waiting on Dealer"))</f>
        <v/>
      </c>
      <c r="Q384" s="148"/>
      <c r="R384" s="87"/>
      <c r="S384" s="87"/>
      <c r="T384" s="87" t="str">
        <f>IF($A384="","",IF($AK384=TRUE,"Ready 2 Submit","Waiting on Dealer"))</f>
        <v/>
      </c>
      <c r="U384" s="148"/>
      <c r="V384" s="87"/>
      <c r="W384" s="87"/>
      <c r="X384" s="87" t="str">
        <f>IF($A384="","",IF($AK384=TRUE,"Ready 2 Submit","Waiting on Dealer"))</f>
        <v/>
      </c>
      <c r="Y384" s="148"/>
      <c r="Z384" s="87"/>
      <c r="AA384" s="87"/>
      <c r="AB384" s="87" t="str">
        <f>IF($A384="","",IF($AK384=TRUE,"Ready 2 Submit","Waiting on Dealer"))</f>
        <v/>
      </c>
      <c r="AC384" s="148"/>
      <c r="AD384" s="87"/>
      <c r="AE384" s="87"/>
      <c r="AF384" s="87" t="str">
        <f>IF($A384="","",IF($AK384=TRUE,"Ready 2 Submit","Waiting on Dealer"))</f>
        <v/>
      </c>
      <c r="AG384" s="148"/>
      <c r="AH384" s="87"/>
      <c r="AI384" s="87"/>
      <c r="AJ384" s="197"/>
      <c r="AK384" s="110" t="b">
        <v>0</v>
      </c>
      <c r="AL384" s="87" t="str" cm="1">
        <f t="array" ref="AL384">IF($A384="","",SUMPRODUCT((CHOOSE({1,2,3,4,5},$R384,$V384,$Z384,$AD384,$AH384)="Yes")*(((CHOOSE({1,2,3,4,5},$S384,$W384,$AA384,$AE384,$AI384)="Yes")+(CHOOSE({1,2,3,4,5},$S384,$W384,$AA384,$AE384,$AI384)=TRUE))&gt;0)))</f>
        <v/>
      </c>
      <c r="AM384" s="87"/>
      <c r="AN384" s="87" t="str">
        <f ca="1">IF(OR($A384="",$AM384=""),"",TODAY()-$AM384)</f>
        <v/>
      </c>
      <c r="AO384" s="87"/>
      <c r="AP384" s="106"/>
      <c r="AQ384" s="106"/>
      <c r="AR384" s="106"/>
      <c r="AS384" s="106"/>
      <c r="AT384" s="106"/>
      <c r="AU384" s="106"/>
      <c r="AV384" s="106"/>
      <c r="AW384" s="106"/>
      <c r="AX384" s="106"/>
      <c r="AY384" s="106"/>
    </row>
    <row r="385" spans="1:51" s="20" customFormat="1" ht="21" customHeight="1">
      <c r="A385" s="197"/>
      <c r="B385" s="87"/>
      <c r="C385" s="87"/>
      <c r="D385" s="196"/>
      <c r="E385" s="108"/>
      <c r="F385" s="196"/>
      <c r="G385" s="87"/>
      <c r="H385" s="197"/>
      <c r="I385" s="89"/>
      <c r="J385" s="204"/>
      <c r="K385" s="87"/>
      <c r="L385" s="87" t="str" cm="1">
        <f t="array" ref="L385">IF($A385="","",_xlfn.LET(_xlpm.stat,CHOOSE({1,2,3,4,5},$P385,$T385,$X385,$AB385,$AF385),_xlpm.rate,CHOOSE({1,2,3,4,5},$R385,$V385,$Z385,$AD385,$AH385),_xlpm.trn,CHOOSE({1,2,3,4,5},$S385,$W385,$AA385,$AE385,$AI385),_xlpm.nsC,SUMPRODUCT(--(_xlpm.stat="Ready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DLR",IF(AND(_xlpm.actRS&gt;0,_xlpm.actDone&lt;_xlpm.actRS),"Training",IF(_xlpm.actRS&gt;0,"Active",IF(AND(_xlpm.decC&gt;0,_xlpm.inPlay+_xlpm.actC=0),"Dead",IF(AND($AJ385&lt;&gt;"",$AK385=FALSE),"Waiting on Dealer",IF(_xlpm.subC&gt;0,"Waiting on Lender",IF(AND(_xlpm.appC+_xlpm.actC&gt;0,_xlpm.nsC+_xlpm.wdC=0),"Rate Sheet","Application Submitted")))))))))</f>
        <v/>
      </c>
      <c r="M385" s="87"/>
      <c r="N385" s="87"/>
      <c r="O385" s="197"/>
      <c r="P385" s="87" t="str">
        <f>IF($A385="","",IF($AK385=TRUE,"Ready 2 Submit","Waiting on Dealer"))</f>
        <v/>
      </c>
      <c r="Q385" s="148"/>
      <c r="R385" s="87"/>
      <c r="S385" s="87"/>
      <c r="T385" s="87" t="str">
        <f>IF($A385="","",IF($AK385=TRUE,"Ready 2 Submit","Waiting on Dealer"))</f>
        <v/>
      </c>
      <c r="U385" s="148"/>
      <c r="V385" s="87"/>
      <c r="W385" s="87"/>
      <c r="X385" s="87" t="str">
        <f>IF($A385="","",IF($AK385=TRUE,"Ready 2 Submit","Waiting on Dealer"))</f>
        <v/>
      </c>
      <c r="Y385" s="148"/>
      <c r="Z385" s="87"/>
      <c r="AA385" s="87"/>
      <c r="AB385" s="87" t="str">
        <f>IF($A385="","",IF($AK385=TRUE,"Ready 2 Submit","Waiting on Dealer"))</f>
        <v/>
      </c>
      <c r="AC385" s="148"/>
      <c r="AD385" s="87"/>
      <c r="AE385" s="87"/>
      <c r="AF385" s="87" t="str">
        <f>IF($A385="","",IF($AK385=TRUE,"Ready 2 Submit","Waiting on Dealer"))</f>
        <v/>
      </c>
      <c r="AG385" s="148"/>
      <c r="AH385" s="87"/>
      <c r="AI385" s="87"/>
      <c r="AJ385" s="197"/>
      <c r="AK385" s="110" t="b">
        <v>0</v>
      </c>
      <c r="AL385" s="87" t="str" cm="1">
        <f t="array" ref="AL385">IF($A385="","",SUMPRODUCT((CHOOSE({1,2,3,4,5},$R385,$V385,$Z385,$AD385,$AH385)="Yes")*(((CHOOSE({1,2,3,4,5},$S385,$W385,$AA385,$AE385,$AI385)="Yes")+(CHOOSE({1,2,3,4,5},$S385,$W385,$AA385,$AE385,$AI385)=TRUE))&gt;0)))</f>
        <v/>
      </c>
      <c r="AM385" s="87"/>
      <c r="AN385" s="87" t="str">
        <f ca="1">IF(OR($A385="",$AM385=""),"",TODAY()-$AM385)</f>
        <v/>
      </c>
      <c r="AO385" s="87"/>
      <c r="AP385" s="106"/>
      <c r="AQ385" s="106"/>
      <c r="AR385" s="106"/>
      <c r="AS385" s="106"/>
      <c r="AT385" s="106"/>
      <c r="AU385" s="106"/>
      <c r="AV385" s="106"/>
      <c r="AW385" s="106"/>
      <c r="AX385" s="106"/>
      <c r="AY385" s="106"/>
    </row>
    <row r="386" spans="1:51" s="20" customFormat="1" ht="21" customHeight="1">
      <c r="A386" s="197"/>
      <c r="B386" s="87"/>
      <c r="C386" s="87"/>
      <c r="D386" s="196"/>
      <c r="E386" s="108"/>
      <c r="F386" s="196"/>
      <c r="G386" s="87"/>
      <c r="H386" s="197"/>
      <c r="I386" s="89"/>
      <c r="J386" s="204"/>
      <c r="K386" s="87"/>
      <c r="L386" s="87" t="str" cm="1">
        <f t="array" ref="L386">IF($A386="","",_xlfn.LET(_xlpm.stat,CHOOSE({1,2,3,4,5},$P386,$T386,$X386,$AB386,$AF386),_xlpm.rate,CHOOSE({1,2,3,4,5},$R386,$V386,$Z386,$AD386,$AH386),_xlpm.trn,CHOOSE({1,2,3,4,5},$S386,$W386,$AA386,$AE386,$AI386),_xlpm.nsC,SUMPRODUCT(--(_xlpm.stat="Ready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DLR",IF(AND(_xlpm.actRS&gt;0,_xlpm.actDone&lt;_xlpm.actRS),"Training",IF(_xlpm.actRS&gt;0,"Active",IF(AND(_xlpm.decC&gt;0,_xlpm.inPlay+_xlpm.actC=0),"Dead",IF(AND($AJ386&lt;&gt;"",$AK386=FALSE),"Waiting on Dealer",IF(_xlpm.subC&gt;0,"Waiting on Lender",IF(AND(_xlpm.appC+_xlpm.actC&gt;0,_xlpm.nsC+_xlpm.wdC=0),"Rate Sheet","Application Submitted")))))))))</f>
        <v/>
      </c>
      <c r="M386" s="87"/>
      <c r="N386" s="87"/>
      <c r="O386" s="197"/>
      <c r="P386" s="87" t="str">
        <f>IF($A386="","",IF($AK386=TRUE,"Ready 2 Submit","Waiting on Dealer"))</f>
        <v/>
      </c>
      <c r="Q386" s="148"/>
      <c r="R386" s="87"/>
      <c r="S386" s="87"/>
      <c r="T386" s="87" t="str">
        <f>IF($A386="","",IF($AK386=TRUE,"Ready 2 Submit","Waiting on Dealer"))</f>
        <v/>
      </c>
      <c r="U386" s="148"/>
      <c r="V386" s="87"/>
      <c r="W386" s="87"/>
      <c r="X386" s="87" t="str">
        <f>IF($A386="","",IF($AK386=TRUE,"Ready 2 Submit","Waiting on Dealer"))</f>
        <v/>
      </c>
      <c r="Y386" s="148"/>
      <c r="Z386" s="87"/>
      <c r="AA386" s="87"/>
      <c r="AB386" s="87" t="str">
        <f>IF($A386="","",IF($AK386=TRUE,"Ready 2 Submit","Waiting on Dealer"))</f>
        <v/>
      </c>
      <c r="AC386" s="148"/>
      <c r="AD386" s="87"/>
      <c r="AE386" s="87"/>
      <c r="AF386" s="87" t="str">
        <f>IF($A386="","",IF($AK386=TRUE,"Ready 2 Submit","Waiting on Dealer"))</f>
        <v/>
      </c>
      <c r="AG386" s="148"/>
      <c r="AH386" s="87"/>
      <c r="AI386" s="87"/>
      <c r="AJ386" s="197"/>
      <c r="AK386" s="110" t="b">
        <v>0</v>
      </c>
      <c r="AL386" s="87" t="str" cm="1">
        <f t="array" ref="AL386">IF($A386="","",SUMPRODUCT((CHOOSE({1,2,3,4,5},$R386,$V386,$Z386,$AD386,$AH386)="Yes")*(((CHOOSE({1,2,3,4,5},$S386,$W386,$AA386,$AE386,$AI386)="Yes")+(CHOOSE({1,2,3,4,5},$S386,$W386,$AA386,$AE386,$AI386)=TRUE))&gt;0)))</f>
        <v/>
      </c>
      <c r="AM386" s="87"/>
      <c r="AN386" s="87" t="str">
        <f ca="1">IF(OR($A386="",$AM386=""),"",TODAY()-$AM386)</f>
        <v/>
      </c>
      <c r="AO386" s="87"/>
      <c r="AP386" s="106"/>
      <c r="AQ386" s="106"/>
      <c r="AR386" s="106"/>
      <c r="AS386" s="106"/>
      <c r="AT386" s="106"/>
      <c r="AU386" s="106"/>
      <c r="AV386" s="106"/>
      <c r="AW386" s="106"/>
      <c r="AX386" s="106"/>
      <c r="AY386" s="106"/>
    </row>
    <row r="387" spans="1:51" s="20" customFormat="1" ht="21" customHeight="1">
      <c r="A387" s="197"/>
      <c r="B387" s="87"/>
      <c r="C387" s="87"/>
      <c r="D387" s="196"/>
      <c r="E387" s="108"/>
      <c r="F387" s="196"/>
      <c r="G387" s="87"/>
      <c r="H387" s="197"/>
      <c r="I387" s="89"/>
      <c r="J387" s="204"/>
      <c r="K387" s="87"/>
      <c r="L387" s="87" t="str" cm="1">
        <f t="array" ref="L387">IF($A387="","",_xlfn.LET(_xlpm.stat,CHOOSE({1,2,3,4,5},$P387,$T387,$X387,$AB387,$AF387),_xlpm.rate,CHOOSE({1,2,3,4,5},$R387,$V387,$Z387,$AD387,$AH387),_xlpm.trn,CHOOSE({1,2,3,4,5},$S387,$W387,$AA387,$AE387,$AI387),_xlpm.nsC,SUMPRODUCT(--(_xlpm.stat="Ready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DLR",IF(AND(_xlpm.actRS&gt;0,_xlpm.actDone&lt;_xlpm.actRS),"Training",IF(_xlpm.actRS&gt;0,"Active",IF(AND(_xlpm.decC&gt;0,_xlpm.inPlay+_xlpm.actC=0),"Dead",IF(AND($AJ387&lt;&gt;"",$AK387=FALSE),"Waiting on Dealer",IF(_xlpm.subC&gt;0,"Waiting on Lender",IF(AND(_xlpm.appC+_xlpm.actC&gt;0,_xlpm.nsC+_xlpm.wdC=0),"Rate Sheet","Application Submitted")))))))))</f>
        <v/>
      </c>
      <c r="M387" s="87"/>
      <c r="N387" s="87"/>
      <c r="O387" s="197"/>
      <c r="P387" s="87" t="str">
        <f>IF($A387="","",IF($AK387=TRUE,"Ready 2 Submit","Waiting on Dealer"))</f>
        <v/>
      </c>
      <c r="Q387" s="148"/>
      <c r="R387" s="87"/>
      <c r="S387" s="87"/>
      <c r="T387" s="87" t="str">
        <f>IF($A387="","",IF($AK387=TRUE,"Ready 2 Submit","Waiting on Dealer"))</f>
        <v/>
      </c>
      <c r="U387" s="148"/>
      <c r="V387" s="87"/>
      <c r="W387" s="87"/>
      <c r="X387" s="87" t="str">
        <f>IF($A387="","",IF($AK387=TRUE,"Ready 2 Submit","Waiting on Dealer"))</f>
        <v/>
      </c>
      <c r="Y387" s="148"/>
      <c r="Z387" s="87"/>
      <c r="AA387" s="87"/>
      <c r="AB387" s="87" t="str">
        <f>IF($A387="","",IF($AK387=TRUE,"Ready 2 Submit","Waiting on Dealer"))</f>
        <v/>
      </c>
      <c r="AC387" s="148"/>
      <c r="AD387" s="87"/>
      <c r="AE387" s="87"/>
      <c r="AF387" s="87" t="str">
        <f>IF($A387="","",IF($AK387=TRUE,"Ready 2 Submit","Waiting on Dealer"))</f>
        <v/>
      </c>
      <c r="AG387" s="148"/>
      <c r="AH387" s="87"/>
      <c r="AI387" s="87"/>
      <c r="AJ387" s="197"/>
      <c r="AK387" s="110" t="b">
        <v>0</v>
      </c>
      <c r="AL387" s="87" t="str" cm="1">
        <f t="array" ref="AL387">IF($A387="","",SUMPRODUCT((CHOOSE({1,2,3,4,5},$R387,$V387,$Z387,$AD387,$AH387)="Yes")*(((CHOOSE({1,2,3,4,5},$S387,$W387,$AA387,$AE387,$AI387)="Yes")+(CHOOSE({1,2,3,4,5},$S387,$W387,$AA387,$AE387,$AI387)=TRUE))&gt;0)))</f>
        <v/>
      </c>
      <c r="AM387" s="87"/>
      <c r="AN387" s="87" t="str">
        <f ca="1">IF(OR($A387="",$AM387=""),"",TODAY()-$AM387)</f>
        <v/>
      </c>
      <c r="AO387" s="87"/>
      <c r="AP387" s="106"/>
      <c r="AQ387" s="106"/>
      <c r="AR387" s="106"/>
      <c r="AS387" s="106"/>
      <c r="AT387" s="106"/>
      <c r="AU387" s="106"/>
      <c r="AV387" s="106"/>
      <c r="AW387" s="106"/>
      <c r="AX387" s="106"/>
      <c r="AY387" s="106"/>
    </row>
    <row r="388" spans="1:51" s="20" customFormat="1" ht="21" customHeight="1">
      <c r="A388" s="197"/>
      <c r="B388" s="87"/>
      <c r="C388" s="87"/>
      <c r="D388" s="196"/>
      <c r="E388" s="108"/>
      <c r="F388" s="196"/>
      <c r="G388" s="87"/>
      <c r="H388" s="197"/>
      <c r="I388" s="89"/>
      <c r="J388" s="204"/>
      <c r="K388" s="87"/>
      <c r="L388" s="87" t="str" cm="1">
        <f t="array" ref="L388">IF($A388="","",_xlfn.LET(_xlpm.stat,CHOOSE({1,2,3,4,5},$P388,$T388,$X388,$AB388,$AF388),_xlpm.rate,CHOOSE({1,2,3,4,5},$R388,$V388,$Z388,$AD388,$AH388),_xlpm.trn,CHOOSE({1,2,3,4,5},$S388,$W388,$AA388,$AE388,$AI388),_xlpm.nsC,SUMPRODUCT(--(_xlpm.stat="Ready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DLR",IF(AND(_xlpm.actRS&gt;0,_xlpm.actDone&lt;_xlpm.actRS),"Training",IF(_xlpm.actRS&gt;0,"Active",IF(AND(_xlpm.decC&gt;0,_xlpm.inPlay+_xlpm.actC=0),"Dead",IF(AND($AJ388&lt;&gt;"",$AK388=FALSE),"Waiting on Dealer",IF(_xlpm.subC&gt;0,"Waiting on Lender",IF(AND(_xlpm.appC+_xlpm.actC&gt;0,_xlpm.nsC+_xlpm.wdC=0),"Rate Sheet","Application Submitted")))))))))</f>
        <v/>
      </c>
      <c r="M388" s="87"/>
      <c r="N388" s="87"/>
      <c r="O388" s="197"/>
      <c r="P388" s="87" t="str">
        <f>IF($A388="","",IF($AK388=TRUE,"Ready 2 Submit","Waiting on Dealer"))</f>
        <v/>
      </c>
      <c r="Q388" s="148"/>
      <c r="R388" s="87"/>
      <c r="S388" s="87"/>
      <c r="T388" s="87" t="str">
        <f>IF($A388="","",IF($AK388=TRUE,"Ready 2 Submit","Waiting on Dealer"))</f>
        <v/>
      </c>
      <c r="U388" s="148"/>
      <c r="V388" s="87"/>
      <c r="W388" s="87"/>
      <c r="X388" s="87" t="str">
        <f>IF($A388="","",IF($AK388=TRUE,"Ready 2 Submit","Waiting on Dealer"))</f>
        <v/>
      </c>
      <c r="Y388" s="148"/>
      <c r="Z388" s="87"/>
      <c r="AA388" s="87"/>
      <c r="AB388" s="87" t="str">
        <f>IF($A388="","",IF($AK388=TRUE,"Ready 2 Submit","Waiting on Dealer"))</f>
        <v/>
      </c>
      <c r="AC388" s="148"/>
      <c r="AD388" s="87"/>
      <c r="AE388" s="87"/>
      <c r="AF388" s="87" t="str">
        <f>IF($A388="","",IF($AK388=TRUE,"Ready 2 Submit","Waiting on Dealer"))</f>
        <v/>
      </c>
      <c r="AG388" s="148"/>
      <c r="AH388" s="87"/>
      <c r="AI388" s="87"/>
      <c r="AJ388" s="197"/>
      <c r="AK388" s="110" t="b">
        <v>0</v>
      </c>
      <c r="AL388" s="87" t="str" cm="1">
        <f t="array" ref="AL388">IF($A388="","",SUMPRODUCT((CHOOSE({1,2,3,4,5},$R388,$V388,$Z388,$AD388,$AH388)="Yes")*(((CHOOSE({1,2,3,4,5},$S388,$W388,$AA388,$AE388,$AI388)="Yes")+(CHOOSE({1,2,3,4,5},$S388,$W388,$AA388,$AE388,$AI388)=TRUE))&gt;0)))</f>
        <v/>
      </c>
      <c r="AM388" s="87"/>
      <c r="AN388" s="87" t="str">
        <f ca="1">IF(OR($A388="",$AM388=""),"",TODAY()-$AM388)</f>
        <v/>
      </c>
      <c r="AO388" s="87"/>
      <c r="AP388" s="106"/>
      <c r="AQ388" s="106"/>
      <c r="AR388" s="106"/>
      <c r="AS388" s="106"/>
      <c r="AT388" s="106"/>
      <c r="AU388" s="106"/>
      <c r="AV388" s="106"/>
      <c r="AW388" s="106"/>
      <c r="AX388" s="106"/>
      <c r="AY388" s="106"/>
    </row>
    <row r="389" spans="1:51" s="20" customFormat="1" ht="21" customHeight="1">
      <c r="A389" s="197"/>
      <c r="B389" s="87"/>
      <c r="C389" s="87"/>
      <c r="D389" s="196"/>
      <c r="E389" s="108"/>
      <c r="F389" s="196"/>
      <c r="G389" s="87"/>
      <c r="H389" s="197"/>
      <c r="I389" s="89"/>
      <c r="J389" s="204"/>
      <c r="K389" s="87"/>
      <c r="L389" s="87" t="str" cm="1">
        <f t="array" ref="L389">IF($A389="","",_xlfn.LET(_xlpm.stat,CHOOSE({1,2,3,4,5},$P389,$T389,$X389,$AB389,$AF389),_xlpm.rate,CHOOSE({1,2,3,4,5},$R389,$V389,$Z389,$AD389,$AH389),_xlpm.trn,CHOOSE({1,2,3,4,5},$S389,$W389,$AA389,$AE389,$AI389),_xlpm.nsC,SUMPRODUCT(--(_xlpm.stat="Ready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DLR",IF(AND(_xlpm.actRS&gt;0,_xlpm.actDone&lt;_xlpm.actRS),"Training",IF(_xlpm.actRS&gt;0,"Active",IF(AND(_xlpm.decC&gt;0,_xlpm.inPlay+_xlpm.actC=0),"Dead",IF(AND($AJ389&lt;&gt;"",$AK389=FALSE),"Waiting on Dealer",IF(_xlpm.subC&gt;0,"Waiting on Lender",IF(AND(_xlpm.appC+_xlpm.actC&gt;0,_xlpm.nsC+_xlpm.wdC=0),"Rate Sheet","Application Submitted")))))))))</f>
        <v/>
      </c>
      <c r="M389" s="87"/>
      <c r="N389" s="87"/>
      <c r="O389" s="197"/>
      <c r="P389" s="87" t="str">
        <f>IF($A389="","",IF($AK389=TRUE,"Ready 2 Submit","Waiting on Dealer"))</f>
        <v/>
      </c>
      <c r="Q389" s="148"/>
      <c r="R389" s="87"/>
      <c r="S389" s="87"/>
      <c r="T389" s="87" t="str">
        <f>IF($A389="","",IF($AK389=TRUE,"Ready 2 Submit","Waiting on Dealer"))</f>
        <v/>
      </c>
      <c r="U389" s="148"/>
      <c r="V389" s="87"/>
      <c r="W389" s="87"/>
      <c r="X389" s="87" t="str">
        <f>IF($A389="","",IF($AK389=TRUE,"Ready 2 Submit","Waiting on Dealer"))</f>
        <v/>
      </c>
      <c r="Y389" s="148"/>
      <c r="Z389" s="87"/>
      <c r="AA389" s="87"/>
      <c r="AB389" s="87" t="str">
        <f>IF($A389="","",IF($AK389=TRUE,"Ready 2 Submit","Waiting on Dealer"))</f>
        <v/>
      </c>
      <c r="AC389" s="148"/>
      <c r="AD389" s="87"/>
      <c r="AE389" s="87"/>
      <c r="AF389" s="87" t="str">
        <f>IF($A389="","",IF($AK389=TRUE,"Ready 2 Submit","Waiting on Dealer"))</f>
        <v/>
      </c>
      <c r="AG389" s="148"/>
      <c r="AH389" s="87"/>
      <c r="AI389" s="87"/>
      <c r="AJ389" s="197"/>
      <c r="AK389" s="110" t="b">
        <v>0</v>
      </c>
      <c r="AL389" s="87" t="str" cm="1">
        <f t="array" ref="AL389">IF($A389="","",SUMPRODUCT((CHOOSE({1,2,3,4,5},$R389,$V389,$Z389,$AD389,$AH389)="Yes")*(((CHOOSE({1,2,3,4,5},$S389,$W389,$AA389,$AE389,$AI389)="Yes")+(CHOOSE({1,2,3,4,5},$S389,$W389,$AA389,$AE389,$AI389)=TRUE))&gt;0)))</f>
        <v/>
      </c>
      <c r="AM389" s="87"/>
      <c r="AN389" s="87" t="str">
        <f ca="1">IF(OR($A389="",$AM389=""),"",TODAY()-$AM389)</f>
        <v/>
      </c>
      <c r="AO389" s="87"/>
      <c r="AP389" s="106"/>
      <c r="AQ389" s="106"/>
      <c r="AR389" s="106"/>
      <c r="AS389" s="106"/>
      <c r="AT389" s="106"/>
      <c r="AU389" s="106"/>
      <c r="AV389" s="106"/>
      <c r="AW389" s="106"/>
      <c r="AX389" s="106"/>
      <c r="AY389" s="106"/>
    </row>
    <row r="390" spans="1:51" s="20" customFormat="1" ht="21" customHeight="1">
      <c r="A390" s="197"/>
      <c r="B390" s="87"/>
      <c r="C390" s="87"/>
      <c r="D390" s="196"/>
      <c r="E390" s="108"/>
      <c r="F390" s="196"/>
      <c r="G390" s="87"/>
      <c r="H390" s="197"/>
      <c r="I390" s="89"/>
      <c r="J390" s="204"/>
      <c r="K390" s="87"/>
      <c r="L390" s="87" t="str" cm="1">
        <f t="array" ref="L390">IF($A390="","",_xlfn.LET(_xlpm.stat,CHOOSE({1,2,3,4,5},$P390,$T390,$X390,$AB390,$AF390),_xlpm.rate,CHOOSE({1,2,3,4,5},$R390,$V390,$Z390,$AD390,$AH390),_xlpm.trn,CHOOSE({1,2,3,4,5},$S390,$W390,$AA390,$AE390,$AI390),_xlpm.nsC,SUMPRODUCT(--(_xlpm.stat="Ready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DLR",IF(AND(_xlpm.actRS&gt;0,_xlpm.actDone&lt;_xlpm.actRS),"Training",IF(_xlpm.actRS&gt;0,"Active",IF(AND(_xlpm.decC&gt;0,_xlpm.inPlay+_xlpm.actC=0),"Dead",IF(AND($AJ390&lt;&gt;"",$AK390=FALSE),"Waiting on Dealer",IF(_xlpm.subC&gt;0,"Waiting on Lender",IF(AND(_xlpm.appC+_xlpm.actC&gt;0,_xlpm.nsC+_xlpm.wdC=0),"Rate Sheet","Application Submitted")))))))))</f>
        <v/>
      </c>
      <c r="M390" s="87"/>
      <c r="N390" s="87"/>
      <c r="O390" s="197"/>
      <c r="P390" s="87" t="str">
        <f>IF($A390="","",IF($AK390=TRUE,"Ready 2 Submit","Waiting on Dealer"))</f>
        <v/>
      </c>
      <c r="Q390" s="148"/>
      <c r="R390" s="87"/>
      <c r="S390" s="87"/>
      <c r="T390" s="87" t="str">
        <f>IF($A390="","",IF($AK390=TRUE,"Ready 2 Submit","Waiting on Dealer"))</f>
        <v/>
      </c>
      <c r="U390" s="148"/>
      <c r="V390" s="87"/>
      <c r="W390" s="87"/>
      <c r="X390" s="87" t="str">
        <f>IF($A390="","",IF($AK390=TRUE,"Ready 2 Submit","Waiting on Dealer"))</f>
        <v/>
      </c>
      <c r="Y390" s="148"/>
      <c r="Z390" s="87"/>
      <c r="AA390" s="87"/>
      <c r="AB390" s="87" t="str">
        <f>IF($A390="","",IF($AK390=TRUE,"Ready 2 Submit","Waiting on Dealer"))</f>
        <v/>
      </c>
      <c r="AC390" s="148"/>
      <c r="AD390" s="87"/>
      <c r="AE390" s="87"/>
      <c r="AF390" s="87" t="str">
        <f>IF($A390="","",IF($AK390=TRUE,"Ready 2 Submit","Waiting on Dealer"))</f>
        <v/>
      </c>
      <c r="AG390" s="148"/>
      <c r="AH390" s="87"/>
      <c r="AI390" s="87"/>
      <c r="AJ390" s="197"/>
      <c r="AK390" s="110" t="b">
        <v>0</v>
      </c>
      <c r="AL390" s="87" t="str" cm="1">
        <f t="array" ref="AL390">IF($A390="","",SUMPRODUCT((CHOOSE({1,2,3,4,5},$R390,$V390,$Z390,$AD390,$AH390)="Yes")*(((CHOOSE({1,2,3,4,5},$S390,$W390,$AA390,$AE390,$AI390)="Yes")+(CHOOSE({1,2,3,4,5},$S390,$W390,$AA390,$AE390,$AI390)=TRUE))&gt;0)))</f>
        <v/>
      </c>
      <c r="AM390" s="87"/>
      <c r="AN390" s="87" t="str">
        <f ca="1">IF(OR($A390="",$AM390=""),"",TODAY()-$AM390)</f>
        <v/>
      </c>
      <c r="AO390" s="87"/>
      <c r="AP390" s="106"/>
      <c r="AQ390" s="106"/>
      <c r="AR390" s="106"/>
      <c r="AS390" s="106"/>
      <c r="AT390" s="106"/>
      <c r="AU390" s="106"/>
      <c r="AV390" s="106"/>
      <c r="AW390" s="106"/>
      <c r="AX390" s="106"/>
      <c r="AY390" s="106"/>
    </row>
    <row r="391" spans="1:51" s="20" customFormat="1" ht="21" customHeight="1">
      <c r="A391" s="197"/>
      <c r="B391" s="87"/>
      <c r="C391" s="87"/>
      <c r="D391" s="196"/>
      <c r="E391" s="108"/>
      <c r="F391" s="196"/>
      <c r="G391" s="87"/>
      <c r="H391" s="197"/>
      <c r="I391" s="89"/>
      <c r="J391" s="204"/>
      <c r="K391" s="87"/>
      <c r="L391" s="87" t="str" cm="1">
        <f t="array" ref="L391">IF($A391="","",_xlfn.LET(_xlpm.stat,CHOOSE({1,2,3,4,5},$P391,$T391,$X391,$AB391,$AF391),_xlpm.rate,CHOOSE({1,2,3,4,5},$R391,$V391,$Z391,$AD391,$AH391),_xlpm.trn,CHOOSE({1,2,3,4,5},$S391,$W391,$AA391,$AE391,$AI391),_xlpm.nsC,SUMPRODUCT(--(_xlpm.stat="Ready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DLR",IF(AND(_xlpm.actRS&gt;0,_xlpm.actDone&lt;_xlpm.actRS),"Training",IF(_xlpm.actRS&gt;0,"Active",IF(AND(_xlpm.decC&gt;0,_xlpm.inPlay+_xlpm.actC=0),"Dead",IF(AND($AJ391&lt;&gt;"",$AK391=FALSE),"Waiting on Dealer",IF(_xlpm.subC&gt;0,"Waiting on Lender",IF(AND(_xlpm.appC+_xlpm.actC&gt;0,_xlpm.nsC+_xlpm.wdC=0),"Rate Sheet","Application Submitted")))))))))</f>
        <v/>
      </c>
      <c r="M391" s="87"/>
      <c r="N391" s="87"/>
      <c r="O391" s="197"/>
      <c r="P391" s="87" t="str">
        <f>IF($A391="","",IF($AK391=TRUE,"Ready 2 Submit","Waiting on Dealer"))</f>
        <v/>
      </c>
      <c r="Q391" s="148"/>
      <c r="R391" s="87"/>
      <c r="S391" s="87"/>
      <c r="T391" s="87" t="str">
        <f>IF($A391="","",IF($AK391=TRUE,"Ready 2 Submit","Waiting on Dealer"))</f>
        <v/>
      </c>
      <c r="U391" s="148"/>
      <c r="V391" s="87"/>
      <c r="W391" s="87"/>
      <c r="X391" s="87" t="str">
        <f>IF($A391="","",IF($AK391=TRUE,"Ready 2 Submit","Waiting on Dealer"))</f>
        <v/>
      </c>
      <c r="Y391" s="148"/>
      <c r="Z391" s="87"/>
      <c r="AA391" s="87"/>
      <c r="AB391" s="87" t="str">
        <f>IF($A391="","",IF($AK391=TRUE,"Ready 2 Submit","Waiting on Dealer"))</f>
        <v/>
      </c>
      <c r="AC391" s="148"/>
      <c r="AD391" s="87"/>
      <c r="AE391" s="87"/>
      <c r="AF391" s="87" t="str">
        <f>IF($A391="","",IF($AK391=TRUE,"Ready 2 Submit","Waiting on Dealer"))</f>
        <v/>
      </c>
      <c r="AG391" s="148"/>
      <c r="AH391" s="87"/>
      <c r="AI391" s="87"/>
      <c r="AJ391" s="197"/>
      <c r="AK391" s="110" t="b">
        <v>0</v>
      </c>
      <c r="AL391" s="87" t="str" cm="1">
        <f t="array" ref="AL391">IF($A391="","",SUMPRODUCT((CHOOSE({1,2,3,4,5},$R391,$V391,$Z391,$AD391,$AH391)="Yes")*(((CHOOSE({1,2,3,4,5},$S391,$W391,$AA391,$AE391,$AI391)="Yes")+(CHOOSE({1,2,3,4,5},$S391,$W391,$AA391,$AE391,$AI391)=TRUE))&gt;0)))</f>
        <v/>
      </c>
      <c r="AM391" s="87"/>
      <c r="AN391" s="87" t="str">
        <f ca="1">IF(OR($A391="",$AM391=""),"",TODAY()-$AM391)</f>
        <v/>
      </c>
      <c r="AO391" s="87"/>
      <c r="AP391" s="106"/>
      <c r="AQ391" s="106"/>
      <c r="AR391" s="106"/>
      <c r="AS391" s="106"/>
      <c r="AT391" s="106"/>
      <c r="AU391" s="106"/>
      <c r="AV391" s="106"/>
      <c r="AW391" s="106"/>
      <c r="AX391" s="106"/>
      <c r="AY391" s="106"/>
    </row>
    <row r="392" spans="1:51" s="20" customFormat="1" ht="21" customHeight="1">
      <c r="A392" s="197"/>
      <c r="B392" s="87"/>
      <c r="C392" s="87"/>
      <c r="D392" s="196"/>
      <c r="E392" s="108"/>
      <c r="F392" s="196"/>
      <c r="G392" s="87"/>
      <c r="H392" s="197"/>
      <c r="I392" s="89"/>
      <c r="J392" s="204"/>
      <c r="K392" s="87"/>
      <c r="L392" s="87" t="str" cm="1">
        <f t="array" ref="L392">IF($A392="","",_xlfn.LET(_xlpm.stat,CHOOSE({1,2,3,4,5},$P392,$T392,$X392,$AB392,$AF392),_xlpm.rate,CHOOSE({1,2,3,4,5},$R392,$V392,$Z392,$AD392,$AH392),_xlpm.trn,CHOOSE({1,2,3,4,5},$S392,$W392,$AA392,$AE392,$AI392),_xlpm.nsC,SUMPRODUCT(--(_xlpm.stat="Ready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DLR",IF(AND(_xlpm.actRS&gt;0,_xlpm.actDone&lt;_xlpm.actRS),"Training",IF(_xlpm.actRS&gt;0,"Active",IF(AND(_xlpm.decC&gt;0,_xlpm.inPlay+_xlpm.actC=0),"Dead",IF(AND($AJ392&lt;&gt;"",$AK392=FALSE),"Waiting on Dealer",IF(_xlpm.subC&gt;0,"Waiting on Lender",IF(AND(_xlpm.appC+_xlpm.actC&gt;0,_xlpm.nsC+_xlpm.wdC=0),"Rate Sheet","Application Submitted")))))))))</f>
        <v/>
      </c>
      <c r="M392" s="87"/>
      <c r="N392" s="87"/>
      <c r="O392" s="197"/>
      <c r="P392" s="87" t="str">
        <f>IF($A392="","",IF($AK392=TRUE,"Ready 2 Submit","Waiting on Dealer"))</f>
        <v/>
      </c>
      <c r="Q392" s="148"/>
      <c r="R392" s="87"/>
      <c r="S392" s="87"/>
      <c r="T392" s="87" t="str">
        <f>IF($A392="","",IF($AK392=TRUE,"Ready 2 Submit","Waiting on Dealer"))</f>
        <v/>
      </c>
      <c r="U392" s="148"/>
      <c r="V392" s="87"/>
      <c r="W392" s="87"/>
      <c r="X392" s="87" t="str">
        <f>IF($A392="","",IF($AK392=TRUE,"Ready 2 Submit","Waiting on Dealer"))</f>
        <v/>
      </c>
      <c r="Y392" s="148"/>
      <c r="Z392" s="87"/>
      <c r="AA392" s="87"/>
      <c r="AB392" s="87" t="str">
        <f>IF($A392="","",IF($AK392=TRUE,"Ready 2 Submit","Waiting on Dealer"))</f>
        <v/>
      </c>
      <c r="AC392" s="148"/>
      <c r="AD392" s="87"/>
      <c r="AE392" s="87"/>
      <c r="AF392" s="87" t="str">
        <f>IF($A392="","",IF($AK392=TRUE,"Ready 2 Submit","Waiting on Dealer"))</f>
        <v/>
      </c>
      <c r="AG392" s="148"/>
      <c r="AH392" s="87"/>
      <c r="AI392" s="87"/>
      <c r="AJ392" s="197"/>
      <c r="AK392" s="110" t="b">
        <v>0</v>
      </c>
      <c r="AL392" s="87" t="str" cm="1">
        <f t="array" ref="AL392">IF($A392="","",SUMPRODUCT((CHOOSE({1,2,3,4,5},$R392,$V392,$Z392,$AD392,$AH392)="Yes")*(((CHOOSE({1,2,3,4,5},$S392,$W392,$AA392,$AE392,$AI392)="Yes")+(CHOOSE({1,2,3,4,5},$S392,$W392,$AA392,$AE392,$AI392)=TRUE))&gt;0)))</f>
        <v/>
      </c>
      <c r="AM392" s="87"/>
      <c r="AN392" s="87" t="str">
        <f ca="1">IF(OR($A392="",$AM392=""),"",TODAY()-$AM392)</f>
        <v/>
      </c>
      <c r="AO392" s="87"/>
      <c r="AP392" s="106"/>
      <c r="AQ392" s="106"/>
      <c r="AR392" s="106"/>
      <c r="AS392" s="106"/>
      <c r="AT392" s="106"/>
      <c r="AU392" s="106"/>
      <c r="AV392" s="106"/>
      <c r="AW392" s="106"/>
      <c r="AX392" s="106"/>
      <c r="AY392" s="106"/>
    </row>
    <row r="393" spans="1:51" s="20" customFormat="1" ht="21" customHeight="1">
      <c r="A393" s="197"/>
      <c r="B393" s="87"/>
      <c r="C393" s="87"/>
      <c r="D393" s="196"/>
      <c r="E393" s="108"/>
      <c r="F393" s="196"/>
      <c r="G393" s="87"/>
      <c r="H393" s="197"/>
      <c r="I393" s="89"/>
      <c r="J393" s="204"/>
      <c r="K393" s="87"/>
      <c r="L393" s="87" t="str" cm="1">
        <f t="array" ref="L393">IF($A393="","",_xlfn.LET(_xlpm.stat,CHOOSE({1,2,3,4,5},$P393,$T393,$X393,$AB393,$AF393),_xlpm.rate,CHOOSE({1,2,3,4,5},$R393,$V393,$Z393,$AD393,$AH393),_xlpm.trn,CHOOSE({1,2,3,4,5},$S393,$W393,$AA393,$AE393,$AI393),_xlpm.nsC,SUMPRODUCT(--(_xlpm.stat="Ready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DLR",IF(AND(_xlpm.actRS&gt;0,_xlpm.actDone&lt;_xlpm.actRS),"Training",IF(_xlpm.actRS&gt;0,"Active",IF(AND(_xlpm.decC&gt;0,_xlpm.inPlay+_xlpm.actC=0),"Dead",IF(AND($AJ393&lt;&gt;"",$AK393=FALSE),"Waiting on Dealer",IF(_xlpm.subC&gt;0,"Waiting on Lender",IF(AND(_xlpm.appC+_xlpm.actC&gt;0,_xlpm.nsC+_xlpm.wdC=0),"Rate Sheet","Application Submitted")))))))))</f>
        <v/>
      </c>
      <c r="M393" s="87"/>
      <c r="N393" s="87"/>
      <c r="O393" s="197"/>
      <c r="P393" s="87" t="str">
        <f>IF($A393="","",IF($AK393=TRUE,"Ready 2 Submit","Waiting on Dealer"))</f>
        <v/>
      </c>
      <c r="Q393" s="148"/>
      <c r="R393" s="87"/>
      <c r="S393" s="87"/>
      <c r="T393" s="87" t="str">
        <f>IF($A393="","",IF($AK393=TRUE,"Ready 2 Submit","Waiting on Dealer"))</f>
        <v/>
      </c>
      <c r="U393" s="148"/>
      <c r="V393" s="87"/>
      <c r="W393" s="87"/>
      <c r="X393" s="87" t="str">
        <f>IF($A393="","",IF($AK393=TRUE,"Ready 2 Submit","Waiting on Dealer"))</f>
        <v/>
      </c>
      <c r="Y393" s="148"/>
      <c r="Z393" s="87"/>
      <c r="AA393" s="87"/>
      <c r="AB393" s="87" t="str">
        <f>IF($A393="","",IF($AK393=TRUE,"Ready 2 Submit","Waiting on Dealer"))</f>
        <v/>
      </c>
      <c r="AC393" s="148"/>
      <c r="AD393" s="87"/>
      <c r="AE393" s="87"/>
      <c r="AF393" s="87" t="str">
        <f>IF($A393="","",IF($AK393=TRUE,"Ready 2 Submit","Waiting on Dealer"))</f>
        <v/>
      </c>
      <c r="AG393" s="148"/>
      <c r="AH393" s="87"/>
      <c r="AI393" s="87"/>
      <c r="AJ393" s="197"/>
      <c r="AK393" s="110" t="b">
        <v>0</v>
      </c>
      <c r="AL393" s="87" t="str" cm="1">
        <f t="array" ref="AL393">IF($A393="","",SUMPRODUCT((CHOOSE({1,2,3,4,5},$R393,$V393,$Z393,$AD393,$AH393)="Yes")*(((CHOOSE({1,2,3,4,5},$S393,$W393,$AA393,$AE393,$AI393)="Yes")+(CHOOSE({1,2,3,4,5},$S393,$W393,$AA393,$AE393,$AI393)=TRUE))&gt;0)))</f>
        <v/>
      </c>
      <c r="AM393" s="87"/>
      <c r="AN393" s="87" t="str">
        <f ca="1">IF(OR($A393="",$AM393=""),"",TODAY()-$AM393)</f>
        <v/>
      </c>
      <c r="AO393" s="87"/>
      <c r="AP393" s="106"/>
      <c r="AQ393" s="106"/>
      <c r="AR393" s="106"/>
      <c r="AS393" s="106"/>
      <c r="AT393" s="106"/>
      <c r="AU393" s="106"/>
      <c r="AV393" s="106"/>
      <c r="AW393" s="106"/>
      <c r="AX393" s="106"/>
      <c r="AY393" s="106"/>
    </row>
    <row r="394" spans="1:51" s="20" customFormat="1" ht="21" customHeight="1">
      <c r="A394" s="197"/>
      <c r="B394" s="87"/>
      <c r="C394" s="87"/>
      <c r="D394" s="196"/>
      <c r="E394" s="108"/>
      <c r="F394" s="196"/>
      <c r="G394" s="87"/>
      <c r="H394" s="197"/>
      <c r="I394" s="89"/>
      <c r="J394" s="204"/>
      <c r="K394" s="87"/>
      <c r="L394" s="87" t="str" cm="1">
        <f t="array" ref="L394">IF($A394="","",_xlfn.LET(_xlpm.stat,CHOOSE({1,2,3,4,5},$P394,$T394,$X394,$AB394,$AF394),_xlpm.rate,CHOOSE({1,2,3,4,5},$R394,$V394,$Z394,$AD394,$AH394),_xlpm.trn,CHOOSE({1,2,3,4,5},$S394,$W394,$AA394,$AE394,$AI394),_xlpm.nsC,SUMPRODUCT(--(_xlpm.stat="Ready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DLR",IF(AND(_xlpm.actRS&gt;0,_xlpm.actDone&lt;_xlpm.actRS),"Training",IF(_xlpm.actRS&gt;0,"Active",IF(AND(_xlpm.decC&gt;0,_xlpm.inPlay+_xlpm.actC=0),"Dead",IF(AND($AJ394&lt;&gt;"",$AK394=FALSE),"Waiting on Dealer",IF(_xlpm.subC&gt;0,"Waiting on Lender",IF(AND(_xlpm.appC+_xlpm.actC&gt;0,_xlpm.nsC+_xlpm.wdC=0),"Rate Sheet","Application Submitted")))))))))</f>
        <v/>
      </c>
      <c r="M394" s="87"/>
      <c r="N394" s="87"/>
      <c r="O394" s="197"/>
      <c r="P394" s="87" t="str">
        <f>IF($A394="","",IF($AK394=TRUE,"Ready 2 Submit","Waiting on Dealer"))</f>
        <v/>
      </c>
      <c r="Q394" s="148"/>
      <c r="R394" s="87"/>
      <c r="S394" s="87"/>
      <c r="T394" s="87" t="str">
        <f>IF($A394="","",IF($AK394=TRUE,"Ready 2 Submit","Waiting on Dealer"))</f>
        <v/>
      </c>
      <c r="U394" s="148"/>
      <c r="V394" s="87"/>
      <c r="W394" s="87"/>
      <c r="X394" s="87" t="str">
        <f>IF($A394="","",IF($AK394=TRUE,"Ready 2 Submit","Waiting on Dealer"))</f>
        <v/>
      </c>
      <c r="Y394" s="148"/>
      <c r="Z394" s="87"/>
      <c r="AA394" s="87"/>
      <c r="AB394" s="87" t="str">
        <f>IF($A394="","",IF($AK394=TRUE,"Ready 2 Submit","Waiting on Dealer"))</f>
        <v/>
      </c>
      <c r="AC394" s="148"/>
      <c r="AD394" s="87"/>
      <c r="AE394" s="87"/>
      <c r="AF394" s="87" t="str">
        <f>IF($A394="","",IF($AK394=TRUE,"Ready 2 Submit","Waiting on Dealer"))</f>
        <v/>
      </c>
      <c r="AG394" s="148"/>
      <c r="AH394" s="87"/>
      <c r="AI394" s="87"/>
      <c r="AJ394" s="197"/>
      <c r="AK394" s="110" t="b">
        <v>0</v>
      </c>
      <c r="AL394" s="87" t="str" cm="1">
        <f t="array" ref="AL394">IF($A394="","",SUMPRODUCT((CHOOSE({1,2,3,4,5},$R394,$V394,$Z394,$AD394,$AH394)="Yes")*(((CHOOSE({1,2,3,4,5},$S394,$W394,$AA394,$AE394,$AI394)="Yes")+(CHOOSE({1,2,3,4,5},$S394,$W394,$AA394,$AE394,$AI394)=TRUE))&gt;0)))</f>
        <v/>
      </c>
      <c r="AM394" s="87"/>
      <c r="AN394" s="87" t="str">
        <f ca="1">IF(OR($A394="",$AM394=""),"",TODAY()-$AM394)</f>
        <v/>
      </c>
      <c r="AO394" s="87"/>
      <c r="AP394" s="106"/>
      <c r="AQ394" s="106"/>
      <c r="AR394" s="106"/>
      <c r="AS394" s="106"/>
      <c r="AT394" s="106"/>
      <c r="AU394" s="106"/>
      <c r="AV394" s="106"/>
      <c r="AW394" s="106"/>
      <c r="AX394" s="106"/>
      <c r="AY394" s="106"/>
    </row>
    <row r="395" spans="1:51" s="20" customFormat="1" ht="21" customHeight="1">
      <c r="A395" s="197"/>
      <c r="B395" s="87"/>
      <c r="C395" s="87"/>
      <c r="D395" s="196"/>
      <c r="E395" s="108"/>
      <c r="F395" s="196"/>
      <c r="G395" s="87"/>
      <c r="H395" s="197"/>
      <c r="I395" s="89"/>
      <c r="J395" s="204"/>
      <c r="K395" s="87"/>
      <c r="L395" s="87" t="str" cm="1">
        <f t="array" ref="L395">IF($A395="","",_xlfn.LET(_xlpm.stat,CHOOSE({1,2,3,4,5},$P395,$T395,$X395,$AB395,$AF395),_xlpm.rate,CHOOSE({1,2,3,4,5},$R395,$V395,$Z395,$AD395,$AH395),_xlpm.trn,CHOOSE({1,2,3,4,5},$S395,$W395,$AA395,$AE395,$AI395),_xlpm.nsC,SUMPRODUCT(--(_xlpm.stat="Ready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DLR",IF(AND(_xlpm.actRS&gt;0,_xlpm.actDone&lt;_xlpm.actRS),"Training",IF(_xlpm.actRS&gt;0,"Active",IF(AND(_xlpm.decC&gt;0,_xlpm.inPlay+_xlpm.actC=0),"Dead",IF(AND($AJ395&lt;&gt;"",$AK395=FALSE),"Waiting on Dealer",IF(_xlpm.subC&gt;0,"Waiting on Lender",IF(AND(_xlpm.appC+_xlpm.actC&gt;0,_xlpm.nsC+_xlpm.wdC=0),"Rate Sheet","Application Submitted")))))))))</f>
        <v/>
      </c>
      <c r="M395" s="87"/>
      <c r="N395" s="87"/>
      <c r="O395" s="197"/>
      <c r="P395" s="87" t="str">
        <f>IF($A395="","",IF($AK395=TRUE,"Ready 2 Submit","Waiting on Dealer"))</f>
        <v/>
      </c>
      <c r="Q395" s="148"/>
      <c r="R395" s="87"/>
      <c r="S395" s="87"/>
      <c r="T395" s="87" t="str">
        <f>IF($A395="","",IF($AK395=TRUE,"Ready 2 Submit","Waiting on Dealer"))</f>
        <v/>
      </c>
      <c r="U395" s="148"/>
      <c r="V395" s="87"/>
      <c r="W395" s="87"/>
      <c r="X395" s="87" t="str">
        <f>IF($A395="","",IF($AK395=TRUE,"Ready 2 Submit","Waiting on Dealer"))</f>
        <v/>
      </c>
      <c r="Y395" s="148"/>
      <c r="Z395" s="87"/>
      <c r="AA395" s="87"/>
      <c r="AB395" s="87" t="str">
        <f>IF($A395="","",IF($AK395=TRUE,"Ready 2 Submit","Waiting on Dealer"))</f>
        <v/>
      </c>
      <c r="AC395" s="148"/>
      <c r="AD395" s="87"/>
      <c r="AE395" s="87"/>
      <c r="AF395" s="87" t="str">
        <f>IF($A395="","",IF($AK395=TRUE,"Ready 2 Submit","Waiting on Dealer"))</f>
        <v/>
      </c>
      <c r="AG395" s="148"/>
      <c r="AH395" s="87"/>
      <c r="AI395" s="87"/>
      <c r="AJ395" s="197"/>
      <c r="AK395" s="110" t="b">
        <v>0</v>
      </c>
      <c r="AL395" s="87" t="str" cm="1">
        <f t="array" ref="AL395">IF($A395="","",SUMPRODUCT((CHOOSE({1,2,3,4,5},$R395,$V395,$Z395,$AD395,$AH395)="Yes")*(((CHOOSE({1,2,3,4,5},$S395,$W395,$AA395,$AE395,$AI395)="Yes")+(CHOOSE({1,2,3,4,5},$S395,$W395,$AA395,$AE395,$AI395)=TRUE))&gt;0)))</f>
        <v/>
      </c>
      <c r="AM395" s="87"/>
      <c r="AN395" s="87" t="str">
        <f ca="1">IF(OR($A395="",$AM395=""),"",TODAY()-$AM395)</f>
        <v/>
      </c>
      <c r="AO395" s="87"/>
      <c r="AP395" s="106"/>
      <c r="AQ395" s="106"/>
      <c r="AR395" s="106"/>
      <c r="AS395" s="106"/>
      <c r="AT395" s="106"/>
      <c r="AU395" s="106"/>
      <c r="AV395" s="106"/>
      <c r="AW395" s="106"/>
      <c r="AX395" s="106"/>
      <c r="AY395" s="106"/>
    </row>
    <row r="396" spans="1:51" s="20" customFormat="1" ht="21" customHeight="1">
      <c r="A396" s="197"/>
      <c r="B396" s="87"/>
      <c r="C396" s="87"/>
      <c r="D396" s="196"/>
      <c r="E396" s="108"/>
      <c r="F396" s="196"/>
      <c r="G396" s="87"/>
      <c r="H396" s="197"/>
      <c r="I396" s="89"/>
      <c r="J396" s="204"/>
      <c r="K396" s="87"/>
      <c r="L396" s="87" t="str" cm="1">
        <f t="array" ref="L396">IF($A396="","",_xlfn.LET(_xlpm.stat,CHOOSE({1,2,3,4,5},$P396,$T396,$X396,$AB396,$AF396),_xlpm.rate,CHOOSE({1,2,3,4,5},$R396,$V396,$Z396,$AD396,$AH396),_xlpm.trn,CHOOSE({1,2,3,4,5},$S396,$W396,$AA396,$AE396,$AI396),_xlpm.nsC,SUMPRODUCT(--(_xlpm.stat="Ready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DLR",IF(AND(_xlpm.actRS&gt;0,_xlpm.actDone&lt;_xlpm.actRS),"Training",IF(_xlpm.actRS&gt;0,"Active",IF(AND(_xlpm.decC&gt;0,_xlpm.inPlay+_xlpm.actC=0),"Dead",IF(AND($AJ396&lt;&gt;"",$AK396=FALSE),"Waiting on Dealer",IF(_xlpm.subC&gt;0,"Waiting on Lender",IF(AND(_xlpm.appC+_xlpm.actC&gt;0,_xlpm.nsC+_xlpm.wdC=0),"Rate Sheet","Application Submitted")))))))))</f>
        <v/>
      </c>
      <c r="M396" s="87"/>
      <c r="N396" s="87"/>
      <c r="O396" s="197"/>
      <c r="P396" s="87" t="str">
        <f>IF($A396="","",IF($AK396=TRUE,"Ready 2 Submit","Waiting on Dealer"))</f>
        <v/>
      </c>
      <c r="Q396" s="148"/>
      <c r="R396" s="87"/>
      <c r="S396" s="87"/>
      <c r="T396" s="87" t="str">
        <f>IF($A396="","",IF($AK396=TRUE,"Ready 2 Submit","Waiting on Dealer"))</f>
        <v/>
      </c>
      <c r="U396" s="148"/>
      <c r="V396" s="87"/>
      <c r="W396" s="87"/>
      <c r="X396" s="87" t="str">
        <f>IF($A396="","",IF($AK396=TRUE,"Ready 2 Submit","Waiting on Dealer"))</f>
        <v/>
      </c>
      <c r="Y396" s="148"/>
      <c r="Z396" s="87"/>
      <c r="AA396" s="87"/>
      <c r="AB396" s="87" t="str">
        <f>IF($A396="","",IF($AK396=TRUE,"Ready 2 Submit","Waiting on Dealer"))</f>
        <v/>
      </c>
      <c r="AC396" s="148"/>
      <c r="AD396" s="87"/>
      <c r="AE396" s="87"/>
      <c r="AF396" s="87" t="str">
        <f>IF($A396="","",IF($AK396=TRUE,"Ready 2 Submit","Waiting on Dealer"))</f>
        <v/>
      </c>
      <c r="AG396" s="148"/>
      <c r="AH396" s="87"/>
      <c r="AI396" s="87"/>
      <c r="AJ396" s="197"/>
      <c r="AK396" s="110" t="b">
        <v>0</v>
      </c>
      <c r="AL396" s="87" t="str" cm="1">
        <f t="array" ref="AL396">IF($A396="","",SUMPRODUCT((CHOOSE({1,2,3,4,5},$R396,$V396,$Z396,$AD396,$AH396)="Yes")*(((CHOOSE({1,2,3,4,5},$S396,$W396,$AA396,$AE396,$AI396)="Yes")+(CHOOSE({1,2,3,4,5},$S396,$W396,$AA396,$AE396,$AI396)=TRUE))&gt;0)))</f>
        <v/>
      </c>
      <c r="AM396" s="87"/>
      <c r="AN396" s="87" t="str">
        <f ca="1">IF(OR($A396="",$AM396=""),"",TODAY()-$AM396)</f>
        <v/>
      </c>
      <c r="AO396" s="87"/>
      <c r="AP396" s="106"/>
      <c r="AQ396" s="106"/>
      <c r="AR396" s="106"/>
      <c r="AS396" s="106"/>
      <c r="AT396" s="106"/>
      <c r="AU396" s="106"/>
      <c r="AV396" s="106"/>
      <c r="AW396" s="106"/>
      <c r="AX396" s="106"/>
      <c r="AY396" s="106"/>
    </row>
    <row r="397" spans="1:51" s="20" customFormat="1" ht="21" customHeight="1">
      <c r="A397" s="197"/>
      <c r="B397" s="87"/>
      <c r="C397" s="87"/>
      <c r="D397" s="196"/>
      <c r="E397" s="108"/>
      <c r="F397" s="196"/>
      <c r="G397" s="87"/>
      <c r="H397" s="197"/>
      <c r="I397" s="89"/>
      <c r="J397" s="204"/>
      <c r="K397" s="87"/>
      <c r="L397" s="87" t="str" cm="1">
        <f t="array" ref="L397">IF($A397="","",_xlfn.LET(_xlpm.stat,CHOOSE({1,2,3,4,5},$P397,$T397,$X397,$AB397,$AF397),_xlpm.rate,CHOOSE({1,2,3,4,5},$R397,$V397,$Z397,$AD397,$AH397),_xlpm.trn,CHOOSE({1,2,3,4,5},$S397,$W397,$AA397,$AE397,$AI397),_xlpm.nsC,SUMPRODUCT(--(_xlpm.stat="Ready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DLR",IF(AND(_xlpm.actRS&gt;0,_xlpm.actDone&lt;_xlpm.actRS),"Training",IF(_xlpm.actRS&gt;0,"Active",IF(AND(_xlpm.decC&gt;0,_xlpm.inPlay+_xlpm.actC=0),"Dead",IF(AND($AJ397&lt;&gt;"",$AK397=FALSE),"Waiting on Dealer",IF(_xlpm.subC&gt;0,"Waiting on Lender",IF(AND(_xlpm.appC+_xlpm.actC&gt;0,_xlpm.nsC+_xlpm.wdC=0),"Rate Sheet","Application Submitted")))))))))</f>
        <v/>
      </c>
      <c r="M397" s="87"/>
      <c r="N397" s="87"/>
      <c r="O397" s="197"/>
      <c r="P397" s="87" t="str">
        <f>IF($A397="","",IF($AK397=TRUE,"Ready 2 Submit","Waiting on Dealer"))</f>
        <v/>
      </c>
      <c r="Q397" s="148"/>
      <c r="R397" s="87"/>
      <c r="S397" s="87"/>
      <c r="T397" s="87" t="str">
        <f>IF($A397="","",IF($AK397=TRUE,"Ready 2 Submit","Waiting on Dealer"))</f>
        <v/>
      </c>
      <c r="U397" s="148"/>
      <c r="V397" s="87"/>
      <c r="W397" s="87"/>
      <c r="X397" s="87" t="str">
        <f>IF($A397="","",IF($AK397=TRUE,"Ready 2 Submit","Waiting on Dealer"))</f>
        <v/>
      </c>
      <c r="Y397" s="148"/>
      <c r="Z397" s="87"/>
      <c r="AA397" s="87"/>
      <c r="AB397" s="87" t="str">
        <f>IF($A397="","",IF($AK397=TRUE,"Ready 2 Submit","Waiting on Dealer"))</f>
        <v/>
      </c>
      <c r="AC397" s="148"/>
      <c r="AD397" s="87"/>
      <c r="AE397" s="87"/>
      <c r="AF397" s="87" t="str">
        <f>IF($A397="","",IF($AK397=TRUE,"Ready 2 Submit","Waiting on Dealer"))</f>
        <v/>
      </c>
      <c r="AG397" s="148"/>
      <c r="AH397" s="87"/>
      <c r="AI397" s="87"/>
      <c r="AJ397" s="197"/>
      <c r="AK397" s="110" t="b">
        <v>0</v>
      </c>
      <c r="AL397" s="87" t="str" cm="1">
        <f t="array" ref="AL397">IF($A397="","",SUMPRODUCT((CHOOSE({1,2,3,4,5},$R397,$V397,$Z397,$AD397,$AH397)="Yes")*(((CHOOSE({1,2,3,4,5},$S397,$W397,$AA397,$AE397,$AI397)="Yes")+(CHOOSE({1,2,3,4,5},$S397,$W397,$AA397,$AE397,$AI397)=TRUE))&gt;0)))</f>
        <v/>
      </c>
      <c r="AM397" s="87"/>
      <c r="AN397" s="87" t="str">
        <f ca="1">IF(OR($A397="",$AM397=""),"",TODAY()-$AM397)</f>
        <v/>
      </c>
      <c r="AO397" s="87"/>
      <c r="AP397" s="106"/>
      <c r="AQ397" s="106"/>
      <c r="AR397" s="106"/>
      <c r="AS397" s="106"/>
      <c r="AT397" s="106"/>
      <c r="AU397" s="106"/>
      <c r="AV397" s="106"/>
      <c r="AW397" s="106"/>
      <c r="AX397" s="106"/>
      <c r="AY397" s="106"/>
    </row>
    <row r="398" spans="1:51" s="20" customFormat="1" ht="21" customHeight="1">
      <c r="A398" s="197"/>
      <c r="B398" s="87"/>
      <c r="C398" s="87"/>
      <c r="D398" s="196"/>
      <c r="E398" s="108"/>
      <c r="F398" s="196"/>
      <c r="G398" s="87"/>
      <c r="H398" s="197"/>
      <c r="I398" s="89"/>
      <c r="J398" s="204"/>
      <c r="K398" s="87"/>
      <c r="L398" s="87" t="str" cm="1">
        <f t="array" ref="L398">IF($A398="","",_xlfn.LET(_xlpm.stat,CHOOSE({1,2,3,4,5},$P398,$T398,$X398,$AB398,$AF398),_xlpm.rate,CHOOSE({1,2,3,4,5},$R398,$V398,$Z398,$AD398,$AH398),_xlpm.trn,CHOOSE({1,2,3,4,5},$S398,$W398,$AA398,$AE398,$AI398),_xlpm.nsC,SUMPRODUCT(--(_xlpm.stat="Ready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DLR",IF(AND(_xlpm.actRS&gt;0,_xlpm.actDone&lt;_xlpm.actRS),"Training",IF(_xlpm.actRS&gt;0,"Active",IF(AND(_xlpm.decC&gt;0,_xlpm.inPlay+_xlpm.actC=0),"Dead",IF(AND($AJ398&lt;&gt;"",$AK398=FALSE),"Waiting on Dealer",IF(_xlpm.subC&gt;0,"Waiting on Lender",IF(AND(_xlpm.appC+_xlpm.actC&gt;0,_xlpm.nsC+_xlpm.wdC=0),"Rate Sheet","Application Submitted")))))))))</f>
        <v/>
      </c>
      <c r="M398" s="87"/>
      <c r="N398" s="87"/>
      <c r="O398" s="197"/>
      <c r="P398" s="87" t="str">
        <f>IF($A398="","",IF($AK398=TRUE,"Ready 2 Submit","Waiting on Dealer"))</f>
        <v/>
      </c>
      <c r="Q398" s="148"/>
      <c r="R398" s="87"/>
      <c r="S398" s="87"/>
      <c r="T398" s="87" t="str">
        <f>IF($A398="","",IF($AK398=TRUE,"Ready 2 Submit","Waiting on Dealer"))</f>
        <v/>
      </c>
      <c r="U398" s="148"/>
      <c r="V398" s="87"/>
      <c r="W398" s="87"/>
      <c r="X398" s="87" t="str">
        <f>IF($A398="","",IF($AK398=TRUE,"Ready 2 Submit","Waiting on Dealer"))</f>
        <v/>
      </c>
      <c r="Y398" s="148"/>
      <c r="Z398" s="87"/>
      <c r="AA398" s="87"/>
      <c r="AB398" s="87" t="str">
        <f>IF($A398="","",IF($AK398=TRUE,"Ready 2 Submit","Waiting on Dealer"))</f>
        <v/>
      </c>
      <c r="AC398" s="148"/>
      <c r="AD398" s="87"/>
      <c r="AE398" s="87"/>
      <c r="AF398" s="87" t="str">
        <f>IF($A398="","",IF($AK398=TRUE,"Ready 2 Submit","Waiting on Dealer"))</f>
        <v/>
      </c>
      <c r="AG398" s="148"/>
      <c r="AH398" s="87"/>
      <c r="AI398" s="87"/>
      <c r="AJ398" s="197"/>
      <c r="AK398" s="110" t="b">
        <v>0</v>
      </c>
      <c r="AL398" s="87" t="str" cm="1">
        <f t="array" ref="AL398">IF($A398="","",SUMPRODUCT((CHOOSE({1,2,3,4,5},$R398,$V398,$Z398,$AD398,$AH398)="Yes")*(((CHOOSE({1,2,3,4,5},$S398,$W398,$AA398,$AE398,$AI398)="Yes")+(CHOOSE({1,2,3,4,5},$S398,$W398,$AA398,$AE398,$AI398)=TRUE))&gt;0)))</f>
        <v/>
      </c>
      <c r="AM398" s="87"/>
      <c r="AN398" s="87" t="str">
        <f ca="1">IF(OR($A398="",$AM398=""),"",TODAY()-$AM398)</f>
        <v/>
      </c>
      <c r="AO398" s="87"/>
      <c r="AP398" s="106"/>
      <c r="AQ398" s="106"/>
      <c r="AR398" s="106"/>
      <c r="AS398" s="106"/>
      <c r="AT398" s="106"/>
      <c r="AU398" s="106"/>
      <c r="AV398" s="106"/>
      <c r="AW398" s="106"/>
      <c r="AX398" s="106"/>
      <c r="AY398" s="106"/>
    </row>
    <row r="399" spans="1:51" s="20" customFormat="1" ht="21" customHeight="1">
      <c r="A399" s="197"/>
      <c r="B399" s="87"/>
      <c r="C399" s="87"/>
      <c r="D399" s="196"/>
      <c r="E399" s="108"/>
      <c r="F399" s="196"/>
      <c r="G399" s="87"/>
      <c r="H399" s="197"/>
      <c r="I399" s="89"/>
      <c r="J399" s="204"/>
      <c r="K399" s="87"/>
      <c r="L399" s="87" t="str" cm="1">
        <f t="array" ref="L399">IF($A399="","",_xlfn.LET(_xlpm.stat,CHOOSE({1,2,3,4,5},$P399,$T399,$X399,$AB399,$AF399),_xlpm.rate,CHOOSE({1,2,3,4,5},$R399,$V399,$Z399,$AD399,$AH399),_xlpm.trn,CHOOSE({1,2,3,4,5},$S399,$W399,$AA399,$AE399,$AI399),_xlpm.nsC,SUMPRODUCT(--(_xlpm.stat="Ready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DLR",IF(AND(_xlpm.actRS&gt;0,_xlpm.actDone&lt;_xlpm.actRS),"Training",IF(_xlpm.actRS&gt;0,"Active",IF(AND(_xlpm.decC&gt;0,_xlpm.inPlay+_xlpm.actC=0),"Dead",IF(AND($AJ399&lt;&gt;"",$AK399=FALSE),"Waiting on Dealer",IF(_xlpm.subC&gt;0,"Waiting on Lender",IF(AND(_xlpm.appC+_xlpm.actC&gt;0,_xlpm.nsC+_xlpm.wdC=0),"Rate Sheet","Application Submitted")))))))))</f>
        <v/>
      </c>
      <c r="M399" s="87"/>
      <c r="N399" s="87"/>
      <c r="O399" s="197"/>
      <c r="P399" s="87" t="str">
        <f>IF($A399="","",IF($AK399=TRUE,"Ready 2 Submit","Waiting on Dealer"))</f>
        <v/>
      </c>
      <c r="Q399" s="148"/>
      <c r="R399" s="87"/>
      <c r="S399" s="87"/>
      <c r="T399" s="87" t="str">
        <f>IF($A399="","",IF($AK399=TRUE,"Ready 2 Submit","Waiting on Dealer"))</f>
        <v/>
      </c>
      <c r="U399" s="148"/>
      <c r="V399" s="87"/>
      <c r="W399" s="87"/>
      <c r="X399" s="87" t="str">
        <f>IF($A399="","",IF($AK399=TRUE,"Ready 2 Submit","Waiting on Dealer"))</f>
        <v/>
      </c>
      <c r="Y399" s="148"/>
      <c r="Z399" s="87"/>
      <c r="AA399" s="87"/>
      <c r="AB399" s="87" t="str">
        <f>IF($A399="","",IF($AK399=TRUE,"Ready 2 Submit","Waiting on Dealer"))</f>
        <v/>
      </c>
      <c r="AC399" s="148"/>
      <c r="AD399" s="87"/>
      <c r="AE399" s="87"/>
      <c r="AF399" s="87" t="str">
        <f>IF($A399="","",IF($AK399=TRUE,"Ready 2 Submit","Waiting on Dealer"))</f>
        <v/>
      </c>
      <c r="AG399" s="148"/>
      <c r="AH399" s="87"/>
      <c r="AI399" s="87"/>
      <c r="AJ399" s="197"/>
      <c r="AK399" s="110" t="b">
        <v>0</v>
      </c>
      <c r="AL399" s="87" t="str" cm="1">
        <f t="array" ref="AL399">IF($A399="","",SUMPRODUCT((CHOOSE({1,2,3,4,5},$R399,$V399,$Z399,$AD399,$AH399)="Yes")*(((CHOOSE({1,2,3,4,5},$S399,$W399,$AA399,$AE399,$AI399)="Yes")+(CHOOSE({1,2,3,4,5},$S399,$W399,$AA399,$AE399,$AI399)=TRUE))&gt;0)))</f>
        <v/>
      </c>
      <c r="AM399" s="87"/>
      <c r="AN399" s="87" t="str">
        <f ca="1">IF(OR($A399="",$AM399=""),"",TODAY()-$AM399)</f>
        <v/>
      </c>
      <c r="AO399" s="87"/>
      <c r="AP399" s="106"/>
      <c r="AQ399" s="106"/>
      <c r="AR399" s="106"/>
      <c r="AS399" s="106"/>
      <c r="AT399" s="106"/>
      <c r="AU399" s="106"/>
      <c r="AV399" s="106"/>
      <c r="AW399" s="106"/>
      <c r="AX399" s="106"/>
      <c r="AY399" s="106"/>
    </row>
    <row r="400" spans="1:51" s="20" customFormat="1" ht="21" customHeight="1">
      <c r="A400" s="197"/>
      <c r="B400" s="87"/>
      <c r="C400" s="87"/>
      <c r="D400" s="196"/>
      <c r="E400" s="108"/>
      <c r="F400" s="196"/>
      <c r="G400" s="87"/>
      <c r="H400" s="197"/>
      <c r="I400" s="89"/>
      <c r="J400" s="204"/>
      <c r="K400" s="87"/>
      <c r="L400" s="87" t="str" cm="1">
        <f t="array" ref="L400">IF($A400="","",_xlfn.LET(_xlpm.stat,CHOOSE({1,2,3,4,5},$P400,$T400,$X400,$AB400,$AF400),_xlpm.rate,CHOOSE({1,2,3,4,5},$R400,$V400,$Z400,$AD400,$AH400),_xlpm.trn,CHOOSE({1,2,3,4,5},$S400,$W400,$AA400,$AE400,$AI400),_xlpm.nsC,SUMPRODUCT(--(_xlpm.stat="Ready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DLR",IF(AND(_xlpm.actRS&gt;0,_xlpm.actDone&lt;_xlpm.actRS),"Training",IF(_xlpm.actRS&gt;0,"Active",IF(AND(_xlpm.decC&gt;0,_xlpm.inPlay+_xlpm.actC=0),"Dead",IF(AND($AJ400&lt;&gt;"",$AK400=FALSE),"Waiting on Dealer",IF(_xlpm.subC&gt;0,"Waiting on Lender",IF(AND(_xlpm.appC+_xlpm.actC&gt;0,_xlpm.nsC+_xlpm.wdC=0),"Rate Sheet","Application Submitted")))))))))</f>
        <v/>
      </c>
      <c r="M400" s="87"/>
      <c r="N400" s="87"/>
      <c r="O400" s="197"/>
      <c r="P400" s="87" t="str">
        <f>IF($A400="","",IF($AK400=TRUE,"Ready 2 Submit","Waiting on Dealer"))</f>
        <v/>
      </c>
      <c r="Q400" s="148"/>
      <c r="R400" s="87"/>
      <c r="S400" s="87"/>
      <c r="T400" s="87" t="str">
        <f>IF($A400="","",IF($AK400=TRUE,"Ready 2 Submit","Waiting on Dealer"))</f>
        <v/>
      </c>
      <c r="U400" s="148"/>
      <c r="V400" s="87"/>
      <c r="W400" s="87"/>
      <c r="X400" s="87" t="str">
        <f>IF($A400="","",IF($AK400=TRUE,"Ready 2 Submit","Waiting on Dealer"))</f>
        <v/>
      </c>
      <c r="Y400" s="148"/>
      <c r="Z400" s="87"/>
      <c r="AA400" s="87"/>
      <c r="AB400" s="87" t="str">
        <f>IF($A400="","",IF($AK400=TRUE,"Ready 2 Submit","Waiting on Dealer"))</f>
        <v/>
      </c>
      <c r="AC400" s="148"/>
      <c r="AD400" s="87"/>
      <c r="AE400" s="87"/>
      <c r="AF400" s="87" t="str">
        <f>IF($A400="","",IF($AK400=TRUE,"Ready 2 Submit","Waiting on Dealer"))</f>
        <v/>
      </c>
      <c r="AG400" s="148"/>
      <c r="AH400" s="87"/>
      <c r="AI400" s="87"/>
      <c r="AJ400" s="197"/>
      <c r="AK400" s="110" t="b">
        <v>0</v>
      </c>
      <c r="AL400" s="87" t="str" cm="1">
        <f t="array" ref="AL400">IF($A400="","",SUMPRODUCT((CHOOSE({1,2,3,4,5},$R400,$V400,$Z400,$AD400,$AH400)="Yes")*(((CHOOSE({1,2,3,4,5},$S400,$W400,$AA400,$AE400,$AI400)="Yes")+(CHOOSE({1,2,3,4,5},$S400,$W400,$AA400,$AE400,$AI400)=TRUE))&gt;0)))</f>
        <v/>
      </c>
      <c r="AM400" s="87"/>
      <c r="AN400" s="87" t="str">
        <f ca="1">IF(OR($A400="",$AM400=""),"",TODAY()-$AM400)</f>
        <v/>
      </c>
      <c r="AO400" s="87"/>
      <c r="AP400" s="106"/>
      <c r="AQ400" s="106"/>
      <c r="AR400" s="106"/>
      <c r="AS400" s="106"/>
      <c r="AT400" s="106"/>
      <c r="AU400" s="106"/>
      <c r="AV400" s="106"/>
      <c r="AW400" s="106"/>
      <c r="AX400" s="106"/>
      <c r="AY400" s="106"/>
    </row>
    <row r="401" spans="1:51" s="20" customFormat="1" ht="21" customHeight="1">
      <c r="A401" s="197"/>
      <c r="B401" s="87"/>
      <c r="C401" s="87"/>
      <c r="D401" s="196"/>
      <c r="E401" s="108"/>
      <c r="F401" s="196"/>
      <c r="G401" s="87"/>
      <c r="H401" s="197"/>
      <c r="I401" s="89"/>
      <c r="J401" s="204"/>
      <c r="K401" s="87"/>
      <c r="L401" s="87" t="str" cm="1">
        <f t="array" ref="L401">IF($A401="","",_xlfn.LET(_xlpm.stat,CHOOSE({1,2,3,4,5},$P401,$T401,$X401,$AB401,$AF401),_xlpm.rate,CHOOSE({1,2,3,4,5},$R401,$V401,$Z401,$AD401,$AH401),_xlpm.trn,CHOOSE({1,2,3,4,5},$S401,$W401,$AA401,$AE401,$AI401),_xlpm.nsC,SUMPRODUCT(--(_xlpm.stat="Ready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DLR",IF(AND(_xlpm.actRS&gt;0,_xlpm.actDone&lt;_xlpm.actRS),"Training",IF(_xlpm.actRS&gt;0,"Active",IF(AND(_xlpm.decC&gt;0,_xlpm.inPlay+_xlpm.actC=0),"Dead",IF(AND($AJ401&lt;&gt;"",$AK401=FALSE),"Waiting on Dealer",IF(_xlpm.subC&gt;0,"Waiting on Lender",IF(AND(_xlpm.appC+_xlpm.actC&gt;0,_xlpm.nsC+_xlpm.wdC=0),"Rate Sheet","Application Submitted")))))))))</f>
        <v/>
      </c>
      <c r="M401" s="87"/>
      <c r="N401" s="87"/>
      <c r="O401" s="197"/>
      <c r="P401" s="87" t="str">
        <f>IF($A401="","",IF($AK401=TRUE,"Ready 2 Submit","Waiting on Dealer"))</f>
        <v/>
      </c>
      <c r="Q401" s="148"/>
      <c r="R401" s="87"/>
      <c r="S401" s="87"/>
      <c r="T401" s="87" t="str">
        <f>IF($A401="","",IF($AK401=TRUE,"Ready 2 Submit","Waiting on Dealer"))</f>
        <v/>
      </c>
      <c r="U401" s="148"/>
      <c r="V401" s="87"/>
      <c r="W401" s="87"/>
      <c r="X401" s="87" t="str">
        <f>IF($A401="","",IF($AK401=TRUE,"Ready 2 Submit","Waiting on Dealer"))</f>
        <v/>
      </c>
      <c r="Y401" s="148"/>
      <c r="Z401" s="87"/>
      <c r="AA401" s="87"/>
      <c r="AB401" s="87" t="str">
        <f>IF($A401="","",IF($AK401=TRUE,"Ready 2 Submit","Waiting on Dealer"))</f>
        <v/>
      </c>
      <c r="AC401" s="148"/>
      <c r="AD401" s="87"/>
      <c r="AE401" s="87"/>
      <c r="AF401" s="87" t="str">
        <f>IF($A401="","",IF($AK401=TRUE,"Ready 2 Submit","Waiting on Dealer"))</f>
        <v/>
      </c>
      <c r="AG401" s="148"/>
      <c r="AH401" s="87"/>
      <c r="AI401" s="87"/>
      <c r="AJ401" s="197"/>
      <c r="AK401" s="110" t="b">
        <v>0</v>
      </c>
      <c r="AL401" s="87" t="str" cm="1">
        <f t="array" ref="AL401">IF($A401="","",SUMPRODUCT((CHOOSE({1,2,3,4,5},$R401,$V401,$Z401,$AD401,$AH401)="Yes")*(((CHOOSE({1,2,3,4,5},$S401,$W401,$AA401,$AE401,$AI401)="Yes")+(CHOOSE({1,2,3,4,5},$S401,$W401,$AA401,$AE401,$AI401)=TRUE))&gt;0)))</f>
        <v/>
      </c>
      <c r="AM401" s="87"/>
      <c r="AN401" s="87" t="str">
        <f ca="1">IF(OR($A401="",$AM401=""),"",TODAY()-$AM401)</f>
        <v/>
      </c>
      <c r="AO401" s="87"/>
      <c r="AP401" s="106"/>
      <c r="AQ401" s="106"/>
      <c r="AR401" s="106"/>
      <c r="AS401" s="106"/>
      <c r="AT401" s="106"/>
      <c r="AU401" s="106"/>
      <c r="AV401" s="106"/>
      <c r="AW401" s="106"/>
      <c r="AX401" s="106"/>
      <c r="AY401" s="106"/>
    </row>
    <row r="402" spans="1:51" s="20" customFormat="1" ht="21" customHeight="1">
      <c r="A402" s="197"/>
      <c r="B402" s="87"/>
      <c r="C402" s="87"/>
      <c r="D402" s="196"/>
      <c r="E402" s="108"/>
      <c r="F402" s="196"/>
      <c r="G402" s="87"/>
      <c r="H402" s="197"/>
      <c r="I402" s="89"/>
      <c r="J402" s="204"/>
      <c r="K402" s="87"/>
      <c r="L402" s="87" t="str" cm="1">
        <f t="array" ref="L402">IF($A402="","",_xlfn.LET(_xlpm.stat,CHOOSE({1,2,3,4,5},$P402,$T402,$X402,$AB402,$AF402),_xlpm.rate,CHOOSE({1,2,3,4,5},$R402,$V402,$Z402,$AD402,$AH402),_xlpm.trn,CHOOSE({1,2,3,4,5},$S402,$W402,$AA402,$AE402,$AI402),_xlpm.nsC,SUMPRODUCT(--(_xlpm.stat="Ready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DLR",IF(AND(_xlpm.actRS&gt;0,_xlpm.actDone&lt;_xlpm.actRS),"Training",IF(_xlpm.actRS&gt;0,"Active",IF(AND(_xlpm.decC&gt;0,_xlpm.inPlay+_xlpm.actC=0),"Dead",IF(AND($AJ402&lt;&gt;"",$AK402=FALSE),"Waiting on Dealer",IF(_xlpm.subC&gt;0,"Waiting on Lender",IF(AND(_xlpm.appC+_xlpm.actC&gt;0,_xlpm.nsC+_xlpm.wdC=0),"Rate Sheet","Application Submitted")))))))))</f>
        <v/>
      </c>
      <c r="M402" s="87"/>
      <c r="N402" s="87"/>
      <c r="O402" s="197"/>
      <c r="P402" s="87" t="str">
        <f>IF($A402="","",IF($AK402=TRUE,"Ready 2 Submit","Waiting on Dealer"))</f>
        <v/>
      </c>
      <c r="Q402" s="148"/>
      <c r="R402" s="87"/>
      <c r="S402" s="87"/>
      <c r="T402" s="87" t="str">
        <f>IF($A402="","",IF($AK402=TRUE,"Ready 2 Submit","Waiting on Dealer"))</f>
        <v/>
      </c>
      <c r="U402" s="148"/>
      <c r="V402" s="87"/>
      <c r="W402" s="87"/>
      <c r="X402" s="87" t="str">
        <f>IF($A402="","",IF($AK402=TRUE,"Ready 2 Submit","Waiting on Dealer"))</f>
        <v/>
      </c>
      <c r="Y402" s="148"/>
      <c r="Z402" s="87"/>
      <c r="AA402" s="87"/>
      <c r="AB402" s="87" t="str">
        <f>IF($A402="","",IF($AK402=TRUE,"Ready 2 Submit","Waiting on Dealer"))</f>
        <v/>
      </c>
      <c r="AC402" s="148"/>
      <c r="AD402" s="87"/>
      <c r="AE402" s="87"/>
      <c r="AF402" s="87" t="str">
        <f>IF($A402="","",IF($AK402=TRUE,"Ready 2 Submit","Waiting on Dealer"))</f>
        <v/>
      </c>
      <c r="AG402" s="148"/>
      <c r="AH402" s="87"/>
      <c r="AI402" s="87"/>
      <c r="AJ402" s="197"/>
      <c r="AK402" s="110" t="b">
        <v>0</v>
      </c>
      <c r="AL402" s="87" t="str" cm="1">
        <f t="array" ref="AL402">IF($A402="","",SUMPRODUCT((CHOOSE({1,2,3,4,5},$R402,$V402,$Z402,$AD402,$AH402)="Yes")*(((CHOOSE({1,2,3,4,5},$S402,$W402,$AA402,$AE402,$AI402)="Yes")+(CHOOSE({1,2,3,4,5},$S402,$W402,$AA402,$AE402,$AI402)=TRUE))&gt;0)))</f>
        <v/>
      </c>
      <c r="AM402" s="87"/>
      <c r="AN402" s="87" t="str">
        <f ca="1">IF(OR($A402="",$AM402=""),"",TODAY()-$AM402)</f>
        <v/>
      </c>
      <c r="AO402" s="87"/>
      <c r="AP402" s="106"/>
      <c r="AQ402" s="106"/>
      <c r="AR402" s="106"/>
      <c r="AS402" s="106"/>
      <c r="AT402" s="106"/>
      <c r="AU402" s="106"/>
      <c r="AV402" s="106"/>
      <c r="AW402" s="106"/>
      <c r="AX402" s="106"/>
      <c r="AY402" s="106"/>
    </row>
    <row r="403" spans="1:51" s="20" customFormat="1" ht="21" customHeight="1">
      <c r="A403" s="197"/>
      <c r="B403" s="87"/>
      <c r="C403" s="87"/>
      <c r="D403" s="196"/>
      <c r="E403" s="108"/>
      <c r="F403" s="196"/>
      <c r="G403" s="87"/>
      <c r="H403" s="197"/>
      <c r="I403" s="89"/>
      <c r="J403" s="204"/>
      <c r="K403" s="87"/>
      <c r="L403" s="87" t="str" cm="1">
        <f t="array" ref="L403">IF($A403="","",_xlfn.LET(_xlpm.stat,CHOOSE({1,2,3,4,5},$P403,$T403,$X403,$AB403,$AF403),_xlpm.rate,CHOOSE({1,2,3,4,5},$R403,$V403,$Z403,$AD403,$AH403),_xlpm.trn,CHOOSE({1,2,3,4,5},$S403,$W403,$AA403,$AE403,$AI403),_xlpm.nsC,SUMPRODUCT(--(_xlpm.stat="Ready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DLR",IF(AND(_xlpm.actRS&gt;0,_xlpm.actDone&lt;_xlpm.actRS),"Training",IF(_xlpm.actRS&gt;0,"Active",IF(AND(_xlpm.decC&gt;0,_xlpm.inPlay+_xlpm.actC=0),"Dead",IF(AND($AJ403&lt;&gt;"",$AK403=FALSE),"Waiting on Dealer",IF(_xlpm.subC&gt;0,"Waiting on Lender",IF(AND(_xlpm.appC+_xlpm.actC&gt;0,_xlpm.nsC+_xlpm.wdC=0),"Rate Sheet","Application Submitted")))))))))</f>
        <v/>
      </c>
      <c r="M403" s="87"/>
      <c r="N403" s="87"/>
      <c r="O403" s="197"/>
      <c r="P403" s="87" t="str">
        <f>IF($A403="","",IF($AK403=TRUE,"Ready 2 Submit","Waiting on Dealer"))</f>
        <v/>
      </c>
      <c r="Q403" s="148"/>
      <c r="R403" s="87"/>
      <c r="S403" s="87"/>
      <c r="T403" s="87" t="str">
        <f>IF($A403="","",IF($AK403=TRUE,"Ready 2 Submit","Waiting on Dealer"))</f>
        <v/>
      </c>
      <c r="U403" s="148"/>
      <c r="V403" s="87"/>
      <c r="W403" s="87"/>
      <c r="X403" s="87" t="str">
        <f>IF($A403="","",IF($AK403=TRUE,"Ready 2 Submit","Waiting on Dealer"))</f>
        <v/>
      </c>
      <c r="Y403" s="148"/>
      <c r="Z403" s="87"/>
      <c r="AA403" s="87"/>
      <c r="AB403" s="87" t="str">
        <f>IF($A403="","",IF($AK403=TRUE,"Ready 2 Submit","Waiting on Dealer"))</f>
        <v/>
      </c>
      <c r="AC403" s="148"/>
      <c r="AD403" s="87"/>
      <c r="AE403" s="87"/>
      <c r="AF403" s="87" t="str">
        <f>IF($A403="","",IF($AK403=TRUE,"Ready 2 Submit","Waiting on Dealer"))</f>
        <v/>
      </c>
      <c r="AG403" s="148"/>
      <c r="AH403" s="87"/>
      <c r="AI403" s="87"/>
      <c r="AJ403" s="197"/>
      <c r="AK403" s="110" t="b">
        <v>0</v>
      </c>
      <c r="AL403" s="87" t="str" cm="1">
        <f t="array" ref="AL403">IF($A403="","",SUMPRODUCT((CHOOSE({1,2,3,4,5},$R403,$V403,$Z403,$AD403,$AH403)="Yes")*(((CHOOSE({1,2,3,4,5},$S403,$W403,$AA403,$AE403,$AI403)="Yes")+(CHOOSE({1,2,3,4,5},$S403,$W403,$AA403,$AE403,$AI403)=TRUE))&gt;0)))</f>
        <v/>
      </c>
      <c r="AM403" s="87"/>
      <c r="AN403" s="87" t="str">
        <f ca="1">IF(OR($A403="",$AM403=""),"",TODAY()-$AM403)</f>
        <v/>
      </c>
      <c r="AO403" s="87"/>
      <c r="AP403" s="106"/>
      <c r="AQ403" s="106"/>
      <c r="AR403" s="106"/>
      <c r="AS403" s="106"/>
      <c r="AT403" s="106"/>
      <c r="AU403" s="106"/>
      <c r="AV403" s="106"/>
      <c r="AW403" s="106"/>
      <c r="AX403" s="106"/>
      <c r="AY403" s="106"/>
    </row>
    <row r="404" spans="1:51" s="20" customFormat="1" ht="21" customHeight="1">
      <c r="A404" s="197"/>
      <c r="B404" s="87"/>
      <c r="C404" s="87"/>
      <c r="D404" s="196"/>
      <c r="E404" s="108"/>
      <c r="F404" s="196"/>
      <c r="G404" s="87"/>
      <c r="H404" s="197"/>
      <c r="I404" s="89"/>
      <c r="J404" s="204"/>
      <c r="K404" s="87"/>
      <c r="L404" s="87" t="str" cm="1">
        <f t="array" ref="L404">IF($A404="","",_xlfn.LET(_xlpm.stat,CHOOSE({1,2,3,4,5},$P404,$T404,$X404,$AB404,$AF404),_xlpm.rate,CHOOSE({1,2,3,4,5},$R404,$V404,$Z404,$AD404,$AH404),_xlpm.trn,CHOOSE({1,2,3,4,5},$S404,$W404,$AA404,$AE404,$AI404),_xlpm.nsC,SUMPRODUCT(--(_xlpm.stat="Ready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DLR",IF(AND(_xlpm.actRS&gt;0,_xlpm.actDone&lt;_xlpm.actRS),"Training",IF(_xlpm.actRS&gt;0,"Active",IF(AND(_xlpm.decC&gt;0,_xlpm.inPlay+_xlpm.actC=0),"Dead",IF(AND($AJ404&lt;&gt;"",$AK404=FALSE),"Waiting on Dealer",IF(_xlpm.subC&gt;0,"Waiting on Lender",IF(AND(_xlpm.appC+_xlpm.actC&gt;0,_xlpm.nsC+_xlpm.wdC=0),"Rate Sheet","Application Submitted")))))))))</f>
        <v/>
      </c>
      <c r="M404" s="87"/>
      <c r="N404" s="87"/>
      <c r="O404" s="197"/>
      <c r="P404" s="87" t="str">
        <f>IF($A404="","",IF($AK404=TRUE,"Ready 2 Submit","Waiting on Dealer"))</f>
        <v/>
      </c>
      <c r="Q404" s="148"/>
      <c r="R404" s="87"/>
      <c r="S404" s="87"/>
      <c r="T404" s="87" t="str">
        <f>IF($A404="","",IF($AK404=TRUE,"Ready 2 Submit","Waiting on Dealer"))</f>
        <v/>
      </c>
      <c r="U404" s="148"/>
      <c r="V404" s="87"/>
      <c r="W404" s="87"/>
      <c r="X404" s="87" t="str">
        <f>IF($A404="","",IF($AK404=TRUE,"Ready 2 Submit","Waiting on Dealer"))</f>
        <v/>
      </c>
      <c r="Y404" s="148"/>
      <c r="Z404" s="87"/>
      <c r="AA404" s="87"/>
      <c r="AB404" s="87" t="str">
        <f>IF($A404="","",IF($AK404=TRUE,"Ready 2 Submit","Waiting on Dealer"))</f>
        <v/>
      </c>
      <c r="AC404" s="148"/>
      <c r="AD404" s="87"/>
      <c r="AE404" s="87"/>
      <c r="AF404" s="87" t="str">
        <f>IF($A404="","",IF($AK404=TRUE,"Ready 2 Submit","Waiting on Dealer"))</f>
        <v/>
      </c>
      <c r="AG404" s="148"/>
      <c r="AH404" s="87"/>
      <c r="AI404" s="87"/>
      <c r="AJ404" s="197"/>
      <c r="AK404" s="110" t="b">
        <v>0</v>
      </c>
      <c r="AL404" s="87" t="str" cm="1">
        <f t="array" ref="AL404">IF($A404="","",SUMPRODUCT((CHOOSE({1,2,3,4,5},$R404,$V404,$Z404,$AD404,$AH404)="Yes")*(((CHOOSE({1,2,3,4,5},$S404,$W404,$AA404,$AE404,$AI404)="Yes")+(CHOOSE({1,2,3,4,5},$S404,$W404,$AA404,$AE404,$AI404)=TRUE))&gt;0)))</f>
        <v/>
      </c>
      <c r="AM404" s="87"/>
      <c r="AN404" s="87" t="str">
        <f ca="1">IF(OR($A404="",$AM404=""),"",TODAY()-$AM404)</f>
        <v/>
      </c>
      <c r="AO404" s="87"/>
      <c r="AP404" s="106"/>
      <c r="AQ404" s="106"/>
      <c r="AR404" s="106"/>
      <c r="AS404" s="106"/>
      <c r="AT404" s="106"/>
      <c r="AU404" s="106"/>
      <c r="AV404" s="106"/>
      <c r="AW404" s="106"/>
      <c r="AX404" s="106"/>
      <c r="AY404" s="106"/>
    </row>
    <row r="405" spans="1:51" s="20" customFormat="1" ht="21" customHeight="1">
      <c r="A405" s="197"/>
      <c r="B405" s="87"/>
      <c r="C405" s="87"/>
      <c r="D405" s="196"/>
      <c r="E405" s="108"/>
      <c r="F405" s="196"/>
      <c r="G405" s="87"/>
      <c r="H405" s="197"/>
      <c r="I405" s="89"/>
      <c r="J405" s="204"/>
      <c r="K405" s="87"/>
      <c r="L405" s="87" t="str" cm="1">
        <f t="array" ref="L405">IF($A405="","",_xlfn.LET(_xlpm.stat,CHOOSE({1,2,3,4,5},$P405,$T405,$X405,$AB405,$AF405),_xlpm.rate,CHOOSE({1,2,3,4,5},$R405,$V405,$Z405,$AD405,$AH405),_xlpm.trn,CHOOSE({1,2,3,4,5},$S405,$W405,$AA405,$AE405,$AI405),_xlpm.nsC,SUMPRODUCT(--(_xlpm.stat="Ready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DLR",IF(AND(_xlpm.actRS&gt;0,_xlpm.actDone&lt;_xlpm.actRS),"Training",IF(_xlpm.actRS&gt;0,"Active",IF(AND(_xlpm.decC&gt;0,_xlpm.inPlay+_xlpm.actC=0),"Dead",IF(AND($AJ405&lt;&gt;"",$AK405=FALSE),"Waiting on Dealer",IF(_xlpm.subC&gt;0,"Waiting on Lender",IF(AND(_xlpm.appC+_xlpm.actC&gt;0,_xlpm.nsC+_xlpm.wdC=0),"Rate Sheet","Application Submitted")))))))))</f>
        <v/>
      </c>
      <c r="M405" s="87"/>
      <c r="N405" s="87"/>
      <c r="O405" s="197"/>
      <c r="P405" s="87" t="str">
        <f>IF($A405="","",IF($AK405=TRUE,"Ready 2 Submit","Waiting on Dealer"))</f>
        <v/>
      </c>
      <c r="Q405" s="148"/>
      <c r="R405" s="87"/>
      <c r="S405" s="87"/>
      <c r="T405" s="87" t="str">
        <f>IF($A405="","",IF($AK405=TRUE,"Ready 2 Submit","Waiting on Dealer"))</f>
        <v/>
      </c>
      <c r="U405" s="148"/>
      <c r="V405" s="87"/>
      <c r="W405" s="87"/>
      <c r="X405" s="87" t="str">
        <f>IF($A405="","",IF($AK405=TRUE,"Ready 2 Submit","Waiting on Dealer"))</f>
        <v/>
      </c>
      <c r="Y405" s="148"/>
      <c r="Z405" s="87"/>
      <c r="AA405" s="87"/>
      <c r="AB405" s="87" t="str">
        <f>IF($A405="","",IF($AK405=TRUE,"Ready 2 Submit","Waiting on Dealer"))</f>
        <v/>
      </c>
      <c r="AC405" s="148"/>
      <c r="AD405" s="87"/>
      <c r="AE405" s="87"/>
      <c r="AF405" s="87" t="str">
        <f>IF($A405="","",IF($AK405=TRUE,"Ready 2 Submit","Waiting on Dealer"))</f>
        <v/>
      </c>
      <c r="AG405" s="148"/>
      <c r="AH405" s="87"/>
      <c r="AI405" s="87"/>
      <c r="AJ405" s="197"/>
      <c r="AK405" s="110" t="b">
        <v>0</v>
      </c>
      <c r="AL405" s="87" t="str" cm="1">
        <f t="array" ref="AL405">IF($A405="","",SUMPRODUCT((CHOOSE({1,2,3,4,5},$R405,$V405,$Z405,$AD405,$AH405)="Yes")*(((CHOOSE({1,2,3,4,5},$S405,$W405,$AA405,$AE405,$AI405)="Yes")+(CHOOSE({1,2,3,4,5},$S405,$W405,$AA405,$AE405,$AI405)=TRUE))&gt;0)))</f>
        <v/>
      </c>
      <c r="AM405" s="87"/>
      <c r="AN405" s="87" t="str">
        <f ca="1">IF(OR($A405="",$AM405=""),"",TODAY()-$AM405)</f>
        <v/>
      </c>
      <c r="AO405" s="87"/>
      <c r="AP405" s="106"/>
      <c r="AQ405" s="106"/>
      <c r="AR405" s="106"/>
      <c r="AS405" s="106"/>
      <c r="AT405" s="106"/>
      <c r="AU405" s="106"/>
      <c r="AV405" s="106"/>
      <c r="AW405" s="106"/>
      <c r="AX405" s="106"/>
      <c r="AY405" s="106"/>
    </row>
    <row r="406" spans="1:51" s="20" customFormat="1" ht="21" customHeight="1">
      <c r="A406" s="197"/>
      <c r="B406" s="87"/>
      <c r="C406" s="87"/>
      <c r="D406" s="196"/>
      <c r="E406" s="108"/>
      <c r="F406" s="196"/>
      <c r="G406" s="87"/>
      <c r="H406" s="197"/>
      <c r="I406" s="89"/>
      <c r="J406" s="204"/>
      <c r="K406" s="87"/>
      <c r="L406" s="87" t="str" cm="1">
        <f t="array" ref="L406">IF($A406="","",_xlfn.LET(_xlpm.stat,CHOOSE({1,2,3,4,5},$P406,$T406,$X406,$AB406,$AF406),_xlpm.rate,CHOOSE({1,2,3,4,5},$R406,$V406,$Z406,$AD406,$AH406),_xlpm.trn,CHOOSE({1,2,3,4,5},$S406,$W406,$AA406,$AE406,$AI406),_xlpm.nsC,SUMPRODUCT(--(_xlpm.stat="Ready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DLR",IF(AND(_xlpm.actRS&gt;0,_xlpm.actDone&lt;_xlpm.actRS),"Training",IF(_xlpm.actRS&gt;0,"Active",IF(AND(_xlpm.decC&gt;0,_xlpm.inPlay+_xlpm.actC=0),"Dead",IF(AND($AJ406&lt;&gt;"",$AK406=FALSE),"Waiting on Dealer",IF(_xlpm.subC&gt;0,"Waiting on Lender",IF(AND(_xlpm.appC+_xlpm.actC&gt;0,_xlpm.nsC+_xlpm.wdC=0),"Rate Sheet","Application Submitted")))))))))</f>
        <v/>
      </c>
      <c r="M406" s="87"/>
      <c r="N406" s="87"/>
      <c r="O406" s="197"/>
      <c r="P406" s="87" t="str">
        <f>IF($A406="","",IF($AK406=TRUE,"Ready 2 Submit","Waiting on Dealer"))</f>
        <v/>
      </c>
      <c r="Q406" s="148"/>
      <c r="R406" s="87"/>
      <c r="S406" s="87"/>
      <c r="T406" s="87" t="str">
        <f>IF($A406="","",IF($AK406=TRUE,"Ready 2 Submit","Waiting on Dealer"))</f>
        <v/>
      </c>
      <c r="U406" s="148"/>
      <c r="V406" s="87"/>
      <c r="W406" s="87"/>
      <c r="X406" s="87" t="str">
        <f>IF($A406="","",IF($AK406=TRUE,"Ready 2 Submit","Waiting on Dealer"))</f>
        <v/>
      </c>
      <c r="Y406" s="148"/>
      <c r="Z406" s="87"/>
      <c r="AA406" s="87"/>
      <c r="AB406" s="87" t="str">
        <f>IF($A406="","",IF($AK406=TRUE,"Ready 2 Submit","Waiting on Dealer"))</f>
        <v/>
      </c>
      <c r="AC406" s="148"/>
      <c r="AD406" s="87"/>
      <c r="AE406" s="87"/>
      <c r="AF406" s="87" t="str">
        <f>IF($A406="","",IF($AK406=TRUE,"Ready 2 Submit","Waiting on Dealer"))</f>
        <v/>
      </c>
      <c r="AG406" s="148"/>
      <c r="AH406" s="87"/>
      <c r="AI406" s="87"/>
      <c r="AJ406" s="197"/>
      <c r="AK406" s="110" t="b">
        <v>0</v>
      </c>
      <c r="AL406" s="87" t="str" cm="1">
        <f t="array" ref="AL406">IF($A406="","",SUMPRODUCT((CHOOSE({1,2,3,4,5},$R406,$V406,$Z406,$AD406,$AH406)="Yes")*(((CHOOSE({1,2,3,4,5},$S406,$W406,$AA406,$AE406,$AI406)="Yes")+(CHOOSE({1,2,3,4,5},$S406,$W406,$AA406,$AE406,$AI406)=TRUE))&gt;0)))</f>
        <v/>
      </c>
      <c r="AM406" s="87"/>
      <c r="AN406" s="87" t="str">
        <f ca="1">IF(OR($A406="",$AM406=""),"",TODAY()-$AM406)</f>
        <v/>
      </c>
      <c r="AO406" s="87"/>
      <c r="AP406" s="106"/>
      <c r="AQ406" s="106"/>
      <c r="AR406" s="106"/>
      <c r="AS406" s="106"/>
      <c r="AT406" s="106"/>
      <c r="AU406" s="106"/>
      <c r="AV406" s="106"/>
      <c r="AW406" s="106"/>
      <c r="AX406" s="106"/>
      <c r="AY406" s="106"/>
    </row>
    <row r="407" spans="1:51" s="20" customFormat="1" ht="21" customHeight="1">
      <c r="A407" s="197"/>
      <c r="B407" s="87"/>
      <c r="C407" s="87"/>
      <c r="D407" s="196"/>
      <c r="E407" s="108"/>
      <c r="F407" s="196"/>
      <c r="G407" s="87"/>
      <c r="H407" s="197"/>
      <c r="I407" s="89"/>
      <c r="J407" s="204"/>
      <c r="K407" s="87"/>
      <c r="L407" s="87" t="str" cm="1">
        <f t="array" ref="L407">IF($A407="","",_xlfn.LET(_xlpm.stat,CHOOSE({1,2,3,4,5},$P407,$T407,$X407,$AB407,$AF407),_xlpm.rate,CHOOSE({1,2,3,4,5},$R407,$V407,$Z407,$AD407,$AH407),_xlpm.trn,CHOOSE({1,2,3,4,5},$S407,$W407,$AA407,$AE407,$AI407),_xlpm.nsC,SUMPRODUCT(--(_xlpm.stat="Ready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DLR",IF(AND(_xlpm.actRS&gt;0,_xlpm.actDone&lt;_xlpm.actRS),"Training",IF(_xlpm.actRS&gt;0,"Active",IF(AND(_xlpm.decC&gt;0,_xlpm.inPlay+_xlpm.actC=0),"Dead",IF(AND($AJ407&lt;&gt;"",$AK407=FALSE),"Waiting on Dealer",IF(_xlpm.subC&gt;0,"Waiting on Lender",IF(AND(_xlpm.appC+_xlpm.actC&gt;0,_xlpm.nsC+_xlpm.wdC=0),"Rate Sheet","Application Submitted")))))))))</f>
        <v/>
      </c>
      <c r="M407" s="87"/>
      <c r="N407" s="87"/>
      <c r="O407" s="197"/>
      <c r="P407" s="87" t="str">
        <f>IF($A407="","",IF($AK407=TRUE,"Ready 2 Submit","Waiting on Dealer"))</f>
        <v/>
      </c>
      <c r="Q407" s="148"/>
      <c r="R407" s="87"/>
      <c r="S407" s="87"/>
      <c r="T407" s="87" t="str">
        <f>IF($A407="","",IF($AK407=TRUE,"Ready 2 Submit","Waiting on Dealer"))</f>
        <v/>
      </c>
      <c r="U407" s="148"/>
      <c r="V407" s="87"/>
      <c r="W407" s="87"/>
      <c r="X407" s="87" t="str">
        <f>IF($A407="","",IF($AK407=TRUE,"Ready 2 Submit","Waiting on Dealer"))</f>
        <v/>
      </c>
      <c r="Y407" s="148"/>
      <c r="Z407" s="87"/>
      <c r="AA407" s="87"/>
      <c r="AB407" s="87" t="str">
        <f>IF($A407="","",IF($AK407=TRUE,"Ready 2 Submit","Waiting on Dealer"))</f>
        <v/>
      </c>
      <c r="AC407" s="148"/>
      <c r="AD407" s="87"/>
      <c r="AE407" s="87"/>
      <c r="AF407" s="87" t="str">
        <f>IF($A407="","",IF($AK407=TRUE,"Ready 2 Submit","Waiting on Dealer"))</f>
        <v/>
      </c>
      <c r="AG407" s="148"/>
      <c r="AH407" s="87"/>
      <c r="AI407" s="87"/>
      <c r="AJ407" s="197"/>
      <c r="AK407" s="110" t="b">
        <v>0</v>
      </c>
      <c r="AL407" s="87" t="str" cm="1">
        <f t="array" ref="AL407">IF($A407="","",SUMPRODUCT((CHOOSE({1,2,3,4,5},$R407,$V407,$Z407,$AD407,$AH407)="Yes")*(((CHOOSE({1,2,3,4,5},$S407,$W407,$AA407,$AE407,$AI407)="Yes")+(CHOOSE({1,2,3,4,5},$S407,$W407,$AA407,$AE407,$AI407)=TRUE))&gt;0)))</f>
        <v/>
      </c>
      <c r="AM407" s="87"/>
      <c r="AN407" s="87" t="str">
        <f ca="1">IF(OR($A407="",$AM407=""),"",TODAY()-$AM407)</f>
        <v/>
      </c>
      <c r="AO407" s="87"/>
      <c r="AP407" s="106"/>
      <c r="AQ407" s="106"/>
      <c r="AR407" s="106"/>
      <c r="AS407" s="106"/>
      <c r="AT407" s="106"/>
      <c r="AU407" s="106"/>
      <c r="AV407" s="106"/>
      <c r="AW407" s="106"/>
      <c r="AX407" s="106"/>
      <c r="AY407" s="106"/>
    </row>
    <row r="408" spans="1:51" s="20" customFormat="1" ht="21" customHeight="1">
      <c r="A408" s="197"/>
      <c r="B408" s="87"/>
      <c r="C408" s="87"/>
      <c r="D408" s="196"/>
      <c r="E408" s="108"/>
      <c r="F408" s="196"/>
      <c r="G408" s="87"/>
      <c r="H408" s="197"/>
      <c r="I408" s="89"/>
      <c r="J408" s="204"/>
      <c r="K408" s="87"/>
      <c r="L408" s="87" t="str" cm="1">
        <f t="array" ref="L408">IF($A408="","",_xlfn.LET(_xlpm.stat,CHOOSE({1,2,3,4,5},$P408,$T408,$X408,$AB408,$AF408),_xlpm.rate,CHOOSE({1,2,3,4,5},$R408,$V408,$Z408,$AD408,$AH408),_xlpm.trn,CHOOSE({1,2,3,4,5},$S408,$W408,$AA408,$AE408,$AI408),_xlpm.nsC,SUMPRODUCT(--(_xlpm.stat="Ready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DLR",IF(AND(_xlpm.actRS&gt;0,_xlpm.actDone&lt;_xlpm.actRS),"Training",IF(_xlpm.actRS&gt;0,"Active",IF(AND(_xlpm.decC&gt;0,_xlpm.inPlay+_xlpm.actC=0),"Dead",IF(AND($AJ408&lt;&gt;"",$AK408=FALSE),"Waiting on Dealer",IF(_xlpm.subC&gt;0,"Waiting on Lender",IF(AND(_xlpm.appC+_xlpm.actC&gt;0,_xlpm.nsC+_xlpm.wdC=0),"Rate Sheet","Application Submitted")))))))))</f>
        <v/>
      </c>
      <c r="M408" s="87"/>
      <c r="N408" s="87"/>
      <c r="O408" s="197"/>
      <c r="P408" s="87" t="str">
        <f>IF($A408="","",IF($AK408=TRUE,"Ready 2 Submit","Waiting on Dealer"))</f>
        <v/>
      </c>
      <c r="Q408" s="148"/>
      <c r="R408" s="87"/>
      <c r="S408" s="87"/>
      <c r="T408" s="87" t="str">
        <f>IF($A408="","",IF($AK408=TRUE,"Ready 2 Submit","Waiting on Dealer"))</f>
        <v/>
      </c>
      <c r="U408" s="148"/>
      <c r="V408" s="87"/>
      <c r="W408" s="87"/>
      <c r="X408" s="87" t="str">
        <f>IF($A408="","",IF($AK408=TRUE,"Ready 2 Submit","Waiting on Dealer"))</f>
        <v/>
      </c>
      <c r="Y408" s="148"/>
      <c r="Z408" s="87"/>
      <c r="AA408" s="87"/>
      <c r="AB408" s="87" t="str">
        <f>IF($A408="","",IF($AK408=TRUE,"Ready 2 Submit","Waiting on Dealer"))</f>
        <v/>
      </c>
      <c r="AC408" s="148"/>
      <c r="AD408" s="87"/>
      <c r="AE408" s="87"/>
      <c r="AF408" s="87" t="str">
        <f>IF($A408="","",IF($AK408=TRUE,"Ready 2 Submit","Waiting on Dealer"))</f>
        <v/>
      </c>
      <c r="AG408" s="148"/>
      <c r="AH408" s="87"/>
      <c r="AI408" s="87"/>
      <c r="AJ408" s="197"/>
      <c r="AK408" s="110" t="b">
        <v>0</v>
      </c>
      <c r="AL408" s="87" t="str" cm="1">
        <f t="array" ref="AL408">IF($A408="","",SUMPRODUCT((CHOOSE({1,2,3,4,5},$R408,$V408,$Z408,$AD408,$AH408)="Yes")*(((CHOOSE({1,2,3,4,5},$S408,$W408,$AA408,$AE408,$AI408)="Yes")+(CHOOSE({1,2,3,4,5},$S408,$W408,$AA408,$AE408,$AI408)=TRUE))&gt;0)))</f>
        <v/>
      </c>
      <c r="AM408" s="87"/>
      <c r="AN408" s="87" t="str">
        <f ca="1">IF(OR($A408="",$AM408=""),"",TODAY()-$AM408)</f>
        <v/>
      </c>
      <c r="AO408" s="87"/>
      <c r="AP408" s="106"/>
      <c r="AQ408" s="106"/>
      <c r="AR408" s="106"/>
      <c r="AS408" s="106"/>
      <c r="AT408" s="106"/>
      <c r="AU408" s="106"/>
      <c r="AV408" s="106"/>
      <c r="AW408" s="106"/>
      <c r="AX408" s="106"/>
      <c r="AY408" s="106"/>
    </row>
    <row r="409" spans="1:51" s="20" customFormat="1" ht="21" customHeight="1">
      <c r="A409" s="197"/>
      <c r="B409" s="87"/>
      <c r="C409" s="87"/>
      <c r="D409" s="196"/>
      <c r="E409" s="108"/>
      <c r="F409" s="196"/>
      <c r="G409" s="87"/>
      <c r="H409" s="197"/>
      <c r="I409" s="89"/>
      <c r="J409" s="204"/>
      <c r="K409" s="87"/>
      <c r="L409" s="87" t="str" cm="1">
        <f t="array" ref="L409">IF($A409="","",_xlfn.LET(_xlpm.stat,CHOOSE({1,2,3,4,5},$P409,$T409,$X409,$AB409,$AF409),_xlpm.rate,CHOOSE({1,2,3,4,5},$R409,$V409,$Z409,$AD409,$AH409),_xlpm.trn,CHOOSE({1,2,3,4,5},$S409,$W409,$AA409,$AE409,$AI409),_xlpm.nsC,SUMPRODUCT(--(_xlpm.stat="Ready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DLR",IF(AND(_xlpm.actRS&gt;0,_xlpm.actDone&lt;_xlpm.actRS),"Training",IF(_xlpm.actRS&gt;0,"Active",IF(AND(_xlpm.decC&gt;0,_xlpm.inPlay+_xlpm.actC=0),"Dead",IF(AND($AJ409&lt;&gt;"",$AK409=FALSE),"Waiting on Dealer",IF(_xlpm.subC&gt;0,"Waiting on Lender",IF(AND(_xlpm.appC+_xlpm.actC&gt;0,_xlpm.nsC+_xlpm.wdC=0),"Rate Sheet","Application Submitted")))))))))</f>
        <v/>
      </c>
      <c r="M409" s="87"/>
      <c r="N409" s="87"/>
      <c r="O409" s="197"/>
      <c r="P409" s="87" t="str">
        <f>IF($A409="","",IF($AK409=TRUE,"Ready 2 Submit","Waiting on Dealer"))</f>
        <v/>
      </c>
      <c r="Q409" s="148"/>
      <c r="R409" s="87"/>
      <c r="S409" s="87"/>
      <c r="T409" s="87" t="str">
        <f>IF($A409="","",IF($AK409=TRUE,"Ready 2 Submit","Waiting on Dealer"))</f>
        <v/>
      </c>
      <c r="U409" s="148"/>
      <c r="V409" s="87"/>
      <c r="W409" s="87"/>
      <c r="X409" s="87" t="str">
        <f>IF($A409="","",IF($AK409=TRUE,"Ready 2 Submit","Waiting on Dealer"))</f>
        <v/>
      </c>
      <c r="Y409" s="148"/>
      <c r="Z409" s="87"/>
      <c r="AA409" s="87"/>
      <c r="AB409" s="87" t="str">
        <f>IF($A409="","",IF($AK409=TRUE,"Ready 2 Submit","Waiting on Dealer"))</f>
        <v/>
      </c>
      <c r="AC409" s="148"/>
      <c r="AD409" s="87"/>
      <c r="AE409" s="87"/>
      <c r="AF409" s="87" t="str">
        <f>IF($A409="","",IF($AK409=TRUE,"Ready 2 Submit","Waiting on Dealer"))</f>
        <v/>
      </c>
      <c r="AG409" s="148"/>
      <c r="AH409" s="87"/>
      <c r="AI409" s="87"/>
      <c r="AJ409" s="197"/>
      <c r="AK409" s="110" t="b">
        <v>0</v>
      </c>
      <c r="AL409" s="87" t="str" cm="1">
        <f t="array" ref="AL409">IF($A409="","",SUMPRODUCT((CHOOSE({1,2,3,4,5},$R409,$V409,$Z409,$AD409,$AH409)="Yes")*(((CHOOSE({1,2,3,4,5},$S409,$W409,$AA409,$AE409,$AI409)="Yes")+(CHOOSE({1,2,3,4,5},$S409,$W409,$AA409,$AE409,$AI409)=TRUE))&gt;0)))</f>
        <v/>
      </c>
      <c r="AM409" s="87"/>
      <c r="AN409" s="87" t="str">
        <f ca="1">IF(OR($A409="",$AM409=""),"",TODAY()-$AM409)</f>
        <v/>
      </c>
      <c r="AO409" s="87"/>
      <c r="AP409" s="106"/>
      <c r="AQ409" s="106"/>
      <c r="AR409" s="106"/>
      <c r="AS409" s="106"/>
      <c r="AT409" s="106"/>
      <c r="AU409" s="106"/>
      <c r="AV409" s="106"/>
      <c r="AW409" s="106"/>
      <c r="AX409" s="106"/>
      <c r="AY409" s="106"/>
    </row>
    <row r="410" spans="1:51" s="20" customFormat="1" ht="21" customHeight="1">
      <c r="A410" s="197"/>
      <c r="B410" s="87"/>
      <c r="C410" s="87"/>
      <c r="D410" s="196"/>
      <c r="E410" s="108"/>
      <c r="F410" s="196"/>
      <c r="G410" s="87"/>
      <c r="H410" s="197"/>
      <c r="I410" s="89"/>
      <c r="J410" s="204"/>
      <c r="K410" s="87"/>
      <c r="L410" s="87" t="str" cm="1">
        <f t="array" ref="L410">IF($A410="","",_xlfn.LET(_xlpm.stat,CHOOSE({1,2,3,4,5},$P410,$T410,$X410,$AB410,$AF410),_xlpm.rate,CHOOSE({1,2,3,4,5},$R410,$V410,$Z410,$AD410,$AH410),_xlpm.trn,CHOOSE({1,2,3,4,5},$S410,$W410,$AA410,$AE410,$AI410),_xlpm.nsC,SUMPRODUCT(--(_xlpm.stat="Ready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DLR",IF(AND(_xlpm.actRS&gt;0,_xlpm.actDone&lt;_xlpm.actRS),"Training",IF(_xlpm.actRS&gt;0,"Active",IF(AND(_xlpm.decC&gt;0,_xlpm.inPlay+_xlpm.actC=0),"Dead",IF(AND($AJ410&lt;&gt;"",$AK410=FALSE),"Waiting on Dealer",IF(_xlpm.subC&gt;0,"Waiting on Lender",IF(AND(_xlpm.appC+_xlpm.actC&gt;0,_xlpm.nsC+_xlpm.wdC=0),"Rate Sheet","Application Submitted")))))))))</f>
        <v/>
      </c>
      <c r="M410" s="87"/>
      <c r="N410" s="87"/>
      <c r="O410" s="197"/>
      <c r="P410" s="87" t="str">
        <f>IF($A410="","",IF($AK410=TRUE,"Ready 2 Submit","Waiting on Dealer"))</f>
        <v/>
      </c>
      <c r="Q410" s="148"/>
      <c r="R410" s="87"/>
      <c r="S410" s="87"/>
      <c r="T410" s="87" t="str">
        <f>IF($A410="","",IF($AK410=TRUE,"Ready 2 Submit","Waiting on Dealer"))</f>
        <v/>
      </c>
      <c r="U410" s="148"/>
      <c r="V410" s="87"/>
      <c r="W410" s="87"/>
      <c r="X410" s="87" t="str">
        <f>IF($A410="","",IF($AK410=TRUE,"Ready 2 Submit","Waiting on Dealer"))</f>
        <v/>
      </c>
      <c r="Y410" s="148"/>
      <c r="Z410" s="87"/>
      <c r="AA410" s="87"/>
      <c r="AB410" s="87" t="str">
        <f>IF($A410="","",IF($AK410=TRUE,"Ready 2 Submit","Waiting on Dealer"))</f>
        <v/>
      </c>
      <c r="AC410" s="148"/>
      <c r="AD410" s="87"/>
      <c r="AE410" s="87"/>
      <c r="AF410" s="87" t="str">
        <f>IF($A410="","",IF($AK410=TRUE,"Ready 2 Submit","Waiting on Dealer"))</f>
        <v/>
      </c>
      <c r="AG410" s="148"/>
      <c r="AH410" s="87"/>
      <c r="AI410" s="87"/>
      <c r="AJ410" s="197"/>
      <c r="AK410" s="110" t="b">
        <v>0</v>
      </c>
      <c r="AL410" s="87" t="str" cm="1">
        <f t="array" ref="AL410">IF($A410="","",SUMPRODUCT((CHOOSE({1,2,3,4,5},$R410,$V410,$Z410,$AD410,$AH410)="Yes")*(((CHOOSE({1,2,3,4,5},$S410,$W410,$AA410,$AE410,$AI410)="Yes")+(CHOOSE({1,2,3,4,5},$S410,$W410,$AA410,$AE410,$AI410)=TRUE))&gt;0)))</f>
        <v/>
      </c>
      <c r="AM410" s="87"/>
      <c r="AN410" s="87" t="str">
        <f ca="1">IF(OR($A410="",$AM410=""),"",TODAY()-$AM410)</f>
        <v/>
      </c>
      <c r="AO410" s="87"/>
      <c r="AP410" s="106"/>
      <c r="AQ410" s="106"/>
      <c r="AR410" s="106"/>
      <c r="AS410" s="106"/>
      <c r="AT410" s="106"/>
      <c r="AU410" s="106"/>
      <c r="AV410" s="106"/>
      <c r="AW410" s="106"/>
      <c r="AX410" s="106"/>
      <c r="AY410" s="106"/>
    </row>
    <row r="411" spans="1:51" s="20" customFormat="1" ht="21" customHeight="1">
      <c r="A411" s="197"/>
      <c r="B411" s="87"/>
      <c r="C411" s="87"/>
      <c r="D411" s="196"/>
      <c r="E411" s="108"/>
      <c r="F411" s="196"/>
      <c r="G411" s="87"/>
      <c r="H411" s="197"/>
      <c r="I411" s="89"/>
      <c r="J411" s="204"/>
      <c r="K411" s="87"/>
      <c r="L411" s="87" t="str" cm="1">
        <f t="array" ref="L411">IF($A411="","",_xlfn.LET(_xlpm.stat,CHOOSE({1,2,3,4,5},$P411,$T411,$X411,$AB411,$AF411),_xlpm.rate,CHOOSE({1,2,3,4,5},$R411,$V411,$Z411,$AD411,$AH411),_xlpm.trn,CHOOSE({1,2,3,4,5},$S411,$W411,$AA411,$AE411,$AI411),_xlpm.nsC,SUMPRODUCT(--(_xlpm.stat="Ready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DLR",IF(AND(_xlpm.actRS&gt;0,_xlpm.actDone&lt;_xlpm.actRS),"Training",IF(_xlpm.actRS&gt;0,"Active",IF(AND(_xlpm.decC&gt;0,_xlpm.inPlay+_xlpm.actC=0),"Dead",IF(AND($AJ411&lt;&gt;"",$AK411=FALSE),"Waiting on Dealer",IF(_xlpm.subC&gt;0,"Waiting on Lender",IF(AND(_xlpm.appC+_xlpm.actC&gt;0,_xlpm.nsC+_xlpm.wdC=0),"Rate Sheet","Application Submitted")))))))))</f>
        <v/>
      </c>
      <c r="M411" s="87"/>
      <c r="N411" s="87"/>
      <c r="O411" s="197"/>
      <c r="P411" s="87" t="str">
        <f>IF($A411="","",IF($AK411=TRUE,"Ready 2 Submit","Waiting on Dealer"))</f>
        <v/>
      </c>
      <c r="Q411" s="148"/>
      <c r="R411" s="87"/>
      <c r="S411" s="87"/>
      <c r="T411" s="87" t="str">
        <f>IF($A411="","",IF($AK411=TRUE,"Ready 2 Submit","Waiting on Dealer"))</f>
        <v/>
      </c>
      <c r="U411" s="148"/>
      <c r="V411" s="87"/>
      <c r="W411" s="87"/>
      <c r="X411" s="87" t="str">
        <f>IF($A411="","",IF($AK411=TRUE,"Ready 2 Submit","Waiting on Dealer"))</f>
        <v/>
      </c>
      <c r="Y411" s="148"/>
      <c r="Z411" s="87"/>
      <c r="AA411" s="87"/>
      <c r="AB411" s="87" t="str">
        <f>IF($A411="","",IF($AK411=TRUE,"Ready 2 Submit","Waiting on Dealer"))</f>
        <v/>
      </c>
      <c r="AC411" s="148"/>
      <c r="AD411" s="87"/>
      <c r="AE411" s="87"/>
      <c r="AF411" s="87" t="str">
        <f>IF($A411="","",IF($AK411=TRUE,"Ready 2 Submit","Waiting on Dealer"))</f>
        <v/>
      </c>
      <c r="AG411" s="148"/>
      <c r="AH411" s="87"/>
      <c r="AI411" s="87"/>
      <c r="AJ411" s="197"/>
      <c r="AK411" s="110" t="b">
        <v>0</v>
      </c>
      <c r="AL411" s="87" t="str" cm="1">
        <f t="array" ref="AL411">IF($A411="","",SUMPRODUCT((CHOOSE({1,2,3,4,5},$R411,$V411,$Z411,$AD411,$AH411)="Yes")*(((CHOOSE({1,2,3,4,5},$S411,$W411,$AA411,$AE411,$AI411)="Yes")+(CHOOSE({1,2,3,4,5},$S411,$W411,$AA411,$AE411,$AI411)=TRUE))&gt;0)))</f>
        <v/>
      </c>
      <c r="AM411" s="87"/>
      <c r="AN411" s="87" t="str">
        <f ca="1">IF(OR($A411="",$AM411=""),"",TODAY()-$AM411)</f>
        <v/>
      </c>
      <c r="AO411" s="87"/>
      <c r="AP411" s="106"/>
      <c r="AQ411" s="106"/>
      <c r="AR411" s="106"/>
      <c r="AS411" s="106"/>
      <c r="AT411" s="106"/>
      <c r="AU411" s="106"/>
      <c r="AV411" s="106"/>
      <c r="AW411" s="106"/>
      <c r="AX411" s="106"/>
      <c r="AY411" s="106"/>
    </row>
    <row r="412" spans="1:51" s="20" customFormat="1" ht="21" customHeight="1">
      <c r="A412" s="197"/>
      <c r="B412" s="87"/>
      <c r="C412" s="87"/>
      <c r="D412" s="196"/>
      <c r="E412" s="108"/>
      <c r="F412" s="196"/>
      <c r="G412" s="87"/>
      <c r="H412" s="197"/>
      <c r="I412" s="89"/>
      <c r="J412" s="204"/>
      <c r="K412" s="87"/>
      <c r="L412" s="87" t="str" cm="1">
        <f t="array" ref="L412">IF($A412="","",_xlfn.LET(_xlpm.stat,CHOOSE({1,2,3,4,5},$P412,$T412,$X412,$AB412,$AF412),_xlpm.rate,CHOOSE({1,2,3,4,5},$R412,$V412,$Z412,$AD412,$AH412),_xlpm.trn,CHOOSE({1,2,3,4,5},$S412,$W412,$AA412,$AE412,$AI412),_xlpm.nsC,SUMPRODUCT(--(_xlpm.stat="Ready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DLR",IF(AND(_xlpm.actRS&gt;0,_xlpm.actDone&lt;_xlpm.actRS),"Training",IF(_xlpm.actRS&gt;0,"Active",IF(AND(_xlpm.decC&gt;0,_xlpm.inPlay+_xlpm.actC=0),"Dead",IF(AND($AJ412&lt;&gt;"",$AK412=FALSE),"Waiting on Dealer",IF(_xlpm.subC&gt;0,"Waiting on Lender",IF(AND(_xlpm.appC+_xlpm.actC&gt;0,_xlpm.nsC+_xlpm.wdC=0),"Rate Sheet","Application Submitted")))))))))</f>
        <v/>
      </c>
      <c r="M412" s="87"/>
      <c r="N412" s="87"/>
      <c r="O412" s="197"/>
      <c r="P412" s="87" t="str">
        <f>IF($A412="","",IF($AK412=TRUE,"Ready 2 Submit","Waiting on Dealer"))</f>
        <v/>
      </c>
      <c r="Q412" s="148"/>
      <c r="R412" s="87"/>
      <c r="S412" s="87"/>
      <c r="T412" s="87" t="str">
        <f>IF($A412="","",IF($AK412=TRUE,"Ready 2 Submit","Waiting on Dealer"))</f>
        <v/>
      </c>
      <c r="U412" s="148"/>
      <c r="V412" s="87"/>
      <c r="W412" s="87"/>
      <c r="X412" s="87" t="str">
        <f>IF($A412="","",IF($AK412=TRUE,"Ready 2 Submit","Waiting on Dealer"))</f>
        <v/>
      </c>
      <c r="Y412" s="148"/>
      <c r="Z412" s="87"/>
      <c r="AA412" s="87"/>
      <c r="AB412" s="87" t="str">
        <f>IF($A412="","",IF($AK412=TRUE,"Ready 2 Submit","Waiting on Dealer"))</f>
        <v/>
      </c>
      <c r="AC412" s="148"/>
      <c r="AD412" s="87"/>
      <c r="AE412" s="87"/>
      <c r="AF412" s="87" t="str">
        <f>IF($A412="","",IF($AK412=TRUE,"Ready 2 Submit","Waiting on Dealer"))</f>
        <v/>
      </c>
      <c r="AG412" s="148"/>
      <c r="AH412" s="87"/>
      <c r="AI412" s="87"/>
      <c r="AJ412" s="197"/>
      <c r="AK412" s="110" t="b">
        <v>0</v>
      </c>
      <c r="AL412" s="87" t="str" cm="1">
        <f t="array" ref="AL412">IF($A412="","",SUMPRODUCT((CHOOSE({1,2,3,4,5},$R412,$V412,$Z412,$AD412,$AH412)="Yes")*(((CHOOSE({1,2,3,4,5},$S412,$W412,$AA412,$AE412,$AI412)="Yes")+(CHOOSE({1,2,3,4,5},$S412,$W412,$AA412,$AE412,$AI412)=TRUE))&gt;0)))</f>
        <v/>
      </c>
      <c r="AM412" s="87"/>
      <c r="AN412" s="87" t="str">
        <f ca="1">IF(OR($A412="",$AM412=""),"",TODAY()-$AM412)</f>
        <v/>
      </c>
      <c r="AO412" s="87"/>
      <c r="AP412" s="106"/>
      <c r="AQ412" s="106"/>
      <c r="AR412" s="106"/>
      <c r="AS412" s="106"/>
      <c r="AT412" s="106"/>
      <c r="AU412" s="106"/>
      <c r="AV412" s="106"/>
      <c r="AW412" s="106"/>
      <c r="AX412" s="106"/>
      <c r="AY412" s="106"/>
    </row>
    <row r="413" spans="1:51" s="20" customFormat="1" ht="21" customHeight="1">
      <c r="A413" s="197"/>
      <c r="B413" s="87"/>
      <c r="C413" s="87"/>
      <c r="D413" s="196"/>
      <c r="E413" s="108"/>
      <c r="F413" s="196"/>
      <c r="G413" s="87"/>
      <c r="H413" s="197"/>
      <c r="I413" s="89"/>
      <c r="J413" s="204"/>
      <c r="K413" s="87"/>
      <c r="L413" s="87" t="str" cm="1">
        <f t="array" ref="L413">IF($A413="","",_xlfn.LET(_xlpm.stat,CHOOSE({1,2,3,4,5},$P413,$T413,$X413,$AB413,$AF413),_xlpm.rate,CHOOSE({1,2,3,4,5},$R413,$V413,$Z413,$AD413,$AH413),_xlpm.trn,CHOOSE({1,2,3,4,5},$S413,$W413,$AA413,$AE413,$AI413),_xlpm.nsC,SUMPRODUCT(--(_xlpm.stat="Ready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DLR",IF(AND(_xlpm.actRS&gt;0,_xlpm.actDone&lt;_xlpm.actRS),"Training",IF(_xlpm.actRS&gt;0,"Active",IF(AND(_xlpm.decC&gt;0,_xlpm.inPlay+_xlpm.actC=0),"Dead",IF(AND($AJ413&lt;&gt;"",$AK413=FALSE),"Waiting on Dealer",IF(_xlpm.subC&gt;0,"Waiting on Lender",IF(AND(_xlpm.appC+_xlpm.actC&gt;0,_xlpm.nsC+_xlpm.wdC=0),"Rate Sheet","Application Submitted")))))))))</f>
        <v/>
      </c>
      <c r="M413" s="87"/>
      <c r="N413" s="87"/>
      <c r="O413" s="197"/>
      <c r="P413" s="87" t="str">
        <f>IF($A413="","",IF($AK413=TRUE,"Ready 2 Submit","Waiting on Dealer"))</f>
        <v/>
      </c>
      <c r="Q413" s="148"/>
      <c r="R413" s="87"/>
      <c r="S413" s="87"/>
      <c r="T413" s="87" t="str">
        <f>IF($A413="","",IF($AK413=TRUE,"Ready 2 Submit","Waiting on Dealer"))</f>
        <v/>
      </c>
      <c r="U413" s="148"/>
      <c r="V413" s="87"/>
      <c r="W413" s="87"/>
      <c r="X413" s="87" t="str">
        <f>IF($A413="","",IF($AK413=TRUE,"Ready 2 Submit","Waiting on Dealer"))</f>
        <v/>
      </c>
      <c r="Y413" s="148"/>
      <c r="Z413" s="87"/>
      <c r="AA413" s="87"/>
      <c r="AB413" s="87" t="str">
        <f>IF($A413="","",IF($AK413=TRUE,"Ready 2 Submit","Waiting on Dealer"))</f>
        <v/>
      </c>
      <c r="AC413" s="148"/>
      <c r="AD413" s="87"/>
      <c r="AE413" s="87"/>
      <c r="AF413" s="87" t="str">
        <f>IF($A413="","",IF($AK413=TRUE,"Ready 2 Submit","Waiting on Dealer"))</f>
        <v/>
      </c>
      <c r="AG413" s="148"/>
      <c r="AH413" s="87"/>
      <c r="AI413" s="87"/>
      <c r="AJ413" s="197"/>
      <c r="AK413" s="110" t="b">
        <v>0</v>
      </c>
      <c r="AL413" s="87" t="str" cm="1">
        <f t="array" ref="AL413">IF($A413="","",SUMPRODUCT((CHOOSE({1,2,3,4,5},$R413,$V413,$Z413,$AD413,$AH413)="Yes")*(((CHOOSE({1,2,3,4,5},$S413,$W413,$AA413,$AE413,$AI413)="Yes")+(CHOOSE({1,2,3,4,5},$S413,$W413,$AA413,$AE413,$AI413)=TRUE))&gt;0)))</f>
        <v/>
      </c>
      <c r="AM413" s="87"/>
      <c r="AN413" s="87" t="str">
        <f ca="1">IF(OR($A413="",$AM413=""),"",TODAY()-$AM413)</f>
        <v/>
      </c>
      <c r="AO413" s="87"/>
      <c r="AP413" s="106"/>
      <c r="AQ413" s="106"/>
      <c r="AR413" s="106"/>
      <c r="AS413" s="106"/>
      <c r="AT413" s="106"/>
      <c r="AU413" s="106"/>
      <c r="AV413" s="106"/>
      <c r="AW413" s="106"/>
      <c r="AX413" s="106"/>
      <c r="AY413" s="106"/>
    </row>
    <row r="414" spans="1:51" s="20" customFormat="1" ht="21" customHeight="1">
      <c r="A414" s="197"/>
      <c r="B414" s="87"/>
      <c r="C414" s="87"/>
      <c r="D414" s="196"/>
      <c r="E414" s="108"/>
      <c r="F414" s="196"/>
      <c r="G414" s="87"/>
      <c r="H414" s="197"/>
      <c r="I414" s="89"/>
      <c r="J414" s="204"/>
      <c r="K414" s="87"/>
      <c r="L414" s="87" t="str" cm="1">
        <f t="array" ref="L414">IF($A414="","",_xlfn.LET(_xlpm.stat,CHOOSE({1,2,3,4,5},$P414,$T414,$X414,$AB414,$AF414),_xlpm.rate,CHOOSE({1,2,3,4,5},$R414,$V414,$Z414,$AD414,$AH414),_xlpm.trn,CHOOSE({1,2,3,4,5},$S414,$W414,$AA414,$AE414,$AI414),_xlpm.nsC,SUMPRODUCT(--(_xlpm.stat="Ready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DLR",IF(AND(_xlpm.actRS&gt;0,_xlpm.actDone&lt;_xlpm.actRS),"Training",IF(_xlpm.actRS&gt;0,"Active",IF(AND(_xlpm.decC&gt;0,_xlpm.inPlay+_xlpm.actC=0),"Dead",IF(AND($AJ414&lt;&gt;"",$AK414=FALSE),"Waiting on Dealer",IF(_xlpm.subC&gt;0,"Waiting on Lender",IF(AND(_xlpm.appC+_xlpm.actC&gt;0,_xlpm.nsC+_xlpm.wdC=0),"Rate Sheet","Application Submitted")))))))))</f>
        <v/>
      </c>
      <c r="M414" s="87"/>
      <c r="N414" s="87"/>
      <c r="O414" s="197"/>
      <c r="P414" s="87" t="str">
        <f>IF($A414="","",IF($AK414=TRUE,"Ready 2 Submit","Waiting on Dealer"))</f>
        <v/>
      </c>
      <c r="Q414" s="148"/>
      <c r="R414" s="87"/>
      <c r="S414" s="87"/>
      <c r="T414" s="87" t="str">
        <f>IF($A414="","",IF($AK414=TRUE,"Ready 2 Submit","Waiting on Dealer"))</f>
        <v/>
      </c>
      <c r="U414" s="148"/>
      <c r="V414" s="87"/>
      <c r="W414" s="87"/>
      <c r="X414" s="87" t="str">
        <f>IF($A414="","",IF($AK414=TRUE,"Ready 2 Submit","Waiting on Dealer"))</f>
        <v/>
      </c>
      <c r="Y414" s="148"/>
      <c r="Z414" s="87"/>
      <c r="AA414" s="87"/>
      <c r="AB414" s="87" t="str">
        <f>IF($A414="","",IF($AK414=TRUE,"Ready 2 Submit","Waiting on Dealer"))</f>
        <v/>
      </c>
      <c r="AC414" s="148"/>
      <c r="AD414" s="87"/>
      <c r="AE414" s="87"/>
      <c r="AF414" s="87" t="str">
        <f>IF($A414="","",IF($AK414=TRUE,"Ready 2 Submit","Waiting on Dealer"))</f>
        <v/>
      </c>
      <c r="AG414" s="148"/>
      <c r="AH414" s="87"/>
      <c r="AI414" s="87"/>
      <c r="AJ414" s="197"/>
      <c r="AK414" s="110" t="b">
        <v>0</v>
      </c>
      <c r="AL414" s="87" t="str" cm="1">
        <f t="array" ref="AL414">IF($A414="","",SUMPRODUCT((CHOOSE({1,2,3,4,5},$R414,$V414,$Z414,$AD414,$AH414)="Yes")*(((CHOOSE({1,2,3,4,5},$S414,$W414,$AA414,$AE414,$AI414)="Yes")+(CHOOSE({1,2,3,4,5},$S414,$W414,$AA414,$AE414,$AI414)=TRUE))&gt;0)))</f>
        <v/>
      </c>
      <c r="AM414" s="87"/>
      <c r="AN414" s="87" t="str">
        <f ca="1">IF(OR($A414="",$AM414=""),"",TODAY()-$AM414)</f>
        <v/>
      </c>
      <c r="AO414" s="87"/>
      <c r="AP414" s="106"/>
      <c r="AQ414" s="106"/>
      <c r="AR414" s="106"/>
      <c r="AS414" s="106"/>
      <c r="AT414" s="106"/>
      <c r="AU414" s="106"/>
      <c r="AV414" s="106"/>
      <c r="AW414" s="106"/>
      <c r="AX414" s="106"/>
      <c r="AY414" s="106"/>
    </row>
    <row r="415" spans="1:51" s="20" customFormat="1" ht="21" customHeight="1">
      <c r="A415" s="197"/>
      <c r="B415" s="87"/>
      <c r="C415" s="87"/>
      <c r="D415" s="196"/>
      <c r="E415" s="108"/>
      <c r="F415" s="196"/>
      <c r="G415" s="87"/>
      <c r="H415" s="197"/>
      <c r="I415" s="89"/>
      <c r="J415" s="204"/>
      <c r="K415" s="87"/>
      <c r="L415" s="87" t="str" cm="1">
        <f t="array" ref="L415">IF($A415="","",_xlfn.LET(_xlpm.stat,CHOOSE({1,2,3,4,5},$P415,$T415,$X415,$AB415,$AF415),_xlpm.rate,CHOOSE({1,2,3,4,5},$R415,$V415,$Z415,$AD415,$AH415),_xlpm.trn,CHOOSE({1,2,3,4,5},$S415,$W415,$AA415,$AE415,$AI415),_xlpm.nsC,SUMPRODUCT(--(_xlpm.stat="Ready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DLR",IF(AND(_xlpm.actRS&gt;0,_xlpm.actDone&lt;_xlpm.actRS),"Training",IF(_xlpm.actRS&gt;0,"Active",IF(AND(_xlpm.decC&gt;0,_xlpm.inPlay+_xlpm.actC=0),"Dead",IF(AND($AJ415&lt;&gt;"",$AK415=FALSE),"Waiting on Dealer",IF(_xlpm.subC&gt;0,"Waiting on Lender",IF(AND(_xlpm.appC+_xlpm.actC&gt;0,_xlpm.nsC+_xlpm.wdC=0),"Rate Sheet","Application Submitted")))))))))</f>
        <v/>
      </c>
      <c r="M415" s="87"/>
      <c r="N415" s="87"/>
      <c r="O415" s="197"/>
      <c r="P415" s="87" t="str">
        <f>IF($A415="","",IF($AK415=TRUE,"Ready 2 Submit","Waiting on Dealer"))</f>
        <v/>
      </c>
      <c r="Q415" s="148"/>
      <c r="R415" s="87"/>
      <c r="S415" s="87"/>
      <c r="T415" s="87" t="str">
        <f>IF($A415="","",IF($AK415=TRUE,"Ready 2 Submit","Waiting on Dealer"))</f>
        <v/>
      </c>
      <c r="U415" s="148"/>
      <c r="V415" s="87"/>
      <c r="W415" s="87"/>
      <c r="X415" s="87" t="str">
        <f>IF($A415="","",IF($AK415=TRUE,"Ready 2 Submit","Waiting on Dealer"))</f>
        <v/>
      </c>
      <c r="Y415" s="148"/>
      <c r="Z415" s="87"/>
      <c r="AA415" s="87"/>
      <c r="AB415" s="87" t="str">
        <f>IF($A415="","",IF($AK415=TRUE,"Ready 2 Submit","Waiting on Dealer"))</f>
        <v/>
      </c>
      <c r="AC415" s="148"/>
      <c r="AD415" s="87"/>
      <c r="AE415" s="87"/>
      <c r="AF415" s="87" t="str">
        <f>IF($A415="","",IF($AK415=TRUE,"Ready 2 Submit","Waiting on Dealer"))</f>
        <v/>
      </c>
      <c r="AG415" s="148"/>
      <c r="AH415" s="87"/>
      <c r="AI415" s="87"/>
      <c r="AJ415" s="197"/>
      <c r="AK415" s="110" t="b">
        <v>0</v>
      </c>
      <c r="AL415" s="87" t="str" cm="1">
        <f t="array" ref="AL415">IF($A415="","",SUMPRODUCT((CHOOSE({1,2,3,4,5},$R415,$V415,$Z415,$AD415,$AH415)="Yes")*(((CHOOSE({1,2,3,4,5},$S415,$W415,$AA415,$AE415,$AI415)="Yes")+(CHOOSE({1,2,3,4,5},$S415,$W415,$AA415,$AE415,$AI415)=TRUE))&gt;0)))</f>
        <v/>
      </c>
      <c r="AM415" s="87"/>
      <c r="AN415" s="87" t="str">
        <f ca="1">IF(OR($A415="",$AM415=""),"",TODAY()-$AM415)</f>
        <v/>
      </c>
      <c r="AO415" s="87"/>
      <c r="AP415" s="106"/>
      <c r="AQ415" s="106"/>
      <c r="AR415" s="106"/>
      <c r="AS415" s="106"/>
      <c r="AT415" s="106"/>
      <c r="AU415" s="106"/>
      <c r="AV415" s="106"/>
      <c r="AW415" s="106"/>
      <c r="AX415" s="106"/>
      <c r="AY415" s="106"/>
    </row>
    <row r="416" spans="1:51" s="20" customFormat="1" ht="21" customHeight="1">
      <c r="A416" s="197"/>
      <c r="B416" s="87"/>
      <c r="C416" s="87"/>
      <c r="D416" s="196"/>
      <c r="E416" s="108"/>
      <c r="F416" s="196"/>
      <c r="G416" s="87"/>
      <c r="H416" s="197"/>
      <c r="I416" s="89"/>
      <c r="J416" s="204"/>
      <c r="K416" s="87"/>
      <c r="L416" s="87" t="str" cm="1">
        <f t="array" ref="L416">IF($A416="","",_xlfn.LET(_xlpm.stat,CHOOSE({1,2,3,4,5},$P416,$T416,$X416,$AB416,$AF416),_xlpm.rate,CHOOSE({1,2,3,4,5},$R416,$V416,$Z416,$AD416,$AH416),_xlpm.trn,CHOOSE({1,2,3,4,5},$S416,$W416,$AA416,$AE416,$AI416),_xlpm.nsC,SUMPRODUCT(--(_xlpm.stat="Ready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DLR",IF(AND(_xlpm.actRS&gt;0,_xlpm.actDone&lt;_xlpm.actRS),"Training",IF(_xlpm.actRS&gt;0,"Active",IF(AND(_xlpm.decC&gt;0,_xlpm.inPlay+_xlpm.actC=0),"Dead",IF(AND($AJ416&lt;&gt;"",$AK416=FALSE),"Waiting on Dealer",IF(_xlpm.subC&gt;0,"Waiting on Lender",IF(AND(_xlpm.appC+_xlpm.actC&gt;0,_xlpm.nsC+_xlpm.wdC=0),"Rate Sheet","Application Submitted")))))))))</f>
        <v/>
      </c>
      <c r="M416" s="87"/>
      <c r="N416" s="87"/>
      <c r="O416" s="197"/>
      <c r="P416" s="87" t="str">
        <f>IF($A416="","",IF($AK416=TRUE,"Ready 2 Submit","Waiting on Dealer"))</f>
        <v/>
      </c>
      <c r="Q416" s="148"/>
      <c r="R416" s="87"/>
      <c r="S416" s="87"/>
      <c r="T416" s="87" t="str">
        <f>IF($A416="","",IF($AK416=TRUE,"Ready 2 Submit","Waiting on Dealer"))</f>
        <v/>
      </c>
      <c r="U416" s="148"/>
      <c r="V416" s="87"/>
      <c r="W416" s="87"/>
      <c r="X416" s="87" t="str">
        <f>IF($A416="","",IF($AK416=TRUE,"Ready 2 Submit","Waiting on Dealer"))</f>
        <v/>
      </c>
      <c r="Y416" s="148"/>
      <c r="Z416" s="87"/>
      <c r="AA416" s="87"/>
      <c r="AB416" s="87" t="str">
        <f>IF($A416="","",IF($AK416=TRUE,"Ready 2 Submit","Waiting on Dealer"))</f>
        <v/>
      </c>
      <c r="AC416" s="148"/>
      <c r="AD416" s="87"/>
      <c r="AE416" s="87"/>
      <c r="AF416" s="87" t="str">
        <f>IF($A416="","",IF($AK416=TRUE,"Ready 2 Submit","Waiting on Dealer"))</f>
        <v/>
      </c>
      <c r="AG416" s="148"/>
      <c r="AH416" s="87"/>
      <c r="AI416" s="87"/>
      <c r="AJ416" s="197"/>
      <c r="AK416" s="110" t="b">
        <v>0</v>
      </c>
      <c r="AL416" s="87" t="str" cm="1">
        <f t="array" ref="AL416">IF($A416="","",SUMPRODUCT((CHOOSE({1,2,3,4,5},$R416,$V416,$Z416,$AD416,$AH416)="Yes")*(((CHOOSE({1,2,3,4,5},$S416,$W416,$AA416,$AE416,$AI416)="Yes")+(CHOOSE({1,2,3,4,5},$S416,$W416,$AA416,$AE416,$AI416)=TRUE))&gt;0)))</f>
        <v/>
      </c>
      <c r="AM416" s="87"/>
      <c r="AN416" s="87" t="str">
        <f ca="1">IF(OR($A416="",$AM416=""),"",TODAY()-$AM416)</f>
        <v/>
      </c>
      <c r="AO416" s="87"/>
      <c r="AP416" s="106"/>
      <c r="AQ416" s="106"/>
      <c r="AR416" s="106"/>
      <c r="AS416" s="106"/>
      <c r="AT416" s="106"/>
      <c r="AU416" s="106"/>
      <c r="AV416" s="106"/>
      <c r="AW416" s="106"/>
      <c r="AX416" s="106"/>
      <c r="AY416" s="106"/>
    </row>
    <row r="417" spans="1:51" s="20" customFormat="1" ht="21" customHeight="1">
      <c r="A417" s="197"/>
      <c r="B417" s="87"/>
      <c r="C417" s="87"/>
      <c r="D417" s="196"/>
      <c r="E417" s="108"/>
      <c r="F417" s="196"/>
      <c r="G417" s="87"/>
      <c r="H417" s="197"/>
      <c r="I417" s="89"/>
      <c r="J417" s="204"/>
      <c r="K417" s="87"/>
      <c r="L417" s="87" t="str" cm="1">
        <f t="array" ref="L417">IF($A417="","",_xlfn.LET(_xlpm.stat,CHOOSE({1,2,3,4,5},$P417,$T417,$X417,$AB417,$AF417),_xlpm.rate,CHOOSE({1,2,3,4,5},$R417,$V417,$Z417,$AD417,$AH417),_xlpm.trn,CHOOSE({1,2,3,4,5},$S417,$W417,$AA417,$AE417,$AI417),_xlpm.nsC,SUMPRODUCT(--(_xlpm.stat="Ready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DLR",IF(AND(_xlpm.actRS&gt;0,_xlpm.actDone&lt;_xlpm.actRS),"Training",IF(_xlpm.actRS&gt;0,"Active",IF(AND(_xlpm.decC&gt;0,_xlpm.inPlay+_xlpm.actC=0),"Dead",IF(AND($AJ417&lt;&gt;"",$AK417=FALSE),"Waiting on Dealer",IF(_xlpm.subC&gt;0,"Waiting on Lender",IF(AND(_xlpm.appC+_xlpm.actC&gt;0,_xlpm.nsC+_xlpm.wdC=0),"Rate Sheet","Application Submitted")))))))))</f>
        <v/>
      </c>
      <c r="M417" s="87"/>
      <c r="N417" s="87"/>
      <c r="O417" s="197"/>
      <c r="P417" s="87" t="str">
        <f>IF($A417="","",IF($AK417=TRUE,"Ready 2 Submit","Waiting on Dealer"))</f>
        <v/>
      </c>
      <c r="Q417" s="148"/>
      <c r="R417" s="87"/>
      <c r="S417" s="87"/>
      <c r="T417" s="87" t="str">
        <f>IF($A417="","",IF($AK417=TRUE,"Ready 2 Submit","Waiting on Dealer"))</f>
        <v/>
      </c>
      <c r="U417" s="148"/>
      <c r="V417" s="87"/>
      <c r="W417" s="87"/>
      <c r="X417" s="87" t="str">
        <f>IF($A417="","",IF($AK417=TRUE,"Ready 2 Submit","Waiting on Dealer"))</f>
        <v/>
      </c>
      <c r="Y417" s="148"/>
      <c r="Z417" s="87"/>
      <c r="AA417" s="87"/>
      <c r="AB417" s="87" t="str">
        <f>IF($A417="","",IF($AK417=TRUE,"Ready 2 Submit","Waiting on Dealer"))</f>
        <v/>
      </c>
      <c r="AC417" s="148"/>
      <c r="AD417" s="87"/>
      <c r="AE417" s="87"/>
      <c r="AF417" s="87" t="str">
        <f>IF($A417="","",IF($AK417=TRUE,"Ready 2 Submit","Waiting on Dealer"))</f>
        <v/>
      </c>
      <c r="AG417" s="148"/>
      <c r="AH417" s="87"/>
      <c r="AI417" s="87"/>
      <c r="AJ417" s="197"/>
      <c r="AK417" s="110" t="b">
        <v>0</v>
      </c>
      <c r="AL417" s="87" t="str" cm="1">
        <f t="array" ref="AL417">IF($A417="","",SUMPRODUCT((CHOOSE({1,2,3,4,5},$R417,$V417,$Z417,$AD417,$AH417)="Yes")*(((CHOOSE({1,2,3,4,5},$S417,$W417,$AA417,$AE417,$AI417)="Yes")+(CHOOSE({1,2,3,4,5},$S417,$W417,$AA417,$AE417,$AI417)=TRUE))&gt;0)))</f>
        <v/>
      </c>
      <c r="AM417" s="87"/>
      <c r="AN417" s="87" t="str">
        <f ca="1">IF(OR($A417="",$AM417=""),"",TODAY()-$AM417)</f>
        <v/>
      </c>
      <c r="AO417" s="87"/>
      <c r="AP417" s="106"/>
      <c r="AQ417" s="106"/>
      <c r="AR417" s="106"/>
      <c r="AS417" s="106"/>
      <c r="AT417" s="106"/>
      <c r="AU417" s="106"/>
      <c r="AV417" s="106"/>
      <c r="AW417" s="106"/>
      <c r="AX417" s="106"/>
      <c r="AY417" s="106"/>
    </row>
    <row r="418" spans="1:51" s="20" customFormat="1" ht="21" customHeight="1">
      <c r="A418" s="197"/>
      <c r="B418" s="87"/>
      <c r="C418" s="87"/>
      <c r="D418" s="196"/>
      <c r="E418" s="108"/>
      <c r="F418" s="196"/>
      <c r="G418" s="87"/>
      <c r="H418" s="197"/>
      <c r="I418" s="89"/>
      <c r="J418" s="204"/>
      <c r="K418" s="87"/>
      <c r="L418" s="87" t="str" cm="1">
        <f t="array" ref="L418">IF($A418="","",_xlfn.LET(_xlpm.stat,CHOOSE({1,2,3,4,5},$P418,$T418,$X418,$AB418,$AF418),_xlpm.rate,CHOOSE({1,2,3,4,5},$R418,$V418,$Z418,$AD418,$AH418),_xlpm.trn,CHOOSE({1,2,3,4,5},$S418,$W418,$AA418,$AE418,$AI418),_xlpm.nsC,SUMPRODUCT(--(_xlpm.stat="Ready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DLR",IF(AND(_xlpm.actRS&gt;0,_xlpm.actDone&lt;_xlpm.actRS),"Training",IF(_xlpm.actRS&gt;0,"Active",IF(AND(_xlpm.decC&gt;0,_xlpm.inPlay+_xlpm.actC=0),"Dead",IF(AND($AJ418&lt;&gt;"",$AK418=FALSE),"Waiting on Dealer",IF(_xlpm.subC&gt;0,"Waiting on Lender",IF(AND(_xlpm.appC+_xlpm.actC&gt;0,_xlpm.nsC+_xlpm.wdC=0),"Rate Sheet","Application Submitted")))))))))</f>
        <v/>
      </c>
      <c r="M418" s="87"/>
      <c r="N418" s="87"/>
      <c r="O418" s="197"/>
      <c r="P418" s="87" t="str">
        <f>IF($A418="","",IF($AK418=TRUE,"Ready 2 Submit","Waiting on Dealer"))</f>
        <v/>
      </c>
      <c r="Q418" s="148"/>
      <c r="R418" s="87"/>
      <c r="S418" s="87"/>
      <c r="T418" s="87" t="str">
        <f>IF($A418="","",IF($AK418=TRUE,"Ready 2 Submit","Waiting on Dealer"))</f>
        <v/>
      </c>
      <c r="U418" s="148"/>
      <c r="V418" s="87"/>
      <c r="W418" s="87"/>
      <c r="X418" s="87" t="str">
        <f>IF($A418="","",IF($AK418=TRUE,"Ready 2 Submit","Waiting on Dealer"))</f>
        <v/>
      </c>
      <c r="Y418" s="148"/>
      <c r="Z418" s="87"/>
      <c r="AA418" s="87"/>
      <c r="AB418" s="87" t="str">
        <f>IF($A418="","",IF($AK418=TRUE,"Ready 2 Submit","Waiting on Dealer"))</f>
        <v/>
      </c>
      <c r="AC418" s="148"/>
      <c r="AD418" s="87"/>
      <c r="AE418" s="87"/>
      <c r="AF418" s="87" t="str">
        <f>IF($A418="","",IF($AK418=TRUE,"Ready 2 Submit","Waiting on Dealer"))</f>
        <v/>
      </c>
      <c r="AG418" s="148"/>
      <c r="AH418" s="87"/>
      <c r="AI418" s="87"/>
      <c r="AJ418" s="197"/>
      <c r="AK418" s="110" t="b">
        <v>0</v>
      </c>
      <c r="AL418" s="87" t="str" cm="1">
        <f t="array" ref="AL418">IF($A418="","",SUMPRODUCT((CHOOSE({1,2,3,4,5},$R418,$V418,$Z418,$AD418,$AH418)="Yes")*(((CHOOSE({1,2,3,4,5},$S418,$W418,$AA418,$AE418,$AI418)="Yes")+(CHOOSE({1,2,3,4,5},$S418,$W418,$AA418,$AE418,$AI418)=TRUE))&gt;0)))</f>
        <v/>
      </c>
      <c r="AM418" s="87"/>
      <c r="AN418" s="87" t="str">
        <f ca="1">IF(OR($A418="",$AM418=""),"",TODAY()-$AM418)</f>
        <v/>
      </c>
      <c r="AO418" s="87"/>
      <c r="AP418" s="106"/>
      <c r="AQ418" s="106"/>
      <c r="AR418" s="106"/>
      <c r="AS418" s="106"/>
      <c r="AT418" s="106"/>
      <c r="AU418" s="106"/>
      <c r="AV418" s="106"/>
      <c r="AW418" s="106"/>
      <c r="AX418" s="106"/>
      <c r="AY418" s="106"/>
    </row>
    <row r="419" spans="1:51" s="20" customFormat="1" ht="21" customHeight="1">
      <c r="A419" s="197"/>
      <c r="B419" s="87"/>
      <c r="C419" s="87"/>
      <c r="D419" s="196"/>
      <c r="E419" s="108"/>
      <c r="F419" s="196"/>
      <c r="G419" s="87"/>
      <c r="H419" s="197"/>
      <c r="I419" s="89"/>
      <c r="J419" s="204"/>
      <c r="K419" s="87"/>
      <c r="L419" s="87" t="str" cm="1">
        <f t="array" ref="L419">IF($A419="","",_xlfn.LET(_xlpm.stat,CHOOSE({1,2,3,4,5},$P419,$T419,$X419,$AB419,$AF419),_xlpm.rate,CHOOSE({1,2,3,4,5},$R419,$V419,$Z419,$AD419,$AH419),_xlpm.trn,CHOOSE({1,2,3,4,5},$S419,$W419,$AA419,$AE419,$AI419),_xlpm.nsC,SUMPRODUCT(--(_xlpm.stat="Ready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DLR",IF(AND(_xlpm.actRS&gt;0,_xlpm.actDone&lt;_xlpm.actRS),"Training",IF(_xlpm.actRS&gt;0,"Active",IF(AND(_xlpm.decC&gt;0,_xlpm.inPlay+_xlpm.actC=0),"Dead",IF(AND($AJ419&lt;&gt;"",$AK419=FALSE),"Waiting on Dealer",IF(_xlpm.subC&gt;0,"Waiting on Lender",IF(AND(_xlpm.appC+_xlpm.actC&gt;0,_xlpm.nsC+_xlpm.wdC=0),"Rate Sheet","Application Submitted")))))))))</f>
        <v/>
      </c>
      <c r="M419" s="87"/>
      <c r="N419" s="87"/>
      <c r="O419" s="197"/>
      <c r="P419" s="87" t="str">
        <f>IF($A419="","",IF($AK419=TRUE,"Ready 2 Submit","Waiting on Dealer"))</f>
        <v/>
      </c>
      <c r="Q419" s="148"/>
      <c r="R419" s="87"/>
      <c r="S419" s="87"/>
      <c r="T419" s="87" t="str">
        <f>IF($A419="","",IF($AK419=TRUE,"Ready 2 Submit","Waiting on Dealer"))</f>
        <v/>
      </c>
      <c r="U419" s="148"/>
      <c r="V419" s="87"/>
      <c r="W419" s="87"/>
      <c r="X419" s="87" t="str">
        <f>IF($A419="","",IF($AK419=TRUE,"Ready 2 Submit","Waiting on Dealer"))</f>
        <v/>
      </c>
      <c r="Y419" s="148"/>
      <c r="Z419" s="87"/>
      <c r="AA419" s="87"/>
      <c r="AB419" s="87" t="str">
        <f>IF($A419="","",IF($AK419=TRUE,"Ready 2 Submit","Waiting on Dealer"))</f>
        <v/>
      </c>
      <c r="AC419" s="148"/>
      <c r="AD419" s="87"/>
      <c r="AE419" s="87"/>
      <c r="AF419" s="87" t="str">
        <f>IF($A419="","",IF($AK419=TRUE,"Ready 2 Submit","Waiting on Dealer"))</f>
        <v/>
      </c>
      <c r="AG419" s="148"/>
      <c r="AH419" s="87"/>
      <c r="AI419" s="87"/>
      <c r="AJ419" s="197"/>
      <c r="AK419" s="110" t="b">
        <v>0</v>
      </c>
      <c r="AL419" s="87" t="str" cm="1">
        <f t="array" ref="AL419">IF($A419="","",SUMPRODUCT((CHOOSE({1,2,3,4,5},$R419,$V419,$Z419,$AD419,$AH419)="Yes")*(((CHOOSE({1,2,3,4,5},$S419,$W419,$AA419,$AE419,$AI419)="Yes")+(CHOOSE({1,2,3,4,5},$S419,$W419,$AA419,$AE419,$AI419)=TRUE))&gt;0)))</f>
        <v/>
      </c>
      <c r="AM419" s="87"/>
      <c r="AN419" s="87" t="str">
        <f ca="1">IF(OR($A419="",$AM419=""),"",TODAY()-$AM419)</f>
        <v/>
      </c>
      <c r="AO419" s="87"/>
      <c r="AP419" s="106"/>
      <c r="AQ419" s="106"/>
      <c r="AR419" s="106"/>
      <c r="AS419" s="106"/>
      <c r="AT419" s="106"/>
      <c r="AU419" s="106"/>
      <c r="AV419" s="106"/>
      <c r="AW419" s="106"/>
      <c r="AX419" s="106"/>
      <c r="AY419" s="106"/>
    </row>
    <row r="420" spans="1:51" s="20" customFormat="1" ht="21" customHeight="1">
      <c r="A420" s="197"/>
      <c r="B420" s="87"/>
      <c r="C420" s="87"/>
      <c r="D420" s="196"/>
      <c r="E420" s="108"/>
      <c r="F420" s="196"/>
      <c r="G420" s="87"/>
      <c r="H420" s="197"/>
      <c r="I420" s="89"/>
      <c r="J420" s="204"/>
      <c r="K420" s="87"/>
      <c r="L420" s="87" t="str" cm="1">
        <f t="array" ref="L420">IF($A420="","",_xlfn.LET(_xlpm.stat,CHOOSE({1,2,3,4,5},$P420,$T420,$X420,$AB420,$AF420),_xlpm.rate,CHOOSE({1,2,3,4,5},$R420,$V420,$Z420,$AD420,$AH420),_xlpm.trn,CHOOSE({1,2,3,4,5},$S420,$W420,$AA420,$AE420,$AI420),_xlpm.nsC,SUMPRODUCT(--(_xlpm.stat="Ready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DLR",IF(AND(_xlpm.actRS&gt;0,_xlpm.actDone&lt;_xlpm.actRS),"Training",IF(_xlpm.actRS&gt;0,"Active",IF(AND(_xlpm.decC&gt;0,_xlpm.inPlay+_xlpm.actC=0),"Dead",IF(AND($AJ420&lt;&gt;"",$AK420=FALSE),"Waiting on Dealer",IF(_xlpm.subC&gt;0,"Waiting on Lender",IF(AND(_xlpm.appC+_xlpm.actC&gt;0,_xlpm.nsC+_xlpm.wdC=0),"Rate Sheet","Application Submitted")))))))))</f>
        <v/>
      </c>
      <c r="M420" s="87"/>
      <c r="N420" s="87"/>
      <c r="O420" s="197"/>
      <c r="P420" s="87" t="str">
        <f>IF($A420="","",IF($AK420=TRUE,"Ready 2 Submit","Waiting on Dealer"))</f>
        <v/>
      </c>
      <c r="Q420" s="148"/>
      <c r="R420" s="87"/>
      <c r="S420" s="87"/>
      <c r="T420" s="87" t="str">
        <f>IF($A420="","",IF($AK420=TRUE,"Ready 2 Submit","Waiting on Dealer"))</f>
        <v/>
      </c>
      <c r="U420" s="148"/>
      <c r="V420" s="87"/>
      <c r="W420" s="87"/>
      <c r="X420" s="87" t="str">
        <f>IF($A420="","",IF($AK420=TRUE,"Ready 2 Submit","Waiting on Dealer"))</f>
        <v/>
      </c>
      <c r="Y420" s="148"/>
      <c r="Z420" s="87"/>
      <c r="AA420" s="87"/>
      <c r="AB420" s="87" t="str">
        <f>IF($A420="","",IF($AK420=TRUE,"Ready 2 Submit","Waiting on Dealer"))</f>
        <v/>
      </c>
      <c r="AC420" s="148"/>
      <c r="AD420" s="87"/>
      <c r="AE420" s="87"/>
      <c r="AF420" s="87" t="str">
        <f>IF($A420="","",IF($AK420=TRUE,"Ready 2 Submit","Waiting on Dealer"))</f>
        <v/>
      </c>
      <c r="AG420" s="148"/>
      <c r="AH420" s="87"/>
      <c r="AI420" s="87"/>
      <c r="AJ420" s="197"/>
      <c r="AK420" s="110" t="b">
        <v>0</v>
      </c>
      <c r="AL420" s="87" t="str" cm="1">
        <f t="array" ref="AL420">IF($A420="","",SUMPRODUCT((CHOOSE({1,2,3,4,5},$R420,$V420,$Z420,$AD420,$AH420)="Yes")*(((CHOOSE({1,2,3,4,5},$S420,$W420,$AA420,$AE420,$AI420)="Yes")+(CHOOSE({1,2,3,4,5},$S420,$W420,$AA420,$AE420,$AI420)=TRUE))&gt;0)))</f>
        <v/>
      </c>
      <c r="AM420" s="87"/>
      <c r="AN420" s="87" t="str">
        <f ca="1">IF(OR($A420="",$AM420=""),"",TODAY()-$AM420)</f>
        <v/>
      </c>
      <c r="AO420" s="87"/>
      <c r="AP420" s="106"/>
      <c r="AQ420" s="106"/>
      <c r="AR420" s="106"/>
      <c r="AS420" s="106"/>
      <c r="AT420" s="106"/>
      <c r="AU420" s="106"/>
      <c r="AV420" s="106"/>
      <c r="AW420" s="106"/>
      <c r="AX420" s="106"/>
      <c r="AY420" s="106"/>
    </row>
    <row r="421" spans="1:51" s="20" customFormat="1" ht="21" customHeight="1">
      <c r="A421" s="197"/>
      <c r="B421" s="87"/>
      <c r="C421" s="87"/>
      <c r="D421" s="196"/>
      <c r="E421" s="108"/>
      <c r="F421" s="196"/>
      <c r="G421" s="87"/>
      <c r="H421" s="197"/>
      <c r="I421" s="89"/>
      <c r="J421" s="204"/>
      <c r="K421" s="87"/>
      <c r="L421" s="87" t="str" cm="1">
        <f t="array" ref="L421">IF($A421="","",_xlfn.LET(_xlpm.stat,CHOOSE({1,2,3,4,5},$P421,$T421,$X421,$AB421,$AF421),_xlpm.rate,CHOOSE({1,2,3,4,5},$R421,$V421,$Z421,$AD421,$AH421),_xlpm.trn,CHOOSE({1,2,3,4,5},$S421,$W421,$AA421,$AE421,$AI421),_xlpm.nsC,SUMPRODUCT(--(_xlpm.stat="Ready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DLR",IF(AND(_xlpm.actRS&gt;0,_xlpm.actDone&lt;_xlpm.actRS),"Training",IF(_xlpm.actRS&gt;0,"Active",IF(AND(_xlpm.decC&gt;0,_xlpm.inPlay+_xlpm.actC=0),"Dead",IF(AND($AJ421&lt;&gt;"",$AK421=FALSE),"Waiting on Dealer",IF(_xlpm.subC&gt;0,"Waiting on Lender",IF(AND(_xlpm.appC+_xlpm.actC&gt;0,_xlpm.nsC+_xlpm.wdC=0),"Rate Sheet","Application Submitted")))))))))</f>
        <v/>
      </c>
      <c r="M421" s="87"/>
      <c r="N421" s="87"/>
      <c r="O421" s="197"/>
      <c r="P421" s="87" t="str">
        <f>IF($A421="","",IF($AK421=TRUE,"Ready 2 Submit","Waiting on Dealer"))</f>
        <v/>
      </c>
      <c r="Q421" s="148"/>
      <c r="R421" s="87"/>
      <c r="S421" s="87"/>
      <c r="T421" s="87" t="str">
        <f>IF($A421="","",IF($AK421=TRUE,"Ready 2 Submit","Waiting on Dealer"))</f>
        <v/>
      </c>
      <c r="U421" s="148"/>
      <c r="V421" s="87"/>
      <c r="W421" s="87"/>
      <c r="X421" s="87" t="str">
        <f>IF($A421="","",IF($AK421=TRUE,"Ready 2 Submit","Waiting on Dealer"))</f>
        <v/>
      </c>
      <c r="Y421" s="148"/>
      <c r="Z421" s="87"/>
      <c r="AA421" s="87"/>
      <c r="AB421" s="87" t="str">
        <f>IF($A421="","",IF($AK421=TRUE,"Ready 2 Submit","Waiting on Dealer"))</f>
        <v/>
      </c>
      <c r="AC421" s="148"/>
      <c r="AD421" s="87"/>
      <c r="AE421" s="87"/>
      <c r="AF421" s="87" t="str">
        <f>IF($A421="","",IF($AK421=TRUE,"Ready 2 Submit","Waiting on Dealer"))</f>
        <v/>
      </c>
      <c r="AG421" s="148"/>
      <c r="AH421" s="87"/>
      <c r="AI421" s="87"/>
      <c r="AJ421" s="197"/>
      <c r="AK421" s="110" t="b">
        <v>0</v>
      </c>
      <c r="AL421" s="87" t="str" cm="1">
        <f t="array" ref="AL421">IF($A421="","",SUMPRODUCT((CHOOSE({1,2,3,4,5},$R421,$V421,$Z421,$AD421,$AH421)="Yes")*(((CHOOSE({1,2,3,4,5},$S421,$W421,$AA421,$AE421,$AI421)="Yes")+(CHOOSE({1,2,3,4,5},$S421,$W421,$AA421,$AE421,$AI421)=TRUE))&gt;0)))</f>
        <v/>
      </c>
      <c r="AM421" s="87"/>
      <c r="AN421" s="87" t="str">
        <f ca="1">IF(OR($A421="",$AM421=""),"",TODAY()-$AM421)</f>
        <v/>
      </c>
      <c r="AO421" s="87"/>
      <c r="AP421" s="106"/>
      <c r="AQ421" s="106"/>
      <c r="AR421" s="106"/>
      <c r="AS421" s="106"/>
      <c r="AT421" s="106"/>
      <c r="AU421" s="106"/>
      <c r="AV421" s="106"/>
      <c r="AW421" s="106"/>
      <c r="AX421" s="106"/>
      <c r="AY421" s="106"/>
    </row>
    <row r="422" spans="1:51" s="20" customFormat="1" ht="21" customHeight="1">
      <c r="A422" s="197"/>
      <c r="B422" s="87"/>
      <c r="C422" s="87"/>
      <c r="D422" s="196"/>
      <c r="E422" s="108"/>
      <c r="F422" s="196"/>
      <c r="G422" s="87"/>
      <c r="H422" s="197"/>
      <c r="I422" s="89"/>
      <c r="J422" s="204"/>
      <c r="K422" s="87"/>
      <c r="L422" s="87" t="str" cm="1">
        <f t="array" ref="L422">IF($A422="","",_xlfn.LET(_xlpm.stat,CHOOSE({1,2,3,4,5},$P422,$T422,$X422,$AB422,$AF422),_xlpm.rate,CHOOSE({1,2,3,4,5},$R422,$V422,$Z422,$AD422,$AH422),_xlpm.trn,CHOOSE({1,2,3,4,5},$S422,$W422,$AA422,$AE422,$AI422),_xlpm.nsC,SUMPRODUCT(--(_xlpm.stat="Ready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DLR",IF(AND(_xlpm.actRS&gt;0,_xlpm.actDone&lt;_xlpm.actRS),"Training",IF(_xlpm.actRS&gt;0,"Active",IF(AND(_xlpm.decC&gt;0,_xlpm.inPlay+_xlpm.actC=0),"Dead",IF(AND($AJ422&lt;&gt;"",$AK422=FALSE),"Waiting on Dealer",IF(_xlpm.subC&gt;0,"Waiting on Lender",IF(AND(_xlpm.appC+_xlpm.actC&gt;0,_xlpm.nsC+_xlpm.wdC=0),"Rate Sheet","Application Submitted")))))))))</f>
        <v/>
      </c>
      <c r="M422" s="87"/>
      <c r="N422" s="87"/>
      <c r="O422" s="197"/>
      <c r="P422" s="87" t="str">
        <f>IF($A422="","",IF($AK422=TRUE,"Ready 2 Submit","Waiting on Dealer"))</f>
        <v/>
      </c>
      <c r="Q422" s="148"/>
      <c r="R422" s="87"/>
      <c r="S422" s="87"/>
      <c r="T422" s="87" t="str">
        <f>IF($A422="","",IF($AK422=TRUE,"Ready 2 Submit","Waiting on Dealer"))</f>
        <v/>
      </c>
      <c r="U422" s="148"/>
      <c r="V422" s="87"/>
      <c r="W422" s="87"/>
      <c r="X422" s="87" t="str">
        <f>IF($A422="","",IF($AK422=TRUE,"Ready 2 Submit","Waiting on Dealer"))</f>
        <v/>
      </c>
      <c r="Y422" s="148"/>
      <c r="Z422" s="87"/>
      <c r="AA422" s="87"/>
      <c r="AB422" s="87" t="str">
        <f>IF($A422="","",IF($AK422=TRUE,"Ready 2 Submit","Waiting on Dealer"))</f>
        <v/>
      </c>
      <c r="AC422" s="148"/>
      <c r="AD422" s="87"/>
      <c r="AE422" s="87"/>
      <c r="AF422" s="87" t="str">
        <f>IF($A422="","",IF($AK422=TRUE,"Ready 2 Submit","Waiting on Dealer"))</f>
        <v/>
      </c>
      <c r="AG422" s="148"/>
      <c r="AH422" s="87"/>
      <c r="AI422" s="87"/>
      <c r="AJ422" s="197"/>
      <c r="AK422" s="110" t="b">
        <v>0</v>
      </c>
      <c r="AL422" s="87" t="str" cm="1">
        <f t="array" ref="AL422">IF($A422="","",SUMPRODUCT((CHOOSE({1,2,3,4,5},$R422,$V422,$Z422,$AD422,$AH422)="Yes")*(((CHOOSE({1,2,3,4,5},$S422,$W422,$AA422,$AE422,$AI422)="Yes")+(CHOOSE({1,2,3,4,5},$S422,$W422,$AA422,$AE422,$AI422)=TRUE))&gt;0)))</f>
        <v/>
      </c>
      <c r="AM422" s="87"/>
      <c r="AN422" s="87" t="str">
        <f ca="1">IF(OR($A422="",$AM422=""),"",TODAY()-$AM422)</f>
        <v/>
      </c>
      <c r="AO422" s="87"/>
      <c r="AP422" s="106"/>
      <c r="AQ422" s="106"/>
      <c r="AR422" s="106"/>
      <c r="AS422" s="106"/>
      <c r="AT422" s="106"/>
      <c r="AU422" s="106"/>
      <c r="AV422" s="106"/>
      <c r="AW422" s="106"/>
      <c r="AX422" s="106"/>
      <c r="AY422" s="106"/>
    </row>
    <row r="423" spans="1:51" s="20" customFormat="1" ht="21" customHeight="1">
      <c r="A423" s="197"/>
      <c r="B423" s="87"/>
      <c r="C423" s="87"/>
      <c r="D423" s="196"/>
      <c r="E423" s="108"/>
      <c r="F423" s="196"/>
      <c r="G423" s="87"/>
      <c r="H423" s="197"/>
      <c r="I423" s="89"/>
      <c r="J423" s="204"/>
      <c r="K423" s="87"/>
      <c r="L423" s="87" t="str" cm="1">
        <f t="array" ref="L423">IF($A423="","",_xlfn.LET(_xlpm.stat,CHOOSE({1,2,3,4,5},$P423,$T423,$X423,$AB423,$AF423),_xlpm.rate,CHOOSE({1,2,3,4,5},$R423,$V423,$Z423,$AD423,$AH423),_xlpm.trn,CHOOSE({1,2,3,4,5},$S423,$W423,$AA423,$AE423,$AI423),_xlpm.nsC,SUMPRODUCT(--(_xlpm.stat="Ready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DLR",IF(AND(_xlpm.actRS&gt;0,_xlpm.actDone&lt;_xlpm.actRS),"Training",IF(_xlpm.actRS&gt;0,"Active",IF(AND(_xlpm.decC&gt;0,_xlpm.inPlay+_xlpm.actC=0),"Dead",IF(AND($AJ423&lt;&gt;"",$AK423=FALSE),"Waiting on Dealer",IF(_xlpm.subC&gt;0,"Waiting on Lender",IF(AND(_xlpm.appC+_xlpm.actC&gt;0,_xlpm.nsC+_xlpm.wdC=0),"Rate Sheet","Application Submitted")))))))))</f>
        <v/>
      </c>
      <c r="M423" s="87"/>
      <c r="N423" s="87"/>
      <c r="O423" s="197"/>
      <c r="P423" s="87" t="str">
        <f>IF($A423="","",IF($AK423=TRUE,"Ready 2 Submit","Waiting on Dealer"))</f>
        <v/>
      </c>
      <c r="Q423" s="148"/>
      <c r="R423" s="87"/>
      <c r="S423" s="87"/>
      <c r="T423" s="87" t="str">
        <f>IF($A423="","",IF($AK423=TRUE,"Ready 2 Submit","Waiting on Dealer"))</f>
        <v/>
      </c>
      <c r="U423" s="148"/>
      <c r="V423" s="87"/>
      <c r="W423" s="87"/>
      <c r="X423" s="87" t="str">
        <f>IF($A423="","",IF($AK423=TRUE,"Ready 2 Submit","Waiting on Dealer"))</f>
        <v/>
      </c>
      <c r="Y423" s="148"/>
      <c r="Z423" s="87"/>
      <c r="AA423" s="87"/>
      <c r="AB423" s="87" t="str">
        <f>IF($A423="","",IF($AK423=TRUE,"Ready 2 Submit","Waiting on Dealer"))</f>
        <v/>
      </c>
      <c r="AC423" s="148"/>
      <c r="AD423" s="87"/>
      <c r="AE423" s="87"/>
      <c r="AF423" s="87" t="str">
        <f>IF($A423="","",IF($AK423=TRUE,"Ready 2 Submit","Waiting on Dealer"))</f>
        <v/>
      </c>
      <c r="AG423" s="148"/>
      <c r="AH423" s="87"/>
      <c r="AI423" s="87"/>
      <c r="AJ423" s="197"/>
      <c r="AK423" s="110" t="b">
        <v>0</v>
      </c>
      <c r="AL423" s="87" t="str" cm="1">
        <f t="array" ref="AL423">IF($A423="","",SUMPRODUCT((CHOOSE({1,2,3,4,5},$R423,$V423,$Z423,$AD423,$AH423)="Yes")*(((CHOOSE({1,2,3,4,5},$S423,$W423,$AA423,$AE423,$AI423)="Yes")+(CHOOSE({1,2,3,4,5},$S423,$W423,$AA423,$AE423,$AI423)=TRUE))&gt;0)))</f>
        <v/>
      </c>
      <c r="AM423" s="87"/>
      <c r="AN423" s="87" t="str">
        <f ca="1">IF(OR($A423="",$AM423=""),"",TODAY()-$AM423)</f>
        <v/>
      </c>
      <c r="AO423" s="87"/>
      <c r="AP423" s="106"/>
      <c r="AQ423" s="106"/>
      <c r="AR423" s="106"/>
      <c r="AS423" s="106"/>
      <c r="AT423" s="106"/>
      <c r="AU423" s="106"/>
      <c r="AV423" s="106"/>
      <c r="AW423" s="106"/>
      <c r="AX423" s="106"/>
      <c r="AY423" s="106"/>
    </row>
    <row r="424" spans="1:51" s="20" customFormat="1" ht="21" customHeight="1">
      <c r="A424" s="197"/>
      <c r="B424" s="87"/>
      <c r="C424" s="87"/>
      <c r="D424" s="196"/>
      <c r="E424" s="108"/>
      <c r="F424" s="196"/>
      <c r="G424" s="87"/>
      <c r="H424" s="197"/>
      <c r="I424" s="89"/>
      <c r="J424" s="204"/>
      <c r="K424" s="87"/>
      <c r="L424" s="87" t="str" cm="1">
        <f t="array" ref="L424">IF($A424="","",_xlfn.LET(_xlpm.stat,CHOOSE({1,2,3,4,5},$P424,$T424,$X424,$AB424,$AF424),_xlpm.rate,CHOOSE({1,2,3,4,5},$R424,$V424,$Z424,$AD424,$AH424),_xlpm.trn,CHOOSE({1,2,3,4,5},$S424,$W424,$AA424,$AE424,$AI424),_xlpm.nsC,SUMPRODUCT(--(_xlpm.stat="Ready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DLR",IF(AND(_xlpm.actRS&gt;0,_xlpm.actDone&lt;_xlpm.actRS),"Training",IF(_xlpm.actRS&gt;0,"Active",IF(AND(_xlpm.decC&gt;0,_xlpm.inPlay+_xlpm.actC=0),"Dead",IF(AND($AJ424&lt;&gt;"",$AK424=FALSE),"Waiting on Dealer",IF(_xlpm.subC&gt;0,"Waiting on Lender",IF(AND(_xlpm.appC+_xlpm.actC&gt;0,_xlpm.nsC+_xlpm.wdC=0),"Rate Sheet","Application Submitted")))))))))</f>
        <v/>
      </c>
      <c r="M424" s="87"/>
      <c r="N424" s="87"/>
      <c r="O424" s="197"/>
      <c r="P424" s="87" t="str">
        <f>IF($A424="","",IF($AK424=TRUE,"Ready 2 Submit","Waiting on Dealer"))</f>
        <v/>
      </c>
      <c r="Q424" s="148"/>
      <c r="R424" s="87"/>
      <c r="S424" s="87"/>
      <c r="T424" s="87" t="str">
        <f>IF($A424="","",IF($AK424=TRUE,"Ready 2 Submit","Waiting on Dealer"))</f>
        <v/>
      </c>
      <c r="U424" s="148"/>
      <c r="V424" s="87"/>
      <c r="W424" s="87"/>
      <c r="X424" s="87" t="str">
        <f>IF($A424="","",IF($AK424=TRUE,"Ready 2 Submit","Waiting on Dealer"))</f>
        <v/>
      </c>
      <c r="Y424" s="148"/>
      <c r="Z424" s="87"/>
      <c r="AA424" s="87"/>
      <c r="AB424" s="87" t="str">
        <f>IF($A424="","",IF($AK424=TRUE,"Ready 2 Submit","Waiting on Dealer"))</f>
        <v/>
      </c>
      <c r="AC424" s="148"/>
      <c r="AD424" s="87"/>
      <c r="AE424" s="87"/>
      <c r="AF424" s="87" t="str">
        <f>IF($A424="","",IF($AK424=TRUE,"Ready 2 Submit","Waiting on Dealer"))</f>
        <v/>
      </c>
      <c r="AG424" s="148"/>
      <c r="AH424" s="87"/>
      <c r="AI424" s="87"/>
      <c r="AJ424" s="197"/>
      <c r="AK424" s="110" t="b">
        <v>0</v>
      </c>
      <c r="AL424" s="87" t="str" cm="1">
        <f t="array" ref="AL424">IF($A424="","",SUMPRODUCT((CHOOSE({1,2,3,4,5},$R424,$V424,$Z424,$AD424,$AH424)="Yes")*(((CHOOSE({1,2,3,4,5},$S424,$W424,$AA424,$AE424,$AI424)="Yes")+(CHOOSE({1,2,3,4,5},$S424,$W424,$AA424,$AE424,$AI424)=TRUE))&gt;0)))</f>
        <v/>
      </c>
      <c r="AM424" s="87"/>
      <c r="AN424" s="87" t="str">
        <f ca="1">IF(OR($A424="",$AM424=""),"",TODAY()-$AM424)</f>
        <v/>
      </c>
      <c r="AO424" s="87"/>
      <c r="AP424" s="106"/>
      <c r="AQ424" s="106"/>
      <c r="AR424" s="106"/>
      <c r="AS424" s="106"/>
      <c r="AT424" s="106"/>
      <c r="AU424" s="106"/>
      <c r="AV424" s="106"/>
      <c r="AW424" s="106"/>
      <c r="AX424" s="106"/>
      <c r="AY424" s="106"/>
    </row>
    <row r="425" spans="1:51" s="20" customFormat="1" ht="21" customHeight="1">
      <c r="A425" s="197"/>
      <c r="B425" s="87"/>
      <c r="C425" s="87"/>
      <c r="D425" s="196"/>
      <c r="E425" s="108"/>
      <c r="F425" s="196"/>
      <c r="G425" s="87"/>
      <c r="H425" s="197"/>
      <c r="I425" s="89"/>
      <c r="J425" s="204"/>
      <c r="K425" s="87"/>
      <c r="L425" s="87" t="str" cm="1">
        <f t="array" ref="L425">IF($A425="","",_xlfn.LET(_xlpm.stat,CHOOSE({1,2,3,4,5},$P425,$T425,$X425,$AB425,$AF425),_xlpm.rate,CHOOSE({1,2,3,4,5},$R425,$V425,$Z425,$AD425,$AH425),_xlpm.trn,CHOOSE({1,2,3,4,5},$S425,$W425,$AA425,$AE425,$AI425),_xlpm.nsC,SUMPRODUCT(--(_xlpm.stat="Ready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DLR",IF(AND(_xlpm.actRS&gt;0,_xlpm.actDone&lt;_xlpm.actRS),"Training",IF(_xlpm.actRS&gt;0,"Active",IF(AND(_xlpm.decC&gt;0,_xlpm.inPlay+_xlpm.actC=0),"Dead",IF(AND($AJ425&lt;&gt;"",$AK425=FALSE),"Waiting on Dealer",IF(_xlpm.subC&gt;0,"Waiting on Lender",IF(AND(_xlpm.appC+_xlpm.actC&gt;0,_xlpm.nsC+_xlpm.wdC=0),"Rate Sheet","Application Submitted")))))))))</f>
        <v/>
      </c>
      <c r="M425" s="87"/>
      <c r="N425" s="87"/>
      <c r="O425" s="197"/>
      <c r="P425" s="87" t="str">
        <f>IF($A425="","",IF($AK425=TRUE,"Ready 2 Submit","Waiting on Dealer"))</f>
        <v/>
      </c>
      <c r="Q425" s="148"/>
      <c r="R425" s="87"/>
      <c r="S425" s="87"/>
      <c r="T425" s="87" t="str">
        <f>IF($A425="","",IF($AK425=TRUE,"Ready 2 Submit","Waiting on Dealer"))</f>
        <v/>
      </c>
      <c r="U425" s="148"/>
      <c r="V425" s="87"/>
      <c r="W425" s="87"/>
      <c r="X425" s="87" t="str">
        <f>IF($A425="","",IF($AK425=TRUE,"Ready 2 Submit","Waiting on Dealer"))</f>
        <v/>
      </c>
      <c r="Y425" s="148"/>
      <c r="Z425" s="87"/>
      <c r="AA425" s="87"/>
      <c r="AB425" s="87" t="str">
        <f>IF($A425="","",IF($AK425=TRUE,"Ready 2 Submit","Waiting on Dealer"))</f>
        <v/>
      </c>
      <c r="AC425" s="148"/>
      <c r="AD425" s="87"/>
      <c r="AE425" s="87"/>
      <c r="AF425" s="87" t="str">
        <f>IF($A425="","",IF($AK425=TRUE,"Ready 2 Submit","Waiting on Dealer"))</f>
        <v/>
      </c>
      <c r="AG425" s="148"/>
      <c r="AH425" s="87"/>
      <c r="AI425" s="87"/>
      <c r="AJ425" s="197"/>
      <c r="AK425" s="110" t="b">
        <v>0</v>
      </c>
      <c r="AL425" s="87" t="str" cm="1">
        <f t="array" ref="AL425">IF($A425="","",SUMPRODUCT((CHOOSE({1,2,3,4,5},$R425,$V425,$Z425,$AD425,$AH425)="Yes")*(((CHOOSE({1,2,3,4,5},$S425,$W425,$AA425,$AE425,$AI425)="Yes")+(CHOOSE({1,2,3,4,5},$S425,$W425,$AA425,$AE425,$AI425)=TRUE))&gt;0)))</f>
        <v/>
      </c>
      <c r="AM425" s="87"/>
      <c r="AN425" s="87" t="str">
        <f ca="1">IF(OR($A425="",$AM425=""),"",TODAY()-$AM425)</f>
        <v/>
      </c>
      <c r="AO425" s="87"/>
      <c r="AP425" s="106"/>
      <c r="AQ425" s="106"/>
      <c r="AR425" s="106"/>
      <c r="AS425" s="106"/>
      <c r="AT425" s="106"/>
      <c r="AU425" s="106"/>
      <c r="AV425" s="106"/>
      <c r="AW425" s="106"/>
      <c r="AX425" s="106"/>
      <c r="AY425" s="106"/>
    </row>
    <row r="426" spans="1:51" s="20" customFormat="1" ht="21" customHeight="1">
      <c r="A426" s="197"/>
      <c r="B426" s="87"/>
      <c r="C426" s="87"/>
      <c r="D426" s="196"/>
      <c r="E426" s="108"/>
      <c r="F426" s="196"/>
      <c r="G426" s="87"/>
      <c r="H426" s="197"/>
      <c r="I426" s="89"/>
      <c r="J426" s="204"/>
      <c r="K426" s="87"/>
      <c r="L426" s="87" t="str" cm="1">
        <f t="array" ref="L426">IF($A426="","",_xlfn.LET(_xlpm.stat,CHOOSE({1,2,3,4,5},$P426,$T426,$X426,$AB426,$AF426),_xlpm.rate,CHOOSE({1,2,3,4,5},$R426,$V426,$Z426,$AD426,$AH426),_xlpm.trn,CHOOSE({1,2,3,4,5},$S426,$W426,$AA426,$AE426,$AI426),_xlpm.nsC,SUMPRODUCT(--(_xlpm.stat="Ready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DLR",IF(AND(_xlpm.actRS&gt;0,_xlpm.actDone&lt;_xlpm.actRS),"Training",IF(_xlpm.actRS&gt;0,"Active",IF(AND(_xlpm.decC&gt;0,_xlpm.inPlay+_xlpm.actC=0),"Dead",IF(AND($AJ426&lt;&gt;"",$AK426=FALSE),"Waiting on Dealer",IF(_xlpm.subC&gt;0,"Waiting on Lender",IF(AND(_xlpm.appC+_xlpm.actC&gt;0,_xlpm.nsC+_xlpm.wdC=0),"Rate Sheet","Application Submitted")))))))))</f>
        <v/>
      </c>
      <c r="M426" s="87"/>
      <c r="N426" s="87"/>
      <c r="O426" s="197"/>
      <c r="P426" s="87" t="str">
        <f>IF($A426="","",IF($AK426=TRUE,"Ready 2 Submit","Waiting on Dealer"))</f>
        <v/>
      </c>
      <c r="Q426" s="148"/>
      <c r="R426" s="87"/>
      <c r="S426" s="87"/>
      <c r="T426" s="87" t="str">
        <f>IF($A426="","",IF($AK426=TRUE,"Ready 2 Submit","Waiting on Dealer"))</f>
        <v/>
      </c>
      <c r="U426" s="148"/>
      <c r="V426" s="87"/>
      <c r="W426" s="87"/>
      <c r="X426" s="87" t="str">
        <f>IF($A426="","",IF($AK426=TRUE,"Ready 2 Submit","Waiting on Dealer"))</f>
        <v/>
      </c>
      <c r="Y426" s="148"/>
      <c r="Z426" s="87"/>
      <c r="AA426" s="87"/>
      <c r="AB426" s="87" t="str">
        <f>IF($A426="","",IF($AK426=TRUE,"Ready 2 Submit","Waiting on Dealer"))</f>
        <v/>
      </c>
      <c r="AC426" s="148"/>
      <c r="AD426" s="87"/>
      <c r="AE426" s="87"/>
      <c r="AF426" s="87" t="str">
        <f>IF($A426="","",IF($AK426=TRUE,"Ready 2 Submit","Waiting on Dealer"))</f>
        <v/>
      </c>
      <c r="AG426" s="148"/>
      <c r="AH426" s="87"/>
      <c r="AI426" s="87"/>
      <c r="AJ426" s="197"/>
      <c r="AK426" s="110" t="b">
        <v>0</v>
      </c>
      <c r="AL426" s="87" t="str" cm="1">
        <f t="array" ref="AL426">IF($A426="","",SUMPRODUCT((CHOOSE({1,2,3,4,5},$R426,$V426,$Z426,$AD426,$AH426)="Yes")*(((CHOOSE({1,2,3,4,5},$S426,$W426,$AA426,$AE426,$AI426)="Yes")+(CHOOSE({1,2,3,4,5},$S426,$W426,$AA426,$AE426,$AI426)=TRUE))&gt;0)))</f>
        <v/>
      </c>
      <c r="AM426" s="87"/>
      <c r="AN426" s="87" t="str">
        <f ca="1">IF(OR($A426="",$AM426=""),"",TODAY()-$AM426)</f>
        <v/>
      </c>
      <c r="AO426" s="87"/>
      <c r="AP426" s="106"/>
      <c r="AQ426" s="106"/>
      <c r="AR426" s="106"/>
      <c r="AS426" s="106"/>
      <c r="AT426" s="106"/>
      <c r="AU426" s="106"/>
      <c r="AV426" s="106"/>
      <c r="AW426" s="106"/>
      <c r="AX426" s="106"/>
      <c r="AY426" s="106"/>
    </row>
    <row r="427" spans="1:51" s="20" customFormat="1" ht="21" customHeight="1">
      <c r="A427" s="197"/>
      <c r="B427" s="87"/>
      <c r="C427" s="87"/>
      <c r="D427" s="196"/>
      <c r="E427" s="108"/>
      <c r="F427" s="196"/>
      <c r="G427" s="87"/>
      <c r="H427" s="197"/>
      <c r="I427" s="89"/>
      <c r="J427" s="204"/>
      <c r="K427" s="87"/>
      <c r="L427" s="87" t="str" cm="1">
        <f t="array" ref="L427">IF($A427="","",_xlfn.LET(_xlpm.stat,CHOOSE({1,2,3,4,5},$P427,$T427,$X427,$AB427,$AF427),_xlpm.rate,CHOOSE({1,2,3,4,5},$R427,$V427,$Z427,$AD427,$AH427),_xlpm.trn,CHOOSE({1,2,3,4,5},$S427,$W427,$AA427,$AE427,$AI427),_xlpm.nsC,SUMPRODUCT(--(_xlpm.stat="Ready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DLR",IF(AND(_xlpm.actRS&gt;0,_xlpm.actDone&lt;_xlpm.actRS),"Training",IF(_xlpm.actRS&gt;0,"Active",IF(AND(_xlpm.decC&gt;0,_xlpm.inPlay+_xlpm.actC=0),"Dead",IF(AND($AJ427&lt;&gt;"",$AK427=FALSE),"Waiting on Dealer",IF(_xlpm.subC&gt;0,"Waiting on Lender",IF(AND(_xlpm.appC+_xlpm.actC&gt;0,_xlpm.nsC+_xlpm.wdC=0),"Rate Sheet","Application Submitted")))))))))</f>
        <v/>
      </c>
      <c r="M427" s="87"/>
      <c r="N427" s="87"/>
      <c r="O427" s="197"/>
      <c r="P427" s="87" t="str">
        <f>IF($A427="","",IF($AK427=TRUE,"Ready 2 Submit","Waiting on Dealer"))</f>
        <v/>
      </c>
      <c r="Q427" s="148"/>
      <c r="R427" s="87"/>
      <c r="S427" s="87"/>
      <c r="T427" s="87" t="str">
        <f>IF($A427="","",IF($AK427=TRUE,"Ready 2 Submit","Waiting on Dealer"))</f>
        <v/>
      </c>
      <c r="U427" s="148"/>
      <c r="V427" s="87"/>
      <c r="W427" s="87"/>
      <c r="X427" s="87" t="str">
        <f>IF($A427="","",IF($AK427=TRUE,"Ready 2 Submit","Waiting on Dealer"))</f>
        <v/>
      </c>
      <c r="Y427" s="148"/>
      <c r="Z427" s="87"/>
      <c r="AA427" s="87"/>
      <c r="AB427" s="87" t="str">
        <f>IF($A427="","",IF($AK427=TRUE,"Ready 2 Submit","Waiting on Dealer"))</f>
        <v/>
      </c>
      <c r="AC427" s="148"/>
      <c r="AD427" s="87"/>
      <c r="AE427" s="87"/>
      <c r="AF427" s="87" t="str">
        <f>IF($A427="","",IF($AK427=TRUE,"Ready 2 Submit","Waiting on Dealer"))</f>
        <v/>
      </c>
      <c r="AG427" s="148"/>
      <c r="AH427" s="87"/>
      <c r="AI427" s="87"/>
      <c r="AJ427" s="197"/>
      <c r="AK427" s="110" t="b">
        <v>0</v>
      </c>
      <c r="AL427" s="87" t="str" cm="1">
        <f t="array" ref="AL427">IF($A427="","",SUMPRODUCT((CHOOSE({1,2,3,4,5},$R427,$V427,$Z427,$AD427,$AH427)="Yes")*(((CHOOSE({1,2,3,4,5},$S427,$W427,$AA427,$AE427,$AI427)="Yes")+(CHOOSE({1,2,3,4,5},$S427,$W427,$AA427,$AE427,$AI427)=TRUE))&gt;0)))</f>
        <v/>
      </c>
      <c r="AM427" s="87"/>
      <c r="AN427" s="87" t="str">
        <f ca="1">IF(OR($A427="",$AM427=""),"",TODAY()-$AM427)</f>
        <v/>
      </c>
      <c r="AO427" s="87"/>
      <c r="AP427" s="106"/>
      <c r="AQ427" s="106"/>
      <c r="AR427" s="106"/>
      <c r="AS427" s="106"/>
      <c r="AT427" s="106"/>
      <c r="AU427" s="106"/>
      <c r="AV427" s="106"/>
      <c r="AW427" s="106"/>
      <c r="AX427" s="106"/>
      <c r="AY427" s="106"/>
    </row>
    <row r="428" spans="1:51" s="20" customFormat="1" ht="21" customHeight="1">
      <c r="A428" s="197"/>
      <c r="B428" s="87"/>
      <c r="C428" s="87"/>
      <c r="D428" s="196"/>
      <c r="E428" s="108"/>
      <c r="F428" s="196"/>
      <c r="G428" s="87"/>
      <c r="H428" s="197"/>
      <c r="I428" s="89"/>
      <c r="J428" s="204"/>
      <c r="K428" s="87"/>
      <c r="L428" s="87" t="str" cm="1">
        <f t="array" ref="L428">IF($A428="","",_xlfn.LET(_xlpm.stat,CHOOSE({1,2,3,4,5},$P428,$T428,$X428,$AB428,$AF428),_xlpm.rate,CHOOSE({1,2,3,4,5},$R428,$V428,$Z428,$AD428,$AH428),_xlpm.trn,CHOOSE({1,2,3,4,5},$S428,$W428,$AA428,$AE428,$AI428),_xlpm.nsC,SUMPRODUCT(--(_xlpm.stat="Ready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DLR",IF(AND(_xlpm.actRS&gt;0,_xlpm.actDone&lt;_xlpm.actRS),"Training",IF(_xlpm.actRS&gt;0,"Active",IF(AND(_xlpm.decC&gt;0,_xlpm.inPlay+_xlpm.actC=0),"Dead",IF(AND($AJ428&lt;&gt;"",$AK428=FALSE),"Waiting on Dealer",IF(_xlpm.subC&gt;0,"Waiting on Lender",IF(AND(_xlpm.appC+_xlpm.actC&gt;0,_xlpm.nsC+_xlpm.wdC=0),"Rate Sheet","Application Submitted")))))))))</f>
        <v/>
      </c>
      <c r="M428" s="87"/>
      <c r="N428" s="87"/>
      <c r="O428" s="197"/>
      <c r="P428" s="87" t="str">
        <f>IF($A428="","",IF($AK428=TRUE,"Ready 2 Submit","Waiting on Dealer"))</f>
        <v/>
      </c>
      <c r="Q428" s="148"/>
      <c r="R428" s="87"/>
      <c r="S428" s="87"/>
      <c r="T428" s="87" t="str">
        <f>IF($A428="","",IF($AK428=TRUE,"Ready 2 Submit","Waiting on Dealer"))</f>
        <v/>
      </c>
      <c r="U428" s="148"/>
      <c r="V428" s="87"/>
      <c r="W428" s="87"/>
      <c r="X428" s="87" t="str">
        <f>IF($A428="","",IF($AK428=TRUE,"Ready 2 Submit","Waiting on Dealer"))</f>
        <v/>
      </c>
      <c r="Y428" s="148"/>
      <c r="Z428" s="87"/>
      <c r="AA428" s="87"/>
      <c r="AB428" s="87" t="str">
        <f>IF($A428="","",IF($AK428=TRUE,"Ready 2 Submit","Waiting on Dealer"))</f>
        <v/>
      </c>
      <c r="AC428" s="148"/>
      <c r="AD428" s="87"/>
      <c r="AE428" s="87"/>
      <c r="AF428" s="87" t="str">
        <f>IF($A428="","",IF($AK428=TRUE,"Ready 2 Submit","Waiting on Dealer"))</f>
        <v/>
      </c>
      <c r="AG428" s="148"/>
      <c r="AH428" s="87"/>
      <c r="AI428" s="87"/>
      <c r="AJ428" s="197"/>
      <c r="AK428" s="110" t="b">
        <v>0</v>
      </c>
      <c r="AL428" s="87" t="str" cm="1">
        <f t="array" ref="AL428">IF($A428="","",SUMPRODUCT((CHOOSE({1,2,3,4,5},$R428,$V428,$Z428,$AD428,$AH428)="Yes")*(((CHOOSE({1,2,3,4,5},$S428,$W428,$AA428,$AE428,$AI428)="Yes")+(CHOOSE({1,2,3,4,5},$S428,$W428,$AA428,$AE428,$AI428)=TRUE))&gt;0)))</f>
        <v/>
      </c>
      <c r="AM428" s="87"/>
      <c r="AN428" s="87" t="str">
        <f ca="1">IF(OR($A428="",$AM428=""),"",TODAY()-$AM428)</f>
        <v/>
      </c>
      <c r="AO428" s="87"/>
      <c r="AP428" s="106"/>
      <c r="AQ428" s="106"/>
      <c r="AR428" s="106"/>
      <c r="AS428" s="106"/>
      <c r="AT428" s="106"/>
      <c r="AU428" s="106"/>
      <c r="AV428" s="106"/>
      <c r="AW428" s="106"/>
      <c r="AX428" s="106"/>
      <c r="AY428" s="106"/>
    </row>
    <row r="429" spans="1:51" s="20" customFormat="1" ht="21" customHeight="1">
      <c r="A429" s="197"/>
      <c r="B429" s="87"/>
      <c r="C429" s="87"/>
      <c r="D429" s="196"/>
      <c r="E429" s="108"/>
      <c r="F429" s="196"/>
      <c r="G429" s="87"/>
      <c r="H429" s="197"/>
      <c r="I429" s="89"/>
      <c r="J429" s="204"/>
      <c r="K429" s="87"/>
      <c r="L429" s="87" t="str" cm="1">
        <f t="array" ref="L429">IF($A429="","",_xlfn.LET(_xlpm.stat,CHOOSE({1,2,3,4,5},$P429,$T429,$X429,$AB429,$AF429),_xlpm.rate,CHOOSE({1,2,3,4,5},$R429,$V429,$Z429,$AD429,$AH429),_xlpm.trn,CHOOSE({1,2,3,4,5},$S429,$W429,$AA429,$AE429,$AI429),_xlpm.nsC,SUMPRODUCT(--(_xlpm.stat="Ready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DLR",IF(AND(_xlpm.actRS&gt;0,_xlpm.actDone&lt;_xlpm.actRS),"Training",IF(_xlpm.actRS&gt;0,"Active",IF(AND(_xlpm.decC&gt;0,_xlpm.inPlay+_xlpm.actC=0),"Dead",IF(AND($AJ429&lt;&gt;"",$AK429=FALSE),"Waiting on Dealer",IF(_xlpm.subC&gt;0,"Waiting on Lender",IF(AND(_xlpm.appC+_xlpm.actC&gt;0,_xlpm.nsC+_xlpm.wdC=0),"Rate Sheet","Application Submitted")))))))))</f>
        <v/>
      </c>
      <c r="M429" s="87"/>
      <c r="N429" s="87"/>
      <c r="O429" s="197"/>
      <c r="P429" s="87" t="str">
        <f>IF($A429="","",IF($AK429=TRUE,"Ready 2 Submit","Waiting on Dealer"))</f>
        <v/>
      </c>
      <c r="Q429" s="148"/>
      <c r="R429" s="87"/>
      <c r="S429" s="87"/>
      <c r="T429" s="87" t="str">
        <f>IF($A429="","",IF($AK429=TRUE,"Ready 2 Submit","Waiting on Dealer"))</f>
        <v/>
      </c>
      <c r="U429" s="148"/>
      <c r="V429" s="87"/>
      <c r="W429" s="87"/>
      <c r="X429" s="87" t="str">
        <f>IF($A429="","",IF($AK429=TRUE,"Ready 2 Submit","Waiting on Dealer"))</f>
        <v/>
      </c>
      <c r="Y429" s="148"/>
      <c r="Z429" s="87"/>
      <c r="AA429" s="87"/>
      <c r="AB429" s="87" t="str">
        <f>IF($A429="","",IF($AK429=TRUE,"Ready 2 Submit","Waiting on Dealer"))</f>
        <v/>
      </c>
      <c r="AC429" s="148"/>
      <c r="AD429" s="87"/>
      <c r="AE429" s="87"/>
      <c r="AF429" s="87" t="str">
        <f>IF($A429="","",IF($AK429=TRUE,"Ready 2 Submit","Waiting on Dealer"))</f>
        <v/>
      </c>
      <c r="AG429" s="148"/>
      <c r="AH429" s="87"/>
      <c r="AI429" s="87"/>
      <c r="AJ429" s="197"/>
      <c r="AK429" s="110" t="b">
        <v>0</v>
      </c>
      <c r="AL429" s="87" t="str" cm="1">
        <f t="array" ref="AL429">IF($A429="","",SUMPRODUCT((CHOOSE({1,2,3,4,5},$R429,$V429,$Z429,$AD429,$AH429)="Yes")*(((CHOOSE({1,2,3,4,5},$S429,$W429,$AA429,$AE429,$AI429)="Yes")+(CHOOSE({1,2,3,4,5},$S429,$W429,$AA429,$AE429,$AI429)=TRUE))&gt;0)))</f>
        <v/>
      </c>
      <c r="AM429" s="87"/>
      <c r="AN429" s="87" t="str">
        <f ca="1">IF(OR($A429="",$AM429=""),"",TODAY()-$AM429)</f>
        <v/>
      </c>
      <c r="AO429" s="87"/>
      <c r="AP429" s="106"/>
      <c r="AQ429" s="106"/>
      <c r="AR429" s="106"/>
      <c r="AS429" s="106"/>
      <c r="AT429" s="106"/>
      <c r="AU429" s="106"/>
      <c r="AV429" s="106"/>
      <c r="AW429" s="106"/>
      <c r="AX429" s="106"/>
      <c r="AY429" s="106"/>
    </row>
    <row r="430" spans="1:51" s="20" customFormat="1" ht="21" customHeight="1">
      <c r="A430" s="197"/>
      <c r="B430" s="87"/>
      <c r="C430" s="87"/>
      <c r="D430" s="196"/>
      <c r="E430" s="108"/>
      <c r="F430" s="196"/>
      <c r="G430" s="87"/>
      <c r="H430" s="197"/>
      <c r="I430" s="89"/>
      <c r="J430" s="204"/>
      <c r="K430" s="87"/>
      <c r="L430" s="87" t="str" cm="1">
        <f t="array" ref="L430">IF($A430="","",_xlfn.LET(_xlpm.stat,CHOOSE({1,2,3,4,5},$P430,$T430,$X430,$AB430,$AF430),_xlpm.rate,CHOOSE({1,2,3,4,5},$R430,$V430,$Z430,$AD430,$AH430),_xlpm.trn,CHOOSE({1,2,3,4,5},$S430,$W430,$AA430,$AE430,$AI430),_xlpm.nsC,SUMPRODUCT(--(_xlpm.stat="Ready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DLR",IF(AND(_xlpm.actRS&gt;0,_xlpm.actDone&lt;_xlpm.actRS),"Training",IF(_xlpm.actRS&gt;0,"Active",IF(AND(_xlpm.decC&gt;0,_xlpm.inPlay+_xlpm.actC=0),"Dead",IF(AND($AJ430&lt;&gt;"",$AK430=FALSE),"Waiting on Dealer",IF(_xlpm.subC&gt;0,"Waiting on Lender",IF(AND(_xlpm.appC+_xlpm.actC&gt;0,_xlpm.nsC+_xlpm.wdC=0),"Rate Sheet","Application Submitted")))))))))</f>
        <v/>
      </c>
      <c r="M430" s="87"/>
      <c r="N430" s="87"/>
      <c r="O430" s="197"/>
      <c r="P430" s="87" t="str">
        <f>IF($A430="","",IF($AK430=TRUE,"Ready 2 Submit","Waiting on Dealer"))</f>
        <v/>
      </c>
      <c r="Q430" s="148"/>
      <c r="R430" s="87"/>
      <c r="S430" s="87"/>
      <c r="T430" s="87" t="str">
        <f>IF($A430="","",IF($AK430=TRUE,"Ready 2 Submit","Waiting on Dealer"))</f>
        <v/>
      </c>
      <c r="U430" s="148"/>
      <c r="V430" s="87"/>
      <c r="W430" s="87"/>
      <c r="X430" s="87" t="str">
        <f>IF($A430="","",IF($AK430=TRUE,"Ready 2 Submit","Waiting on Dealer"))</f>
        <v/>
      </c>
      <c r="Y430" s="148"/>
      <c r="Z430" s="87"/>
      <c r="AA430" s="87"/>
      <c r="AB430" s="87" t="str">
        <f>IF($A430="","",IF($AK430=TRUE,"Ready 2 Submit","Waiting on Dealer"))</f>
        <v/>
      </c>
      <c r="AC430" s="148"/>
      <c r="AD430" s="87"/>
      <c r="AE430" s="87"/>
      <c r="AF430" s="87" t="str">
        <f>IF($A430="","",IF($AK430=TRUE,"Ready 2 Submit","Waiting on Dealer"))</f>
        <v/>
      </c>
      <c r="AG430" s="148"/>
      <c r="AH430" s="87"/>
      <c r="AI430" s="87"/>
      <c r="AJ430" s="197"/>
      <c r="AK430" s="110" t="b">
        <v>0</v>
      </c>
      <c r="AL430" s="87" t="str" cm="1">
        <f t="array" ref="AL430">IF($A430="","",SUMPRODUCT((CHOOSE({1,2,3,4,5},$R430,$V430,$Z430,$AD430,$AH430)="Yes")*(((CHOOSE({1,2,3,4,5},$S430,$W430,$AA430,$AE430,$AI430)="Yes")+(CHOOSE({1,2,3,4,5},$S430,$W430,$AA430,$AE430,$AI430)=TRUE))&gt;0)))</f>
        <v/>
      </c>
      <c r="AM430" s="87"/>
      <c r="AN430" s="87" t="str">
        <f ca="1">IF(OR($A430="",$AM430=""),"",TODAY()-$AM430)</f>
        <v/>
      </c>
      <c r="AO430" s="87"/>
      <c r="AP430" s="106"/>
      <c r="AQ430" s="106"/>
      <c r="AR430" s="106"/>
      <c r="AS430" s="106"/>
      <c r="AT430" s="106"/>
      <c r="AU430" s="106"/>
      <c r="AV430" s="106"/>
      <c r="AW430" s="106"/>
      <c r="AX430" s="106"/>
      <c r="AY430" s="106"/>
    </row>
    <row r="431" spans="1:51" s="20" customFormat="1" ht="21" customHeight="1">
      <c r="A431" s="197"/>
      <c r="B431" s="87"/>
      <c r="C431" s="87"/>
      <c r="D431" s="196"/>
      <c r="E431" s="108"/>
      <c r="F431" s="196"/>
      <c r="G431" s="87"/>
      <c r="H431" s="197"/>
      <c r="I431" s="89"/>
      <c r="J431" s="204"/>
      <c r="K431" s="87"/>
      <c r="L431" s="87" t="str" cm="1">
        <f t="array" ref="L431">IF($A431="","",_xlfn.LET(_xlpm.stat,CHOOSE({1,2,3,4,5},$P431,$T431,$X431,$AB431,$AF431),_xlpm.rate,CHOOSE({1,2,3,4,5},$R431,$V431,$Z431,$AD431,$AH431),_xlpm.trn,CHOOSE({1,2,3,4,5},$S431,$W431,$AA431,$AE431,$AI431),_xlpm.nsC,SUMPRODUCT(--(_xlpm.stat="Ready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DLR",IF(AND(_xlpm.actRS&gt;0,_xlpm.actDone&lt;_xlpm.actRS),"Training",IF(_xlpm.actRS&gt;0,"Active",IF(AND(_xlpm.decC&gt;0,_xlpm.inPlay+_xlpm.actC=0),"Dead",IF(AND($AJ431&lt;&gt;"",$AK431=FALSE),"Waiting on Dealer",IF(_xlpm.subC&gt;0,"Waiting on Lender",IF(AND(_xlpm.appC+_xlpm.actC&gt;0,_xlpm.nsC+_xlpm.wdC=0),"Rate Sheet","Application Submitted")))))))))</f>
        <v/>
      </c>
      <c r="M431" s="87"/>
      <c r="N431" s="87"/>
      <c r="O431" s="197"/>
      <c r="P431" s="87" t="str">
        <f>IF($A431="","",IF($AK431=TRUE,"Ready 2 Submit","Waiting on Dealer"))</f>
        <v/>
      </c>
      <c r="Q431" s="148"/>
      <c r="R431" s="87"/>
      <c r="S431" s="87"/>
      <c r="T431" s="87" t="str">
        <f>IF($A431="","",IF($AK431=TRUE,"Ready 2 Submit","Waiting on Dealer"))</f>
        <v/>
      </c>
      <c r="U431" s="148"/>
      <c r="V431" s="87"/>
      <c r="W431" s="87"/>
      <c r="X431" s="87" t="str">
        <f>IF($A431="","",IF($AK431=TRUE,"Ready 2 Submit","Waiting on Dealer"))</f>
        <v/>
      </c>
      <c r="Y431" s="148"/>
      <c r="Z431" s="87"/>
      <c r="AA431" s="87"/>
      <c r="AB431" s="87" t="str">
        <f>IF($A431="","",IF($AK431=TRUE,"Ready 2 Submit","Waiting on Dealer"))</f>
        <v/>
      </c>
      <c r="AC431" s="148"/>
      <c r="AD431" s="87"/>
      <c r="AE431" s="87"/>
      <c r="AF431" s="87" t="str">
        <f>IF($A431="","",IF($AK431=TRUE,"Ready 2 Submit","Waiting on Dealer"))</f>
        <v/>
      </c>
      <c r="AG431" s="148"/>
      <c r="AH431" s="87"/>
      <c r="AI431" s="87"/>
      <c r="AJ431" s="197"/>
      <c r="AK431" s="110" t="b">
        <v>0</v>
      </c>
      <c r="AL431" s="87" t="str" cm="1">
        <f t="array" ref="AL431">IF($A431="","",SUMPRODUCT((CHOOSE({1,2,3,4,5},$R431,$V431,$Z431,$AD431,$AH431)="Yes")*(((CHOOSE({1,2,3,4,5},$S431,$W431,$AA431,$AE431,$AI431)="Yes")+(CHOOSE({1,2,3,4,5},$S431,$W431,$AA431,$AE431,$AI431)=TRUE))&gt;0)))</f>
        <v/>
      </c>
      <c r="AM431" s="87"/>
      <c r="AN431" s="87" t="str">
        <f ca="1">IF(OR($A431="",$AM431=""),"",TODAY()-$AM431)</f>
        <v/>
      </c>
      <c r="AO431" s="87"/>
      <c r="AP431" s="106"/>
      <c r="AQ431" s="106"/>
      <c r="AR431" s="106"/>
      <c r="AS431" s="106"/>
      <c r="AT431" s="106"/>
      <c r="AU431" s="106"/>
      <c r="AV431" s="106"/>
      <c r="AW431" s="106"/>
      <c r="AX431" s="106"/>
      <c r="AY431" s="106"/>
    </row>
    <row r="432" spans="1:51" s="20" customFormat="1" ht="21" customHeight="1">
      <c r="A432" s="197"/>
      <c r="B432" s="87"/>
      <c r="C432" s="87"/>
      <c r="D432" s="196"/>
      <c r="E432" s="108"/>
      <c r="F432" s="196"/>
      <c r="G432" s="87"/>
      <c r="H432" s="197"/>
      <c r="I432" s="89"/>
      <c r="J432" s="204"/>
      <c r="K432" s="87"/>
      <c r="L432" s="87" t="str" cm="1">
        <f t="array" ref="L432">IF($A432="","",_xlfn.LET(_xlpm.stat,CHOOSE({1,2,3,4,5},$P432,$T432,$X432,$AB432,$AF432),_xlpm.rate,CHOOSE({1,2,3,4,5},$R432,$V432,$Z432,$AD432,$AH432),_xlpm.trn,CHOOSE({1,2,3,4,5},$S432,$W432,$AA432,$AE432,$AI432),_xlpm.nsC,SUMPRODUCT(--(_xlpm.stat="Ready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DLR",IF(AND(_xlpm.actRS&gt;0,_xlpm.actDone&lt;_xlpm.actRS),"Training",IF(_xlpm.actRS&gt;0,"Active",IF(AND(_xlpm.decC&gt;0,_xlpm.inPlay+_xlpm.actC=0),"Dead",IF(AND($AJ432&lt;&gt;"",$AK432=FALSE),"Waiting on Dealer",IF(_xlpm.subC&gt;0,"Waiting on Lender",IF(AND(_xlpm.appC+_xlpm.actC&gt;0,_xlpm.nsC+_xlpm.wdC=0),"Rate Sheet","Application Submitted")))))))))</f>
        <v/>
      </c>
      <c r="M432" s="87"/>
      <c r="N432" s="87"/>
      <c r="O432" s="197"/>
      <c r="P432" s="87" t="str">
        <f>IF($A432="","",IF($AK432=TRUE,"Ready 2 Submit","Waiting on Dealer"))</f>
        <v/>
      </c>
      <c r="Q432" s="148"/>
      <c r="R432" s="87"/>
      <c r="S432" s="87"/>
      <c r="T432" s="87" t="str">
        <f>IF($A432="","",IF($AK432=TRUE,"Ready 2 Submit","Waiting on Dealer"))</f>
        <v/>
      </c>
      <c r="U432" s="148"/>
      <c r="V432" s="87"/>
      <c r="W432" s="87"/>
      <c r="X432" s="87" t="str">
        <f>IF($A432="","",IF($AK432=TRUE,"Ready 2 Submit","Waiting on Dealer"))</f>
        <v/>
      </c>
      <c r="Y432" s="148"/>
      <c r="Z432" s="87"/>
      <c r="AA432" s="87"/>
      <c r="AB432" s="87" t="str">
        <f>IF($A432="","",IF($AK432=TRUE,"Ready 2 Submit","Waiting on Dealer"))</f>
        <v/>
      </c>
      <c r="AC432" s="148"/>
      <c r="AD432" s="87"/>
      <c r="AE432" s="87"/>
      <c r="AF432" s="87" t="str">
        <f>IF($A432="","",IF($AK432=TRUE,"Ready 2 Submit","Waiting on Dealer"))</f>
        <v/>
      </c>
      <c r="AG432" s="148"/>
      <c r="AH432" s="87"/>
      <c r="AI432" s="87"/>
      <c r="AJ432" s="197"/>
      <c r="AK432" s="110" t="b">
        <v>0</v>
      </c>
      <c r="AL432" s="87" t="str" cm="1">
        <f t="array" ref="AL432">IF($A432="","",SUMPRODUCT((CHOOSE({1,2,3,4,5},$R432,$V432,$Z432,$AD432,$AH432)="Yes")*(((CHOOSE({1,2,3,4,5},$S432,$W432,$AA432,$AE432,$AI432)="Yes")+(CHOOSE({1,2,3,4,5},$S432,$W432,$AA432,$AE432,$AI432)=TRUE))&gt;0)))</f>
        <v/>
      </c>
      <c r="AM432" s="87"/>
      <c r="AN432" s="87" t="str">
        <f ca="1">IF(OR($A432="",$AM432=""),"",TODAY()-$AM432)</f>
        <v/>
      </c>
      <c r="AO432" s="87"/>
      <c r="AP432" s="106"/>
      <c r="AQ432" s="106"/>
      <c r="AR432" s="106"/>
      <c r="AS432" s="106"/>
      <c r="AT432" s="106"/>
      <c r="AU432" s="106"/>
      <c r="AV432" s="106"/>
      <c r="AW432" s="106"/>
      <c r="AX432" s="106"/>
      <c r="AY432" s="106"/>
    </row>
    <row r="433" spans="1:51" s="20" customFormat="1" ht="21" customHeight="1">
      <c r="A433" s="197"/>
      <c r="B433" s="87"/>
      <c r="C433" s="87"/>
      <c r="D433" s="196"/>
      <c r="E433" s="108"/>
      <c r="F433" s="196"/>
      <c r="G433" s="87"/>
      <c r="H433" s="197"/>
      <c r="I433" s="89"/>
      <c r="J433" s="204"/>
      <c r="K433" s="87"/>
      <c r="L433" s="87" t="str" cm="1">
        <f t="array" ref="L433">IF($A433="","",_xlfn.LET(_xlpm.stat,CHOOSE({1,2,3,4,5},$P433,$T433,$X433,$AB433,$AF433),_xlpm.rate,CHOOSE({1,2,3,4,5},$R433,$V433,$Z433,$AD433,$AH433),_xlpm.trn,CHOOSE({1,2,3,4,5},$S433,$W433,$AA433,$AE433,$AI433),_xlpm.nsC,SUMPRODUCT(--(_xlpm.stat="Ready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DLR",IF(AND(_xlpm.actRS&gt;0,_xlpm.actDone&lt;_xlpm.actRS),"Training",IF(_xlpm.actRS&gt;0,"Active",IF(AND(_xlpm.decC&gt;0,_xlpm.inPlay+_xlpm.actC=0),"Dead",IF(AND($AJ433&lt;&gt;"",$AK433=FALSE),"Waiting on Dealer",IF(_xlpm.subC&gt;0,"Waiting on Lender",IF(AND(_xlpm.appC+_xlpm.actC&gt;0,_xlpm.nsC+_xlpm.wdC=0),"Rate Sheet","Application Submitted")))))))))</f>
        <v/>
      </c>
      <c r="M433" s="87"/>
      <c r="N433" s="87"/>
      <c r="O433" s="197"/>
      <c r="P433" s="87" t="str">
        <f>IF($A433="","",IF($AK433=TRUE,"Ready 2 Submit","Waiting on Dealer"))</f>
        <v/>
      </c>
      <c r="Q433" s="148"/>
      <c r="R433" s="87"/>
      <c r="S433" s="87"/>
      <c r="T433" s="87" t="str">
        <f>IF($A433="","",IF($AK433=TRUE,"Ready 2 Submit","Waiting on Dealer"))</f>
        <v/>
      </c>
      <c r="U433" s="148"/>
      <c r="V433" s="87"/>
      <c r="W433" s="87"/>
      <c r="X433" s="87" t="str">
        <f>IF($A433="","",IF($AK433=TRUE,"Ready 2 Submit","Waiting on Dealer"))</f>
        <v/>
      </c>
      <c r="Y433" s="148"/>
      <c r="Z433" s="87"/>
      <c r="AA433" s="87"/>
      <c r="AB433" s="87" t="str">
        <f>IF($A433="","",IF($AK433=TRUE,"Ready 2 Submit","Waiting on Dealer"))</f>
        <v/>
      </c>
      <c r="AC433" s="148"/>
      <c r="AD433" s="87"/>
      <c r="AE433" s="87"/>
      <c r="AF433" s="87" t="str">
        <f>IF($A433="","",IF($AK433=TRUE,"Ready 2 Submit","Waiting on Dealer"))</f>
        <v/>
      </c>
      <c r="AG433" s="148"/>
      <c r="AH433" s="87"/>
      <c r="AI433" s="87"/>
      <c r="AJ433" s="197"/>
      <c r="AK433" s="110" t="b">
        <v>0</v>
      </c>
      <c r="AL433" s="87" t="str" cm="1">
        <f t="array" ref="AL433">IF($A433="","",SUMPRODUCT((CHOOSE({1,2,3,4,5},$R433,$V433,$Z433,$AD433,$AH433)="Yes")*(((CHOOSE({1,2,3,4,5},$S433,$W433,$AA433,$AE433,$AI433)="Yes")+(CHOOSE({1,2,3,4,5},$S433,$W433,$AA433,$AE433,$AI433)=TRUE))&gt;0)))</f>
        <v/>
      </c>
      <c r="AM433" s="87"/>
      <c r="AN433" s="87" t="str">
        <f ca="1">IF(OR($A433="",$AM433=""),"",TODAY()-$AM433)</f>
        <v/>
      </c>
      <c r="AO433" s="87"/>
      <c r="AP433" s="106"/>
      <c r="AQ433" s="106"/>
      <c r="AR433" s="106"/>
      <c r="AS433" s="106"/>
      <c r="AT433" s="106"/>
      <c r="AU433" s="106"/>
      <c r="AV433" s="106"/>
      <c r="AW433" s="106"/>
      <c r="AX433" s="106"/>
      <c r="AY433" s="106"/>
    </row>
    <row r="434" spans="1:51" s="20" customFormat="1" ht="21" customHeight="1">
      <c r="A434" s="197"/>
      <c r="B434" s="87"/>
      <c r="C434" s="87"/>
      <c r="D434" s="196"/>
      <c r="E434" s="108"/>
      <c r="F434" s="196"/>
      <c r="G434" s="87"/>
      <c r="H434" s="197"/>
      <c r="I434" s="89"/>
      <c r="J434" s="204"/>
      <c r="K434" s="87"/>
      <c r="L434" s="87" t="str" cm="1">
        <f t="array" ref="L434">IF($A434="","",_xlfn.LET(_xlpm.stat,CHOOSE({1,2,3,4,5},$P434,$T434,$X434,$AB434,$AF434),_xlpm.rate,CHOOSE({1,2,3,4,5},$R434,$V434,$Z434,$AD434,$AH434),_xlpm.trn,CHOOSE({1,2,3,4,5},$S434,$W434,$AA434,$AE434,$AI434),_xlpm.nsC,SUMPRODUCT(--(_xlpm.stat="Ready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DLR",IF(AND(_xlpm.actRS&gt;0,_xlpm.actDone&lt;_xlpm.actRS),"Training",IF(_xlpm.actRS&gt;0,"Active",IF(AND(_xlpm.decC&gt;0,_xlpm.inPlay+_xlpm.actC=0),"Dead",IF(AND($AJ434&lt;&gt;"",$AK434=FALSE),"Waiting on Dealer",IF(_xlpm.subC&gt;0,"Waiting on Lender",IF(AND(_xlpm.appC+_xlpm.actC&gt;0,_xlpm.nsC+_xlpm.wdC=0),"Rate Sheet","Application Submitted")))))))))</f>
        <v/>
      </c>
      <c r="M434" s="87"/>
      <c r="N434" s="87"/>
      <c r="O434" s="197"/>
      <c r="P434" s="87" t="str">
        <f>IF($A434="","",IF($AK434=TRUE,"Ready 2 Submit","Waiting on Dealer"))</f>
        <v/>
      </c>
      <c r="Q434" s="148"/>
      <c r="R434" s="87"/>
      <c r="S434" s="87"/>
      <c r="T434" s="87" t="str">
        <f>IF($A434="","",IF($AK434=TRUE,"Ready 2 Submit","Waiting on Dealer"))</f>
        <v/>
      </c>
      <c r="U434" s="148"/>
      <c r="V434" s="87"/>
      <c r="W434" s="87"/>
      <c r="X434" s="87" t="str">
        <f>IF($A434="","",IF($AK434=TRUE,"Ready 2 Submit","Waiting on Dealer"))</f>
        <v/>
      </c>
      <c r="Y434" s="148"/>
      <c r="Z434" s="87"/>
      <c r="AA434" s="87"/>
      <c r="AB434" s="87" t="str">
        <f>IF($A434="","",IF($AK434=TRUE,"Ready 2 Submit","Waiting on Dealer"))</f>
        <v/>
      </c>
      <c r="AC434" s="148"/>
      <c r="AD434" s="87"/>
      <c r="AE434" s="87"/>
      <c r="AF434" s="87" t="str">
        <f>IF($A434="","",IF($AK434=TRUE,"Ready 2 Submit","Waiting on Dealer"))</f>
        <v/>
      </c>
      <c r="AG434" s="148"/>
      <c r="AH434" s="87"/>
      <c r="AI434" s="87"/>
      <c r="AJ434" s="197"/>
      <c r="AK434" s="110" t="b">
        <v>0</v>
      </c>
      <c r="AL434" s="87" t="str" cm="1">
        <f t="array" ref="AL434">IF($A434="","",SUMPRODUCT((CHOOSE({1,2,3,4,5},$R434,$V434,$Z434,$AD434,$AH434)="Yes")*(((CHOOSE({1,2,3,4,5},$S434,$W434,$AA434,$AE434,$AI434)="Yes")+(CHOOSE({1,2,3,4,5},$S434,$W434,$AA434,$AE434,$AI434)=TRUE))&gt;0)))</f>
        <v/>
      </c>
      <c r="AM434" s="87"/>
      <c r="AN434" s="87" t="str">
        <f ca="1">IF(OR($A434="",$AM434=""),"",TODAY()-$AM434)</f>
        <v/>
      </c>
      <c r="AO434" s="87"/>
      <c r="AP434" s="106"/>
      <c r="AQ434" s="106"/>
      <c r="AR434" s="106"/>
      <c r="AS434" s="106"/>
      <c r="AT434" s="106"/>
      <c r="AU434" s="106"/>
      <c r="AV434" s="106"/>
      <c r="AW434" s="106"/>
      <c r="AX434" s="106"/>
      <c r="AY434" s="106"/>
    </row>
    <row r="435" spans="1:51" s="20" customFormat="1" ht="21" customHeight="1">
      <c r="A435" s="197"/>
      <c r="B435" s="87"/>
      <c r="C435" s="87"/>
      <c r="D435" s="196"/>
      <c r="E435" s="108"/>
      <c r="F435" s="196"/>
      <c r="G435" s="87"/>
      <c r="H435" s="197"/>
      <c r="I435" s="89"/>
      <c r="J435" s="204"/>
      <c r="K435" s="87"/>
      <c r="L435" s="87" t="str" cm="1">
        <f t="array" ref="L435">IF($A435="","",_xlfn.LET(_xlpm.stat,CHOOSE({1,2,3,4,5},$P435,$T435,$X435,$AB435,$AF435),_xlpm.rate,CHOOSE({1,2,3,4,5},$R435,$V435,$Z435,$AD435,$AH435),_xlpm.trn,CHOOSE({1,2,3,4,5},$S435,$W435,$AA435,$AE435,$AI435),_xlpm.nsC,SUMPRODUCT(--(_xlpm.stat="Ready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DLR",IF(AND(_xlpm.actRS&gt;0,_xlpm.actDone&lt;_xlpm.actRS),"Training",IF(_xlpm.actRS&gt;0,"Active",IF(AND(_xlpm.decC&gt;0,_xlpm.inPlay+_xlpm.actC=0),"Dead",IF(AND($AJ435&lt;&gt;"",$AK435=FALSE),"Waiting on Dealer",IF(_xlpm.subC&gt;0,"Waiting on Lender",IF(AND(_xlpm.appC+_xlpm.actC&gt;0,_xlpm.nsC+_xlpm.wdC=0),"Rate Sheet","Application Submitted")))))))))</f>
        <v/>
      </c>
      <c r="M435" s="87"/>
      <c r="N435" s="87"/>
      <c r="O435" s="197"/>
      <c r="P435" s="87" t="str">
        <f>IF($A435="","",IF($AK435=TRUE,"Ready 2 Submit","Waiting on Dealer"))</f>
        <v/>
      </c>
      <c r="Q435" s="148"/>
      <c r="R435" s="87"/>
      <c r="S435" s="87"/>
      <c r="T435" s="87" t="str">
        <f>IF($A435="","",IF($AK435=TRUE,"Ready 2 Submit","Waiting on Dealer"))</f>
        <v/>
      </c>
      <c r="U435" s="148"/>
      <c r="V435" s="87"/>
      <c r="W435" s="87"/>
      <c r="X435" s="87" t="str">
        <f>IF($A435="","",IF($AK435=TRUE,"Ready 2 Submit","Waiting on Dealer"))</f>
        <v/>
      </c>
      <c r="Y435" s="148"/>
      <c r="Z435" s="87"/>
      <c r="AA435" s="87"/>
      <c r="AB435" s="87" t="str">
        <f>IF($A435="","",IF($AK435=TRUE,"Ready 2 Submit","Waiting on Dealer"))</f>
        <v/>
      </c>
      <c r="AC435" s="148"/>
      <c r="AD435" s="87"/>
      <c r="AE435" s="87"/>
      <c r="AF435" s="87" t="str">
        <f>IF($A435="","",IF($AK435=TRUE,"Ready 2 Submit","Waiting on Dealer"))</f>
        <v/>
      </c>
      <c r="AG435" s="148"/>
      <c r="AH435" s="87"/>
      <c r="AI435" s="87"/>
      <c r="AJ435" s="197"/>
      <c r="AK435" s="110" t="b">
        <v>0</v>
      </c>
      <c r="AL435" s="87" t="str" cm="1">
        <f t="array" ref="AL435">IF($A435="","",SUMPRODUCT((CHOOSE({1,2,3,4,5},$R435,$V435,$Z435,$AD435,$AH435)="Yes")*(((CHOOSE({1,2,3,4,5},$S435,$W435,$AA435,$AE435,$AI435)="Yes")+(CHOOSE({1,2,3,4,5},$S435,$W435,$AA435,$AE435,$AI435)=TRUE))&gt;0)))</f>
        <v/>
      </c>
      <c r="AM435" s="87"/>
      <c r="AN435" s="87" t="str">
        <f ca="1">IF(OR($A435="",$AM435=""),"",TODAY()-$AM435)</f>
        <v/>
      </c>
      <c r="AO435" s="87"/>
      <c r="AP435" s="106"/>
      <c r="AQ435" s="106"/>
      <c r="AR435" s="106"/>
      <c r="AS435" s="106"/>
      <c r="AT435" s="106"/>
      <c r="AU435" s="106"/>
      <c r="AV435" s="106"/>
      <c r="AW435" s="106"/>
      <c r="AX435" s="106"/>
      <c r="AY435" s="106"/>
    </row>
    <row r="436" spans="1:51" s="20" customFormat="1" ht="21" customHeight="1">
      <c r="A436" s="197"/>
      <c r="B436" s="87"/>
      <c r="C436" s="87"/>
      <c r="D436" s="196"/>
      <c r="E436" s="108"/>
      <c r="F436" s="196"/>
      <c r="G436" s="87"/>
      <c r="H436" s="197"/>
      <c r="I436" s="89"/>
      <c r="J436" s="204"/>
      <c r="K436" s="87"/>
      <c r="L436" s="87" t="str" cm="1">
        <f t="array" ref="L436">IF($A436="","",_xlfn.LET(_xlpm.stat,CHOOSE({1,2,3,4,5},$P436,$T436,$X436,$AB436,$AF436),_xlpm.rate,CHOOSE({1,2,3,4,5},$R436,$V436,$Z436,$AD436,$AH436),_xlpm.trn,CHOOSE({1,2,3,4,5},$S436,$W436,$AA436,$AE436,$AI436),_xlpm.nsC,SUMPRODUCT(--(_xlpm.stat="Ready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DLR",IF(AND(_xlpm.actRS&gt;0,_xlpm.actDone&lt;_xlpm.actRS),"Training",IF(_xlpm.actRS&gt;0,"Active",IF(AND(_xlpm.decC&gt;0,_xlpm.inPlay+_xlpm.actC=0),"Dead",IF(AND($AJ436&lt;&gt;"",$AK436=FALSE),"Waiting on Dealer",IF(_xlpm.subC&gt;0,"Waiting on Lender",IF(AND(_xlpm.appC+_xlpm.actC&gt;0,_xlpm.nsC+_xlpm.wdC=0),"Rate Sheet","Application Submitted")))))))))</f>
        <v/>
      </c>
      <c r="M436" s="87"/>
      <c r="N436" s="87"/>
      <c r="O436" s="197"/>
      <c r="P436" s="87" t="str">
        <f>IF($A436="","",IF($AK436=TRUE,"Ready 2 Submit","Waiting on Dealer"))</f>
        <v/>
      </c>
      <c r="Q436" s="148"/>
      <c r="R436" s="87"/>
      <c r="S436" s="87"/>
      <c r="T436" s="87" t="str">
        <f>IF($A436="","",IF($AK436=TRUE,"Ready 2 Submit","Waiting on Dealer"))</f>
        <v/>
      </c>
      <c r="U436" s="148"/>
      <c r="V436" s="87"/>
      <c r="W436" s="87"/>
      <c r="X436" s="87" t="str">
        <f>IF($A436="","",IF($AK436=TRUE,"Ready 2 Submit","Waiting on Dealer"))</f>
        <v/>
      </c>
      <c r="Y436" s="148"/>
      <c r="Z436" s="87"/>
      <c r="AA436" s="87"/>
      <c r="AB436" s="87" t="str">
        <f>IF($A436="","",IF($AK436=TRUE,"Ready 2 Submit","Waiting on Dealer"))</f>
        <v/>
      </c>
      <c r="AC436" s="148"/>
      <c r="AD436" s="87"/>
      <c r="AE436" s="87"/>
      <c r="AF436" s="87" t="str">
        <f>IF($A436="","",IF($AK436=TRUE,"Ready 2 Submit","Waiting on Dealer"))</f>
        <v/>
      </c>
      <c r="AG436" s="148"/>
      <c r="AH436" s="87"/>
      <c r="AI436" s="87"/>
      <c r="AJ436" s="197"/>
      <c r="AK436" s="110" t="b">
        <v>0</v>
      </c>
      <c r="AL436" s="87" t="str" cm="1">
        <f t="array" ref="AL436">IF($A436="","",SUMPRODUCT((CHOOSE({1,2,3,4,5},$R436,$V436,$Z436,$AD436,$AH436)="Yes")*(((CHOOSE({1,2,3,4,5},$S436,$W436,$AA436,$AE436,$AI436)="Yes")+(CHOOSE({1,2,3,4,5},$S436,$W436,$AA436,$AE436,$AI436)=TRUE))&gt;0)))</f>
        <v/>
      </c>
      <c r="AM436" s="87"/>
      <c r="AN436" s="87" t="str">
        <f ca="1">IF(OR($A436="",$AM436=""),"",TODAY()-$AM436)</f>
        <v/>
      </c>
      <c r="AO436" s="87"/>
      <c r="AP436" s="106"/>
      <c r="AQ436" s="106"/>
      <c r="AR436" s="106"/>
      <c r="AS436" s="106"/>
      <c r="AT436" s="106"/>
      <c r="AU436" s="106"/>
      <c r="AV436" s="106"/>
      <c r="AW436" s="106"/>
      <c r="AX436" s="106"/>
      <c r="AY436" s="106"/>
    </row>
    <row r="437" spans="1:51" s="20" customFormat="1" ht="21" customHeight="1">
      <c r="A437" s="197"/>
      <c r="B437" s="87"/>
      <c r="C437" s="87"/>
      <c r="D437" s="196"/>
      <c r="E437" s="108"/>
      <c r="F437" s="196"/>
      <c r="G437" s="87"/>
      <c r="H437" s="197"/>
      <c r="I437" s="89"/>
      <c r="J437" s="204"/>
      <c r="K437" s="87"/>
      <c r="L437" s="87" t="str" cm="1">
        <f t="array" ref="L437">IF($A437="","",_xlfn.LET(_xlpm.stat,CHOOSE({1,2,3,4,5},$P437,$T437,$X437,$AB437,$AF437),_xlpm.rate,CHOOSE({1,2,3,4,5},$R437,$V437,$Z437,$AD437,$AH437),_xlpm.trn,CHOOSE({1,2,3,4,5},$S437,$W437,$AA437,$AE437,$AI437),_xlpm.nsC,SUMPRODUCT(--(_xlpm.stat="Ready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DLR",IF(AND(_xlpm.actRS&gt;0,_xlpm.actDone&lt;_xlpm.actRS),"Training",IF(_xlpm.actRS&gt;0,"Active",IF(AND(_xlpm.decC&gt;0,_xlpm.inPlay+_xlpm.actC=0),"Dead",IF(AND($AJ437&lt;&gt;"",$AK437=FALSE),"Waiting on Dealer",IF(_xlpm.subC&gt;0,"Waiting on Lender",IF(AND(_xlpm.appC+_xlpm.actC&gt;0,_xlpm.nsC+_xlpm.wdC=0),"Rate Sheet","Application Submitted")))))))))</f>
        <v/>
      </c>
      <c r="M437" s="87"/>
      <c r="N437" s="87"/>
      <c r="O437" s="197"/>
      <c r="P437" s="87" t="str">
        <f>IF($A437="","",IF($AK437=TRUE,"Ready 2 Submit","Waiting on Dealer"))</f>
        <v/>
      </c>
      <c r="Q437" s="148"/>
      <c r="R437" s="87"/>
      <c r="S437" s="87"/>
      <c r="T437" s="87" t="str">
        <f>IF($A437="","",IF($AK437=TRUE,"Ready 2 Submit","Waiting on Dealer"))</f>
        <v/>
      </c>
      <c r="U437" s="148"/>
      <c r="V437" s="87"/>
      <c r="W437" s="87"/>
      <c r="X437" s="87" t="str">
        <f>IF($A437="","",IF($AK437=TRUE,"Ready 2 Submit","Waiting on Dealer"))</f>
        <v/>
      </c>
      <c r="Y437" s="148"/>
      <c r="Z437" s="87"/>
      <c r="AA437" s="87"/>
      <c r="AB437" s="87" t="str">
        <f>IF($A437="","",IF($AK437=TRUE,"Ready 2 Submit","Waiting on Dealer"))</f>
        <v/>
      </c>
      <c r="AC437" s="148"/>
      <c r="AD437" s="87"/>
      <c r="AE437" s="87"/>
      <c r="AF437" s="87" t="str">
        <f>IF($A437="","",IF($AK437=TRUE,"Ready 2 Submit","Waiting on Dealer"))</f>
        <v/>
      </c>
      <c r="AG437" s="148"/>
      <c r="AH437" s="87"/>
      <c r="AI437" s="87"/>
      <c r="AJ437" s="197"/>
      <c r="AK437" s="110" t="b">
        <v>0</v>
      </c>
      <c r="AL437" s="87" t="str" cm="1">
        <f t="array" ref="AL437">IF($A437="","",SUMPRODUCT((CHOOSE({1,2,3,4,5},$R437,$V437,$Z437,$AD437,$AH437)="Yes")*(((CHOOSE({1,2,3,4,5},$S437,$W437,$AA437,$AE437,$AI437)="Yes")+(CHOOSE({1,2,3,4,5},$S437,$W437,$AA437,$AE437,$AI437)=TRUE))&gt;0)))</f>
        <v/>
      </c>
      <c r="AM437" s="87"/>
      <c r="AN437" s="87" t="str">
        <f ca="1">IF(OR($A437="",$AM437=""),"",TODAY()-$AM437)</f>
        <v/>
      </c>
      <c r="AO437" s="87"/>
      <c r="AP437" s="106"/>
      <c r="AQ437" s="106"/>
      <c r="AR437" s="106"/>
      <c r="AS437" s="106"/>
      <c r="AT437" s="106"/>
      <c r="AU437" s="106"/>
      <c r="AV437" s="106"/>
      <c r="AW437" s="106"/>
      <c r="AX437" s="106"/>
      <c r="AY437" s="106"/>
    </row>
    <row r="438" spans="1:51" s="20" customFormat="1" ht="21" customHeight="1">
      <c r="A438" s="197"/>
      <c r="B438" s="87"/>
      <c r="C438" s="87"/>
      <c r="D438" s="196"/>
      <c r="E438" s="108"/>
      <c r="F438" s="196"/>
      <c r="G438" s="87"/>
      <c r="H438" s="197"/>
      <c r="I438" s="89"/>
      <c r="J438" s="204"/>
      <c r="K438" s="87"/>
      <c r="L438" s="87" t="str" cm="1">
        <f t="array" ref="L438">IF($A438="","",_xlfn.LET(_xlpm.stat,CHOOSE({1,2,3,4,5},$P438,$T438,$X438,$AB438,$AF438),_xlpm.rate,CHOOSE({1,2,3,4,5},$R438,$V438,$Z438,$AD438,$AH438),_xlpm.trn,CHOOSE({1,2,3,4,5},$S438,$W438,$AA438,$AE438,$AI438),_xlpm.nsC,SUMPRODUCT(--(_xlpm.stat="Ready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DLR",IF(AND(_xlpm.actRS&gt;0,_xlpm.actDone&lt;_xlpm.actRS),"Training",IF(_xlpm.actRS&gt;0,"Active",IF(AND(_xlpm.decC&gt;0,_xlpm.inPlay+_xlpm.actC=0),"Dead",IF(AND($AJ438&lt;&gt;"",$AK438=FALSE),"Waiting on Dealer",IF(_xlpm.subC&gt;0,"Waiting on Lender",IF(AND(_xlpm.appC+_xlpm.actC&gt;0,_xlpm.nsC+_xlpm.wdC=0),"Rate Sheet","Application Submitted")))))))))</f>
        <v/>
      </c>
      <c r="M438" s="87"/>
      <c r="N438" s="87"/>
      <c r="O438" s="197"/>
      <c r="P438" s="87" t="str">
        <f>IF($A438="","",IF($AK438=TRUE,"Ready 2 Submit","Waiting on Dealer"))</f>
        <v/>
      </c>
      <c r="Q438" s="148"/>
      <c r="R438" s="87"/>
      <c r="S438" s="87"/>
      <c r="T438" s="87" t="str">
        <f>IF($A438="","",IF($AK438=TRUE,"Ready 2 Submit","Waiting on Dealer"))</f>
        <v/>
      </c>
      <c r="U438" s="148"/>
      <c r="V438" s="87"/>
      <c r="W438" s="87"/>
      <c r="X438" s="87" t="str">
        <f>IF($A438="","",IF($AK438=TRUE,"Ready 2 Submit","Waiting on Dealer"))</f>
        <v/>
      </c>
      <c r="Y438" s="148"/>
      <c r="Z438" s="87"/>
      <c r="AA438" s="87"/>
      <c r="AB438" s="87" t="str">
        <f>IF($A438="","",IF($AK438=TRUE,"Ready 2 Submit","Waiting on Dealer"))</f>
        <v/>
      </c>
      <c r="AC438" s="148"/>
      <c r="AD438" s="87"/>
      <c r="AE438" s="87"/>
      <c r="AF438" s="87" t="str">
        <f>IF($A438="","",IF($AK438=TRUE,"Ready 2 Submit","Waiting on Dealer"))</f>
        <v/>
      </c>
      <c r="AG438" s="148"/>
      <c r="AH438" s="87"/>
      <c r="AI438" s="87"/>
      <c r="AJ438" s="197"/>
      <c r="AK438" s="110" t="b">
        <v>0</v>
      </c>
      <c r="AL438" s="87" t="str" cm="1">
        <f t="array" ref="AL438">IF($A438="","",SUMPRODUCT((CHOOSE({1,2,3,4,5},$R438,$V438,$Z438,$AD438,$AH438)="Yes")*(((CHOOSE({1,2,3,4,5},$S438,$W438,$AA438,$AE438,$AI438)="Yes")+(CHOOSE({1,2,3,4,5},$S438,$W438,$AA438,$AE438,$AI438)=TRUE))&gt;0)))</f>
        <v/>
      </c>
      <c r="AM438" s="87"/>
      <c r="AN438" s="87" t="str">
        <f ca="1">IF(OR($A438="",$AM438=""),"",TODAY()-$AM438)</f>
        <v/>
      </c>
      <c r="AO438" s="87"/>
      <c r="AP438" s="106"/>
      <c r="AQ438" s="106"/>
      <c r="AR438" s="106"/>
      <c r="AS438" s="106"/>
      <c r="AT438" s="106"/>
      <c r="AU438" s="106"/>
      <c r="AV438" s="106"/>
      <c r="AW438" s="106"/>
      <c r="AX438" s="106"/>
      <c r="AY438" s="106"/>
    </row>
    <row r="439" spans="1:51" s="20" customFormat="1" ht="21" customHeight="1">
      <c r="A439" s="197"/>
      <c r="B439" s="87"/>
      <c r="C439" s="87"/>
      <c r="D439" s="196"/>
      <c r="E439" s="108"/>
      <c r="F439" s="196"/>
      <c r="G439" s="87"/>
      <c r="H439" s="197"/>
      <c r="I439" s="89"/>
      <c r="J439" s="204"/>
      <c r="K439" s="87"/>
      <c r="L439" s="87" t="str" cm="1">
        <f t="array" ref="L439">IF($A439="","",_xlfn.LET(_xlpm.stat,CHOOSE({1,2,3,4,5},$P439,$T439,$X439,$AB439,$AF439),_xlpm.rate,CHOOSE({1,2,3,4,5},$R439,$V439,$Z439,$AD439,$AH439),_xlpm.trn,CHOOSE({1,2,3,4,5},$S439,$W439,$AA439,$AE439,$AI439),_xlpm.nsC,SUMPRODUCT(--(_xlpm.stat="Ready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DLR",IF(AND(_xlpm.actRS&gt;0,_xlpm.actDone&lt;_xlpm.actRS),"Training",IF(_xlpm.actRS&gt;0,"Active",IF(AND(_xlpm.decC&gt;0,_xlpm.inPlay+_xlpm.actC=0),"Dead",IF(AND($AJ439&lt;&gt;"",$AK439=FALSE),"Waiting on Dealer",IF(_xlpm.subC&gt;0,"Waiting on Lender",IF(AND(_xlpm.appC+_xlpm.actC&gt;0,_xlpm.nsC+_xlpm.wdC=0),"Rate Sheet","Application Submitted")))))))))</f>
        <v/>
      </c>
      <c r="M439" s="87"/>
      <c r="N439" s="87"/>
      <c r="O439" s="197"/>
      <c r="P439" s="87" t="str">
        <f>IF($A439="","",IF($AK439=TRUE,"Ready 2 Submit","Waiting on Dealer"))</f>
        <v/>
      </c>
      <c r="Q439" s="148"/>
      <c r="R439" s="87"/>
      <c r="S439" s="87"/>
      <c r="T439" s="87" t="str">
        <f>IF($A439="","",IF($AK439=TRUE,"Ready 2 Submit","Waiting on Dealer"))</f>
        <v/>
      </c>
      <c r="U439" s="148"/>
      <c r="V439" s="87"/>
      <c r="W439" s="87"/>
      <c r="X439" s="87" t="str">
        <f>IF($A439="","",IF($AK439=TRUE,"Ready 2 Submit","Waiting on Dealer"))</f>
        <v/>
      </c>
      <c r="Y439" s="148"/>
      <c r="Z439" s="87"/>
      <c r="AA439" s="87"/>
      <c r="AB439" s="87" t="str">
        <f>IF($A439="","",IF($AK439=TRUE,"Ready 2 Submit","Waiting on Dealer"))</f>
        <v/>
      </c>
      <c r="AC439" s="148"/>
      <c r="AD439" s="87"/>
      <c r="AE439" s="87"/>
      <c r="AF439" s="87" t="str">
        <f>IF($A439="","",IF($AK439=TRUE,"Ready 2 Submit","Waiting on Dealer"))</f>
        <v/>
      </c>
      <c r="AG439" s="148"/>
      <c r="AH439" s="87"/>
      <c r="AI439" s="87"/>
      <c r="AJ439" s="197"/>
      <c r="AK439" s="110" t="b">
        <v>0</v>
      </c>
      <c r="AL439" s="87" t="str" cm="1">
        <f t="array" ref="AL439">IF($A439="","",SUMPRODUCT((CHOOSE({1,2,3,4,5},$R439,$V439,$Z439,$AD439,$AH439)="Yes")*(((CHOOSE({1,2,3,4,5},$S439,$W439,$AA439,$AE439,$AI439)="Yes")+(CHOOSE({1,2,3,4,5},$S439,$W439,$AA439,$AE439,$AI439)=TRUE))&gt;0)))</f>
        <v/>
      </c>
      <c r="AM439" s="87"/>
      <c r="AN439" s="87" t="str">
        <f ca="1">IF(OR($A439="",$AM439=""),"",TODAY()-$AM439)</f>
        <v/>
      </c>
      <c r="AO439" s="87"/>
      <c r="AP439" s="106"/>
      <c r="AQ439" s="106"/>
      <c r="AR439" s="106"/>
      <c r="AS439" s="106"/>
      <c r="AT439" s="106"/>
      <c r="AU439" s="106"/>
      <c r="AV439" s="106"/>
      <c r="AW439" s="106"/>
      <c r="AX439" s="106"/>
      <c r="AY439" s="106"/>
    </row>
    <row r="440" spans="1:51" s="20" customFormat="1" ht="21" customHeight="1">
      <c r="A440" s="197"/>
      <c r="B440" s="87"/>
      <c r="C440" s="87"/>
      <c r="D440" s="196"/>
      <c r="E440" s="108"/>
      <c r="F440" s="196"/>
      <c r="G440" s="87"/>
      <c r="H440" s="197"/>
      <c r="I440" s="89"/>
      <c r="J440" s="204"/>
      <c r="K440" s="87"/>
      <c r="L440" s="87" t="str" cm="1">
        <f t="array" ref="L440">IF($A440="","",_xlfn.LET(_xlpm.stat,CHOOSE({1,2,3,4,5},$P440,$T440,$X440,$AB440,$AF440),_xlpm.rate,CHOOSE({1,2,3,4,5},$R440,$V440,$Z440,$AD440,$AH440),_xlpm.trn,CHOOSE({1,2,3,4,5},$S440,$W440,$AA440,$AE440,$AI440),_xlpm.nsC,SUMPRODUCT(--(_xlpm.stat="Ready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DLR",IF(AND(_xlpm.actRS&gt;0,_xlpm.actDone&lt;_xlpm.actRS),"Training",IF(_xlpm.actRS&gt;0,"Active",IF(AND(_xlpm.decC&gt;0,_xlpm.inPlay+_xlpm.actC=0),"Dead",IF(AND($AJ440&lt;&gt;"",$AK440=FALSE),"Waiting on Dealer",IF(_xlpm.subC&gt;0,"Waiting on Lender",IF(AND(_xlpm.appC+_xlpm.actC&gt;0,_xlpm.nsC+_xlpm.wdC=0),"Rate Sheet","Application Submitted")))))))))</f>
        <v/>
      </c>
      <c r="M440" s="87"/>
      <c r="N440" s="87"/>
      <c r="O440" s="197"/>
      <c r="P440" s="87" t="str">
        <f>IF($A440="","",IF($AK440=TRUE,"Ready 2 Submit","Waiting on Dealer"))</f>
        <v/>
      </c>
      <c r="Q440" s="148"/>
      <c r="R440" s="87"/>
      <c r="S440" s="87"/>
      <c r="T440" s="87" t="str">
        <f>IF($A440="","",IF($AK440=TRUE,"Ready 2 Submit","Waiting on Dealer"))</f>
        <v/>
      </c>
      <c r="U440" s="148"/>
      <c r="V440" s="87"/>
      <c r="W440" s="87"/>
      <c r="X440" s="87" t="str">
        <f>IF($A440="","",IF($AK440=TRUE,"Ready 2 Submit","Waiting on Dealer"))</f>
        <v/>
      </c>
      <c r="Y440" s="148"/>
      <c r="Z440" s="87"/>
      <c r="AA440" s="87"/>
      <c r="AB440" s="87" t="str">
        <f>IF($A440="","",IF($AK440=TRUE,"Ready 2 Submit","Waiting on Dealer"))</f>
        <v/>
      </c>
      <c r="AC440" s="148"/>
      <c r="AD440" s="87"/>
      <c r="AE440" s="87"/>
      <c r="AF440" s="87" t="str">
        <f>IF($A440="","",IF($AK440=TRUE,"Ready 2 Submit","Waiting on Dealer"))</f>
        <v/>
      </c>
      <c r="AG440" s="148"/>
      <c r="AH440" s="87"/>
      <c r="AI440" s="87"/>
      <c r="AJ440" s="197"/>
      <c r="AK440" s="110" t="b">
        <v>0</v>
      </c>
      <c r="AL440" s="87" t="str" cm="1">
        <f t="array" ref="AL440">IF($A440="","",SUMPRODUCT((CHOOSE({1,2,3,4,5},$R440,$V440,$Z440,$AD440,$AH440)="Yes")*(((CHOOSE({1,2,3,4,5},$S440,$W440,$AA440,$AE440,$AI440)="Yes")+(CHOOSE({1,2,3,4,5},$S440,$W440,$AA440,$AE440,$AI440)=TRUE))&gt;0)))</f>
        <v/>
      </c>
      <c r="AM440" s="87"/>
      <c r="AN440" s="87" t="str">
        <f ca="1">IF(OR($A440="",$AM440=""),"",TODAY()-$AM440)</f>
        <v/>
      </c>
      <c r="AO440" s="87"/>
      <c r="AP440" s="106"/>
      <c r="AQ440" s="106"/>
      <c r="AR440" s="106"/>
      <c r="AS440" s="106"/>
      <c r="AT440" s="106"/>
      <c r="AU440" s="106"/>
      <c r="AV440" s="106"/>
      <c r="AW440" s="106"/>
      <c r="AX440" s="106"/>
      <c r="AY440" s="106"/>
    </row>
    <row r="441" spans="1:51" s="20" customFormat="1" ht="21" customHeight="1">
      <c r="A441" s="197"/>
      <c r="B441" s="87"/>
      <c r="C441" s="87"/>
      <c r="D441" s="196"/>
      <c r="E441" s="108"/>
      <c r="F441" s="196"/>
      <c r="G441" s="87"/>
      <c r="H441" s="197"/>
      <c r="I441" s="89"/>
      <c r="J441" s="204"/>
      <c r="K441" s="87"/>
      <c r="L441" s="87" t="str" cm="1">
        <f t="array" ref="L441">IF($A441="","",_xlfn.LET(_xlpm.stat,CHOOSE({1,2,3,4,5},$P441,$T441,$X441,$AB441,$AF441),_xlpm.rate,CHOOSE({1,2,3,4,5},$R441,$V441,$Z441,$AD441,$AH441),_xlpm.trn,CHOOSE({1,2,3,4,5},$S441,$W441,$AA441,$AE441,$AI441),_xlpm.nsC,SUMPRODUCT(--(_xlpm.stat="Ready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DLR",IF(AND(_xlpm.actRS&gt;0,_xlpm.actDone&lt;_xlpm.actRS),"Training",IF(_xlpm.actRS&gt;0,"Active",IF(AND(_xlpm.decC&gt;0,_xlpm.inPlay+_xlpm.actC=0),"Dead",IF(AND($AJ441&lt;&gt;"",$AK441=FALSE),"Waiting on Dealer",IF(_xlpm.subC&gt;0,"Waiting on Lender",IF(AND(_xlpm.appC+_xlpm.actC&gt;0,_xlpm.nsC+_xlpm.wdC=0),"Rate Sheet","Application Submitted")))))))))</f>
        <v/>
      </c>
      <c r="M441" s="87"/>
      <c r="N441" s="87"/>
      <c r="O441" s="197"/>
      <c r="P441" s="87" t="str">
        <f>IF($A441="","",IF($AK441=TRUE,"Ready 2 Submit","Waiting on Dealer"))</f>
        <v/>
      </c>
      <c r="Q441" s="148"/>
      <c r="R441" s="87"/>
      <c r="S441" s="87"/>
      <c r="T441" s="87" t="str">
        <f>IF($A441="","",IF($AK441=TRUE,"Ready 2 Submit","Waiting on Dealer"))</f>
        <v/>
      </c>
      <c r="U441" s="148"/>
      <c r="V441" s="87"/>
      <c r="W441" s="87"/>
      <c r="X441" s="87" t="str">
        <f>IF($A441="","",IF($AK441=TRUE,"Ready 2 Submit","Waiting on Dealer"))</f>
        <v/>
      </c>
      <c r="Y441" s="148"/>
      <c r="Z441" s="87"/>
      <c r="AA441" s="87"/>
      <c r="AB441" s="87" t="str">
        <f>IF($A441="","",IF($AK441=TRUE,"Ready 2 Submit","Waiting on Dealer"))</f>
        <v/>
      </c>
      <c r="AC441" s="148"/>
      <c r="AD441" s="87"/>
      <c r="AE441" s="87"/>
      <c r="AF441" s="87" t="str">
        <f>IF($A441="","",IF($AK441=TRUE,"Ready 2 Submit","Waiting on Dealer"))</f>
        <v/>
      </c>
      <c r="AG441" s="148"/>
      <c r="AH441" s="87"/>
      <c r="AI441" s="87"/>
      <c r="AJ441" s="197"/>
      <c r="AK441" s="110" t="b">
        <v>0</v>
      </c>
      <c r="AL441" s="87" t="str" cm="1">
        <f t="array" ref="AL441">IF($A441="","",SUMPRODUCT((CHOOSE({1,2,3,4,5},$R441,$V441,$Z441,$AD441,$AH441)="Yes")*(((CHOOSE({1,2,3,4,5},$S441,$W441,$AA441,$AE441,$AI441)="Yes")+(CHOOSE({1,2,3,4,5},$S441,$W441,$AA441,$AE441,$AI441)=TRUE))&gt;0)))</f>
        <v/>
      </c>
      <c r="AM441" s="87"/>
      <c r="AN441" s="87" t="str">
        <f ca="1">IF(OR($A441="",$AM441=""),"",TODAY()-$AM441)</f>
        <v/>
      </c>
      <c r="AO441" s="87"/>
      <c r="AP441" s="106"/>
      <c r="AQ441" s="106"/>
      <c r="AR441" s="106"/>
      <c r="AS441" s="106"/>
      <c r="AT441" s="106"/>
      <c r="AU441" s="106"/>
      <c r="AV441" s="106"/>
      <c r="AW441" s="106"/>
      <c r="AX441" s="106"/>
      <c r="AY441" s="106"/>
    </row>
    <row r="442" spans="1:51" s="20" customFormat="1" ht="21" customHeight="1">
      <c r="A442" s="197"/>
      <c r="B442" s="87"/>
      <c r="C442" s="87"/>
      <c r="D442" s="196"/>
      <c r="E442" s="108"/>
      <c r="F442" s="196"/>
      <c r="G442" s="87"/>
      <c r="H442" s="197"/>
      <c r="I442" s="89"/>
      <c r="J442" s="204"/>
      <c r="K442" s="87"/>
      <c r="L442" s="87" t="str" cm="1">
        <f t="array" ref="L442">IF($A442="","",_xlfn.LET(_xlpm.stat,CHOOSE({1,2,3,4,5},$P442,$T442,$X442,$AB442,$AF442),_xlpm.rate,CHOOSE({1,2,3,4,5},$R442,$V442,$Z442,$AD442,$AH442),_xlpm.trn,CHOOSE({1,2,3,4,5},$S442,$W442,$AA442,$AE442,$AI442),_xlpm.nsC,SUMPRODUCT(--(_xlpm.stat="Ready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DLR",IF(AND(_xlpm.actRS&gt;0,_xlpm.actDone&lt;_xlpm.actRS),"Training",IF(_xlpm.actRS&gt;0,"Active",IF(AND(_xlpm.decC&gt;0,_xlpm.inPlay+_xlpm.actC=0),"Dead",IF(AND($AJ442&lt;&gt;"",$AK442=FALSE),"Waiting on Dealer",IF(_xlpm.subC&gt;0,"Waiting on Lender",IF(AND(_xlpm.appC+_xlpm.actC&gt;0,_xlpm.nsC+_xlpm.wdC=0),"Rate Sheet","Application Submitted")))))))))</f>
        <v/>
      </c>
      <c r="M442" s="87"/>
      <c r="N442" s="87"/>
      <c r="O442" s="197"/>
      <c r="P442" s="87" t="str">
        <f>IF($A442="","",IF($AK442=TRUE,"Ready 2 Submit","Waiting on Dealer"))</f>
        <v/>
      </c>
      <c r="Q442" s="148"/>
      <c r="R442" s="87"/>
      <c r="S442" s="87"/>
      <c r="T442" s="87" t="str">
        <f>IF($A442="","",IF($AK442=TRUE,"Ready 2 Submit","Waiting on Dealer"))</f>
        <v/>
      </c>
      <c r="U442" s="148"/>
      <c r="V442" s="87"/>
      <c r="W442" s="87"/>
      <c r="X442" s="87" t="str">
        <f>IF($A442="","",IF($AK442=TRUE,"Ready 2 Submit","Waiting on Dealer"))</f>
        <v/>
      </c>
      <c r="Y442" s="148"/>
      <c r="Z442" s="87"/>
      <c r="AA442" s="87"/>
      <c r="AB442" s="87" t="str">
        <f>IF($A442="","",IF($AK442=TRUE,"Ready 2 Submit","Waiting on Dealer"))</f>
        <v/>
      </c>
      <c r="AC442" s="148"/>
      <c r="AD442" s="87"/>
      <c r="AE442" s="87"/>
      <c r="AF442" s="87" t="str">
        <f>IF($A442="","",IF($AK442=TRUE,"Ready 2 Submit","Waiting on Dealer"))</f>
        <v/>
      </c>
      <c r="AG442" s="148"/>
      <c r="AH442" s="87"/>
      <c r="AI442" s="87"/>
      <c r="AJ442" s="197"/>
      <c r="AK442" s="110" t="b">
        <v>0</v>
      </c>
      <c r="AL442" s="87" t="str" cm="1">
        <f t="array" ref="AL442">IF($A442="","",SUMPRODUCT((CHOOSE({1,2,3,4,5},$R442,$V442,$Z442,$AD442,$AH442)="Yes")*(((CHOOSE({1,2,3,4,5},$S442,$W442,$AA442,$AE442,$AI442)="Yes")+(CHOOSE({1,2,3,4,5},$S442,$W442,$AA442,$AE442,$AI442)=TRUE))&gt;0)))</f>
        <v/>
      </c>
      <c r="AM442" s="87"/>
      <c r="AN442" s="87" t="str">
        <f ca="1">IF(OR($A442="",$AM442=""),"",TODAY()-$AM442)</f>
        <v/>
      </c>
      <c r="AO442" s="87"/>
      <c r="AP442" s="106"/>
      <c r="AQ442" s="106"/>
      <c r="AR442" s="106"/>
      <c r="AS442" s="106"/>
      <c r="AT442" s="106"/>
      <c r="AU442" s="106"/>
      <c r="AV442" s="106"/>
      <c r="AW442" s="106"/>
      <c r="AX442" s="106"/>
      <c r="AY442" s="106"/>
    </row>
    <row r="443" spans="1:51" s="20" customFormat="1" ht="21" customHeight="1">
      <c r="A443" s="197"/>
      <c r="B443" s="87"/>
      <c r="C443" s="87"/>
      <c r="D443" s="196"/>
      <c r="E443" s="108"/>
      <c r="F443" s="196"/>
      <c r="G443" s="87"/>
      <c r="H443" s="197"/>
      <c r="I443" s="89"/>
      <c r="J443" s="204"/>
      <c r="K443" s="87"/>
      <c r="L443" s="87" t="str" cm="1">
        <f t="array" ref="L443">IF($A443="","",_xlfn.LET(_xlpm.stat,CHOOSE({1,2,3,4,5},$P443,$T443,$X443,$AB443,$AF443),_xlpm.rate,CHOOSE({1,2,3,4,5},$R443,$V443,$Z443,$AD443,$AH443),_xlpm.trn,CHOOSE({1,2,3,4,5},$S443,$W443,$AA443,$AE443,$AI443),_xlpm.nsC,SUMPRODUCT(--(_xlpm.stat="Ready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DLR",IF(AND(_xlpm.actRS&gt;0,_xlpm.actDone&lt;_xlpm.actRS),"Training",IF(_xlpm.actRS&gt;0,"Active",IF(AND(_xlpm.decC&gt;0,_xlpm.inPlay+_xlpm.actC=0),"Dead",IF(AND($AJ443&lt;&gt;"",$AK443=FALSE),"Waiting on Dealer",IF(_xlpm.subC&gt;0,"Waiting on Lender",IF(AND(_xlpm.appC+_xlpm.actC&gt;0,_xlpm.nsC+_xlpm.wdC=0),"Rate Sheet","Application Submitted")))))))))</f>
        <v/>
      </c>
      <c r="M443" s="87"/>
      <c r="N443" s="87"/>
      <c r="O443" s="197"/>
      <c r="P443" s="87" t="str">
        <f>IF($A443="","",IF($AK443=TRUE,"Ready 2 Submit","Waiting on Dealer"))</f>
        <v/>
      </c>
      <c r="Q443" s="148"/>
      <c r="R443" s="87"/>
      <c r="S443" s="87"/>
      <c r="T443" s="87" t="str">
        <f>IF($A443="","",IF($AK443=TRUE,"Ready 2 Submit","Waiting on Dealer"))</f>
        <v/>
      </c>
      <c r="U443" s="148"/>
      <c r="V443" s="87"/>
      <c r="W443" s="87"/>
      <c r="X443" s="87" t="str">
        <f>IF($A443="","",IF($AK443=TRUE,"Ready 2 Submit","Waiting on Dealer"))</f>
        <v/>
      </c>
      <c r="Y443" s="148"/>
      <c r="Z443" s="87"/>
      <c r="AA443" s="87"/>
      <c r="AB443" s="87" t="str">
        <f>IF($A443="","",IF($AK443=TRUE,"Ready 2 Submit","Waiting on Dealer"))</f>
        <v/>
      </c>
      <c r="AC443" s="148"/>
      <c r="AD443" s="87"/>
      <c r="AE443" s="87"/>
      <c r="AF443" s="87" t="str">
        <f>IF($A443="","",IF($AK443=TRUE,"Ready 2 Submit","Waiting on Dealer"))</f>
        <v/>
      </c>
      <c r="AG443" s="148"/>
      <c r="AH443" s="87"/>
      <c r="AI443" s="87"/>
      <c r="AJ443" s="197"/>
      <c r="AK443" s="110" t="b">
        <v>0</v>
      </c>
      <c r="AL443" s="87" t="str" cm="1">
        <f t="array" ref="AL443">IF($A443="","",SUMPRODUCT((CHOOSE({1,2,3,4,5},$R443,$V443,$Z443,$AD443,$AH443)="Yes")*(((CHOOSE({1,2,3,4,5},$S443,$W443,$AA443,$AE443,$AI443)="Yes")+(CHOOSE({1,2,3,4,5},$S443,$W443,$AA443,$AE443,$AI443)=TRUE))&gt;0)))</f>
        <v/>
      </c>
      <c r="AM443" s="87"/>
      <c r="AN443" s="87" t="str">
        <f ca="1">IF(OR($A443="",$AM443=""),"",TODAY()-$AM443)</f>
        <v/>
      </c>
      <c r="AO443" s="87"/>
      <c r="AP443" s="106"/>
      <c r="AQ443" s="106"/>
      <c r="AR443" s="106"/>
      <c r="AS443" s="106"/>
      <c r="AT443" s="106"/>
      <c r="AU443" s="106"/>
      <c r="AV443" s="106"/>
      <c r="AW443" s="106"/>
      <c r="AX443" s="106"/>
      <c r="AY443" s="106"/>
    </row>
    <row r="444" spans="1:51" s="20" customFormat="1" ht="21" customHeight="1">
      <c r="A444" s="197"/>
      <c r="B444" s="87"/>
      <c r="C444" s="87"/>
      <c r="D444" s="196"/>
      <c r="E444" s="108"/>
      <c r="F444" s="196"/>
      <c r="G444" s="87"/>
      <c r="H444" s="197"/>
      <c r="I444" s="89"/>
      <c r="J444" s="204"/>
      <c r="K444" s="87"/>
      <c r="L444" s="87" t="str" cm="1">
        <f t="array" ref="L444">IF($A444="","",_xlfn.LET(_xlpm.stat,CHOOSE({1,2,3,4,5},$P444,$T444,$X444,$AB444,$AF444),_xlpm.rate,CHOOSE({1,2,3,4,5},$R444,$V444,$Z444,$AD444,$AH444),_xlpm.trn,CHOOSE({1,2,3,4,5},$S444,$W444,$AA444,$AE444,$AI444),_xlpm.nsC,SUMPRODUCT(--(_xlpm.stat="Ready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DLR",IF(AND(_xlpm.actRS&gt;0,_xlpm.actDone&lt;_xlpm.actRS),"Training",IF(_xlpm.actRS&gt;0,"Active",IF(AND(_xlpm.decC&gt;0,_xlpm.inPlay+_xlpm.actC=0),"Dead",IF(AND($AJ444&lt;&gt;"",$AK444=FALSE),"Waiting on Dealer",IF(_xlpm.subC&gt;0,"Waiting on Lender",IF(AND(_xlpm.appC+_xlpm.actC&gt;0,_xlpm.nsC+_xlpm.wdC=0),"Rate Sheet","Application Submitted")))))))))</f>
        <v/>
      </c>
      <c r="M444" s="87"/>
      <c r="N444" s="87"/>
      <c r="O444" s="197"/>
      <c r="P444" s="87" t="str">
        <f>IF($A444="","",IF($AK444=TRUE,"Ready 2 Submit","Waiting on Dealer"))</f>
        <v/>
      </c>
      <c r="Q444" s="148"/>
      <c r="R444" s="87"/>
      <c r="S444" s="87"/>
      <c r="T444" s="87" t="str">
        <f>IF($A444="","",IF($AK444=TRUE,"Ready 2 Submit","Waiting on Dealer"))</f>
        <v/>
      </c>
      <c r="U444" s="148"/>
      <c r="V444" s="87"/>
      <c r="W444" s="87"/>
      <c r="X444" s="87" t="str">
        <f>IF($A444="","",IF($AK444=TRUE,"Ready 2 Submit","Waiting on Dealer"))</f>
        <v/>
      </c>
      <c r="Y444" s="148"/>
      <c r="Z444" s="87"/>
      <c r="AA444" s="87"/>
      <c r="AB444" s="87" t="str">
        <f>IF($A444="","",IF($AK444=TRUE,"Ready 2 Submit","Waiting on Dealer"))</f>
        <v/>
      </c>
      <c r="AC444" s="148"/>
      <c r="AD444" s="87"/>
      <c r="AE444" s="87"/>
      <c r="AF444" s="87" t="str">
        <f>IF($A444="","",IF($AK444=TRUE,"Ready 2 Submit","Waiting on Dealer"))</f>
        <v/>
      </c>
      <c r="AG444" s="148"/>
      <c r="AH444" s="87"/>
      <c r="AI444" s="87"/>
      <c r="AJ444" s="197"/>
      <c r="AK444" s="110" t="b">
        <v>0</v>
      </c>
      <c r="AL444" s="87" t="str" cm="1">
        <f t="array" ref="AL444">IF($A444="","",SUMPRODUCT((CHOOSE({1,2,3,4,5},$R444,$V444,$Z444,$AD444,$AH444)="Yes")*(((CHOOSE({1,2,3,4,5},$S444,$W444,$AA444,$AE444,$AI444)="Yes")+(CHOOSE({1,2,3,4,5},$S444,$W444,$AA444,$AE444,$AI444)=TRUE))&gt;0)))</f>
        <v/>
      </c>
      <c r="AM444" s="87"/>
      <c r="AN444" s="87" t="str">
        <f ca="1">IF(OR($A444="",$AM444=""),"",TODAY()-$AM444)</f>
        <v/>
      </c>
      <c r="AO444" s="87"/>
      <c r="AP444" s="106"/>
      <c r="AQ444" s="106"/>
      <c r="AR444" s="106"/>
      <c r="AS444" s="106"/>
      <c r="AT444" s="106"/>
      <c r="AU444" s="106"/>
      <c r="AV444" s="106"/>
      <c r="AW444" s="106"/>
      <c r="AX444" s="106"/>
      <c r="AY444" s="106"/>
    </row>
    <row r="445" spans="1:51" s="20" customFormat="1" ht="21" customHeight="1">
      <c r="A445" s="197"/>
      <c r="B445" s="87"/>
      <c r="C445" s="87"/>
      <c r="D445" s="196"/>
      <c r="E445" s="108"/>
      <c r="F445" s="196"/>
      <c r="G445" s="87"/>
      <c r="H445" s="197"/>
      <c r="I445" s="89"/>
      <c r="J445" s="204"/>
      <c r="K445" s="87"/>
      <c r="L445" s="87" t="str" cm="1">
        <f t="array" ref="L445">IF($A445="","",_xlfn.LET(_xlpm.stat,CHOOSE({1,2,3,4,5},$P445,$T445,$X445,$AB445,$AF445),_xlpm.rate,CHOOSE({1,2,3,4,5},$R445,$V445,$Z445,$AD445,$AH445),_xlpm.trn,CHOOSE({1,2,3,4,5},$S445,$W445,$AA445,$AE445,$AI445),_xlpm.nsC,SUMPRODUCT(--(_xlpm.stat="Ready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DLR",IF(AND(_xlpm.actRS&gt;0,_xlpm.actDone&lt;_xlpm.actRS),"Training",IF(_xlpm.actRS&gt;0,"Active",IF(AND(_xlpm.decC&gt;0,_xlpm.inPlay+_xlpm.actC=0),"Dead",IF(AND($AJ445&lt;&gt;"",$AK445=FALSE),"Waiting on Dealer",IF(_xlpm.subC&gt;0,"Waiting on Lender",IF(AND(_xlpm.appC+_xlpm.actC&gt;0,_xlpm.nsC+_xlpm.wdC=0),"Rate Sheet","Application Submitted")))))))))</f>
        <v/>
      </c>
      <c r="M445" s="87"/>
      <c r="N445" s="87"/>
      <c r="O445" s="197"/>
      <c r="P445" s="87" t="str">
        <f>IF($A445="","",IF($AK445=TRUE,"Ready 2 Submit","Waiting on Dealer"))</f>
        <v/>
      </c>
      <c r="Q445" s="148"/>
      <c r="R445" s="87"/>
      <c r="S445" s="87"/>
      <c r="T445" s="87" t="str">
        <f>IF($A445="","",IF($AK445=TRUE,"Ready 2 Submit","Waiting on Dealer"))</f>
        <v/>
      </c>
      <c r="U445" s="148"/>
      <c r="V445" s="87"/>
      <c r="W445" s="87"/>
      <c r="X445" s="87" t="str">
        <f>IF($A445="","",IF($AK445=TRUE,"Ready 2 Submit","Waiting on Dealer"))</f>
        <v/>
      </c>
      <c r="Y445" s="148"/>
      <c r="Z445" s="87"/>
      <c r="AA445" s="87"/>
      <c r="AB445" s="87" t="str">
        <f>IF($A445="","",IF($AK445=TRUE,"Ready 2 Submit","Waiting on Dealer"))</f>
        <v/>
      </c>
      <c r="AC445" s="148"/>
      <c r="AD445" s="87"/>
      <c r="AE445" s="87"/>
      <c r="AF445" s="87" t="str">
        <f>IF($A445="","",IF($AK445=TRUE,"Ready 2 Submit","Waiting on Dealer"))</f>
        <v/>
      </c>
      <c r="AG445" s="148"/>
      <c r="AH445" s="87"/>
      <c r="AI445" s="87"/>
      <c r="AJ445" s="197"/>
      <c r="AK445" s="110" t="b">
        <v>0</v>
      </c>
      <c r="AL445" s="87" t="str" cm="1">
        <f t="array" ref="AL445">IF($A445="","",SUMPRODUCT((CHOOSE({1,2,3,4,5},$R445,$V445,$Z445,$AD445,$AH445)="Yes")*(((CHOOSE({1,2,3,4,5},$S445,$W445,$AA445,$AE445,$AI445)="Yes")+(CHOOSE({1,2,3,4,5},$S445,$W445,$AA445,$AE445,$AI445)=TRUE))&gt;0)))</f>
        <v/>
      </c>
      <c r="AM445" s="87"/>
      <c r="AN445" s="87" t="str">
        <f ca="1">IF(OR($A445="",$AM445=""),"",TODAY()-$AM445)</f>
        <v/>
      </c>
      <c r="AO445" s="87"/>
      <c r="AP445" s="106"/>
      <c r="AQ445" s="106"/>
      <c r="AR445" s="106"/>
      <c r="AS445" s="106"/>
      <c r="AT445" s="106"/>
      <c r="AU445" s="106"/>
      <c r="AV445" s="106"/>
      <c r="AW445" s="106"/>
      <c r="AX445" s="106"/>
      <c r="AY445" s="106"/>
    </row>
    <row r="446" spans="1:51" s="20" customFormat="1" ht="21" customHeight="1">
      <c r="A446" s="197"/>
      <c r="B446" s="87"/>
      <c r="C446" s="87"/>
      <c r="D446" s="196"/>
      <c r="E446" s="108"/>
      <c r="F446" s="196"/>
      <c r="G446" s="87"/>
      <c r="H446" s="197"/>
      <c r="I446" s="89"/>
      <c r="J446" s="204"/>
      <c r="K446" s="87"/>
      <c r="L446" s="87" t="str" cm="1">
        <f t="array" ref="L446">IF($A446="","",_xlfn.LET(_xlpm.stat,CHOOSE({1,2,3,4,5},$P446,$T446,$X446,$AB446,$AF446),_xlpm.rate,CHOOSE({1,2,3,4,5},$R446,$V446,$Z446,$AD446,$AH446),_xlpm.trn,CHOOSE({1,2,3,4,5},$S446,$W446,$AA446,$AE446,$AI446),_xlpm.nsC,SUMPRODUCT(--(_xlpm.stat="Ready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DLR",IF(AND(_xlpm.actRS&gt;0,_xlpm.actDone&lt;_xlpm.actRS),"Training",IF(_xlpm.actRS&gt;0,"Active",IF(AND(_xlpm.decC&gt;0,_xlpm.inPlay+_xlpm.actC=0),"Dead",IF(AND($AJ446&lt;&gt;"",$AK446=FALSE),"Waiting on Dealer",IF(_xlpm.subC&gt;0,"Waiting on Lender",IF(AND(_xlpm.appC+_xlpm.actC&gt;0,_xlpm.nsC+_xlpm.wdC=0),"Rate Sheet","Application Submitted")))))))))</f>
        <v/>
      </c>
      <c r="M446" s="87"/>
      <c r="N446" s="87"/>
      <c r="O446" s="197"/>
      <c r="P446" s="87" t="str">
        <f>IF($A446="","",IF($AK446=TRUE,"Ready 2 Submit","Waiting on Dealer"))</f>
        <v/>
      </c>
      <c r="Q446" s="148"/>
      <c r="R446" s="87"/>
      <c r="S446" s="87"/>
      <c r="T446" s="87" t="str">
        <f>IF($A446="","",IF($AK446=TRUE,"Ready 2 Submit","Waiting on Dealer"))</f>
        <v/>
      </c>
      <c r="U446" s="148"/>
      <c r="V446" s="87"/>
      <c r="W446" s="87"/>
      <c r="X446" s="87" t="str">
        <f>IF($A446="","",IF($AK446=TRUE,"Ready 2 Submit","Waiting on Dealer"))</f>
        <v/>
      </c>
      <c r="Y446" s="148"/>
      <c r="Z446" s="87"/>
      <c r="AA446" s="87"/>
      <c r="AB446" s="87" t="str">
        <f>IF($A446="","",IF($AK446=TRUE,"Ready 2 Submit","Waiting on Dealer"))</f>
        <v/>
      </c>
      <c r="AC446" s="148"/>
      <c r="AD446" s="87"/>
      <c r="AE446" s="87"/>
      <c r="AF446" s="87" t="str">
        <f>IF($A446="","",IF($AK446=TRUE,"Ready 2 Submit","Waiting on Dealer"))</f>
        <v/>
      </c>
      <c r="AG446" s="148"/>
      <c r="AH446" s="87"/>
      <c r="AI446" s="87"/>
      <c r="AJ446" s="197"/>
      <c r="AK446" s="110" t="b">
        <v>0</v>
      </c>
      <c r="AL446" s="87" t="str" cm="1">
        <f t="array" ref="AL446">IF($A446="","",SUMPRODUCT((CHOOSE({1,2,3,4,5},$R446,$V446,$Z446,$AD446,$AH446)="Yes")*(((CHOOSE({1,2,3,4,5},$S446,$W446,$AA446,$AE446,$AI446)="Yes")+(CHOOSE({1,2,3,4,5},$S446,$W446,$AA446,$AE446,$AI446)=TRUE))&gt;0)))</f>
        <v/>
      </c>
      <c r="AM446" s="87"/>
      <c r="AN446" s="87" t="str">
        <f ca="1">IF(OR($A446="",$AM446=""),"",TODAY()-$AM446)</f>
        <v/>
      </c>
      <c r="AO446" s="87"/>
      <c r="AP446" s="106"/>
      <c r="AQ446" s="106"/>
      <c r="AR446" s="106"/>
      <c r="AS446" s="106"/>
      <c r="AT446" s="106"/>
      <c r="AU446" s="106"/>
      <c r="AV446" s="106"/>
      <c r="AW446" s="106"/>
      <c r="AX446" s="106"/>
      <c r="AY446" s="106"/>
    </row>
    <row r="447" spans="1:51" s="20" customFormat="1" ht="21" customHeight="1">
      <c r="A447" s="197"/>
      <c r="B447" s="87"/>
      <c r="C447" s="87"/>
      <c r="D447" s="196"/>
      <c r="E447" s="108"/>
      <c r="F447" s="196"/>
      <c r="G447" s="87"/>
      <c r="H447" s="197"/>
      <c r="I447" s="89"/>
      <c r="J447" s="204"/>
      <c r="K447" s="87"/>
      <c r="L447" s="87" t="str" cm="1">
        <f t="array" ref="L447">IF($A447="","",_xlfn.LET(_xlpm.stat,CHOOSE({1,2,3,4,5},$P447,$T447,$X447,$AB447,$AF447),_xlpm.rate,CHOOSE({1,2,3,4,5},$R447,$V447,$Z447,$AD447,$AH447),_xlpm.trn,CHOOSE({1,2,3,4,5},$S447,$W447,$AA447,$AE447,$AI447),_xlpm.nsC,SUMPRODUCT(--(_xlpm.stat="Ready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DLR",IF(AND(_xlpm.actRS&gt;0,_xlpm.actDone&lt;_xlpm.actRS),"Training",IF(_xlpm.actRS&gt;0,"Active",IF(AND(_xlpm.decC&gt;0,_xlpm.inPlay+_xlpm.actC=0),"Dead",IF(AND($AJ447&lt;&gt;"",$AK447=FALSE),"Waiting on Dealer",IF(_xlpm.subC&gt;0,"Waiting on Lender",IF(AND(_xlpm.appC+_xlpm.actC&gt;0,_xlpm.nsC+_xlpm.wdC=0),"Rate Sheet","Application Submitted")))))))))</f>
        <v/>
      </c>
      <c r="M447" s="87"/>
      <c r="N447" s="87"/>
      <c r="O447" s="197"/>
      <c r="P447" s="87" t="str">
        <f>IF($A447="","",IF($AK447=TRUE,"Ready 2 Submit","Waiting on Dealer"))</f>
        <v/>
      </c>
      <c r="Q447" s="148"/>
      <c r="R447" s="87"/>
      <c r="S447" s="87"/>
      <c r="T447" s="87" t="str">
        <f>IF($A447="","",IF($AK447=TRUE,"Ready 2 Submit","Waiting on Dealer"))</f>
        <v/>
      </c>
      <c r="U447" s="148"/>
      <c r="V447" s="87"/>
      <c r="W447" s="87"/>
      <c r="X447" s="87" t="str">
        <f>IF($A447="","",IF($AK447=TRUE,"Ready 2 Submit","Waiting on Dealer"))</f>
        <v/>
      </c>
      <c r="Y447" s="148"/>
      <c r="Z447" s="87"/>
      <c r="AA447" s="87"/>
      <c r="AB447" s="87" t="str">
        <f>IF($A447="","",IF($AK447=TRUE,"Ready 2 Submit","Waiting on Dealer"))</f>
        <v/>
      </c>
      <c r="AC447" s="148"/>
      <c r="AD447" s="87"/>
      <c r="AE447" s="87"/>
      <c r="AF447" s="87" t="str">
        <f>IF($A447="","",IF($AK447=TRUE,"Ready 2 Submit","Waiting on Dealer"))</f>
        <v/>
      </c>
      <c r="AG447" s="148"/>
      <c r="AH447" s="87"/>
      <c r="AI447" s="87"/>
      <c r="AJ447" s="197"/>
      <c r="AK447" s="110" t="b">
        <v>0</v>
      </c>
      <c r="AL447" s="87" t="str" cm="1">
        <f t="array" ref="AL447">IF($A447="","",SUMPRODUCT((CHOOSE({1,2,3,4,5},$R447,$V447,$Z447,$AD447,$AH447)="Yes")*(((CHOOSE({1,2,3,4,5},$S447,$W447,$AA447,$AE447,$AI447)="Yes")+(CHOOSE({1,2,3,4,5},$S447,$W447,$AA447,$AE447,$AI447)=TRUE))&gt;0)))</f>
        <v/>
      </c>
      <c r="AM447" s="87"/>
      <c r="AN447" s="87" t="str">
        <f ca="1">IF(OR($A447="",$AM447=""),"",TODAY()-$AM447)</f>
        <v/>
      </c>
      <c r="AO447" s="87"/>
      <c r="AP447" s="106"/>
      <c r="AQ447" s="106"/>
      <c r="AR447" s="106"/>
      <c r="AS447" s="106"/>
      <c r="AT447" s="106"/>
      <c r="AU447" s="106"/>
      <c r="AV447" s="106"/>
      <c r="AW447" s="106"/>
      <c r="AX447" s="106"/>
      <c r="AY447" s="106"/>
    </row>
    <row r="448" spans="1:51" s="20" customFormat="1" ht="21" customHeight="1">
      <c r="A448" s="197"/>
      <c r="B448" s="87"/>
      <c r="C448" s="87"/>
      <c r="D448" s="196"/>
      <c r="E448" s="108"/>
      <c r="F448" s="196"/>
      <c r="G448" s="87"/>
      <c r="H448" s="197"/>
      <c r="I448" s="89"/>
      <c r="J448" s="204"/>
      <c r="K448" s="87"/>
      <c r="L448" s="87" t="str" cm="1">
        <f t="array" ref="L448">IF($A448="","",_xlfn.LET(_xlpm.stat,CHOOSE({1,2,3,4,5},$P448,$T448,$X448,$AB448,$AF448),_xlpm.rate,CHOOSE({1,2,3,4,5},$R448,$V448,$Z448,$AD448,$AH448),_xlpm.trn,CHOOSE({1,2,3,4,5},$S448,$W448,$AA448,$AE448,$AI448),_xlpm.nsC,SUMPRODUCT(--(_xlpm.stat="Ready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DLR",IF(AND(_xlpm.actRS&gt;0,_xlpm.actDone&lt;_xlpm.actRS),"Training",IF(_xlpm.actRS&gt;0,"Active",IF(AND(_xlpm.decC&gt;0,_xlpm.inPlay+_xlpm.actC=0),"Dead",IF(AND($AJ448&lt;&gt;"",$AK448=FALSE),"Waiting on Dealer",IF(_xlpm.subC&gt;0,"Waiting on Lender",IF(AND(_xlpm.appC+_xlpm.actC&gt;0,_xlpm.nsC+_xlpm.wdC=0),"Rate Sheet","Application Submitted")))))))))</f>
        <v/>
      </c>
      <c r="M448" s="87"/>
      <c r="N448" s="87"/>
      <c r="O448" s="197"/>
      <c r="P448" s="87" t="str">
        <f>IF($A448="","",IF($AK448=TRUE,"Ready 2 Submit","Waiting on Dealer"))</f>
        <v/>
      </c>
      <c r="Q448" s="148"/>
      <c r="R448" s="87"/>
      <c r="S448" s="87"/>
      <c r="T448" s="87" t="str">
        <f>IF($A448="","",IF($AK448=TRUE,"Ready 2 Submit","Waiting on Dealer"))</f>
        <v/>
      </c>
      <c r="U448" s="148"/>
      <c r="V448" s="87"/>
      <c r="W448" s="87"/>
      <c r="X448" s="87" t="str">
        <f>IF($A448="","",IF($AK448=TRUE,"Ready 2 Submit","Waiting on Dealer"))</f>
        <v/>
      </c>
      <c r="Y448" s="148"/>
      <c r="Z448" s="87"/>
      <c r="AA448" s="87"/>
      <c r="AB448" s="87" t="str">
        <f>IF($A448="","",IF($AK448=TRUE,"Ready 2 Submit","Waiting on Dealer"))</f>
        <v/>
      </c>
      <c r="AC448" s="148"/>
      <c r="AD448" s="87"/>
      <c r="AE448" s="87"/>
      <c r="AF448" s="87" t="str">
        <f>IF($A448="","",IF($AK448=TRUE,"Ready 2 Submit","Waiting on Dealer"))</f>
        <v/>
      </c>
      <c r="AG448" s="148"/>
      <c r="AH448" s="87"/>
      <c r="AI448" s="87"/>
      <c r="AJ448" s="197"/>
      <c r="AK448" s="110" t="b">
        <v>0</v>
      </c>
      <c r="AL448" s="87" t="str" cm="1">
        <f t="array" ref="AL448">IF($A448="","",SUMPRODUCT((CHOOSE({1,2,3,4,5},$R448,$V448,$Z448,$AD448,$AH448)="Yes")*(((CHOOSE({1,2,3,4,5},$S448,$W448,$AA448,$AE448,$AI448)="Yes")+(CHOOSE({1,2,3,4,5},$S448,$W448,$AA448,$AE448,$AI448)=TRUE))&gt;0)))</f>
        <v/>
      </c>
      <c r="AM448" s="87"/>
      <c r="AN448" s="87" t="str">
        <f ca="1">IF(OR($A448="",$AM448=""),"",TODAY()-$AM448)</f>
        <v/>
      </c>
      <c r="AO448" s="87"/>
      <c r="AP448" s="106"/>
      <c r="AQ448" s="106"/>
      <c r="AR448" s="106"/>
      <c r="AS448" s="106"/>
      <c r="AT448" s="106"/>
      <c r="AU448" s="106"/>
      <c r="AV448" s="106"/>
      <c r="AW448" s="106"/>
      <c r="AX448" s="106"/>
      <c r="AY448" s="106"/>
    </row>
    <row r="449" spans="1:51" s="20" customFormat="1" ht="21" customHeight="1">
      <c r="A449" s="197"/>
      <c r="B449" s="87"/>
      <c r="C449" s="87"/>
      <c r="D449" s="196"/>
      <c r="E449" s="108"/>
      <c r="F449" s="196"/>
      <c r="G449" s="87"/>
      <c r="H449" s="197"/>
      <c r="I449" s="89"/>
      <c r="J449" s="204"/>
      <c r="K449" s="87"/>
      <c r="L449" s="87" t="str" cm="1">
        <f t="array" ref="L449">IF($A449="","",_xlfn.LET(_xlpm.stat,CHOOSE({1,2,3,4,5},$P449,$T449,$X449,$AB449,$AF449),_xlpm.rate,CHOOSE({1,2,3,4,5},$R449,$V449,$Z449,$AD449,$AH449),_xlpm.trn,CHOOSE({1,2,3,4,5},$S449,$W449,$AA449,$AE449,$AI449),_xlpm.nsC,SUMPRODUCT(--(_xlpm.stat="Ready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DLR",IF(AND(_xlpm.actRS&gt;0,_xlpm.actDone&lt;_xlpm.actRS),"Training",IF(_xlpm.actRS&gt;0,"Active",IF(AND(_xlpm.decC&gt;0,_xlpm.inPlay+_xlpm.actC=0),"Dead",IF(AND($AJ449&lt;&gt;"",$AK449=FALSE),"Waiting on Dealer",IF(_xlpm.subC&gt;0,"Waiting on Lender",IF(AND(_xlpm.appC+_xlpm.actC&gt;0,_xlpm.nsC+_xlpm.wdC=0),"Rate Sheet","Application Submitted")))))))))</f>
        <v/>
      </c>
      <c r="M449" s="87"/>
      <c r="N449" s="87"/>
      <c r="O449" s="197"/>
      <c r="P449" s="87" t="str">
        <f>IF($A449="","",IF($AK449=TRUE,"Ready 2 Submit","Waiting on Dealer"))</f>
        <v/>
      </c>
      <c r="Q449" s="148"/>
      <c r="R449" s="87"/>
      <c r="S449" s="87"/>
      <c r="T449" s="87" t="str">
        <f>IF($A449="","",IF($AK449=TRUE,"Ready 2 Submit","Waiting on Dealer"))</f>
        <v/>
      </c>
      <c r="U449" s="148"/>
      <c r="V449" s="87"/>
      <c r="W449" s="87"/>
      <c r="X449" s="87" t="str">
        <f>IF($A449="","",IF($AK449=TRUE,"Ready 2 Submit","Waiting on Dealer"))</f>
        <v/>
      </c>
      <c r="Y449" s="148"/>
      <c r="Z449" s="87"/>
      <c r="AA449" s="87"/>
      <c r="AB449" s="87" t="str">
        <f>IF($A449="","",IF($AK449=TRUE,"Ready 2 Submit","Waiting on Dealer"))</f>
        <v/>
      </c>
      <c r="AC449" s="148"/>
      <c r="AD449" s="87"/>
      <c r="AE449" s="87"/>
      <c r="AF449" s="87" t="str">
        <f>IF($A449="","",IF($AK449=TRUE,"Ready 2 Submit","Waiting on Dealer"))</f>
        <v/>
      </c>
      <c r="AG449" s="148"/>
      <c r="AH449" s="87"/>
      <c r="AI449" s="87"/>
      <c r="AJ449" s="197"/>
      <c r="AK449" s="110" t="b">
        <v>0</v>
      </c>
      <c r="AL449" s="87" t="str" cm="1">
        <f t="array" ref="AL449">IF($A449="","",SUMPRODUCT((CHOOSE({1,2,3,4,5},$R449,$V449,$Z449,$AD449,$AH449)="Yes")*(((CHOOSE({1,2,3,4,5},$S449,$W449,$AA449,$AE449,$AI449)="Yes")+(CHOOSE({1,2,3,4,5},$S449,$W449,$AA449,$AE449,$AI449)=TRUE))&gt;0)))</f>
        <v/>
      </c>
      <c r="AM449" s="87"/>
      <c r="AN449" s="87" t="str">
        <f ca="1">IF(OR($A449="",$AM449=""),"",TODAY()-$AM449)</f>
        <v/>
      </c>
      <c r="AO449" s="87"/>
      <c r="AP449" s="106"/>
      <c r="AQ449" s="106"/>
      <c r="AR449" s="106"/>
      <c r="AS449" s="106"/>
      <c r="AT449" s="106"/>
      <c r="AU449" s="106"/>
      <c r="AV449" s="106"/>
      <c r="AW449" s="106"/>
      <c r="AX449" s="106"/>
      <c r="AY449" s="106"/>
    </row>
    <row r="450" spans="1:51" s="20" customFormat="1" ht="21" customHeight="1">
      <c r="A450" s="197"/>
      <c r="B450" s="87"/>
      <c r="C450" s="87"/>
      <c r="D450" s="196"/>
      <c r="E450" s="108"/>
      <c r="F450" s="196"/>
      <c r="G450" s="87"/>
      <c r="H450" s="197"/>
      <c r="I450" s="89"/>
      <c r="J450" s="204"/>
      <c r="K450" s="87"/>
      <c r="L450" s="87" t="str" cm="1">
        <f t="array" ref="L450">IF($A450="","",_xlfn.LET(_xlpm.stat,CHOOSE({1,2,3,4,5},$P450,$T450,$X450,$AB450,$AF450),_xlpm.rate,CHOOSE({1,2,3,4,5},$R450,$V450,$Z450,$AD450,$AH450),_xlpm.trn,CHOOSE({1,2,3,4,5},$S450,$W450,$AA450,$AE450,$AI450),_xlpm.nsC,SUMPRODUCT(--(_xlpm.stat="Ready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DLR",IF(AND(_xlpm.actRS&gt;0,_xlpm.actDone&lt;_xlpm.actRS),"Training",IF(_xlpm.actRS&gt;0,"Active",IF(AND(_xlpm.decC&gt;0,_xlpm.inPlay+_xlpm.actC=0),"Dead",IF(AND($AJ450&lt;&gt;"",$AK450=FALSE),"Waiting on Dealer",IF(_xlpm.subC&gt;0,"Waiting on Lender",IF(AND(_xlpm.appC+_xlpm.actC&gt;0,_xlpm.nsC+_xlpm.wdC=0),"Rate Sheet","Application Submitted")))))))))</f>
        <v/>
      </c>
      <c r="M450" s="87"/>
      <c r="N450" s="87"/>
      <c r="O450" s="197"/>
      <c r="P450" s="87" t="str">
        <f>IF($A450="","",IF($AK450=TRUE,"Ready 2 Submit","Waiting on Dealer"))</f>
        <v/>
      </c>
      <c r="Q450" s="148"/>
      <c r="R450" s="87"/>
      <c r="S450" s="87"/>
      <c r="T450" s="87" t="str">
        <f>IF($A450="","",IF($AK450=TRUE,"Ready 2 Submit","Waiting on Dealer"))</f>
        <v/>
      </c>
      <c r="U450" s="148"/>
      <c r="V450" s="87"/>
      <c r="W450" s="87"/>
      <c r="X450" s="87" t="str">
        <f>IF($A450="","",IF($AK450=TRUE,"Ready 2 Submit","Waiting on Dealer"))</f>
        <v/>
      </c>
      <c r="Y450" s="148"/>
      <c r="Z450" s="87"/>
      <c r="AA450" s="87"/>
      <c r="AB450" s="87" t="str">
        <f>IF($A450="","",IF($AK450=TRUE,"Ready 2 Submit","Waiting on Dealer"))</f>
        <v/>
      </c>
      <c r="AC450" s="148"/>
      <c r="AD450" s="87"/>
      <c r="AE450" s="87"/>
      <c r="AF450" s="87" t="str">
        <f>IF($A450="","",IF($AK450=TRUE,"Ready 2 Submit","Waiting on Dealer"))</f>
        <v/>
      </c>
      <c r="AG450" s="148"/>
      <c r="AH450" s="87"/>
      <c r="AI450" s="87"/>
      <c r="AJ450" s="197"/>
      <c r="AK450" s="110" t="b">
        <v>0</v>
      </c>
      <c r="AL450" s="87" t="str" cm="1">
        <f t="array" ref="AL450">IF($A450="","",SUMPRODUCT((CHOOSE({1,2,3,4,5},$R450,$V450,$Z450,$AD450,$AH450)="Yes")*(((CHOOSE({1,2,3,4,5},$S450,$W450,$AA450,$AE450,$AI450)="Yes")+(CHOOSE({1,2,3,4,5},$S450,$W450,$AA450,$AE450,$AI450)=TRUE))&gt;0)))</f>
        <v/>
      </c>
      <c r="AM450" s="87"/>
      <c r="AN450" s="87" t="str">
        <f ca="1">IF(OR($A450="",$AM450=""),"",TODAY()-$AM450)</f>
        <v/>
      </c>
      <c r="AO450" s="87"/>
      <c r="AP450" s="106"/>
      <c r="AQ450" s="106"/>
      <c r="AR450" s="106"/>
      <c r="AS450" s="106"/>
      <c r="AT450" s="106"/>
      <c r="AU450" s="106"/>
      <c r="AV450" s="106"/>
      <c r="AW450" s="106"/>
      <c r="AX450" s="106"/>
      <c r="AY450" s="106"/>
    </row>
    <row r="451" spans="1:51" s="20" customFormat="1" ht="21" customHeight="1">
      <c r="A451" s="197"/>
      <c r="B451" s="87"/>
      <c r="C451" s="87"/>
      <c r="D451" s="196"/>
      <c r="E451" s="108"/>
      <c r="F451" s="196"/>
      <c r="G451" s="87"/>
      <c r="H451" s="197"/>
      <c r="I451" s="89"/>
      <c r="J451" s="204"/>
      <c r="K451" s="87"/>
      <c r="L451" s="87" t="str" cm="1">
        <f t="array" ref="L451">IF($A451="","",_xlfn.LET(_xlpm.stat,CHOOSE({1,2,3,4,5},$P451,$T451,$X451,$AB451,$AF451),_xlpm.rate,CHOOSE({1,2,3,4,5},$R451,$V451,$Z451,$AD451,$AH451),_xlpm.trn,CHOOSE({1,2,3,4,5},$S451,$W451,$AA451,$AE451,$AI451),_xlpm.nsC,SUMPRODUCT(--(_xlpm.stat="Ready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DLR",IF(AND(_xlpm.actRS&gt;0,_xlpm.actDone&lt;_xlpm.actRS),"Training",IF(_xlpm.actRS&gt;0,"Active",IF(AND(_xlpm.decC&gt;0,_xlpm.inPlay+_xlpm.actC=0),"Dead",IF(AND($AJ451&lt;&gt;"",$AK451=FALSE),"Waiting on Dealer",IF(_xlpm.subC&gt;0,"Waiting on Lender",IF(AND(_xlpm.appC+_xlpm.actC&gt;0,_xlpm.nsC+_xlpm.wdC=0),"Rate Sheet","Application Submitted")))))))))</f>
        <v/>
      </c>
      <c r="M451" s="87"/>
      <c r="N451" s="87"/>
      <c r="O451" s="197"/>
      <c r="P451" s="87" t="str">
        <f>IF($A451="","",IF($AK451=TRUE,"Ready 2 Submit","Waiting on Dealer"))</f>
        <v/>
      </c>
      <c r="Q451" s="148"/>
      <c r="R451" s="87"/>
      <c r="S451" s="87"/>
      <c r="T451" s="87" t="str">
        <f>IF($A451="","",IF($AK451=TRUE,"Ready 2 Submit","Waiting on Dealer"))</f>
        <v/>
      </c>
      <c r="U451" s="148"/>
      <c r="V451" s="87"/>
      <c r="W451" s="87"/>
      <c r="X451" s="87" t="str">
        <f>IF($A451="","",IF($AK451=TRUE,"Ready 2 Submit","Waiting on Dealer"))</f>
        <v/>
      </c>
      <c r="Y451" s="148"/>
      <c r="Z451" s="87"/>
      <c r="AA451" s="87"/>
      <c r="AB451" s="87" t="str">
        <f>IF($A451="","",IF($AK451=TRUE,"Ready 2 Submit","Waiting on Dealer"))</f>
        <v/>
      </c>
      <c r="AC451" s="148"/>
      <c r="AD451" s="87"/>
      <c r="AE451" s="87"/>
      <c r="AF451" s="87" t="str">
        <f>IF($A451="","",IF($AK451=TRUE,"Ready 2 Submit","Waiting on Dealer"))</f>
        <v/>
      </c>
      <c r="AG451" s="148"/>
      <c r="AH451" s="87"/>
      <c r="AI451" s="87"/>
      <c r="AJ451" s="197"/>
      <c r="AK451" s="110" t="b">
        <v>0</v>
      </c>
      <c r="AL451" s="87" t="str" cm="1">
        <f t="array" ref="AL451">IF($A451="","",SUMPRODUCT((CHOOSE({1,2,3,4,5},$R451,$V451,$Z451,$AD451,$AH451)="Yes")*(((CHOOSE({1,2,3,4,5},$S451,$W451,$AA451,$AE451,$AI451)="Yes")+(CHOOSE({1,2,3,4,5},$S451,$W451,$AA451,$AE451,$AI451)=TRUE))&gt;0)))</f>
        <v/>
      </c>
      <c r="AM451" s="87"/>
      <c r="AN451" s="87" t="str">
        <f ca="1">IF(OR($A451="",$AM451=""),"",TODAY()-$AM451)</f>
        <v/>
      </c>
      <c r="AO451" s="87"/>
      <c r="AP451" s="106"/>
      <c r="AQ451" s="106"/>
      <c r="AR451" s="106"/>
      <c r="AS451" s="106"/>
      <c r="AT451" s="106"/>
      <c r="AU451" s="106"/>
      <c r="AV451" s="106"/>
      <c r="AW451" s="106"/>
      <c r="AX451" s="106"/>
      <c r="AY451" s="106"/>
    </row>
    <row r="452" spans="1:51" s="20" customFormat="1" ht="21" customHeight="1">
      <c r="A452" s="197"/>
      <c r="B452" s="87"/>
      <c r="C452" s="87"/>
      <c r="D452" s="196"/>
      <c r="E452" s="108"/>
      <c r="F452" s="196"/>
      <c r="G452" s="87"/>
      <c r="H452" s="197"/>
      <c r="I452" s="89"/>
      <c r="J452" s="204"/>
      <c r="K452" s="87"/>
      <c r="L452" s="87" t="str" cm="1">
        <f t="array" ref="L452">IF($A452="","",_xlfn.LET(_xlpm.stat,CHOOSE({1,2,3,4,5},$P452,$T452,$X452,$AB452,$AF452),_xlpm.rate,CHOOSE({1,2,3,4,5},$R452,$V452,$Z452,$AD452,$AH452),_xlpm.trn,CHOOSE({1,2,3,4,5},$S452,$W452,$AA452,$AE452,$AI452),_xlpm.nsC,SUMPRODUCT(--(_xlpm.stat="Ready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DLR",IF(AND(_xlpm.actRS&gt;0,_xlpm.actDone&lt;_xlpm.actRS),"Training",IF(_xlpm.actRS&gt;0,"Active",IF(AND(_xlpm.decC&gt;0,_xlpm.inPlay+_xlpm.actC=0),"Dead",IF(AND($AJ452&lt;&gt;"",$AK452=FALSE),"Waiting on Dealer",IF(_xlpm.subC&gt;0,"Waiting on Lender",IF(AND(_xlpm.appC+_xlpm.actC&gt;0,_xlpm.nsC+_xlpm.wdC=0),"Rate Sheet","Application Submitted")))))))))</f>
        <v/>
      </c>
      <c r="M452" s="87"/>
      <c r="N452" s="87"/>
      <c r="O452" s="197"/>
      <c r="P452" s="87" t="str">
        <f>IF($A452="","",IF($AK452=TRUE,"Ready 2 Submit","Waiting on Dealer"))</f>
        <v/>
      </c>
      <c r="Q452" s="148"/>
      <c r="R452" s="87"/>
      <c r="S452" s="87"/>
      <c r="T452" s="87" t="str">
        <f>IF($A452="","",IF($AK452=TRUE,"Ready 2 Submit","Waiting on Dealer"))</f>
        <v/>
      </c>
      <c r="U452" s="148"/>
      <c r="V452" s="87"/>
      <c r="W452" s="87"/>
      <c r="X452" s="87" t="str">
        <f>IF($A452="","",IF($AK452=TRUE,"Ready 2 Submit","Waiting on Dealer"))</f>
        <v/>
      </c>
      <c r="Y452" s="148"/>
      <c r="Z452" s="87"/>
      <c r="AA452" s="87"/>
      <c r="AB452" s="87" t="str">
        <f>IF($A452="","",IF($AK452=TRUE,"Ready 2 Submit","Waiting on Dealer"))</f>
        <v/>
      </c>
      <c r="AC452" s="148"/>
      <c r="AD452" s="87"/>
      <c r="AE452" s="87"/>
      <c r="AF452" s="87" t="str">
        <f>IF($A452="","",IF($AK452=TRUE,"Ready 2 Submit","Waiting on Dealer"))</f>
        <v/>
      </c>
      <c r="AG452" s="148"/>
      <c r="AH452" s="87"/>
      <c r="AI452" s="87"/>
      <c r="AJ452" s="197"/>
      <c r="AK452" s="110" t="b">
        <v>0</v>
      </c>
      <c r="AL452" s="87" t="str" cm="1">
        <f t="array" ref="AL452">IF($A452="","",SUMPRODUCT((CHOOSE({1,2,3,4,5},$R452,$V452,$Z452,$AD452,$AH452)="Yes")*(((CHOOSE({1,2,3,4,5},$S452,$W452,$AA452,$AE452,$AI452)="Yes")+(CHOOSE({1,2,3,4,5},$S452,$W452,$AA452,$AE452,$AI452)=TRUE))&gt;0)))</f>
        <v/>
      </c>
      <c r="AM452" s="87"/>
      <c r="AN452" s="87" t="str">
        <f ca="1">IF(OR($A452="",$AM452=""),"",TODAY()-$AM452)</f>
        <v/>
      </c>
      <c r="AO452" s="87"/>
      <c r="AP452" s="106"/>
      <c r="AQ452" s="106"/>
      <c r="AR452" s="106"/>
      <c r="AS452" s="106"/>
      <c r="AT452" s="106"/>
      <c r="AU452" s="106"/>
      <c r="AV452" s="106"/>
      <c r="AW452" s="106"/>
      <c r="AX452" s="106"/>
      <c r="AY452" s="106"/>
    </row>
    <row r="453" spans="1:51" s="20" customFormat="1" ht="21" customHeight="1">
      <c r="A453" s="197"/>
      <c r="B453" s="87"/>
      <c r="C453" s="87"/>
      <c r="D453" s="196"/>
      <c r="E453" s="108"/>
      <c r="F453" s="196"/>
      <c r="G453" s="87"/>
      <c r="H453" s="197"/>
      <c r="I453" s="89"/>
      <c r="J453" s="204"/>
      <c r="K453" s="87"/>
      <c r="L453" s="87" t="str" cm="1">
        <f t="array" ref="L453">IF($A453="","",_xlfn.LET(_xlpm.stat,CHOOSE({1,2,3,4,5},$P453,$T453,$X453,$AB453,$AF453),_xlpm.rate,CHOOSE({1,2,3,4,5},$R453,$V453,$Z453,$AD453,$AH453),_xlpm.trn,CHOOSE({1,2,3,4,5},$S453,$W453,$AA453,$AE453,$AI453),_xlpm.nsC,SUMPRODUCT(--(_xlpm.stat="Ready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DLR",IF(AND(_xlpm.actRS&gt;0,_xlpm.actDone&lt;_xlpm.actRS),"Training",IF(_xlpm.actRS&gt;0,"Active",IF(AND(_xlpm.decC&gt;0,_xlpm.inPlay+_xlpm.actC=0),"Dead",IF(AND($AJ453&lt;&gt;"",$AK453=FALSE),"Waiting on Dealer",IF(_xlpm.subC&gt;0,"Waiting on Lender",IF(AND(_xlpm.appC+_xlpm.actC&gt;0,_xlpm.nsC+_xlpm.wdC=0),"Rate Sheet","Application Submitted")))))))))</f>
        <v/>
      </c>
      <c r="M453" s="87"/>
      <c r="N453" s="87"/>
      <c r="O453" s="197"/>
      <c r="P453" s="87" t="str">
        <f>IF($A453="","",IF($AK453=TRUE,"Ready 2 Submit","Waiting on Dealer"))</f>
        <v/>
      </c>
      <c r="Q453" s="148"/>
      <c r="R453" s="87"/>
      <c r="S453" s="87"/>
      <c r="T453" s="87" t="str">
        <f>IF($A453="","",IF($AK453=TRUE,"Ready 2 Submit","Waiting on Dealer"))</f>
        <v/>
      </c>
      <c r="U453" s="148"/>
      <c r="V453" s="87"/>
      <c r="W453" s="87"/>
      <c r="X453" s="87" t="str">
        <f>IF($A453="","",IF($AK453=TRUE,"Ready 2 Submit","Waiting on Dealer"))</f>
        <v/>
      </c>
      <c r="Y453" s="148"/>
      <c r="Z453" s="87"/>
      <c r="AA453" s="87"/>
      <c r="AB453" s="87" t="str">
        <f>IF($A453="","",IF($AK453=TRUE,"Ready 2 Submit","Waiting on Dealer"))</f>
        <v/>
      </c>
      <c r="AC453" s="148"/>
      <c r="AD453" s="87"/>
      <c r="AE453" s="87"/>
      <c r="AF453" s="87" t="str">
        <f>IF($A453="","",IF($AK453=TRUE,"Ready 2 Submit","Waiting on Dealer"))</f>
        <v/>
      </c>
      <c r="AG453" s="148"/>
      <c r="AH453" s="87"/>
      <c r="AI453" s="87"/>
      <c r="AJ453" s="197"/>
      <c r="AK453" s="110" t="b">
        <v>0</v>
      </c>
      <c r="AL453" s="87" t="str" cm="1">
        <f t="array" ref="AL453">IF($A453="","",SUMPRODUCT((CHOOSE({1,2,3,4,5},$R453,$V453,$Z453,$AD453,$AH453)="Yes")*(((CHOOSE({1,2,3,4,5},$S453,$W453,$AA453,$AE453,$AI453)="Yes")+(CHOOSE({1,2,3,4,5},$S453,$W453,$AA453,$AE453,$AI453)=TRUE))&gt;0)))</f>
        <v/>
      </c>
      <c r="AM453" s="87"/>
      <c r="AN453" s="87" t="str">
        <f ca="1">IF(OR($A453="",$AM453=""),"",TODAY()-$AM453)</f>
        <v/>
      </c>
      <c r="AO453" s="87"/>
      <c r="AP453" s="106"/>
      <c r="AQ453" s="106"/>
      <c r="AR453" s="106"/>
      <c r="AS453" s="106"/>
      <c r="AT453" s="106"/>
      <c r="AU453" s="106"/>
      <c r="AV453" s="106"/>
      <c r="AW453" s="106"/>
      <c r="AX453" s="106"/>
      <c r="AY453" s="106"/>
    </row>
    <row r="454" spans="1:51" s="20" customFormat="1" ht="21" customHeight="1">
      <c r="A454" s="197"/>
      <c r="B454" s="87"/>
      <c r="C454" s="87"/>
      <c r="D454" s="196"/>
      <c r="E454" s="108"/>
      <c r="F454" s="196"/>
      <c r="G454" s="87"/>
      <c r="H454" s="197"/>
      <c r="I454" s="89"/>
      <c r="J454" s="204"/>
      <c r="K454" s="87"/>
      <c r="L454" s="87" t="str" cm="1">
        <f t="array" ref="L454">IF($A454="","",_xlfn.LET(_xlpm.stat,CHOOSE({1,2,3,4,5},$P454,$T454,$X454,$AB454,$AF454),_xlpm.rate,CHOOSE({1,2,3,4,5},$R454,$V454,$Z454,$AD454,$AH454),_xlpm.trn,CHOOSE({1,2,3,4,5},$S454,$W454,$AA454,$AE454,$AI454),_xlpm.nsC,SUMPRODUCT(--(_xlpm.stat="Ready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DLR",IF(AND(_xlpm.actRS&gt;0,_xlpm.actDone&lt;_xlpm.actRS),"Training",IF(_xlpm.actRS&gt;0,"Active",IF(AND(_xlpm.decC&gt;0,_xlpm.inPlay+_xlpm.actC=0),"Dead",IF(AND($AJ454&lt;&gt;"",$AK454=FALSE),"Waiting on Dealer",IF(_xlpm.subC&gt;0,"Waiting on Lender",IF(AND(_xlpm.appC+_xlpm.actC&gt;0,_xlpm.nsC+_xlpm.wdC=0),"Rate Sheet","Application Submitted")))))))))</f>
        <v/>
      </c>
      <c r="M454" s="87"/>
      <c r="N454" s="87"/>
      <c r="O454" s="197"/>
      <c r="P454" s="87" t="str">
        <f>IF($A454="","",IF($AK454=TRUE,"Ready 2 Submit","Waiting on Dealer"))</f>
        <v/>
      </c>
      <c r="Q454" s="148"/>
      <c r="R454" s="87"/>
      <c r="S454" s="87"/>
      <c r="T454" s="87" t="str">
        <f>IF($A454="","",IF($AK454=TRUE,"Ready 2 Submit","Waiting on Dealer"))</f>
        <v/>
      </c>
      <c r="U454" s="148"/>
      <c r="V454" s="87"/>
      <c r="W454" s="87"/>
      <c r="X454" s="87" t="str">
        <f>IF($A454="","",IF($AK454=TRUE,"Ready 2 Submit","Waiting on Dealer"))</f>
        <v/>
      </c>
      <c r="Y454" s="148"/>
      <c r="Z454" s="87"/>
      <c r="AA454" s="87"/>
      <c r="AB454" s="87" t="str">
        <f>IF($A454="","",IF($AK454=TRUE,"Ready 2 Submit","Waiting on Dealer"))</f>
        <v/>
      </c>
      <c r="AC454" s="148"/>
      <c r="AD454" s="87"/>
      <c r="AE454" s="87"/>
      <c r="AF454" s="87" t="str">
        <f>IF($A454="","",IF($AK454=TRUE,"Ready 2 Submit","Waiting on Dealer"))</f>
        <v/>
      </c>
      <c r="AG454" s="148"/>
      <c r="AH454" s="87"/>
      <c r="AI454" s="87"/>
      <c r="AJ454" s="197"/>
      <c r="AK454" s="110" t="b">
        <v>0</v>
      </c>
      <c r="AL454" s="87" t="str" cm="1">
        <f t="array" ref="AL454">IF($A454="","",SUMPRODUCT((CHOOSE({1,2,3,4,5},$R454,$V454,$Z454,$AD454,$AH454)="Yes")*(((CHOOSE({1,2,3,4,5},$S454,$W454,$AA454,$AE454,$AI454)="Yes")+(CHOOSE({1,2,3,4,5},$S454,$W454,$AA454,$AE454,$AI454)=TRUE))&gt;0)))</f>
        <v/>
      </c>
      <c r="AM454" s="87"/>
      <c r="AN454" s="87" t="str">
        <f ca="1">IF(OR($A454="",$AM454=""),"",TODAY()-$AM454)</f>
        <v/>
      </c>
      <c r="AO454" s="87"/>
      <c r="AP454" s="106"/>
      <c r="AQ454" s="106"/>
      <c r="AR454" s="106"/>
      <c r="AS454" s="106"/>
      <c r="AT454" s="106"/>
      <c r="AU454" s="106"/>
      <c r="AV454" s="106"/>
      <c r="AW454" s="106"/>
      <c r="AX454" s="106"/>
      <c r="AY454" s="106"/>
    </row>
    <row r="455" spans="1:51" s="20" customFormat="1" ht="21" customHeight="1">
      <c r="A455" s="197"/>
      <c r="B455" s="87"/>
      <c r="C455" s="87"/>
      <c r="D455" s="196"/>
      <c r="E455" s="108"/>
      <c r="F455" s="196"/>
      <c r="G455" s="87"/>
      <c r="H455" s="197"/>
      <c r="I455" s="89"/>
      <c r="J455" s="204"/>
      <c r="K455" s="87"/>
      <c r="L455" s="87" t="str" cm="1">
        <f t="array" ref="L455">IF($A455="","",_xlfn.LET(_xlpm.stat,CHOOSE({1,2,3,4,5},$P455,$T455,$X455,$AB455,$AF455),_xlpm.rate,CHOOSE({1,2,3,4,5},$R455,$V455,$Z455,$AD455,$AH455),_xlpm.trn,CHOOSE({1,2,3,4,5},$S455,$W455,$AA455,$AE455,$AI455),_xlpm.nsC,SUMPRODUCT(--(_xlpm.stat="Ready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DLR",IF(AND(_xlpm.actRS&gt;0,_xlpm.actDone&lt;_xlpm.actRS),"Training",IF(_xlpm.actRS&gt;0,"Active",IF(AND(_xlpm.decC&gt;0,_xlpm.inPlay+_xlpm.actC=0),"Dead",IF(AND($AJ455&lt;&gt;"",$AK455=FALSE),"Waiting on Dealer",IF(_xlpm.subC&gt;0,"Waiting on Lender",IF(AND(_xlpm.appC+_xlpm.actC&gt;0,_xlpm.nsC+_xlpm.wdC=0),"Rate Sheet","Application Submitted")))))))))</f>
        <v/>
      </c>
      <c r="M455" s="87"/>
      <c r="N455" s="87"/>
      <c r="O455" s="197"/>
      <c r="P455" s="87" t="str">
        <f>IF($A455="","",IF($AK455=TRUE,"Ready 2 Submit","Waiting on Dealer"))</f>
        <v/>
      </c>
      <c r="Q455" s="148"/>
      <c r="R455" s="87"/>
      <c r="S455" s="87"/>
      <c r="T455" s="87" t="str">
        <f>IF($A455="","",IF($AK455=TRUE,"Ready 2 Submit","Waiting on Dealer"))</f>
        <v/>
      </c>
      <c r="U455" s="148"/>
      <c r="V455" s="87"/>
      <c r="W455" s="87"/>
      <c r="X455" s="87" t="str">
        <f>IF($A455="","",IF($AK455=TRUE,"Ready 2 Submit","Waiting on Dealer"))</f>
        <v/>
      </c>
      <c r="Y455" s="148"/>
      <c r="Z455" s="87"/>
      <c r="AA455" s="87"/>
      <c r="AB455" s="87" t="str">
        <f>IF($A455="","",IF($AK455=TRUE,"Ready 2 Submit","Waiting on Dealer"))</f>
        <v/>
      </c>
      <c r="AC455" s="148"/>
      <c r="AD455" s="87"/>
      <c r="AE455" s="87"/>
      <c r="AF455" s="87" t="str">
        <f>IF($A455="","",IF($AK455=TRUE,"Ready 2 Submit","Waiting on Dealer"))</f>
        <v/>
      </c>
      <c r="AG455" s="148"/>
      <c r="AH455" s="87"/>
      <c r="AI455" s="87"/>
      <c r="AJ455" s="197"/>
      <c r="AK455" s="110" t="b">
        <v>0</v>
      </c>
      <c r="AL455" s="87" t="str" cm="1">
        <f t="array" ref="AL455">IF($A455="","",SUMPRODUCT((CHOOSE({1,2,3,4,5},$R455,$V455,$Z455,$AD455,$AH455)="Yes")*(((CHOOSE({1,2,3,4,5},$S455,$W455,$AA455,$AE455,$AI455)="Yes")+(CHOOSE({1,2,3,4,5},$S455,$W455,$AA455,$AE455,$AI455)=TRUE))&gt;0)))</f>
        <v/>
      </c>
      <c r="AM455" s="87"/>
      <c r="AN455" s="87" t="str">
        <f ca="1">IF(OR($A455="",$AM455=""),"",TODAY()-$AM455)</f>
        <v/>
      </c>
      <c r="AO455" s="87"/>
      <c r="AP455" s="106"/>
      <c r="AQ455" s="106"/>
      <c r="AR455" s="106"/>
      <c r="AS455" s="106"/>
      <c r="AT455" s="106"/>
      <c r="AU455" s="106"/>
      <c r="AV455" s="106"/>
      <c r="AW455" s="106"/>
      <c r="AX455" s="106"/>
      <c r="AY455" s="106"/>
    </row>
    <row r="456" spans="1:51" s="20" customFormat="1" ht="21" customHeight="1">
      <c r="A456" s="197"/>
      <c r="B456" s="87"/>
      <c r="C456" s="87"/>
      <c r="D456" s="196"/>
      <c r="E456" s="108"/>
      <c r="F456" s="196"/>
      <c r="G456" s="87"/>
      <c r="H456" s="197"/>
      <c r="I456" s="89"/>
      <c r="J456" s="204"/>
      <c r="K456" s="87"/>
      <c r="L456" s="87" t="str" cm="1">
        <f t="array" ref="L456">IF($A456="","",_xlfn.LET(_xlpm.stat,CHOOSE({1,2,3,4,5},$P456,$T456,$X456,$AB456,$AF456),_xlpm.rate,CHOOSE({1,2,3,4,5},$R456,$V456,$Z456,$AD456,$AH456),_xlpm.trn,CHOOSE({1,2,3,4,5},$S456,$W456,$AA456,$AE456,$AI456),_xlpm.nsC,SUMPRODUCT(--(_xlpm.stat="Ready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DLR",IF(AND(_xlpm.actRS&gt;0,_xlpm.actDone&lt;_xlpm.actRS),"Training",IF(_xlpm.actRS&gt;0,"Active",IF(AND(_xlpm.decC&gt;0,_xlpm.inPlay+_xlpm.actC=0),"Dead",IF(AND($AJ456&lt;&gt;"",$AK456=FALSE),"Waiting on Dealer",IF(_xlpm.subC&gt;0,"Waiting on Lender",IF(AND(_xlpm.appC+_xlpm.actC&gt;0,_xlpm.nsC+_xlpm.wdC=0),"Rate Sheet","Application Submitted")))))))))</f>
        <v/>
      </c>
      <c r="M456" s="87"/>
      <c r="N456" s="87"/>
      <c r="O456" s="197"/>
      <c r="P456" s="87" t="str">
        <f>IF($A456="","",IF($AK456=TRUE,"Ready 2 Submit","Waiting on Dealer"))</f>
        <v/>
      </c>
      <c r="Q456" s="148"/>
      <c r="R456" s="87"/>
      <c r="S456" s="87"/>
      <c r="T456" s="87" t="str">
        <f>IF($A456="","",IF($AK456=TRUE,"Ready 2 Submit","Waiting on Dealer"))</f>
        <v/>
      </c>
      <c r="U456" s="148"/>
      <c r="V456" s="87"/>
      <c r="W456" s="87"/>
      <c r="X456" s="87" t="str">
        <f>IF($A456="","",IF($AK456=TRUE,"Ready 2 Submit","Waiting on Dealer"))</f>
        <v/>
      </c>
      <c r="Y456" s="148"/>
      <c r="Z456" s="87"/>
      <c r="AA456" s="87"/>
      <c r="AB456" s="87" t="str">
        <f>IF($A456="","",IF($AK456=TRUE,"Ready 2 Submit","Waiting on Dealer"))</f>
        <v/>
      </c>
      <c r="AC456" s="148"/>
      <c r="AD456" s="87"/>
      <c r="AE456" s="87"/>
      <c r="AF456" s="87" t="str">
        <f>IF($A456="","",IF($AK456=TRUE,"Ready 2 Submit","Waiting on Dealer"))</f>
        <v/>
      </c>
      <c r="AG456" s="148"/>
      <c r="AH456" s="87"/>
      <c r="AI456" s="87"/>
      <c r="AJ456" s="197"/>
      <c r="AK456" s="110" t="b">
        <v>0</v>
      </c>
      <c r="AL456" s="87" t="str" cm="1">
        <f t="array" ref="AL456">IF($A456="","",SUMPRODUCT((CHOOSE({1,2,3,4,5},$R456,$V456,$Z456,$AD456,$AH456)="Yes")*(((CHOOSE({1,2,3,4,5},$S456,$W456,$AA456,$AE456,$AI456)="Yes")+(CHOOSE({1,2,3,4,5},$S456,$W456,$AA456,$AE456,$AI456)=TRUE))&gt;0)))</f>
        <v/>
      </c>
      <c r="AM456" s="87"/>
      <c r="AN456" s="87" t="str">
        <f ca="1">IF(OR($A456="",$AM456=""),"",TODAY()-$AM456)</f>
        <v/>
      </c>
      <c r="AO456" s="87"/>
      <c r="AP456" s="106"/>
      <c r="AQ456" s="106"/>
      <c r="AR456" s="106"/>
      <c r="AS456" s="106"/>
      <c r="AT456" s="106"/>
      <c r="AU456" s="106"/>
      <c r="AV456" s="106"/>
      <c r="AW456" s="106"/>
      <c r="AX456" s="106"/>
      <c r="AY456" s="106"/>
    </row>
    <row r="457" spans="1:51" s="20" customFormat="1" ht="21" customHeight="1">
      <c r="A457" s="197"/>
      <c r="B457" s="87"/>
      <c r="C457" s="87"/>
      <c r="D457" s="196"/>
      <c r="E457" s="108"/>
      <c r="F457" s="196"/>
      <c r="G457" s="87"/>
      <c r="H457" s="197"/>
      <c r="I457" s="89"/>
      <c r="J457" s="204"/>
      <c r="K457" s="87"/>
      <c r="L457" s="87" t="str" cm="1">
        <f t="array" ref="L457">IF($A457="","",_xlfn.LET(_xlpm.stat,CHOOSE({1,2,3,4,5},$P457,$T457,$X457,$AB457,$AF457),_xlpm.rate,CHOOSE({1,2,3,4,5},$R457,$V457,$Z457,$AD457,$AH457),_xlpm.trn,CHOOSE({1,2,3,4,5},$S457,$W457,$AA457,$AE457,$AI457),_xlpm.nsC,SUMPRODUCT(--(_xlpm.stat="Ready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DLR",IF(AND(_xlpm.actRS&gt;0,_xlpm.actDone&lt;_xlpm.actRS),"Training",IF(_xlpm.actRS&gt;0,"Active",IF(AND(_xlpm.decC&gt;0,_xlpm.inPlay+_xlpm.actC=0),"Dead",IF(AND($AJ457&lt;&gt;"",$AK457=FALSE),"Waiting on Dealer",IF(_xlpm.subC&gt;0,"Waiting on Lender",IF(AND(_xlpm.appC+_xlpm.actC&gt;0,_xlpm.nsC+_xlpm.wdC=0),"Rate Sheet","Application Submitted")))))))))</f>
        <v/>
      </c>
      <c r="M457" s="87"/>
      <c r="N457" s="87"/>
      <c r="O457" s="197"/>
      <c r="P457" s="87" t="str">
        <f>IF($A457="","",IF($AK457=TRUE,"Ready 2 Submit","Waiting on Dealer"))</f>
        <v/>
      </c>
      <c r="Q457" s="148"/>
      <c r="R457" s="87"/>
      <c r="S457" s="87"/>
      <c r="T457" s="87" t="str">
        <f>IF($A457="","",IF($AK457=TRUE,"Ready 2 Submit","Waiting on Dealer"))</f>
        <v/>
      </c>
      <c r="U457" s="148"/>
      <c r="V457" s="87"/>
      <c r="W457" s="87"/>
      <c r="X457" s="87" t="str">
        <f>IF($A457="","",IF($AK457=TRUE,"Ready 2 Submit","Waiting on Dealer"))</f>
        <v/>
      </c>
      <c r="Y457" s="148"/>
      <c r="Z457" s="87"/>
      <c r="AA457" s="87"/>
      <c r="AB457" s="87" t="str">
        <f>IF($A457="","",IF($AK457=TRUE,"Ready 2 Submit","Waiting on Dealer"))</f>
        <v/>
      </c>
      <c r="AC457" s="148"/>
      <c r="AD457" s="87"/>
      <c r="AE457" s="87"/>
      <c r="AF457" s="87" t="str">
        <f>IF($A457="","",IF($AK457=TRUE,"Ready 2 Submit","Waiting on Dealer"))</f>
        <v/>
      </c>
      <c r="AG457" s="148"/>
      <c r="AH457" s="87"/>
      <c r="AI457" s="87"/>
      <c r="AJ457" s="197"/>
      <c r="AK457" s="110" t="b">
        <v>0</v>
      </c>
      <c r="AL457" s="87" t="str" cm="1">
        <f t="array" ref="AL457">IF($A457="","",SUMPRODUCT((CHOOSE({1,2,3,4,5},$R457,$V457,$Z457,$AD457,$AH457)="Yes")*(((CHOOSE({1,2,3,4,5},$S457,$W457,$AA457,$AE457,$AI457)="Yes")+(CHOOSE({1,2,3,4,5},$S457,$W457,$AA457,$AE457,$AI457)=TRUE))&gt;0)))</f>
        <v/>
      </c>
      <c r="AM457" s="87"/>
      <c r="AN457" s="87" t="str">
        <f ca="1">IF(OR($A457="",$AM457=""),"",TODAY()-$AM457)</f>
        <v/>
      </c>
      <c r="AO457" s="87"/>
      <c r="AP457" s="106"/>
      <c r="AQ457" s="106"/>
      <c r="AR457" s="106"/>
      <c r="AS457" s="106"/>
      <c r="AT457" s="106"/>
      <c r="AU457" s="106"/>
      <c r="AV457" s="106"/>
      <c r="AW457" s="106"/>
      <c r="AX457" s="106"/>
      <c r="AY457" s="106"/>
    </row>
    <row r="458" spans="1:51" s="20" customFormat="1" ht="21" customHeight="1">
      <c r="A458" s="197"/>
      <c r="B458" s="87"/>
      <c r="C458" s="87"/>
      <c r="D458" s="196"/>
      <c r="E458" s="108"/>
      <c r="F458" s="196"/>
      <c r="G458" s="87"/>
      <c r="H458" s="197"/>
      <c r="I458" s="89"/>
      <c r="J458" s="204"/>
      <c r="K458" s="87"/>
      <c r="L458" s="87" t="str" cm="1">
        <f t="array" ref="L458">IF($A458="","",_xlfn.LET(_xlpm.stat,CHOOSE({1,2,3,4,5},$P458,$T458,$X458,$AB458,$AF458),_xlpm.rate,CHOOSE({1,2,3,4,5},$R458,$V458,$Z458,$AD458,$AH458),_xlpm.trn,CHOOSE({1,2,3,4,5},$S458,$W458,$AA458,$AE458,$AI458),_xlpm.nsC,SUMPRODUCT(--(_xlpm.stat="Ready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DLR",IF(AND(_xlpm.actRS&gt;0,_xlpm.actDone&lt;_xlpm.actRS),"Training",IF(_xlpm.actRS&gt;0,"Active",IF(AND(_xlpm.decC&gt;0,_xlpm.inPlay+_xlpm.actC=0),"Dead",IF(AND($AJ458&lt;&gt;"",$AK458=FALSE),"Waiting on Dealer",IF(_xlpm.subC&gt;0,"Waiting on Lender",IF(AND(_xlpm.appC+_xlpm.actC&gt;0,_xlpm.nsC+_xlpm.wdC=0),"Rate Sheet","Application Submitted")))))))))</f>
        <v/>
      </c>
      <c r="M458" s="87"/>
      <c r="N458" s="87"/>
      <c r="O458" s="197"/>
      <c r="P458" s="87" t="str">
        <f>IF($A458="","",IF($AK458=TRUE,"Ready 2 Submit","Waiting on Dealer"))</f>
        <v/>
      </c>
      <c r="Q458" s="148"/>
      <c r="R458" s="87"/>
      <c r="S458" s="87"/>
      <c r="T458" s="87" t="str">
        <f>IF($A458="","",IF($AK458=TRUE,"Ready 2 Submit","Waiting on Dealer"))</f>
        <v/>
      </c>
      <c r="U458" s="148"/>
      <c r="V458" s="87"/>
      <c r="W458" s="87"/>
      <c r="X458" s="87" t="str">
        <f>IF($A458="","",IF($AK458=TRUE,"Ready 2 Submit","Waiting on Dealer"))</f>
        <v/>
      </c>
      <c r="Y458" s="148"/>
      <c r="Z458" s="87"/>
      <c r="AA458" s="87"/>
      <c r="AB458" s="87" t="str">
        <f>IF($A458="","",IF($AK458=TRUE,"Ready 2 Submit","Waiting on Dealer"))</f>
        <v/>
      </c>
      <c r="AC458" s="148"/>
      <c r="AD458" s="87"/>
      <c r="AE458" s="87"/>
      <c r="AF458" s="87" t="str">
        <f>IF($A458="","",IF($AK458=TRUE,"Ready 2 Submit","Waiting on Dealer"))</f>
        <v/>
      </c>
      <c r="AG458" s="148"/>
      <c r="AH458" s="87"/>
      <c r="AI458" s="87"/>
      <c r="AJ458" s="197"/>
      <c r="AK458" s="110" t="b">
        <v>0</v>
      </c>
      <c r="AL458" s="87" t="str" cm="1">
        <f t="array" ref="AL458">IF($A458="","",SUMPRODUCT((CHOOSE({1,2,3,4,5},$R458,$V458,$Z458,$AD458,$AH458)="Yes")*(((CHOOSE({1,2,3,4,5},$S458,$W458,$AA458,$AE458,$AI458)="Yes")+(CHOOSE({1,2,3,4,5},$S458,$W458,$AA458,$AE458,$AI458)=TRUE))&gt;0)))</f>
        <v/>
      </c>
      <c r="AM458" s="87"/>
      <c r="AN458" s="87" t="str">
        <f ca="1">IF(OR($A458="",$AM458=""),"",TODAY()-$AM458)</f>
        <v/>
      </c>
      <c r="AO458" s="87"/>
      <c r="AP458" s="106"/>
      <c r="AQ458" s="106"/>
      <c r="AR458" s="106"/>
      <c r="AS458" s="106"/>
      <c r="AT458" s="106"/>
      <c r="AU458" s="106"/>
      <c r="AV458" s="106"/>
      <c r="AW458" s="106"/>
      <c r="AX458" s="106"/>
      <c r="AY458" s="106"/>
    </row>
    <row r="459" spans="1:51" s="20" customFormat="1" ht="21" customHeight="1">
      <c r="A459" s="197"/>
      <c r="B459" s="87"/>
      <c r="C459" s="87"/>
      <c r="D459" s="196"/>
      <c r="E459" s="108"/>
      <c r="F459" s="196"/>
      <c r="G459" s="87"/>
      <c r="H459" s="197"/>
      <c r="I459" s="89"/>
      <c r="J459" s="204"/>
      <c r="K459" s="87"/>
      <c r="L459" s="87" t="str" cm="1">
        <f t="array" ref="L459">IF($A459="","",_xlfn.LET(_xlpm.stat,CHOOSE({1,2,3,4,5},$P459,$T459,$X459,$AB459,$AF459),_xlpm.rate,CHOOSE({1,2,3,4,5},$R459,$V459,$Z459,$AD459,$AH459),_xlpm.trn,CHOOSE({1,2,3,4,5},$S459,$W459,$AA459,$AE459,$AI459),_xlpm.nsC,SUMPRODUCT(--(_xlpm.stat="Ready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DLR",IF(AND(_xlpm.actRS&gt;0,_xlpm.actDone&lt;_xlpm.actRS),"Training",IF(_xlpm.actRS&gt;0,"Active",IF(AND(_xlpm.decC&gt;0,_xlpm.inPlay+_xlpm.actC=0),"Dead",IF(AND($AJ459&lt;&gt;"",$AK459=FALSE),"Waiting on Dealer",IF(_xlpm.subC&gt;0,"Waiting on Lender",IF(AND(_xlpm.appC+_xlpm.actC&gt;0,_xlpm.nsC+_xlpm.wdC=0),"Rate Sheet","Application Submitted")))))))))</f>
        <v/>
      </c>
      <c r="M459" s="87"/>
      <c r="N459" s="87"/>
      <c r="O459" s="197"/>
      <c r="P459" s="87" t="str">
        <f>IF($A459="","",IF($AK459=TRUE,"Ready 2 Submit","Waiting on Dealer"))</f>
        <v/>
      </c>
      <c r="Q459" s="148"/>
      <c r="R459" s="87"/>
      <c r="S459" s="87"/>
      <c r="T459" s="87" t="str">
        <f>IF($A459="","",IF($AK459=TRUE,"Ready 2 Submit","Waiting on Dealer"))</f>
        <v/>
      </c>
      <c r="U459" s="148"/>
      <c r="V459" s="87"/>
      <c r="W459" s="87"/>
      <c r="X459" s="87" t="str">
        <f>IF($A459="","",IF($AK459=TRUE,"Ready 2 Submit","Waiting on Dealer"))</f>
        <v/>
      </c>
      <c r="Y459" s="148"/>
      <c r="Z459" s="87"/>
      <c r="AA459" s="87"/>
      <c r="AB459" s="87" t="str">
        <f>IF($A459="","",IF($AK459=TRUE,"Ready 2 Submit","Waiting on Dealer"))</f>
        <v/>
      </c>
      <c r="AC459" s="148"/>
      <c r="AD459" s="87"/>
      <c r="AE459" s="87"/>
      <c r="AF459" s="87" t="str">
        <f>IF($A459="","",IF($AK459=TRUE,"Ready 2 Submit","Waiting on Dealer"))</f>
        <v/>
      </c>
      <c r="AG459" s="148"/>
      <c r="AH459" s="87"/>
      <c r="AI459" s="87"/>
      <c r="AJ459" s="197"/>
      <c r="AK459" s="110" t="b">
        <v>0</v>
      </c>
      <c r="AL459" s="87" t="str" cm="1">
        <f t="array" ref="AL459">IF($A459="","",SUMPRODUCT((CHOOSE({1,2,3,4,5},$R459,$V459,$Z459,$AD459,$AH459)="Yes")*(((CHOOSE({1,2,3,4,5},$S459,$W459,$AA459,$AE459,$AI459)="Yes")+(CHOOSE({1,2,3,4,5},$S459,$W459,$AA459,$AE459,$AI459)=TRUE))&gt;0)))</f>
        <v/>
      </c>
      <c r="AM459" s="87"/>
      <c r="AN459" s="87" t="str">
        <f ca="1">IF(OR($A459="",$AM459=""),"",TODAY()-$AM459)</f>
        <v/>
      </c>
      <c r="AO459" s="87"/>
      <c r="AP459" s="106"/>
      <c r="AQ459" s="106"/>
      <c r="AR459" s="106"/>
      <c r="AS459" s="106"/>
      <c r="AT459" s="106"/>
      <c r="AU459" s="106"/>
      <c r="AV459" s="106"/>
      <c r="AW459" s="106"/>
      <c r="AX459" s="106"/>
      <c r="AY459" s="106"/>
    </row>
    <row r="460" spans="1:51" s="20" customFormat="1" ht="21" customHeight="1">
      <c r="A460" s="197"/>
      <c r="B460" s="87"/>
      <c r="C460" s="87"/>
      <c r="D460" s="196"/>
      <c r="E460" s="108"/>
      <c r="F460" s="196"/>
      <c r="G460" s="87"/>
      <c r="H460" s="197"/>
      <c r="I460" s="89"/>
      <c r="J460" s="204"/>
      <c r="K460" s="87"/>
      <c r="L460" s="87" t="str" cm="1">
        <f t="array" ref="L460">IF($A460="","",_xlfn.LET(_xlpm.stat,CHOOSE({1,2,3,4,5},$P460,$T460,$X460,$AB460,$AF460),_xlpm.rate,CHOOSE({1,2,3,4,5},$R460,$V460,$Z460,$AD460,$AH460),_xlpm.trn,CHOOSE({1,2,3,4,5},$S460,$W460,$AA460,$AE460,$AI460),_xlpm.nsC,SUMPRODUCT(--(_xlpm.stat="Ready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DLR",IF(AND(_xlpm.actRS&gt;0,_xlpm.actDone&lt;_xlpm.actRS),"Training",IF(_xlpm.actRS&gt;0,"Active",IF(AND(_xlpm.decC&gt;0,_xlpm.inPlay+_xlpm.actC=0),"Dead",IF(AND($AJ460&lt;&gt;"",$AK460=FALSE),"Waiting on Dealer",IF(_xlpm.subC&gt;0,"Waiting on Lender",IF(AND(_xlpm.appC+_xlpm.actC&gt;0,_xlpm.nsC+_xlpm.wdC=0),"Rate Sheet","Application Submitted")))))))))</f>
        <v/>
      </c>
      <c r="M460" s="87"/>
      <c r="N460" s="87"/>
      <c r="O460" s="197"/>
      <c r="P460" s="87" t="str">
        <f>IF($A460="","",IF($AK460=TRUE,"Ready 2 Submit","Waiting on Dealer"))</f>
        <v/>
      </c>
      <c r="Q460" s="148"/>
      <c r="R460" s="87"/>
      <c r="S460" s="87"/>
      <c r="T460" s="87" t="str">
        <f>IF($A460="","",IF($AK460=TRUE,"Ready 2 Submit","Waiting on Dealer"))</f>
        <v/>
      </c>
      <c r="U460" s="148"/>
      <c r="V460" s="87"/>
      <c r="W460" s="87"/>
      <c r="X460" s="87" t="str">
        <f>IF($A460="","",IF($AK460=TRUE,"Ready 2 Submit","Waiting on Dealer"))</f>
        <v/>
      </c>
      <c r="Y460" s="148"/>
      <c r="Z460" s="87"/>
      <c r="AA460" s="87"/>
      <c r="AB460" s="87" t="str">
        <f>IF($A460="","",IF($AK460=TRUE,"Ready 2 Submit","Waiting on Dealer"))</f>
        <v/>
      </c>
      <c r="AC460" s="148"/>
      <c r="AD460" s="87"/>
      <c r="AE460" s="87"/>
      <c r="AF460" s="87" t="str">
        <f>IF($A460="","",IF($AK460=TRUE,"Ready 2 Submit","Waiting on Dealer"))</f>
        <v/>
      </c>
      <c r="AG460" s="148"/>
      <c r="AH460" s="87"/>
      <c r="AI460" s="87"/>
      <c r="AJ460" s="197"/>
      <c r="AK460" s="110" t="b">
        <v>0</v>
      </c>
      <c r="AL460" s="87" t="str" cm="1">
        <f t="array" ref="AL460">IF($A460="","",SUMPRODUCT((CHOOSE({1,2,3,4,5},$R460,$V460,$Z460,$AD460,$AH460)="Yes")*(((CHOOSE({1,2,3,4,5},$S460,$W460,$AA460,$AE460,$AI460)="Yes")+(CHOOSE({1,2,3,4,5},$S460,$W460,$AA460,$AE460,$AI460)=TRUE))&gt;0)))</f>
        <v/>
      </c>
      <c r="AM460" s="87"/>
      <c r="AN460" s="87" t="str">
        <f ca="1">IF(OR($A460="",$AM460=""),"",TODAY()-$AM460)</f>
        <v/>
      </c>
      <c r="AO460" s="87"/>
      <c r="AP460" s="106"/>
      <c r="AQ460" s="106"/>
      <c r="AR460" s="106"/>
      <c r="AS460" s="106"/>
      <c r="AT460" s="106"/>
      <c r="AU460" s="106"/>
      <c r="AV460" s="106"/>
      <c r="AW460" s="106"/>
      <c r="AX460" s="106"/>
      <c r="AY460" s="106"/>
    </row>
    <row r="461" spans="1:51" s="20" customFormat="1" ht="21" customHeight="1">
      <c r="A461" s="197"/>
      <c r="B461" s="87"/>
      <c r="C461" s="87"/>
      <c r="D461" s="196"/>
      <c r="E461" s="108"/>
      <c r="F461" s="196"/>
      <c r="G461" s="87"/>
      <c r="H461" s="197"/>
      <c r="I461" s="89"/>
      <c r="J461" s="204"/>
      <c r="K461" s="87"/>
      <c r="L461" s="87" t="str" cm="1">
        <f t="array" ref="L461">IF($A461="","",_xlfn.LET(_xlpm.stat,CHOOSE({1,2,3,4,5},$P461,$T461,$X461,$AB461,$AF461),_xlpm.rate,CHOOSE({1,2,3,4,5},$R461,$V461,$Z461,$AD461,$AH461),_xlpm.trn,CHOOSE({1,2,3,4,5},$S461,$W461,$AA461,$AE461,$AI461),_xlpm.nsC,SUMPRODUCT(--(_xlpm.stat="Ready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DLR",IF(AND(_xlpm.actRS&gt;0,_xlpm.actDone&lt;_xlpm.actRS),"Training",IF(_xlpm.actRS&gt;0,"Active",IF(AND(_xlpm.decC&gt;0,_xlpm.inPlay+_xlpm.actC=0),"Dead",IF(AND($AJ461&lt;&gt;"",$AK461=FALSE),"Waiting on Dealer",IF(_xlpm.subC&gt;0,"Waiting on Lender",IF(AND(_xlpm.appC+_xlpm.actC&gt;0,_xlpm.nsC+_xlpm.wdC=0),"Rate Sheet","Application Submitted")))))))))</f>
        <v/>
      </c>
      <c r="M461" s="87"/>
      <c r="N461" s="87"/>
      <c r="O461" s="197"/>
      <c r="P461" s="87" t="str">
        <f>IF($A461="","",IF($AK461=TRUE,"Ready 2 Submit","Waiting on Dealer"))</f>
        <v/>
      </c>
      <c r="Q461" s="148"/>
      <c r="R461" s="87"/>
      <c r="S461" s="87"/>
      <c r="T461" s="87" t="str">
        <f>IF($A461="","",IF($AK461=TRUE,"Ready 2 Submit","Waiting on Dealer"))</f>
        <v/>
      </c>
      <c r="U461" s="148"/>
      <c r="V461" s="87"/>
      <c r="W461" s="87"/>
      <c r="X461" s="87" t="str">
        <f>IF($A461="","",IF($AK461=TRUE,"Ready 2 Submit","Waiting on Dealer"))</f>
        <v/>
      </c>
      <c r="Y461" s="148"/>
      <c r="Z461" s="87"/>
      <c r="AA461" s="87"/>
      <c r="AB461" s="87" t="str">
        <f>IF($A461="","",IF($AK461=TRUE,"Ready 2 Submit","Waiting on Dealer"))</f>
        <v/>
      </c>
      <c r="AC461" s="148"/>
      <c r="AD461" s="87"/>
      <c r="AE461" s="87"/>
      <c r="AF461" s="87" t="str">
        <f>IF($A461="","",IF($AK461=TRUE,"Ready 2 Submit","Waiting on Dealer"))</f>
        <v/>
      </c>
      <c r="AG461" s="148"/>
      <c r="AH461" s="87"/>
      <c r="AI461" s="87"/>
      <c r="AJ461" s="197"/>
      <c r="AK461" s="110" t="b">
        <v>0</v>
      </c>
      <c r="AL461" s="87" t="str" cm="1">
        <f t="array" ref="AL461">IF($A461="","",SUMPRODUCT((CHOOSE({1,2,3,4,5},$R461,$V461,$Z461,$AD461,$AH461)="Yes")*(((CHOOSE({1,2,3,4,5},$S461,$W461,$AA461,$AE461,$AI461)="Yes")+(CHOOSE({1,2,3,4,5},$S461,$W461,$AA461,$AE461,$AI461)=TRUE))&gt;0)))</f>
        <v/>
      </c>
      <c r="AM461" s="87"/>
      <c r="AN461" s="87" t="str">
        <f ca="1">IF(OR($A461="",$AM461=""),"",TODAY()-$AM461)</f>
        <v/>
      </c>
      <c r="AO461" s="87"/>
      <c r="AP461" s="106"/>
      <c r="AQ461" s="106"/>
      <c r="AR461" s="106"/>
      <c r="AS461" s="106"/>
      <c r="AT461" s="106"/>
      <c r="AU461" s="106"/>
      <c r="AV461" s="106"/>
      <c r="AW461" s="106"/>
      <c r="AX461" s="106"/>
      <c r="AY461" s="106"/>
    </row>
    <row r="462" spans="1:51" s="20" customFormat="1" ht="21" customHeight="1">
      <c r="A462" s="197"/>
      <c r="B462" s="87"/>
      <c r="C462" s="87"/>
      <c r="D462" s="196"/>
      <c r="E462" s="108"/>
      <c r="F462" s="196"/>
      <c r="G462" s="87"/>
      <c r="H462" s="197"/>
      <c r="I462" s="89"/>
      <c r="J462" s="204"/>
      <c r="K462" s="87"/>
      <c r="L462" s="87" t="str" cm="1">
        <f t="array" ref="L462">IF($A462="","",_xlfn.LET(_xlpm.stat,CHOOSE({1,2,3,4,5},$P462,$T462,$X462,$AB462,$AF462),_xlpm.rate,CHOOSE({1,2,3,4,5},$R462,$V462,$Z462,$AD462,$AH462),_xlpm.trn,CHOOSE({1,2,3,4,5},$S462,$W462,$AA462,$AE462,$AI462),_xlpm.nsC,SUMPRODUCT(--(_xlpm.stat="Ready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DLR",IF(AND(_xlpm.actRS&gt;0,_xlpm.actDone&lt;_xlpm.actRS),"Training",IF(_xlpm.actRS&gt;0,"Active",IF(AND(_xlpm.decC&gt;0,_xlpm.inPlay+_xlpm.actC=0),"Dead",IF(AND($AJ462&lt;&gt;"",$AK462=FALSE),"Waiting on Dealer",IF(_xlpm.subC&gt;0,"Waiting on Lender",IF(AND(_xlpm.appC+_xlpm.actC&gt;0,_xlpm.nsC+_xlpm.wdC=0),"Rate Sheet","Application Submitted")))))))))</f>
        <v/>
      </c>
      <c r="M462" s="87"/>
      <c r="N462" s="87"/>
      <c r="O462" s="197"/>
      <c r="P462" s="87" t="str">
        <f>IF($A462="","",IF($AK462=TRUE,"Ready 2 Submit","Waiting on Dealer"))</f>
        <v/>
      </c>
      <c r="Q462" s="148"/>
      <c r="R462" s="87"/>
      <c r="S462" s="87"/>
      <c r="T462" s="87" t="str">
        <f>IF($A462="","",IF($AK462=TRUE,"Ready 2 Submit","Waiting on Dealer"))</f>
        <v/>
      </c>
      <c r="U462" s="148"/>
      <c r="V462" s="87"/>
      <c r="W462" s="87"/>
      <c r="X462" s="87" t="str">
        <f>IF($A462="","",IF($AK462=TRUE,"Ready 2 Submit","Waiting on Dealer"))</f>
        <v/>
      </c>
      <c r="Y462" s="148"/>
      <c r="Z462" s="87"/>
      <c r="AA462" s="87"/>
      <c r="AB462" s="87" t="str">
        <f>IF($A462="","",IF($AK462=TRUE,"Ready 2 Submit","Waiting on Dealer"))</f>
        <v/>
      </c>
      <c r="AC462" s="148"/>
      <c r="AD462" s="87"/>
      <c r="AE462" s="87"/>
      <c r="AF462" s="87" t="str">
        <f>IF($A462="","",IF($AK462=TRUE,"Ready 2 Submit","Waiting on Dealer"))</f>
        <v/>
      </c>
      <c r="AG462" s="148"/>
      <c r="AH462" s="87"/>
      <c r="AI462" s="87"/>
      <c r="AJ462" s="197"/>
      <c r="AK462" s="110" t="b">
        <v>0</v>
      </c>
      <c r="AL462" s="87" t="str" cm="1">
        <f t="array" ref="AL462">IF($A462="","",SUMPRODUCT((CHOOSE({1,2,3,4,5},$R462,$V462,$Z462,$AD462,$AH462)="Yes")*(((CHOOSE({1,2,3,4,5},$S462,$W462,$AA462,$AE462,$AI462)="Yes")+(CHOOSE({1,2,3,4,5},$S462,$W462,$AA462,$AE462,$AI462)=TRUE))&gt;0)))</f>
        <v/>
      </c>
      <c r="AM462" s="87"/>
      <c r="AN462" s="87" t="str">
        <f ca="1">IF(OR($A462="",$AM462=""),"",TODAY()-$AM462)</f>
        <v/>
      </c>
      <c r="AO462" s="87"/>
      <c r="AP462" s="106"/>
      <c r="AQ462" s="106"/>
      <c r="AR462" s="106"/>
      <c r="AS462" s="106"/>
      <c r="AT462" s="106"/>
      <c r="AU462" s="106"/>
      <c r="AV462" s="106"/>
      <c r="AW462" s="106"/>
      <c r="AX462" s="106"/>
      <c r="AY462" s="106"/>
    </row>
    <row r="463" spans="1:51" s="20" customFormat="1" ht="21" customHeight="1">
      <c r="A463" s="197"/>
      <c r="B463" s="87"/>
      <c r="C463" s="87"/>
      <c r="D463" s="196"/>
      <c r="E463" s="108"/>
      <c r="F463" s="196"/>
      <c r="G463" s="87"/>
      <c r="H463" s="197"/>
      <c r="I463" s="89"/>
      <c r="J463" s="204"/>
      <c r="K463" s="87"/>
      <c r="L463" s="87" t="str" cm="1">
        <f t="array" ref="L463">IF($A463="","",_xlfn.LET(_xlpm.stat,CHOOSE({1,2,3,4,5},$P463,$T463,$X463,$AB463,$AF463),_xlpm.rate,CHOOSE({1,2,3,4,5},$R463,$V463,$Z463,$AD463,$AH463),_xlpm.trn,CHOOSE({1,2,3,4,5},$S463,$W463,$AA463,$AE463,$AI463),_xlpm.nsC,SUMPRODUCT(--(_xlpm.stat="Ready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DLR",IF(AND(_xlpm.actRS&gt;0,_xlpm.actDone&lt;_xlpm.actRS),"Training",IF(_xlpm.actRS&gt;0,"Active",IF(AND(_xlpm.decC&gt;0,_xlpm.inPlay+_xlpm.actC=0),"Dead",IF(AND($AJ463&lt;&gt;"",$AK463=FALSE),"Waiting on Dealer",IF(_xlpm.subC&gt;0,"Waiting on Lender",IF(AND(_xlpm.appC+_xlpm.actC&gt;0,_xlpm.nsC+_xlpm.wdC=0),"Rate Sheet","Application Submitted")))))))))</f>
        <v/>
      </c>
      <c r="M463" s="87"/>
      <c r="N463" s="87"/>
      <c r="O463" s="197"/>
      <c r="P463" s="87" t="str">
        <f>IF($A463="","",IF($AK463=TRUE,"Ready 2 Submit","Waiting on Dealer"))</f>
        <v/>
      </c>
      <c r="Q463" s="148"/>
      <c r="R463" s="87"/>
      <c r="S463" s="87"/>
      <c r="T463" s="87" t="str">
        <f>IF($A463="","",IF($AK463=TRUE,"Ready 2 Submit","Waiting on Dealer"))</f>
        <v/>
      </c>
      <c r="U463" s="148"/>
      <c r="V463" s="87"/>
      <c r="W463" s="87"/>
      <c r="X463" s="87" t="str">
        <f>IF($A463="","",IF($AK463=TRUE,"Ready 2 Submit","Waiting on Dealer"))</f>
        <v/>
      </c>
      <c r="Y463" s="148"/>
      <c r="Z463" s="87"/>
      <c r="AA463" s="87"/>
      <c r="AB463" s="87" t="str">
        <f>IF($A463="","",IF($AK463=TRUE,"Ready 2 Submit","Waiting on Dealer"))</f>
        <v/>
      </c>
      <c r="AC463" s="148"/>
      <c r="AD463" s="87"/>
      <c r="AE463" s="87"/>
      <c r="AF463" s="87" t="str">
        <f>IF($A463="","",IF($AK463=TRUE,"Ready 2 Submit","Waiting on Dealer"))</f>
        <v/>
      </c>
      <c r="AG463" s="148"/>
      <c r="AH463" s="87"/>
      <c r="AI463" s="87"/>
      <c r="AJ463" s="197"/>
      <c r="AK463" s="110" t="b">
        <v>0</v>
      </c>
      <c r="AL463" s="87" t="str" cm="1">
        <f t="array" ref="AL463">IF($A463="","",SUMPRODUCT((CHOOSE({1,2,3,4,5},$R463,$V463,$Z463,$AD463,$AH463)="Yes")*(((CHOOSE({1,2,3,4,5},$S463,$W463,$AA463,$AE463,$AI463)="Yes")+(CHOOSE({1,2,3,4,5},$S463,$W463,$AA463,$AE463,$AI463)=TRUE))&gt;0)))</f>
        <v/>
      </c>
      <c r="AM463" s="87"/>
      <c r="AN463" s="87" t="str">
        <f ca="1">IF(OR($A463="",$AM463=""),"",TODAY()-$AM463)</f>
        <v/>
      </c>
      <c r="AO463" s="87"/>
      <c r="AP463" s="106"/>
      <c r="AQ463" s="106"/>
      <c r="AR463" s="106"/>
      <c r="AS463" s="106"/>
      <c r="AT463" s="106"/>
      <c r="AU463" s="106"/>
      <c r="AV463" s="106"/>
      <c r="AW463" s="106"/>
      <c r="AX463" s="106"/>
      <c r="AY463" s="106"/>
    </row>
    <row r="464" spans="1:51" s="20" customFormat="1" ht="21" customHeight="1">
      <c r="A464" s="197"/>
      <c r="B464" s="87"/>
      <c r="C464" s="87"/>
      <c r="D464" s="196"/>
      <c r="E464" s="108"/>
      <c r="F464" s="196"/>
      <c r="G464" s="87"/>
      <c r="H464" s="197"/>
      <c r="I464" s="89"/>
      <c r="J464" s="204"/>
      <c r="K464" s="87"/>
      <c r="L464" s="87" t="str" cm="1">
        <f t="array" ref="L464">IF($A464="","",_xlfn.LET(_xlpm.stat,CHOOSE({1,2,3,4,5},$P464,$T464,$X464,$AB464,$AF464),_xlpm.rate,CHOOSE({1,2,3,4,5},$R464,$V464,$Z464,$AD464,$AH464),_xlpm.trn,CHOOSE({1,2,3,4,5},$S464,$W464,$AA464,$AE464,$AI464),_xlpm.nsC,SUMPRODUCT(--(_xlpm.stat="Ready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DLR",IF(AND(_xlpm.actRS&gt;0,_xlpm.actDone&lt;_xlpm.actRS),"Training",IF(_xlpm.actRS&gt;0,"Active",IF(AND(_xlpm.decC&gt;0,_xlpm.inPlay+_xlpm.actC=0),"Dead",IF(AND($AJ464&lt;&gt;"",$AK464=FALSE),"Waiting on Dealer",IF(_xlpm.subC&gt;0,"Waiting on Lender",IF(AND(_xlpm.appC+_xlpm.actC&gt;0,_xlpm.nsC+_xlpm.wdC=0),"Rate Sheet","Application Submitted")))))))))</f>
        <v/>
      </c>
      <c r="M464" s="87"/>
      <c r="N464" s="87"/>
      <c r="O464" s="197"/>
      <c r="P464" s="87" t="str">
        <f>IF($A464="","",IF($AK464=TRUE,"Ready 2 Submit","Waiting on Dealer"))</f>
        <v/>
      </c>
      <c r="Q464" s="148"/>
      <c r="R464" s="87"/>
      <c r="S464" s="87"/>
      <c r="T464" s="87" t="str">
        <f>IF($A464="","",IF($AK464=TRUE,"Ready 2 Submit","Waiting on Dealer"))</f>
        <v/>
      </c>
      <c r="U464" s="148"/>
      <c r="V464" s="87"/>
      <c r="W464" s="87"/>
      <c r="X464" s="87" t="str">
        <f>IF($A464="","",IF($AK464=TRUE,"Ready 2 Submit","Waiting on Dealer"))</f>
        <v/>
      </c>
      <c r="Y464" s="148"/>
      <c r="Z464" s="87"/>
      <c r="AA464" s="87"/>
      <c r="AB464" s="87" t="str">
        <f>IF($A464="","",IF($AK464=TRUE,"Ready 2 Submit","Waiting on Dealer"))</f>
        <v/>
      </c>
      <c r="AC464" s="148"/>
      <c r="AD464" s="87"/>
      <c r="AE464" s="87"/>
      <c r="AF464" s="87" t="str">
        <f>IF($A464="","",IF($AK464=TRUE,"Ready 2 Submit","Waiting on Dealer"))</f>
        <v/>
      </c>
      <c r="AG464" s="148"/>
      <c r="AH464" s="87"/>
      <c r="AI464" s="87"/>
      <c r="AJ464" s="197"/>
      <c r="AK464" s="110" t="b">
        <v>0</v>
      </c>
      <c r="AL464" s="87" t="str" cm="1">
        <f t="array" ref="AL464">IF($A464="","",SUMPRODUCT((CHOOSE({1,2,3,4,5},$R464,$V464,$Z464,$AD464,$AH464)="Yes")*(((CHOOSE({1,2,3,4,5},$S464,$W464,$AA464,$AE464,$AI464)="Yes")+(CHOOSE({1,2,3,4,5},$S464,$W464,$AA464,$AE464,$AI464)=TRUE))&gt;0)))</f>
        <v/>
      </c>
      <c r="AM464" s="87"/>
      <c r="AN464" s="87" t="str">
        <f ca="1">IF(OR($A464="",$AM464=""),"",TODAY()-$AM464)</f>
        <v/>
      </c>
      <c r="AO464" s="87"/>
      <c r="AP464" s="106"/>
      <c r="AQ464" s="106"/>
      <c r="AR464" s="106"/>
      <c r="AS464" s="106"/>
      <c r="AT464" s="106"/>
      <c r="AU464" s="106"/>
      <c r="AV464" s="106"/>
      <c r="AW464" s="106"/>
      <c r="AX464" s="106"/>
      <c r="AY464" s="106"/>
    </row>
    <row r="465" spans="1:51" s="20" customFormat="1" ht="21" customHeight="1">
      <c r="A465" s="197"/>
      <c r="B465" s="87"/>
      <c r="C465" s="87"/>
      <c r="D465" s="196"/>
      <c r="E465" s="108"/>
      <c r="F465" s="196"/>
      <c r="G465" s="87"/>
      <c r="H465" s="197"/>
      <c r="I465" s="89"/>
      <c r="J465" s="204"/>
      <c r="K465" s="87"/>
      <c r="L465" s="87" t="str" cm="1">
        <f t="array" ref="L465">IF($A465="","",_xlfn.LET(_xlpm.stat,CHOOSE({1,2,3,4,5},$P465,$T465,$X465,$AB465,$AF465),_xlpm.rate,CHOOSE({1,2,3,4,5},$R465,$V465,$Z465,$AD465,$AH465),_xlpm.trn,CHOOSE({1,2,3,4,5},$S465,$W465,$AA465,$AE465,$AI465),_xlpm.nsC,SUMPRODUCT(--(_xlpm.stat="Ready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DLR",IF(AND(_xlpm.actRS&gt;0,_xlpm.actDone&lt;_xlpm.actRS),"Training",IF(_xlpm.actRS&gt;0,"Active",IF(AND(_xlpm.decC&gt;0,_xlpm.inPlay+_xlpm.actC=0),"Dead",IF(AND($AJ465&lt;&gt;"",$AK465=FALSE),"Waiting on Dealer",IF(_xlpm.subC&gt;0,"Waiting on Lender",IF(AND(_xlpm.appC+_xlpm.actC&gt;0,_xlpm.nsC+_xlpm.wdC=0),"Rate Sheet","Application Submitted")))))))))</f>
        <v/>
      </c>
      <c r="M465" s="87"/>
      <c r="N465" s="87"/>
      <c r="O465" s="197"/>
      <c r="P465" s="87" t="str">
        <f>IF($A465="","",IF($AK465=TRUE,"Ready 2 Submit","Waiting on Dealer"))</f>
        <v/>
      </c>
      <c r="Q465" s="148"/>
      <c r="R465" s="87"/>
      <c r="S465" s="87"/>
      <c r="T465" s="87" t="str">
        <f>IF($A465="","",IF($AK465=TRUE,"Ready 2 Submit","Waiting on Dealer"))</f>
        <v/>
      </c>
      <c r="U465" s="148"/>
      <c r="V465" s="87"/>
      <c r="W465" s="87"/>
      <c r="X465" s="87" t="str">
        <f>IF($A465="","",IF($AK465=TRUE,"Ready 2 Submit","Waiting on Dealer"))</f>
        <v/>
      </c>
      <c r="Y465" s="148"/>
      <c r="Z465" s="87"/>
      <c r="AA465" s="87"/>
      <c r="AB465" s="87" t="str">
        <f>IF($A465="","",IF($AK465=TRUE,"Ready 2 Submit","Waiting on Dealer"))</f>
        <v/>
      </c>
      <c r="AC465" s="148"/>
      <c r="AD465" s="87"/>
      <c r="AE465" s="87"/>
      <c r="AF465" s="87" t="str">
        <f>IF($A465="","",IF($AK465=TRUE,"Ready 2 Submit","Waiting on Dealer"))</f>
        <v/>
      </c>
      <c r="AG465" s="148"/>
      <c r="AH465" s="87"/>
      <c r="AI465" s="87"/>
      <c r="AJ465" s="197"/>
      <c r="AK465" s="110" t="b">
        <v>0</v>
      </c>
      <c r="AL465" s="87" t="str" cm="1">
        <f t="array" ref="AL465">IF($A465="","",SUMPRODUCT((CHOOSE({1,2,3,4,5},$R465,$V465,$Z465,$AD465,$AH465)="Yes")*(((CHOOSE({1,2,3,4,5},$S465,$W465,$AA465,$AE465,$AI465)="Yes")+(CHOOSE({1,2,3,4,5},$S465,$W465,$AA465,$AE465,$AI465)=TRUE))&gt;0)))</f>
        <v/>
      </c>
      <c r="AM465" s="87"/>
      <c r="AN465" s="87" t="str">
        <f ca="1">IF(OR($A465="",$AM465=""),"",TODAY()-$AM465)</f>
        <v/>
      </c>
      <c r="AO465" s="87"/>
      <c r="AP465" s="106"/>
      <c r="AQ465" s="106"/>
      <c r="AR465" s="106"/>
      <c r="AS465" s="106"/>
      <c r="AT465" s="106"/>
      <c r="AU465" s="106"/>
      <c r="AV465" s="106"/>
      <c r="AW465" s="106"/>
      <c r="AX465" s="106"/>
      <c r="AY465" s="106"/>
    </row>
    <row r="466" spans="1:51" s="20" customFormat="1" ht="21" customHeight="1">
      <c r="A466" s="197"/>
      <c r="B466" s="87"/>
      <c r="C466" s="87"/>
      <c r="D466" s="196"/>
      <c r="E466" s="108"/>
      <c r="F466" s="196"/>
      <c r="G466" s="87"/>
      <c r="H466" s="197"/>
      <c r="I466" s="89"/>
      <c r="J466" s="204"/>
      <c r="K466" s="87"/>
      <c r="L466" s="87" t="str" cm="1">
        <f t="array" ref="L466">IF($A466="","",_xlfn.LET(_xlpm.stat,CHOOSE({1,2,3,4,5},$P466,$T466,$X466,$AB466,$AF466),_xlpm.rate,CHOOSE({1,2,3,4,5},$R466,$V466,$Z466,$AD466,$AH466),_xlpm.trn,CHOOSE({1,2,3,4,5},$S466,$W466,$AA466,$AE466,$AI466),_xlpm.nsC,SUMPRODUCT(--(_xlpm.stat="Ready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DLR",IF(AND(_xlpm.actRS&gt;0,_xlpm.actDone&lt;_xlpm.actRS),"Training",IF(_xlpm.actRS&gt;0,"Active",IF(AND(_xlpm.decC&gt;0,_xlpm.inPlay+_xlpm.actC=0),"Dead",IF(AND($AJ466&lt;&gt;"",$AK466=FALSE),"Waiting on Dealer",IF(_xlpm.subC&gt;0,"Waiting on Lender",IF(AND(_xlpm.appC+_xlpm.actC&gt;0,_xlpm.nsC+_xlpm.wdC=0),"Rate Sheet","Application Submitted")))))))))</f>
        <v/>
      </c>
      <c r="M466" s="87"/>
      <c r="N466" s="87"/>
      <c r="O466" s="197"/>
      <c r="P466" s="87" t="str">
        <f>IF($A466="","",IF($AK466=TRUE,"Ready 2 Submit","Waiting on Dealer"))</f>
        <v/>
      </c>
      <c r="Q466" s="148"/>
      <c r="R466" s="87"/>
      <c r="S466" s="87"/>
      <c r="T466" s="87" t="str">
        <f>IF($A466="","",IF($AK466=TRUE,"Ready 2 Submit","Waiting on Dealer"))</f>
        <v/>
      </c>
      <c r="U466" s="148"/>
      <c r="V466" s="87"/>
      <c r="W466" s="87"/>
      <c r="X466" s="87" t="str">
        <f>IF($A466="","",IF($AK466=TRUE,"Ready 2 Submit","Waiting on Dealer"))</f>
        <v/>
      </c>
      <c r="Y466" s="148"/>
      <c r="Z466" s="87"/>
      <c r="AA466" s="87"/>
      <c r="AB466" s="87" t="str">
        <f>IF($A466="","",IF($AK466=TRUE,"Ready 2 Submit","Waiting on Dealer"))</f>
        <v/>
      </c>
      <c r="AC466" s="148"/>
      <c r="AD466" s="87"/>
      <c r="AE466" s="87"/>
      <c r="AF466" s="87" t="str">
        <f>IF($A466="","",IF($AK466=TRUE,"Ready 2 Submit","Waiting on Dealer"))</f>
        <v/>
      </c>
      <c r="AG466" s="148"/>
      <c r="AH466" s="87"/>
      <c r="AI466" s="87"/>
      <c r="AJ466" s="197"/>
      <c r="AK466" s="110" t="b">
        <v>0</v>
      </c>
      <c r="AL466" s="87" t="str" cm="1">
        <f t="array" ref="AL466">IF($A466="","",SUMPRODUCT((CHOOSE({1,2,3,4,5},$R466,$V466,$Z466,$AD466,$AH466)="Yes")*(((CHOOSE({1,2,3,4,5},$S466,$W466,$AA466,$AE466,$AI466)="Yes")+(CHOOSE({1,2,3,4,5},$S466,$W466,$AA466,$AE466,$AI466)=TRUE))&gt;0)))</f>
        <v/>
      </c>
      <c r="AM466" s="87"/>
      <c r="AN466" s="87" t="str">
        <f ca="1">IF(OR($A466="",$AM466=""),"",TODAY()-$AM466)</f>
        <v/>
      </c>
      <c r="AO466" s="87"/>
      <c r="AP466" s="106"/>
      <c r="AQ466" s="106"/>
      <c r="AR466" s="106"/>
      <c r="AS466" s="106"/>
      <c r="AT466" s="106"/>
      <c r="AU466" s="106"/>
      <c r="AV466" s="106"/>
      <c r="AW466" s="106"/>
      <c r="AX466" s="106"/>
      <c r="AY466" s="106"/>
    </row>
    <row r="467" spans="1:51" s="20" customFormat="1" ht="21" customHeight="1">
      <c r="A467" s="197"/>
      <c r="B467" s="87"/>
      <c r="C467" s="87"/>
      <c r="D467" s="196"/>
      <c r="E467" s="108"/>
      <c r="F467" s="196"/>
      <c r="G467" s="87"/>
      <c r="H467" s="197"/>
      <c r="I467" s="89"/>
      <c r="J467" s="204"/>
      <c r="K467" s="87"/>
      <c r="L467" s="87" t="str" cm="1">
        <f t="array" ref="L467">IF($A467="","",_xlfn.LET(_xlpm.stat,CHOOSE({1,2,3,4,5},$P467,$T467,$X467,$AB467,$AF467),_xlpm.rate,CHOOSE({1,2,3,4,5},$R467,$V467,$Z467,$AD467,$AH467),_xlpm.trn,CHOOSE({1,2,3,4,5},$S467,$W467,$AA467,$AE467,$AI467),_xlpm.nsC,SUMPRODUCT(--(_xlpm.stat="Ready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DLR",IF(AND(_xlpm.actRS&gt;0,_xlpm.actDone&lt;_xlpm.actRS),"Training",IF(_xlpm.actRS&gt;0,"Active",IF(AND(_xlpm.decC&gt;0,_xlpm.inPlay+_xlpm.actC=0),"Dead",IF(AND($AJ467&lt;&gt;"",$AK467=FALSE),"Waiting on Dealer",IF(_xlpm.subC&gt;0,"Waiting on Lender",IF(AND(_xlpm.appC+_xlpm.actC&gt;0,_xlpm.nsC+_xlpm.wdC=0),"Rate Sheet","Application Submitted")))))))))</f>
        <v/>
      </c>
      <c r="M467" s="87"/>
      <c r="N467" s="87"/>
      <c r="O467" s="197"/>
      <c r="P467" s="87" t="str">
        <f>IF($A467="","",IF($AK467=TRUE,"Ready 2 Submit","Waiting on Dealer"))</f>
        <v/>
      </c>
      <c r="Q467" s="148"/>
      <c r="R467" s="87"/>
      <c r="S467" s="87"/>
      <c r="T467" s="87" t="str">
        <f>IF($A467="","",IF($AK467=TRUE,"Ready 2 Submit","Waiting on Dealer"))</f>
        <v/>
      </c>
      <c r="U467" s="148"/>
      <c r="V467" s="87"/>
      <c r="W467" s="87"/>
      <c r="X467" s="87" t="str">
        <f>IF($A467="","",IF($AK467=TRUE,"Ready 2 Submit","Waiting on Dealer"))</f>
        <v/>
      </c>
      <c r="Y467" s="148"/>
      <c r="Z467" s="87"/>
      <c r="AA467" s="87"/>
      <c r="AB467" s="87" t="str">
        <f>IF($A467="","",IF($AK467=TRUE,"Ready 2 Submit","Waiting on Dealer"))</f>
        <v/>
      </c>
      <c r="AC467" s="148"/>
      <c r="AD467" s="87"/>
      <c r="AE467" s="87"/>
      <c r="AF467" s="87" t="str">
        <f>IF($A467="","",IF($AK467=TRUE,"Ready 2 Submit","Waiting on Dealer"))</f>
        <v/>
      </c>
      <c r="AG467" s="148"/>
      <c r="AH467" s="87"/>
      <c r="AI467" s="87"/>
      <c r="AJ467" s="197"/>
      <c r="AK467" s="110" t="b">
        <v>0</v>
      </c>
      <c r="AL467" s="87" t="str" cm="1">
        <f t="array" ref="AL467">IF($A467="","",SUMPRODUCT((CHOOSE({1,2,3,4,5},$R467,$V467,$Z467,$AD467,$AH467)="Yes")*(((CHOOSE({1,2,3,4,5},$S467,$W467,$AA467,$AE467,$AI467)="Yes")+(CHOOSE({1,2,3,4,5},$S467,$W467,$AA467,$AE467,$AI467)=TRUE))&gt;0)))</f>
        <v/>
      </c>
      <c r="AM467" s="87"/>
      <c r="AN467" s="87" t="str">
        <f ca="1">IF(OR($A467="",$AM467=""),"",TODAY()-$AM467)</f>
        <v/>
      </c>
      <c r="AO467" s="87"/>
      <c r="AP467" s="106"/>
      <c r="AQ467" s="106"/>
      <c r="AR467" s="106"/>
      <c r="AS467" s="106"/>
      <c r="AT467" s="106"/>
      <c r="AU467" s="106"/>
      <c r="AV467" s="106"/>
      <c r="AW467" s="106"/>
      <c r="AX467" s="106"/>
      <c r="AY467" s="106"/>
    </row>
    <row r="468" spans="1:51" s="20" customFormat="1" ht="21" customHeight="1">
      <c r="A468" s="197"/>
      <c r="B468" s="87"/>
      <c r="C468" s="87"/>
      <c r="D468" s="196"/>
      <c r="E468" s="108"/>
      <c r="F468" s="196"/>
      <c r="G468" s="87"/>
      <c r="H468" s="197"/>
      <c r="I468" s="89"/>
      <c r="J468" s="204"/>
      <c r="K468" s="87"/>
      <c r="L468" s="87" t="str" cm="1">
        <f t="array" ref="L468">IF($A468="","",_xlfn.LET(_xlpm.stat,CHOOSE({1,2,3,4,5},$P468,$T468,$X468,$AB468,$AF468),_xlpm.rate,CHOOSE({1,2,3,4,5},$R468,$V468,$Z468,$AD468,$AH468),_xlpm.trn,CHOOSE({1,2,3,4,5},$S468,$W468,$AA468,$AE468,$AI468),_xlpm.nsC,SUMPRODUCT(--(_xlpm.stat="Ready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DLR",IF(AND(_xlpm.actRS&gt;0,_xlpm.actDone&lt;_xlpm.actRS),"Training",IF(_xlpm.actRS&gt;0,"Active",IF(AND(_xlpm.decC&gt;0,_xlpm.inPlay+_xlpm.actC=0),"Dead",IF(AND($AJ468&lt;&gt;"",$AK468=FALSE),"Waiting on Dealer",IF(_xlpm.subC&gt;0,"Waiting on Lender",IF(AND(_xlpm.appC+_xlpm.actC&gt;0,_xlpm.nsC+_xlpm.wdC=0),"Rate Sheet","Application Submitted")))))))))</f>
        <v/>
      </c>
      <c r="M468" s="87"/>
      <c r="N468" s="87"/>
      <c r="O468" s="197"/>
      <c r="P468" s="87" t="str">
        <f>IF($A468="","",IF($AK468=TRUE,"Ready 2 Submit","Waiting on Dealer"))</f>
        <v/>
      </c>
      <c r="Q468" s="148"/>
      <c r="R468" s="87"/>
      <c r="S468" s="87"/>
      <c r="T468" s="87" t="str">
        <f>IF($A468="","",IF($AK468=TRUE,"Ready 2 Submit","Waiting on Dealer"))</f>
        <v/>
      </c>
      <c r="U468" s="148"/>
      <c r="V468" s="87"/>
      <c r="W468" s="87"/>
      <c r="X468" s="87" t="str">
        <f>IF($A468="","",IF($AK468=TRUE,"Ready 2 Submit","Waiting on Dealer"))</f>
        <v/>
      </c>
      <c r="Y468" s="148"/>
      <c r="Z468" s="87"/>
      <c r="AA468" s="87"/>
      <c r="AB468" s="87" t="str">
        <f>IF($A468="","",IF($AK468=TRUE,"Ready 2 Submit","Waiting on Dealer"))</f>
        <v/>
      </c>
      <c r="AC468" s="148"/>
      <c r="AD468" s="87"/>
      <c r="AE468" s="87"/>
      <c r="AF468" s="87" t="str">
        <f>IF($A468="","",IF($AK468=TRUE,"Ready 2 Submit","Waiting on Dealer"))</f>
        <v/>
      </c>
      <c r="AG468" s="148"/>
      <c r="AH468" s="87"/>
      <c r="AI468" s="87"/>
      <c r="AJ468" s="197"/>
      <c r="AK468" s="110" t="b">
        <v>0</v>
      </c>
      <c r="AL468" s="87" t="str" cm="1">
        <f t="array" ref="AL468">IF($A468="","",SUMPRODUCT((CHOOSE({1,2,3,4,5},$R468,$V468,$Z468,$AD468,$AH468)="Yes")*(((CHOOSE({1,2,3,4,5},$S468,$W468,$AA468,$AE468,$AI468)="Yes")+(CHOOSE({1,2,3,4,5},$S468,$W468,$AA468,$AE468,$AI468)=TRUE))&gt;0)))</f>
        <v/>
      </c>
      <c r="AM468" s="87"/>
      <c r="AN468" s="87" t="str">
        <f ca="1">IF(OR($A468="",$AM468=""),"",TODAY()-$AM468)</f>
        <v/>
      </c>
      <c r="AO468" s="87"/>
      <c r="AP468" s="106"/>
      <c r="AQ468" s="106"/>
      <c r="AR468" s="106"/>
      <c r="AS468" s="106"/>
      <c r="AT468" s="106"/>
      <c r="AU468" s="106"/>
      <c r="AV468" s="106"/>
      <c r="AW468" s="106"/>
      <c r="AX468" s="106"/>
      <c r="AY468" s="106"/>
    </row>
    <row r="469" spans="1:51" s="20" customFormat="1" ht="21" customHeight="1">
      <c r="A469" s="197"/>
      <c r="B469" s="87"/>
      <c r="C469" s="87"/>
      <c r="D469" s="196"/>
      <c r="E469" s="108"/>
      <c r="F469" s="196"/>
      <c r="G469" s="87"/>
      <c r="H469" s="197"/>
      <c r="I469" s="89"/>
      <c r="J469" s="204"/>
      <c r="K469" s="87"/>
      <c r="L469" s="87" t="str" cm="1">
        <f t="array" ref="L469">IF($A469="","",_xlfn.LET(_xlpm.stat,CHOOSE({1,2,3,4,5},$P469,$T469,$X469,$AB469,$AF469),_xlpm.rate,CHOOSE({1,2,3,4,5},$R469,$V469,$Z469,$AD469,$AH469),_xlpm.trn,CHOOSE({1,2,3,4,5},$S469,$W469,$AA469,$AE469,$AI469),_xlpm.nsC,SUMPRODUCT(--(_xlpm.stat="Ready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DLR",IF(AND(_xlpm.actRS&gt;0,_xlpm.actDone&lt;_xlpm.actRS),"Training",IF(_xlpm.actRS&gt;0,"Active",IF(AND(_xlpm.decC&gt;0,_xlpm.inPlay+_xlpm.actC=0),"Dead",IF(AND($AJ469&lt;&gt;"",$AK469=FALSE),"Waiting on Dealer",IF(_xlpm.subC&gt;0,"Waiting on Lender",IF(AND(_xlpm.appC+_xlpm.actC&gt;0,_xlpm.nsC+_xlpm.wdC=0),"Rate Sheet","Application Submitted")))))))))</f>
        <v/>
      </c>
      <c r="M469" s="87"/>
      <c r="N469" s="87"/>
      <c r="O469" s="197"/>
      <c r="P469" s="87" t="str">
        <f>IF($A469="","",IF($AK469=TRUE,"Ready 2 Submit","Waiting on Dealer"))</f>
        <v/>
      </c>
      <c r="Q469" s="148"/>
      <c r="R469" s="87"/>
      <c r="S469" s="87"/>
      <c r="T469" s="87" t="str">
        <f>IF($A469="","",IF($AK469=TRUE,"Ready 2 Submit","Waiting on Dealer"))</f>
        <v/>
      </c>
      <c r="U469" s="148"/>
      <c r="V469" s="87"/>
      <c r="W469" s="87"/>
      <c r="X469" s="87" t="str">
        <f>IF($A469="","",IF($AK469=TRUE,"Ready 2 Submit","Waiting on Dealer"))</f>
        <v/>
      </c>
      <c r="Y469" s="148"/>
      <c r="Z469" s="87"/>
      <c r="AA469" s="87"/>
      <c r="AB469" s="87" t="str">
        <f>IF($A469="","",IF($AK469=TRUE,"Ready 2 Submit","Waiting on Dealer"))</f>
        <v/>
      </c>
      <c r="AC469" s="148"/>
      <c r="AD469" s="87"/>
      <c r="AE469" s="87"/>
      <c r="AF469" s="87" t="str">
        <f>IF($A469="","",IF($AK469=TRUE,"Ready 2 Submit","Waiting on Dealer"))</f>
        <v/>
      </c>
      <c r="AG469" s="148"/>
      <c r="AH469" s="87"/>
      <c r="AI469" s="87"/>
      <c r="AJ469" s="197"/>
      <c r="AK469" s="110" t="b">
        <v>0</v>
      </c>
      <c r="AL469" s="87" t="str" cm="1">
        <f t="array" ref="AL469">IF($A469="","",SUMPRODUCT((CHOOSE({1,2,3,4,5},$R469,$V469,$Z469,$AD469,$AH469)="Yes")*(((CHOOSE({1,2,3,4,5},$S469,$W469,$AA469,$AE469,$AI469)="Yes")+(CHOOSE({1,2,3,4,5},$S469,$W469,$AA469,$AE469,$AI469)=TRUE))&gt;0)))</f>
        <v/>
      </c>
      <c r="AM469" s="87"/>
      <c r="AN469" s="87" t="str">
        <f ca="1">IF(OR($A469="",$AM469=""),"",TODAY()-$AM469)</f>
        <v/>
      </c>
      <c r="AO469" s="87"/>
      <c r="AP469" s="106"/>
      <c r="AQ469" s="106"/>
      <c r="AR469" s="106"/>
      <c r="AS469" s="106"/>
      <c r="AT469" s="106"/>
      <c r="AU469" s="106"/>
      <c r="AV469" s="106"/>
      <c r="AW469" s="106"/>
      <c r="AX469" s="106"/>
      <c r="AY469" s="106"/>
    </row>
    <row r="470" spans="1:51" s="20" customFormat="1" ht="21" customHeight="1">
      <c r="A470" s="197"/>
      <c r="B470" s="87"/>
      <c r="C470" s="87"/>
      <c r="D470" s="196"/>
      <c r="E470" s="108"/>
      <c r="F470" s="196"/>
      <c r="G470" s="87"/>
      <c r="H470" s="197"/>
      <c r="I470" s="89"/>
      <c r="J470" s="204"/>
      <c r="K470" s="87"/>
      <c r="L470" s="87" t="str" cm="1">
        <f t="array" ref="L470">IF($A470="","",_xlfn.LET(_xlpm.stat,CHOOSE({1,2,3,4,5},$P470,$T470,$X470,$AB470,$AF470),_xlpm.rate,CHOOSE({1,2,3,4,5},$R470,$V470,$Z470,$AD470,$AH470),_xlpm.trn,CHOOSE({1,2,3,4,5},$S470,$W470,$AA470,$AE470,$AI470),_xlpm.nsC,SUMPRODUCT(--(_xlpm.stat="Ready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DLR",IF(AND(_xlpm.actRS&gt;0,_xlpm.actDone&lt;_xlpm.actRS),"Training",IF(_xlpm.actRS&gt;0,"Active",IF(AND(_xlpm.decC&gt;0,_xlpm.inPlay+_xlpm.actC=0),"Dead",IF(AND($AJ470&lt;&gt;"",$AK470=FALSE),"Waiting on Dealer",IF(_xlpm.subC&gt;0,"Waiting on Lender",IF(AND(_xlpm.appC+_xlpm.actC&gt;0,_xlpm.nsC+_xlpm.wdC=0),"Rate Sheet","Application Submitted")))))))))</f>
        <v/>
      </c>
      <c r="M470" s="87"/>
      <c r="N470" s="87"/>
      <c r="O470" s="197"/>
      <c r="P470" s="87" t="str">
        <f>IF($A470="","",IF($AK470=TRUE,"Ready 2 Submit","Waiting on Dealer"))</f>
        <v/>
      </c>
      <c r="Q470" s="148"/>
      <c r="R470" s="87"/>
      <c r="S470" s="87"/>
      <c r="T470" s="87" t="str">
        <f>IF($A470="","",IF($AK470=TRUE,"Ready 2 Submit","Waiting on Dealer"))</f>
        <v/>
      </c>
      <c r="U470" s="148"/>
      <c r="V470" s="87"/>
      <c r="W470" s="87"/>
      <c r="X470" s="87" t="str">
        <f>IF($A470="","",IF($AK470=TRUE,"Ready 2 Submit","Waiting on Dealer"))</f>
        <v/>
      </c>
      <c r="Y470" s="148"/>
      <c r="Z470" s="87"/>
      <c r="AA470" s="87"/>
      <c r="AB470" s="87" t="str">
        <f>IF($A470="","",IF($AK470=TRUE,"Ready 2 Submit","Waiting on Dealer"))</f>
        <v/>
      </c>
      <c r="AC470" s="148"/>
      <c r="AD470" s="87"/>
      <c r="AE470" s="87"/>
      <c r="AF470" s="87" t="str">
        <f>IF($A470="","",IF($AK470=TRUE,"Ready 2 Submit","Waiting on Dealer"))</f>
        <v/>
      </c>
      <c r="AG470" s="148"/>
      <c r="AH470" s="87"/>
      <c r="AI470" s="87"/>
      <c r="AJ470" s="197"/>
      <c r="AK470" s="110" t="b">
        <v>0</v>
      </c>
      <c r="AL470" s="87" t="str" cm="1">
        <f t="array" ref="AL470">IF($A470="","",SUMPRODUCT((CHOOSE({1,2,3,4,5},$R470,$V470,$Z470,$AD470,$AH470)="Yes")*(((CHOOSE({1,2,3,4,5},$S470,$W470,$AA470,$AE470,$AI470)="Yes")+(CHOOSE({1,2,3,4,5},$S470,$W470,$AA470,$AE470,$AI470)=TRUE))&gt;0)))</f>
        <v/>
      </c>
      <c r="AM470" s="87"/>
      <c r="AN470" s="87" t="str">
        <f ca="1">IF(OR($A470="",$AM470=""),"",TODAY()-$AM470)</f>
        <v/>
      </c>
      <c r="AO470" s="87"/>
      <c r="AP470" s="106"/>
      <c r="AQ470" s="106"/>
      <c r="AR470" s="106"/>
      <c r="AS470" s="106"/>
      <c r="AT470" s="106"/>
      <c r="AU470" s="106"/>
      <c r="AV470" s="106"/>
      <c r="AW470" s="106"/>
      <c r="AX470" s="106"/>
      <c r="AY470" s="106"/>
    </row>
    <row r="471" spans="1:51" s="20" customFormat="1" ht="21" customHeight="1">
      <c r="A471" s="197"/>
      <c r="B471" s="87"/>
      <c r="C471" s="87"/>
      <c r="D471" s="196"/>
      <c r="E471" s="108"/>
      <c r="F471" s="196"/>
      <c r="G471" s="87"/>
      <c r="H471" s="197"/>
      <c r="I471" s="89"/>
      <c r="J471" s="204"/>
      <c r="K471" s="87"/>
      <c r="L471" s="87" t="str" cm="1">
        <f t="array" ref="L471">IF($A471="","",_xlfn.LET(_xlpm.stat,CHOOSE({1,2,3,4,5},$P471,$T471,$X471,$AB471,$AF471),_xlpm.rate,CHOOSE({1,2,3,4,5},$R471,$V471,$Z471,$AD471,$AH471),_xlpm.trn,CHOOSE({1,2,3,4,5},$S471,$W471,$AA471,$AE471,$AI471),_xlpm.nsC,SUMPRODUCT(--(_xlpm.stat="Ready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DLR",IF(AND(_xlpm.actRS&gt;0,_xlpm.actDone&lt;_xlpm.actRS),"Training",IF(_xlpm.actRS&gt;0,"Active",IF(AND(_xlpm.decC&gt;0,_xlpm.inPlay+_xlpm.actC=0),"Dead",IF(AND($AJ471&lt;&gt;"",$AK471=FALSE),"Waiting on Dealer",IF(_xlpm.subC&gt;0,"Waiting on Lender",IF(AND(_xlpm.appC+_xlpm.actC&gt;0,_xlpm.nsC+_xlpm.wdC=0),"Rate Sheet","Application Submitted")))))))))</f>
        <v/>
      </c>
      <c r="M471" s="87"/>
      <c r="N471" s="87"/>
      <c r="O471" s="197"/>
      <c r="P471" s="87" t="str">
        <f>IF($A471="","",IF($AK471=TRUE,"Ready 2 Submit","Waiting on Dealer"))</f>
        <v/>
      </c>
      <c r="Q471" s="148"/>
      <c r="R471" s="87"/>
      <c r="S471" s="87"/>
      <c r="T471" s="87" t="str">
        <f>IF($A471="","",IF($AK471=TRUE,"Ready 2 Submit","Waiting on Dealer"))</f>
        <v/>
      </c>
      <c r="U471" s="148"/>
      <c r="V471" s="87"/>
      <c r="W471" s="87"/>
      <c r="X471" s="87" t="str">
        <f>IF($A471="","",IF($AK471=TRUE,"Ready 2 Submit","Waiting on Dealer"))</f>
        <v/>
      </c>
      <c r="Y471" s="148"/>
      <c r="Z471" s="87"/>
      <c r="AA471" s="87"/>
      <c r="AB471" s="87" t="str">
        <f>IF($A471="","",IF($AK471=TRUE,"Ready 2 Submit","Waiting on Dealer"))</f>
        <v/>
      </c>
      <c r="AC471" s="148"/>
      <c r="AD471" s="87"/>
      <c r="AE471" s="87"/>
      <c r="AF471" s="87" t="str">
        <f>IF($A471="","",IF($AK471=TRUE,"Ready 2 Submit","Waiting on Dealer"))</f>
        <v/>
      </c>
      <c r="AG471" s="148"/>
      <c r="AH471" s="87"/>
      <c r="AI471" s="87"/>
      <c r="AJ471" s="197"/>
      <c r="AK471" s="110" t="b">
        <v>0</v>
      </c>
      <c r="AL471" s="87" t="str" cm="1">
        <f t="array" ref="AL471">IF($A471="","",SUMPRODUCT((CHOOSE({1,2,3,4,5},$R471,$V471,$Z471,$AD471,$AH471)="Yes")*(((CHOOSE({1,2,3,4,5},$S471,$W471,$AA471,$AE471,$AI471)="Yes")+(CHOOSE({1,2,3,4,5},$S471,$W471,$AA471,$AE471,$AI471)=TRUE))&gt;0)))</f>
        <v/>
      </c>
      <c r="AM471" s="87"/>
      <c r="AN471" s="87" t="str">
        <f ca="1">IF(OR($A471="",$AM471=""),"",TODAY()-$AM471)</f>
        <v/>
      </c>
      <c r="AO471" s="87"/>
      <c r="AP471" s="106"/>
      <c r="AQ471" s="106"/>
      <c r="AR471" s="106"/>
      <c r="AS471" s="106"/>
      <c r="AT471" s="106"/>
      <c r="AU471" s="106"/>
      <c r="AV471" s="106"/>
      <c r="AW471" s="106"/>
      <c r="AX471" s="106"/>
      <c r="AY471" s="106"/>
    </row>
    <row r="472" spans="1:51" s="20" customFormat="1" ht="21" customHeight="1">
      <c r="A472" s="197"/>
      <c r="B472" s="87"/>
      <c r="C472" s="87"/>
      <c r="D472" s="196"/>
      <c r="E472" s="108"/>
      <c r="F472" s="196"/>
      <c r="G472" s="87"/>
      <c r="H472" s="197"/>
      <c r="I472" s="89"/>
      <c r="J472" s="204"/>
      <c r="K472" s="87"/>
      <c r="L472" s="87" t="str" cm="1">
        <f t="array" ref="L472">IF($A472="","",_xlfn.LET(_xlpm.stat,CHOOSE({1,2,3,4,5},$P472,$T472,$X472,$AB472,$AF472),_xlpm.rate,CHOOSE({1,2,3,4,5},$R472,$V472,$Z472,$AD472,$AH472),_xlpm.trn,CHOOSE({1,2,3,4,5},$S472,$W472,$AA472,$AE472,$AI472),_xlpm.nsC,SUMPRODUCT(--(_xlpm.stat="Ready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DLR",IF(AND(_xlpm.actRS&gt;0,_xlpm.actDone&lt;_xlpm.actRS),"Training",IF(_xlpm.actRS&gt;0,"Active",IF(AND(_xlpm.decC&gt;0,_xlpm.inPlay+_xlpm.actC=0),"Dead",IF(AND($AJ472&lt;&gt;"",$AK472=FALSE),"Waiting on Dealer",IF(_xlpm.subC&gt;0,"Waiting on Lender",IF(AND(_xlpm.appC+_xlpm.actC&gt;0,_xlpm.nsC+_xlpm.wdC=0),"Rate Sheet","Application Submitted")))))))))</f>
        <v/>
      </c>
      <c r="M472" s="87"/>
      <c r="N472" s="87"/>
      <c r="O472" s="197"/>
      <c r="P472" s="87" t="str">
        <f>IF($A472="","",IF($AK472=TRUE,"Ready 2 Submit","Waiting on Dealer"))</f>
        <v/>
      </c>
      <c r="Q472" s="148"/>
      <c r="R472" s="87"/>
      <c r="S472" s="87"/>
      <c r="T472" s="87" t="str">
        <f>IF($A472="","",IF($AK472=TRUE,"Ready 2 Submit","Waiting on Dealer"))</f>
        <v/>
      </c>
      <c r="U472" s="148"/>
      <c r="V472" s="87"/>
      <c r="W472" s="87"/>
      <c r="X472" s="87" t="str">
        <f>IF($A472="","",IF($AK472=TRUE,"Ready 2 Submit","Waiting on Dealer"))</f>
        <v/>
      </c>
      <c r="Y472" s="148"/>
      <c r="Z472" s="87"/>
      <c r="AA472" s="87"/>
      <c r="AB472" s="87" t="str">
        <f>IF($A472="","",IF($AK472=TRUE,"Ready 2 Submit","Waiting on Dealer"))</f>
        <v/>
      </c>
      <c r="AC472" s="148"/>
      <c r="AD472" s="87"/>
      <c r="AE472" s="87"/>
      <c r="AF472" s="87" t="str">
        <f>IF($A472="","",IF($AK472=TRUE,"Ready 2 Submit","Waiting on Dealer"))</f>
        <v/>
      </c>
      <c r="AG472" s="148"/>
      <c r="AH472" s="87"/>
      <c r="AI472" s="87"/>
      <c r="AJ472" s="197"/>
      <c r="AK472" s="110" t="b">
        <v>0</v>
      </c>
      <c r="AL472" s="87" t="str" cm="1">
        <f t="array" ref="AL472">IF($A472="","",SUMPRODUCT((CHOOSE({1,2,3,4,5},$R472,$V472,$Z472,$AD472,$AH472)="Yes")*(((CHOOSE({1,2,3,4,5},$S472,$W472,$AA472,$AE472,$AI472)="Yes")+(CHOOSE({1,2,3,4,5},$S472,$W472,$AA472,$AE472,$AI472)=TRUE))&gt;0)))</f>
        <v/>
      </c>
      <c r="AM472" s="87"/>
      <c r="AN472" s="87" t="str">
        <f ca="1">IF(OR($A472="",$AM472=""),"",TODAY()-$AM472)</f>
        <v/>
      </c>
      <c r="AO472" s="87"/>
      <c r="AP472" s="106"/>
      <c r="AQ472" s="106"/>
      <c r="AR472" s="106"/>
      <c r="AS472" s="106"/>
      <c r="AT472" s="106"/>
      <c r="AU472" s="106"/>
      <c r="AV472" s="106"/>
      <c r="AW472" s="106"/>
      <c r="AX472" s="106"/>
      <c r="AY472" s="106"/>
    </row>
    <row r="473" spans="1:51" s="20" customFormat="1" ht="21" customHeight="1">
      <c r="A473" s="197"/>
      <c r="B473" s="87"/>
      <c r="C473" s="87"/>
      <c r="D473" s="196"/>
      <c r="E473" s="108"/>
      <c r="F473" s="196"/>
      <c r="G473" s="87"/>
      <c r="H473" s="197"/>
      <c r="I473" s="89"/>
      <c r="J473" s="204"/>
      <c r="K473" s="87"/>
      <c r="L473" s="87" t="str" cm="1">
        <f t="array" ref="L473">IF($A473="","",_xlfn.LET(_xlpm.stat,CHOOSE({1,2,3,4,5},$P473,$T473,$X473,$AB473,$AF473),_xlpm.rate,CHOOSE({1,2,3,4,5},$R473,$V473,$Z473,$AD473,$AH473),_xlpm.trn,CHOOSE({1,2,3,4,5},$S473,$W473,$AA473,$AE473,$AI473),_xlpm.nsC,SUMPRODUCT(--(_xlpm.stat="Ready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DLR",IF(AND(_xlpm.actRS&gt;0,_xlpm.actDone&lt;_xlpm.actRS),"Training",IF(_xlpm.actRS&gt;0,"Active",IF(AND(_xlpm.decC&gt;0,_xlpm.inPlay+_xlpm.actC=0),"Dead",IF(AND($AJ473&lt;&gt;"",$AK473=FALSE),"Waiting on Dealer",IF(_xlpm.subC&gt;0,"Waiting on Lender",IF(AND(_xlpm.appC+_xlpm.actC&gt;0,_xlpm.nsC+_xlpm.wdC=0),"Rate Sheet","Application Submitted")))))))))</f>
        <v/>
      </c>
      <c r="M473" s="87"/>
      <c r="N473" s="87"/>
      <c r="O473" s="197"/>
      <c r="P473" s="87" t="str">
        <f>IF($A473="","",IF($AK473=TRUE,"Ready 2 Submit","Waiting on Dealer"))</f>
        <v/>
      </c>
      <c r="Q473" s="148"/>
      <c r="R473" s="87"/>
      <c r="S473" s="87"/>
      <c r="T473" s="87" t="str">
        <f>IF($A473="","",IF($AK473=TRUE,"Ready 2 Submit","Waiting on Dealer"))</f>
        <v/>
      </c>
      <c r="U473" s="148"/>
      <c r="V473" s="87"/>
      <c r="W473" s="87"/>
      <c r="X473" s="87" t="str">
        <f>IF($A473="","",IF($AK473=TRUE,"Ready 2 Submit","Waiting on Dealer"))</f>
        <v/>
      </c>
      <c r="Y473" s="148"/>
      <c r="Z473" s="87"/>
      <c r="AA473" s="87"/>
      <c r="AB473" s="87" t="str">
        <f>IF($A473="","",IF($AK473=TRUE,"Ready 2 Submit","Waiting on Dealer"))</f>
        <v/>
      </c>
      <c r="AC473" s="148"/>
      <c r="AD473" s="87"/>
      <c r="AE473" s="87"/>
      <c r="AF473" s="87" t="str">
        <f>IF($A473="","",IF($AK473=TRUE,"Ready 2 Submit","Waiting on Dealer"))</f>
        <v/>
      </c>
      <c r="AG473" s="148"/>
      <c r="AH473" s="87"/>
      <c r="AI473" s="87"/>
      <c r="AJ473" s="197"/>
      <c r="AK473" s="110" t="b">
        <v>0</v>
      </c>
      <c r="AL473" s="87" t="str" cm="1">
        <f t="array" ref="AL473">IF($A473="","",SUMPRODUCT((CHOOSE({1,2,3,4,5},$R473,$V473,$Z473,$AD473,$AH473)="Yes")*(((CHOOSE({1,2,3,4,5},$S473,$W473,$AA473,$AE473,$AI473)="Yes")+(CHOOSE({1,2,3,4,5},$S473,$W473,$AA473,$AE473,$AI473)=TRUE))&gt;0)))</f>
        <v/>
      </c>
      <c r="AM473" s="87"/>
      <c r="AN473" s="87" t="str">
        <f ca="1">IF(OR($A473="",$AM473=""),"",TODAY()-$AM473)</f>
        <v/>
      </c>
      <c r="AO473" s="87"/>
      <c r="AP473" s="106"/>
      <c r="AQ473" s="106"/>
      <c r="AR473" s="106"/>
      <c r="AS473" s="106"/>
      <c r="AT473" s="106"/>
      <c r="AU473" s="106"/>
      <c r="AV473" s="106"/>
      <c r="AW473" s="106"/>
      <c r="AX473" s="106"/>
      <c r="AY473" s="106"/>
    </row>
    <row r="474" spans="1:51" s="20" customFormat="1" ht="21" customHeight="1">
      <c r="A474" s="197"/>
      <c r="B474" s="87"/>
      <c r="C474" s="87"/>
      <c r="D474" s="196"/>
      <c r="E474" s="108"/>
      <c r="F474" s="196"/>
      <c r="G474" s="87"/>
      <c r="H474" s="197"/>
      <c r="I474" s="89"/>
      <c r="J474" s="204"/>
      <c r="K474" s="87"/>
      <c r="L474" s="87" t="str" cm="1">
        <f t="array" ref="L474">IF($A474="","",_xlfn.LET(_xlpm.stat,CHOOSE({1,2,3,4,5},$P474,$T474,$X474,$AB474,$AF474),_xlpm.rate,CHOOSE({1,2,3,4,5},$R474,$V474,$Z474,$AD474,$AH474),_xlpm.trn,CHOOSE({1,2,3,4,5},$S474,$W474,$AA474,$AE474,$AI474),_xlpm.nsC,SUMPRODUCT(--(_xlpm.stat="Ready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DLR",IF(AND(_xlpm.actRS&gt;0,_xlpm.actDone&lt;_xlpm.actRS),"Training",IF(_xlpm.actRS&gt;0,"Active",IF(AND(_xlpm.decC&gt;0,_xlpm.inPlay+_xlpm.actC=0),"Dead",IF(AND($AJ474&lt;&gt;"",$AK474=FALSE),"Waiting on Dealer",IF(_xlpm.subC&gt;0,"Waiting on Lender",IF(AND(_xlpm.appC+_xlpm.actC&gt;0,_xlpm.nsC+_xlpm.wdC=0),"Rate Sheet","Application Submitted")))))))))</f>
        <v/>
      </c>
      <c r="M474" s="87"/>
      <c r="N474" s="87"/>
      <c r="O474" s="197"/>
      <c r="P474" s="87" t="str">
        <f>IF($A474="","",IF($AK474=TRUE,"Ready 2 Submit","Waiting on Dealer"))</f>
        <v/>
      </c>
      <c r="Q474" s="148"/>
      <c r="R474" s="87"/>
      <c r="S474" s="87"/>
      <c r="T474" s="87" t="str">
        <f>IF($A474="","",IF($AK474=TRUE,"Ready 2 Submit","Waiting on Dealer"))</f>
        <v/>
      </c>
      <c r="U474" s="148"/>
      <c r="V474" s="87"/>
      <c r="W474" s="87"/>
      <c r="X474" s="87" t="str">
        <f>IF($A474="","",IF($AK474=TRUE,"Ready 2 Submit","Waiting on Dealer"))</f>
        <v/>
      </c>
      <c r="Y474" s="148"/>
      <c r="Z474" s="87"/>
      <c r="AA474" s="87"/>
      <c r="AB474" s="87" t="str">
        <f>IF($A474="","",IF($AK474=TRUE,"Ready 2 Submit","Waiting on Dealer"))</f>
        <v/>
      </c>
      <c r="AC474" s="148"/>
      <c r="AD474" s="87"/>
      <c r="AE474" s="87"/>
      <c r="AF474" s="87" t="str">
        <f>IF($A474="","",IF($AK474=TRUE,"Ready 2 Submit","Waiting on Dealer"))</f>
        <v/>
      </c>
      <c r="AG474" s="148"/>
      <c r="AH474" s="87"/>
      <c r="AI474" s="87"/>
      <c r="AJ474" s="197"/>
      <c r="AK474" s="110" t="b">
        <v>0</v>
      </c>
      <c r="AL474" s="87" t="str" cm="1">
        <f t="array" ref="AL474">IF($A474="","",SUMPRODUCT((CHOOSE({1,2,3,4,5},$R474,$V474,$Z474,$AD474,$AH474)="Yes")*(((CHOOSE({1,2,3,4,5},$S474,$W474,$AA474,$AE474,$AI474)="Yes")+(CHOOSE({1,2,3,4,5},$S474,$W474,$AA474,$AE474,$AI474)=TRUE))&gt;0)))</f>
        <v/>
      </c>
      <c r="AM474" s="87"/>
      <c r="AN474" s="87" t="str">
        <f ca="1">IF(OR($A474="",$AM474=""),"",TODAY()-$AM474)</f>
        <v/>
      </c>
      <c r="AO474" s="87"/>
      <c r="AP474" s="106"/>
      <c r="AQ474" s="106"/>
      <c r="AR474" s="106"/>
      <c r="AS474" s="106"/>
      <c r="AT474" s="106"/>
      <c r="AU474" s="106"/>
      <c r="AV474" s="106"/>
      <c r="AW474" s="106"/>
      <c r="AX474" s="106"/>
      <c r="AY474" s="106"/>
    </row>
    <row r="475" spans="1:51" s="20" customFormat="1" ht="21" customHeight="1">
      <c r="A475" s="197"/>
      <c r="B475" s="87"/>
      <c r="C475" s="87"/>
      <c r="D475" s="196"/>
      <c r="E475" s="108"/>
      <c r="F475" s="196"/>
      <c r="G475" s="87"/>
      <c r="H475" s="197"/>
      <c r="I475" s="89"/>
      <c r="J475" s="204"/>
      <c r="K475" s="87"/>
      <c r="L475" s="87" t="str" cm="1">
        <f t="array" ref="L475">IF($A475="","",_xlfn.LET(_xlpm.stat,CHOOSE({1,2,3,4,5},$P475,$T475,$X475,$AB475,$AF475),_xlpm.rate,CHOOSE({1,2,3,4,5},$R475,$V475,$Z475,$AD475,$AH475),_xlpm.trn,CHOOSE({1,2,3,4,5},$S475,$W475,$AA475,$AE475,$AI475),_xlpm.nsC,SUMPRODUCT(--(_xlpm.stat="Ready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DLR",IF(AND(_xlpm.actRS&gt;0,_xlpm.actDone&lt;_xlpm.actRS),"Training",IF(_xlpm.actRS&gt;0,"Active",IF(AND(_xlpm.decC&gt;0,_xlpm.inPlay+_xlpm.actC=0),"Dead",IF(AND($AJ475&lt;&gt;"",$AK475=FALSE),"Waiting on Dealer",IF(_xlpm.subC&gt;0,"Waiting on Lender",IF(AND(_xlpm.appC+_xlpm.actC&gt;0,_xlpm.nsC+_xlpm.wdC=0),"Rate Sheet","Application Submitted")))))))))</f>
        <v/>
      </c>
      <c r="M475" s="87"/>
      <c r="N475" s="87"/>
      <c r="O475" s="197"/>
      <c r="P475" s="87" t="str">
        <f>IF($A475="","",IF($AK475=TRUE,"Ready 2 Submit","Waiting on Dealer"))</f>
        <v/>
      </c>
      <c r="Q475" s="148"/>
      <c r="R475" s="87"/>
      <c r="S475" s="87"/>
      <c r="T475" s="87" t="str">
        <f>IF($A475="","",IF($AK475=TRUE,"Ready 2 Submit","Waiting on Dealer"))</f>
        <v/>
      </c>
      <c r="U475" s="148"/>
      <c r="V475" s="87"/>
      <c r="W475" s="87"/>
      <c r="X475" s="87" t="str">
        <f>IF($A475="","",IF($AK475=TRUE,"Ready 2 Submit","Waiting on Dealer"))</f>
        <v/>
      </c>
      <c r="Y475" s="148"/>
      <c r="Z475" s="87"/>
      <c r="AA475" s="87"/>
      <c r="AB475" s="87" t="str">
        <f>IF($A475="","",IF($AK475=TRUE,"Ready 2 Submit","Waiting on Dealer"))</f>
        <v/>
      </c>
      <c r="AC475" s="148"/>
      <c r="AD475" s="87"/>
      <c r="AE475" s="87"/>
      <c r="AF475" s="87" t="str">
        <f>IF($A475="","",IF($AK475=TRUE,"Ready 2 Submit","Waiting on Dealer"))</f>
        <v/>
      </c>
      <c r="AG475" s="148"/>
      <c r="AH475" s="87"/>
      <c r="AI475" s="87"/>
      <c r="AJ475" s="197"/>
      <c r="AK475" s="110" t="b">
        <v>0</v>
      </c>
      <c r="AL475" s="87" t="str" cm="1">
        <f t="array" ref="AL475">IF($A475="","",SUMPRODUCT((CHOOSE({1,2,3,4,5},$R475,$V475,$Z475,$AD475,$AH475)="Yes")*(((CHOOSE({1,2,3,4,5},$S475,$W475,$AA475,$AE475,$AI475)="Yes")+(CHOOSE({1,2,3,4,5},$S475,$W475,$AA475,$AE475,$AI475)=TRUE))&gt;0)))</f>
        <v/>
      </c>
      <c r="AM475" s="87"/>
      <c r="AN475" s="87" t="str">
        <f ca="1">IF(OR($A475="",$AM475=""),"",TODAY()-$AM475)</f>
        <v/>
      </c>
      <c r="AO475" s="87"/>
      <c r="AP475" s="106"/>
      <c r="AQ475" s="106"/>
      <c r="AR475" s="106"/>
      <c r="AS475" s="106"/>
      <c r="AT475" s="106"/>
      <c r="AU475" s="106"/>
      <c r="AV475" s="106"/>
      <c r="AW475" s="106"/>
      <c r="AX475" s="106"/>
      <c r="AY475" s="106"/>
    </row>
    <row r="476" spans="1:51" s="20" customFormat="1" ht="21" customHeight="1">
      <c r="A476" s="197"/>
      <c r="B476" s="87"/>
      <c r="C476" s="87"/>
      <c r="D476" s="196"/>
      <c r="E476" s="108"/>
      <c r="F476" s="196"/>
      <c r="G476" s="87"/>
      <c r="H476" s="197"/>
      <c r="I476" s="89"/>
      <c r="J476" s="204"/>
      <c r="K476" s="87"/>
      <c r="L476" s="87" t="str" cm="1">
        <f t="array" ref="L476">IF($A476="","",_xlfn.LET(_xlpm.stat,CHOOSE({1,2,3,4,5},$P476,$T476,$X476,$AB476,$AF476),_xlpm.rate,CHOOSE({1,2,3,4,5},$R476,$V476,$Z476,$AD476,$AH476),_xlpm.trn,CHOOSE({1,2,3,4,5},$S476,$W476,$AA476,$AE476,$AI476),_xlpm.nsC,SUMPRODUCT(--(_xlpm.stat="Ready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DLR",IF(AND(_xlpm.actRS&gt;0,_xlpm.actDone&lt;_xlpm.actRS),"Training",IF(_xlpm.actRS&gt;0,"Active",IF(AND(_xlpm.decC&gt;0,_xlpm.inPlay+_xlpm.actC=0),"Dead",IF(AND($AJ476&lt;&gt;"",$AK476=FALSE),"Waiting on Dealer",IF(_xlpm.subC&gt;0,"Waiting on Lender",IF(AND(_xlpm.appC+_xlpm.actC&gt;0,_xlpm.nsC+_xlpm.wdC=0),"Rate Sheet","Application Submitted")))))))))</f>
        <v/>
      </c>
      <c r="M476" s="87"/>
      <c r="N476" s="87"/>
      <c r="O476" s="197"/>
      <c r="P476" s="87" t="str">
        <f>IF($A476="","",IF($AK476=TRUE,"Ready 2 Submit","Waiting on Dealer"))</f>
        <v/>
      </c>
      <c r="Q476" s="148"/>
      <c r="R476" s="87"/>
      <c r="S476" s="87"/>
      <c r="T476" s="87" t="str">
        <f>IF($A476="","",IF($AK476=TRUE,"Ready 2 Submit","Waiting on Dealer"))</f>
        <v/>
      </c>
      <c r="U476" s="148"/>
      <c r="V476" s="87"/>
      <c r="W476" s="87"/>
      <c r="X476" s="87" t="str">
        <f>IF($A476="","",IF($AK476=TRUE,"Ready 2 Submit","Waiting on Dealer"))</f>
        <v/>
      </c>
      <c r="Y476" s="148"/>
      <c r="Z476" s="87"/>
      <c r="AA476" s="87"/>
      <c r="AB476" s="87" t="str">
        <f>IF($A476="","",IF($AK476=TRUE,"Ready 2 Submit","Waiting on Dealer"))</f>
        <v/>
      </c>
      <c r="AC476" s="148"/>
      <c r="AD476" s="87"/>
      <c r="AE476" s="87"/>
      <c r="AF476" s="87" t="str">
        <f>IF($A476="","",IF($AK476=TRUE,"Ready 2 Submit","Waiting on Dealer"))</f>
        <v/>
      </c>
      <c r="AG476" s="148"/>
      <c r="AH476" s="87"/>
      <c r="AI476" s="87"/>
      <c r="AJ476" s="197"/>
      <c r="AK476" s="110" t="b">
        <v>0</v>
      </c>
      <c r="AL476" s="87" t="str" cm="1">
        <f t="array" ref="AL476">IF($A476="","",SUMPRODUCT((CHOOSE({1,2,3,4,5},$R476,$V476,$Z476,$AD476,$AH476)="Yes")*(((CHOOSE({1,2,3,4,5},$S476,$W476,$AA476,$AE476,$AI476)="Yes")+(CHOOSE({1,2,3,4,5},$S476,$W476,$AA476,$AE476,$AI476)=TRUE))&gt;0)))</f>
        <v/>
      </c>
      <c r="AM476" s="87"/>
      <c r="AN476" s="87" t="str">
        <f ca="1">IF(OR($A476="",$AM476=""),"",TODAY()-$AM476)</f>
        <v/>
      </c>
      <c r="AO476" s="87"/>
      <c r="AP476" s="106"/>
      <c r="AQ476" s="106"/>
      <c r="AR476" s="106"/>
      <c r="AS476" s="106"/>
      <c r="AT476" s="106"/>
      <c r="AU476" s="106"/>
      <c r="AV476" s="106"/>
      <c r="AW476" s="106"/>
      <c r="AX476" s="106"/>
      <c r="AY476" s="106"/>
    </row>
    <row r="477" spans="1:51" s="20" customFormat="1" ht="21" customHeight="1">
      <c r="A477" s="197"/>
      <c r="B477" s="87"/>
      <c r="C477" s="87"/>
      <c r="D477" s="196"/>
      <c r="E477" s="108"/>
      <c r="F477" s="196"/>
      <c r="G477" s="87"/>
      <c r="H477" s="197"/>
      <c r="I477" s="89"/>
      <c r="J477" s="204"/>
      <c r="K477" s="87"/>
      <c r="L477" s="87" t="str" cm="1">
        <f t="array" ref="L477">IF($A477="","",_xlfn.LET(_xlpm.stat,CHOOSE({1,2,3,4,5},$P477,$T477,$X477,$AB477,$AF477),_xlpm.rate,CHOOSE({1,2,3,4,5},$R477,$V477,$Z477,$AD477,$AH477),_xlpm.trn,CHOOSE({1,2,3,4,5},$S477,$W477,$AA477,$AE477,$AI477),_xlpm.nsC,SUMPRODUCT(--(_xlpm.stat="Ready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DLR",IF(AND(_xlpm.actRS&gt;0,_xlpm.actDone&lt;_xlpm.actRS),"Training",IF(_xlpm.actRS&gt;0,"Active",IF(AND(_xlpm.decC&gt;0,_xlpm.inPlay+_xlpm.actC=0),"Dead",IF(AND($AJ477&lt;&gt;"",$AK477=FALSE),"Waiting on Dealer",IF(_xlpm.subC&gt;0,"Waiting on Lender",IF(AND(_xlpm.appC+_xlpm.actC&gt;0,_xlpm.nsC+_xlpm.wdC=0),"Rate Sheet","Application Submitted")))))))))</f>
        <v/>
      </c>
      <c r="M477" s="87"/>
      <c r="N477" s="87"/>
      <c r="O477" s="197"/>
      <c r="P477" s="87" t="str">
        <f>IF($A477="","",IF($AK477=TRUE,"Ready 2 Submit","Waiting on Dealer"))</f>
        <v/>
      </c>
      <c r="Q477" s="148"/>
      <c r="R477" s="87"/>
      <c r="S477" s="87"/>
      <c r="T477" s="87" t="str">
        <f>IF($A477="","",IF($AK477=TRUE,"Ready 2 Submit","Waiting on Dealer"))</f>
        <v/>
      </c>
      <c r="U477" s="148"/>
      <c r="V477" s="87"/>
      <c r="W477" s="87"/>
      <c r="X477" s="87" t="str">
        <f>IF($A477="","",IF($AK477=TRUE,"Ready 2 Submit","Waiting on Dealer"))</f>
        <v/>
      </c>
      <c r="Y477" s="148"/>
      <c r="Z477" s="87"/>
      <c r="AA477" s="87"/>
      <c r="AB477" s="87" t="str">
        <f>IF($A477="","",IF($AK477=TRUE,"Ready 2 Submit","Waiting on Dealer"))</f>
        <v/>
      </c>
      <c r="AC477" s="148"/>
      <c r="AD477" s="87"/>
      <c r="AE477" s="87"/>
      <c r="AF477" s="87" t="str">
        <f>IF($A477="","",IF($AK477=TRUE,"Ready 2 Submit","Waiting on Dealer"))</f>
        <v/>
      </c>
      <c r="AG477" s="148"/>
      <c r="AH477" s="87"/>
      <c r="AI477" s="87"/>
      <c r="AJ477" s="197"/>
      <c r="AK477" s="110" t="b">
        <v>0</v>
      </c>
      <c r="AL477" s="87" t="str" cm="1">
        <f t="array" ref="AL477">IF($A477="","",SUMPRODUCT((CHOOSE({1,2,3,4,5},$R477,$V477,$Z477,$AD477,$AH477)="Yes")*(((CHOOSE({1,2,3,4,5},$S477,$W477,$AA477,$AE477,$AI477)="Yes")+(CHOOSE({1,2,3,4,5},$S477,$W477,$AA477,$AE477,$AI477)=TRUE))&gt;0)))</f>
        <v/>
      </c>
      <c r="AM477" s="87"/>
      <c r="AN477" s="87" t="str">
        <f ca="1">IF(OR($A477="",$AM477=""),"",TODAY()-$AM477)</f>
        <v/>
      </c>
      <c r="AO477" s="87"/>
      <c r="AP477" s="106"/>
      <c r="AQ477" s="106"/>
      <c r="AR477" s="106"/>
      <c r="AS477" s="106"/>
      <c r="AT477" s="106"/>
      <c r="AU477" s="106"/>
      <c r="AV477" s="106"/>
      <c r="AW477" s="106"/>
      <c r="AX477" s="106"/>
      <c r="AY477" s="106"/>
    </row>
    <row r="478" spans="1:51" s="20" customFormat="1" ht="21" customHeight="1">
      <c r="A478" s="197"/>
      <c r="B478" s="87"/>
      <c r="C478" s="87"/>
      <c r="D478" s="196"/>
      <c r="E478" s="108"/>
      <c r="F478" s="196"/>
      <c r="G478" s="87"/>
      <c r="H478" s="197"/>
      <c r="I478" s="89"/>
      <c r="J478" s="204"/>
      <c r="K478" s="87"/>
      <c r="L478" s="87" t="str" cm="1">
        <f t="array" ref="L478">IF($A478="","",_xlfn.LET(_xlpm.stat,CHOOSE({1,2,3,4,5},$P478,$T478,$X478,$AB478,$AF478),_xlpm.rate,CHOOSE({1,2,3,4,5},$R478,$V478,$Z478,$AD478,$AH478),_xlpm.trn,CHOOSE({1,2,3,4,5},$S478,$W478,$AA478,$AE478,$AI478),_xlpm.nsC,SUMPRODUCT(--(_xlpm.stat="Ready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DLR",IF(AND(_xlpm.actRS&gt;0,_xlpm.actDone&lt;_xlpm.actRS),"Training",IF(_xlpm.actRS&gt;0,"Active",IF(AND(_xlpm.decC&gt;0,_xlpm.inPlay+_xlpm.actC=0),"Dead",IF(AND($AJ478&lt;&gt;"",$AK478=FALSE),"Waiting on Dealer",IF(_xlpm.subC&gt;0,"Waiting on Lender",IF(AND(_xlpm.appC+_xlpm.actC&gt;0,_xlpm.nsC+_xlpm.wdC=0),"Rate Sheet","Application Submitted")))))))))</f>
        <v/>
      </c>
      <c r="M478" s="87"/>
      <c r="N478" s="87"/>
      <c r="O478" s="197"/>
      <c r="P478" s="87" t="str">
        <f>IF($A478="","",IF($AK478=TRUE,"Ready 2 Submit","Waiting on Dealer"))</f>
        <v/>
      </c>
      <c r="Q478" s="148"/>
      <c r="R478" s="87"/>
      <c r="S478" s="87"/>
      <c r="T478" s="87" t="str">
        <f>IF($A478="","",IF($AK478=TRUE,"Ready 2 Submit","Waiting on Dealer"))</f>
        <v/>
      </c>
      <c r="U478" s="148"/>
      <c r="V478" s="87"/>
      <c r="W478" s="87"/>
      <c r="X478" s="87" t="str">
        <f>IF($A478="","",IF($AK478=TRUE,"Ready 2 Submit","Waiting on Dealer"))</f>
        <v/>
      </c>
      <c r="Y478" s="148"/>
      <c r="Z478" s="87"/>
      <c r="AA478" s="87"/>
      <c r="AB478" s="87" t="str">
        <f>IF($A478="","",IF($AK478=TRUE,"Ready 2 Submit","Waiting on Dealer"))</f>
        <v/>
      </c>
      <c r="AC478" s="148"/>
      <c r="AD478" s="87"/>
      <c r="AE478" s="87"/>
      <c r="AF478" s="87" t="str">
        <f>IF($A478="","",IF($AK478=TRUE,"Ready 2 Submit","Waiting on Dealer"))</f>
        <v/>
      </c>
      <c r="AG478" s="148"/>
      <c r="AH478" s="87"/>
      <c r="AI478" s="87"/>
      <c r="AJ478" s="197"/>
      <c r="AK478" s="110" t="b">
        <v>0</v>
      </c>
      <c r="AL478" s="87" t="str" cm="1">
        <f t="array" ref="AL478">IF($A478="","",SUMPRODUCT((CHOOSE({1,2,3,4,5},$R478,$V478,$Z478,$AD478,$AH478)="Yes")*(((CHOOSE({1,2,3,4,5},$S478,$W478,$AA478,$AE478,$AI478)="Yes")+(CHOOSE({1,2,3,4,5},$S478,$W478,$AA478,$AE478,$AI478)=TRUE))&gt;0)))</f>
        <v/>
      </c>
      <c r="AM478" s="87"/>
      <c r="AN478" s="87" t="str">
        <f ca="1">IF(OR($A478="",$AM478=""),"",TODAY()-$AM478)</f>
        <v/>
      </c>
      <c r="AO478" s="87"/>
      <c r="AP478" s="106"/>
      <c r="AQ478" s="106"/>
      <c r="AR478" s="106"/>
      <c r="AS478" s="106"/>
      <c r="AT478" s="106"/>
      <c r="AU478" s="106"/>
      <c r="AV478" s="106"/>
      <c r="AW478" s="106"/>
      <c r="AX478" s="106"/>
      <c r="AY478" s="106"/>
    </row>
    <row r="479" spans="1:51" s="20" customFormat="1" ht="21" customHeight="1">
      <c r="A479" s="197"/>
      <c r="B479" s="87"/>
      <c r="C479" s="87"/>
      <c r="D479" s="196"/>
      <c r="E479" s="108"/>
      <c r="F479" s="196"/>
      <c r="G479" s="87"/>
      <c r="H479" s="197"/>
      <c r="I479" s="89"/>
      <c r="J479" s="204"/>
      <c r="K479" s="87"/>
      <c r="L479" s="87" t="str" cm="1">
        <f t="array" ref="L479">IF($A479="","",_xlfn.LET(_xlpm.stat,CHOOSE({1,2,3,4,5},$P479,$T479,$X479,$AB479,$AF479),_xlpm.rate,CHOOSE({1,2,3,4,5},$R479,$V479,$Z479,$AD479,$AH479),_xlpm.trn,CHOOSE({1,2,3,4,5},$S479,$W479,$AA479,$AE479,$AI479),_xlpm.nsC,SUMPRODUCT(--(_xlpm.stat="Ready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DLR",IF(AND(_xlpm.actRS&gt;0,_xlpm.actDone&lt;_xlpm.actRS),"Training",IF(_xlpm.actRS&gt;0,"Active",IF(AND(_xlpm.decC&gt;0,_xlpm.inPlay+_xlpm.actC=0),"Dead",IF(AND($AJ479&lt;&gt;"",$AK479=FALSE),"Waiting on Dealer",IF(_xlpm.subC&gt;0,"Waiting on Lender",IF(AND(_xlpm.appC+_xlpm.actC&gt;0,_xlpm.nsC+_xlpm.wdC=0),"Rate Sheet","Application Submitted")))))))))</f>
        <v/>
      </c>
      <c r="M479" s="87"/>
      <c r="N479" s="87"/>
      <c r="O479" s="197"/>
      <c r="P479" s="87" t="str">
        <f>IF($A479="","",IF($AK479=TRUE,"Ready 2 Submit","Waiting on Dealer"))</f>
        <v/>
      </c>
      <c r="Q479" s="148"/>
      <c r="R479" s="87"/>
      <c r="S479" s="87"/>
      <c r="T479" s="87" t="str">
        <f>IF($A479="","",IF($AK479=TRUE,"Ready 2 Submit","Waiting on Dealer"))</f>
        <v/>
      </c>
      <c r="U479" s="148"/>
      <c r="V479" s="87"/>
      <c r="W479" s="87"/>
      <c r="X479" s="87" t="str">
        <f>IF($A479="","",IF($AK479=TRUE,"Ready 2 Submit","Waiting on Dealer"))</f>
        <v/>
      </c>
      <c r="Y479" s="148"/>
      <c r="Z479" s="87"/>
      <c r="AA479" s="87"/>
      <c r="AB479" s="87" t="str">
        <f>IF($A479="","",IF($AK479=TRUE,"Ready 2 Submit","Waiting on Dealer"))</f>
        <v/>
      </c>
      <c r="AC479" s="148"/>
      <c r="AD479" s="87"/>
      <c r="AE479" s="87"/>
      <c r="AF479" s="87" t="str">
        <f>IF($A479="","",IF($AK479=TRUE,"Ready 2 Submit","Waiting on Dealer"))</f>
        <v/>
      </c>
      <c r="AG479" s="148"/>
      <c r="AH479" s="87"/>
      <c r="AI479" s="87"/>
      <c r="AJ479" s="197"/>
      <c r="AK479" s="110" t="b">
        <v>0</v>
      </c>
      <c r="AL479" s="87" t="str" cm="1">
        <f t="array" ref="AL479">IF($A479="","",SUMPRODUCT((CHOOSE({1,2,3,4,5},$R479,$V479,$Z479,$AD479,$AH479)="Yes")*(((CHOOSE({1,2,3,4,5},$S479,$W479,$AA479,$AE479,$AI479)="Yes")+(CHOOSE({1,2,3,4,5},$S479,$W479,$AA479,$AE479,$AI479)=TRUE))&gt;0)))</f>
        <v/>
      </c>
      <c r="AM479" s="87"/>
      <c r="AN479" s="87" t="str">
        <f ca="1">IF(OR($A479="",$AM479=""),"",TODAY()-$AM479)</f>
        <v/>
      </c>
      <c r="AO479" s="87"/>
      <c r="AP479" s="106"/>
      <c r="AQ479" s="106"/>
      <c r="AR479" s="106"/>
      <c r="AS479" s="106"/>
      <c r="AT479" s="106"/>
      <c r="AU479" s="106"/>
      <c r="AV479" s="106"/>
      <c r="AW479" s="106"/>
      <c r="AX479" s="106"/>
      <c r="AY479" s="106"/>
    </row>
    <row r="480" spans="1:51" s="20" customFormat="1" ht="21" customHeight="1">
      <c r="A480" s="197"/>
      <c r="B480" s="87"/>
      <c r="C480" s="87"/>
      <c r="D480" s="196"/>
      <c r="E480" s="108"/>
      <c r="F480" s="196"/>
      <c r="G480" s="87"/>
      <c r="H480" s="197"/>
      <c r="I480" s="89"/>
      <c r="J480" s="204"/>
      <c r="K480" s="87"/>
      <c r="L480" s="87" t="str" cm="1">
        <f t="array" ref="L480">IF($A480="","",_xlfn.LET(_xlpm.stat,CHOOSE({1,2,3,4,5},$P480,$T480,$X480,$AB480,$AF480),_xlpm.rate,CHOOSE({1,2,3,4,5},$R480,$V480,$Z480,$AD480,$AH480),_xlpm.trn,CHOOSE({1,2,3,4,5},$S480,$W480,$AA480,$AE480,$AI480),_xlpm.nsC,SUMPRODUCT(--(_xlpm.stat="Ready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DLR",IF(AND(_xlpm.actRS&gt;0,_xlpm.actDone&lt;_xlpm.actRS),"Training",IF(_xlpm.actRS&gt;0,"Active",IF(AND(_xlpm.decC&gt;0,_xlpm.inPlay+_xlpm.actC=0),"Dead",IF(AND($AJ480&lt;&gt;"",$AK480=FALSE),"Waiting on Dealer",IF(_xlpm.subC&gt;0,"Waiting on Lender",IF(AND(_xlpm.appC+_xlpm.actC&gt;0,_xlpm.nsC+_xlpm.wdC=0),"Rate Sheet","Application Submitted")))))))))</f>
        <v/>
      </c>
      <c r="M480" s="87"/>
      <c r="N480" s="87"/>
      <c r="O480" s="197"/>
      <c r="P480" s="87" t="str">
        <f>IF($A480="","",IF($AK480=TRUE,"Ready 2 Submit","Waiting on Dealer"))</f>
        <v/>
      </c>
      <c r="Q480" s="148"/>
      <c r="R480" s="87"/>
      <c r="S480" s="87"/>
      <c r="T480" s="87" t="str">
        <f>IF($A480="","",IF($AK480=TRUE,"Ready 2 Submit","Waiting on Dealer"))</f>
        <v/>
      </c>
      <c r="U480" s="148"/>
      <c r="V480" s="87"/>
      <c r="W480" s="87"/>
      <c r="X480" s="87" t="str">
        <f>IF($A480="","",IF($AK480=TRUE,"Ready 2 Submit","Waiting on Dealer"))</f>
        <v/>
      </c>
      <c r="Y480" s="148"/>
      <c r="Z480" s="87"/>
      <c r="AA480" s="87"/>
      <c r="AB480" s="87" t="str">
        <f>IF($A480="","",IF($AK480=TRUE,"Ready 2 Submit","Waiting on Dealer"))</f>
        <v/>
      </c>
      <c r="AC480" s="148"/>
      <c r="AD480" s="87"/>
      <c r="AE480" s="87"/>
      <c r="AF480" s="87" t="str">
        <f>IF($A480="","",IF($AK480=TRUE,"Ready 2 Submit","Waiting on Dealer"))</f>
        <v/>
      </c>
      <c r="AG480" s="148"/>
      <c r="AH480" s="87"/>
      <c r="AI480" s="87"/>
      <c r="AJ480" s="197"/>
      <c r="AK480" s="110" t="b">
        <v>0</v>
      </c>
      <c r="AL480" s="87" t="str" cm="1">
        <f t="array" ref="AL480">IF($A480="","",SUMPRODUCT((CHOOSE({1,2,3,4,5},$R480,$V480,$Z480,$AD480,$AH480)="Yes")*(((CHOOSE({1,2,3,4,5},$S480,$W480,$AA480,$AE480,$AI480)="Yes")+(CHOOSE({1,2,3,4,5},$S480,$W480,$AA480,$AE480,$AI480)=TRUE))&gt;0)))</f>
        <v/>
      </c>
      <c r="AM480" s="87"/>
      <c r="AN480" s="87" t="str">
        <f ca="1">IF(OR($A480="",$AM480=""),"",TODAY()-$AM480)</f>
        <v/>
      </c>
      <c r="AO480" s="87"/>
      <c r="AP480" s="106"/>
      <c r="AQ480" s="106"/>
      <c r="AR480" s="106"/>
      <c r="AS480" s="106"/>
      <c r="AT480" s="106"/>
      <c r="AU480" s="106"/>
      <c r="AV480" s="106"/>
      <c r="AW480" s="106"/>
      <c r="AX480" s="106"/>
      <c r="AY480" s="106"/>
    </row>
    <row r="481" spans="1:51" s="20" customFormat="1" ht="21" customHeight="1">
      <c r="A481" s="197"/>
      <c r="B481" s="87"/>
      <c r="C481" s="87"/>
      <c r="D481" s="196"/>
      <c r="E481" s="108"/>
      <c r="F481" s="196"/>
      <c r="G481" s="87"/>
      <c r="H481" s="197"/>
      <c r="I481" s="89"/>
      <c r="J481" s="204"/>
      <c r="K481" s="87"/>
      <c r="L481" s="87" t="str" cm="1">
        <f t="array" ref="L481">IF($A481="","",_xlfn.LET(_xlpm.stat,CHOOSE({1,2,3,4,5},$P481,$T481,$X481,$AB481,$AF481),_xlpm.rate,CHOOSE({1,2,3,4,5},$R481,$V481,$Z481,$AD481,$AH481),_xlpm.trn,CHOOSE({1,2,3,4,5},$S481,$W481,$AA481,$AE481,$AI481),_xlpm.nsC,SUMPRODUCT(--(_xlpm.stat="Ready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DLR",IF(AND(_xlpm.actRS&gt;0,_xlpm.actDone&lt;_xlpm.actRS),"Training",IF(_xlpm.actRS&gt;0,"Active",IF(AND(_xlpm.decC&gt;0,_xlpm.inPlay+_xlpm.actC=0),"Dead",IF(AND($AJ481&lt;&gt;"",$AK481=FALSE),"Waiting on Dealer",IF(_xlpm.subC&gt;0,"Waiting on Lender",IF(AND(_xlpm.appC+_xlpm.actC&gt;0,_xlpm.nsC+_xlpm.wdC=0),"Rate Sheet","Application Submitted")))))))))</f>
        <v/>
      </c>
      <c r="M481" s="87"/>
      <c r="N481" s="87"/>
      <c r="O481" s="197"/>
      <c r="P481" s="87" t="str">
        <f>IF($A481="","",IF($AK481=TRUE,"Ready 2 Submit","Waiting on Dealer"))</f>
        <v/>
      </c>
      <c r="Q481" s="148"/>
      <c r="R481" s="87"/>
      <c r="S481" s="87"/>
      <c r="T481" s="87" t="str">
        <f>IF($A481="","",IF($AK481=TRUE,"Ready 2 Submit","Waiting on Dealer"))</f>
        <v/>
      </c>
      <c r="U481" s="148"/>
      <c r="V481" s="87"/>
      <c r="W481" s="87"/>
      <c r="X481" s="87" t="str">
        <f>IF($A481="","",IF($AK481=TRUE,"Ready 2 Submit","Waiting on Dealer"))</f>
        <v/>
      </c>
      <c r="Y481" s="148"/>
      <c r="Z481" s="87"/>
      <c r="AA481" s="87"/>
      <c r="AB481" s="87" t="str">
        <f>IF($A481="","",IF($AK481=TRUE,"Ready 2 Submit","Waiting on Dealer"))</f>
        <v/>
      </c>
      <c r="AC481" s="148"/>
      <c r="AD481" s="87"/>
      <c r="AE481" s="87"/>
      <c r="AF481" s="87" t="str">
        <f>IF($A481="","",IF($AK481=TRUE,"Ready 2 Submit","Waiting on Dealer"))</f>
        <v/>
      </c>
      <c r="AG481" s="148"/>
      <c r="AH481" s="87"/>
      <c r="AI481" s="87"/>
      <c r="AJ481" s="197"/>
      <c r="AK481" s="110" t="b">
        <v>0</v>
      </c>
      <c r="AL481" s="87" t="str" cm="1">
        <f t="array" ref="AL481">IF($A481="","",SUMPRODUCT((CHOOSE({1,2,3,4,5},$R481,$V481,$Z481,$AD481,$AH481)="Yes")*(((CHOOSE({1,2,3,4,5},$S481,$W481,$AA481,$AE481,$AI481)="Yes")+(CHOOSE({1,2,3,4,5},$S481,$W481,$AA481,$AE481,$AI481)=TRUE))&gt;0)))</f>
        <v/>
      </c>
      <c r="AM481" s="87"/>
      <c r="AN481" s="87" t="str">
        <f ca="1">IF(OR($A481="",$AM481=""),"",TODAY()-$AM481)</f>
        <v/>
      </c>
      <c r="AO481" s="87"/>
      <c r="AP481" s="106"/>
      <c r="AQ481" s="106"/>
      <c r="AR481" s="106"/>
      <c r="AS481" s="106"/>
      <c r="AT481" s="106"/>
      <c r="AU481" s="106"/>
      <c r="AV481" s="106"/>
      <c r="AW481" s="106"/>
      <c r="AX481" s="106"/>
      <c r="AY481" s="106"/>
    </row>
    <row r="482" spans="1:51" s="20" customFormat="1" ht="21" customHeight="1">
      <c r="A482" s="197"/>
      <c r="B482" s="87"/>
      <c r="C482" s="87"/>
      <c r="D482" s="196"/>
      <c r="E482" s="108"/>
      <c r="F482" s="196"/>
      <c r="G482" s="87"/>
      <c r="H482" s="197"/>
      <c r="I482" s="89"/>
      <c r="J482" s="204"/>
      <c r="K482" s="87"/>
      <c r="L482" s="87" t="str" cm="1">
        <f t="array" ref="L482">IF($A482="","",_xlfn.LET(_xlpm.stat,CHOOSE({1,2,3,4,5},$P482,$T482,$X482,$AB482,$AF482),_xlpm.rate,CHOOSE({1,2,3,4,5},$R482,$V482,$Z482,$AD482,$AH482),_xlpm.trn,CHOOSE({1,2,3,4,5},$S482,$W482,$AA482,$AE482,$AI482),_xlpm.nsC,SUMPRODUCT(--(_xlpm.stat="Ready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DLR",IF(AND(_xlpm.actRS&gt;0,_xlpm.actDone&lt;_xlpm.actRS),"Training",IF(_xlpm.actRS&gt;0,"Active",IF(AND(_xlpm.decC&gt;0,_xlpm.inPlay+_xlpm.actC=0),"Dead",IF(AND($AJ482&lt;&gt;"",$AK482=FALSE),"Waiting on Dealer",IF(_xlpm.subC&gt;0,"Waiting on Lender",IF(AND(_xlpm.appC+_xlpm.actC&gt;0,_xlpm.nsC+_xlpm.wdC=0),"Rate Sheet","Application Submitted")))))))))</f>
        <v/>
      </c>
      <c r="M482" s="87"/>
      <c r="N482" s="87"/>
      <c r="O482" s="197"/>
      <c r="P482" s="87" t="str">
        <f>IF($A482="","",IF($AK482=TRUE,"Ready 2 Submit","Waiting on Dealer"))</f>
        <v/>
      </c>
      <c r="Q482" s="148"/>
      <c r="R482" s="87"/>
      <c r="S482" s="87"/>
      <c r="T482" s="87" t="str">
        <f>IF($A482="","",IF($AK482=TRUE,"Ready 2 Submit","Waiting on Dealer"))</f>
        <v/>
      </c>
      <c r="U482" s="148"/>
      <c r="V482" s="87"/>
      <c r="W482" s="87"/>
      <c r="X482" s="87" t="str">
        <f>IF($A482="","",IF($AK482=TRUE,"Ready 2 Submit","Waiting on Dealer"))</f>
        <v/>
      </c>
      <c r="Y482" s="148"/>
      <c r="Z482" s="87"/>
      <c r="AA482" s="87"/>
      <c r="AB482" s="87" t="str">
        <f>IF($A482="","",IF($AK482=TRUE,"Ready 2 Submit","Waiting on Dealer"))</f>
        <v/>
      </c>
      <c r="AC482" s="148"/>
      <c r="AD482" s="87"/>
      <c r="AE482" s="87"/>
      <c r="AF482" s="87" t="str">
        <f>IF($A482="","",IF($AK482=TRUE,"Ready 2 Submit","Waiting on Dealer"))</f>
        <v/>
      </c>
      <c r="AG482" s="148"/>
      <c r="AH482" s="87"/>
      <c r="AI482" s="87"/>
      <c r="AJ482" s="197"/>
      <c r="AK482" s="110" t="b">
        <v>0</v>
      </c>
      <c r="AL482" s="87" t="str" cm="1">
        <f t="array" ref="AL482">IF($A482="","",SUMPRODUCT((CHOOSE({1,2,3,4,5},$R482,$V482,$Z482,$AD482,$AH482)="Yes")*(((CHOOSE({1,2,3,4,5},$S482,$W482,$AA482,$AE482,$AI482)="Yes")+(CHOOSE({1,2,3,4,5},$S482,$W482,$AA482,$AE482,$AI482)=TRUE))&gt;0)))</f>
        <v/>
      </c>
      <c r="AM482" s="87"/>
      <c r="AN482" s="87" t="str">
        <f ca="1">IF(OR($A482="",$AM482=""),"",TODAY()-$AM482)</f>
        <v/>
      </c>
      <c r="AO482" s="87"/>
      <c r="AP482" s="106"/>
      <c r="AQ482" s="106"/>
      <c r="AR482" s="106"/>
      <c r="AS482" s="106"/>
      <c r="AT482" s="106"/>
      <c r="AU482" s="106"/>
      <c r="AV482" s="106"/>
      <c r="AW482" s="106"/>
      <c r="AX482" s="106"/>
      <c r="AY482" s="106"/>
    </row>
    <row r="483" spans="1:51" s="20" customFormat="1" ht="21" customHeight="1">
      <c r="A483" s="197"/>
      <c r="B483" s="87"/>
      <c r="C483" s="87"/>
      <c r="D483" s="196"/>
      <c r="E483" s="108"/>
      <c r="F483" s="196"/>
      <c r="G483" s="87"/>
      <c r="H483" s="197"/>
      <c r="I483" s="89"/>
      <c r="J483" s="204"/>
      <c r="K483" s="87"/>
      <c r="L483" s="87" t="str" cm="1">
        <f t="array" ref="L483">IF($A483="","",_xlfn.LET(_xlpm.stat,CHOOSE({1,2,3,4,5},$P483,$T483,$X483,$AB483,$AF483),_xlpm.rate,CHOOSE({1,2,3,4,5},$R483,$V483,$Z483,$AD483,$AH483),_xlpm.trn,CHOOSE({1,2,3,4,5},$S483,$W483,$AA483,$AE483,$AI483),_xlpm.nsC,SUMPRODUCT(--(_xlpm.stat="Ready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DLR",IF(AND(_xlpm.actRS&gt;0,_xlpm.actDone&lt;_xlpm.actRS),"Training",IF(_xlpm.actRS&gt;0,"Active",IF(AND(_xlpm.decC&gt;0,_xlpm.inPlay+_xlpm.actC=0),"Dead",IF(AND($AJ483&lt;&gt;"",$AK483=FALSE),"Waiting on Dealer",IF(_xlpm.subC&gt;0,"Waiting on Lender",IF(AND(_xlpm.appC+_xlpm.actC&gt;0,_xlpm.nsC+_xlpm.wdC=0),"Rate Sheet","Application Submitted")))))))))</f>
        <v/>
      </c>
      <c r="M483" s="87"/>
      <c r="N483" s="87"/>
      <c r="O483" s="197"/>
      <c r="P483" s="87" t="str">
        <f>IF($A483="","",IF($AK483=TRUE,"Ready 2 Submit","Waiting on Dealer"))</f>
        <v/>
      </c>
      <c r="Q483" s="148"/>
      <c r="R483" s="87"/>
      <c r="S483" s="87"/>
      <c r="T483" s="87" t="str">
        <f>IF($A483="","",IF($AK483=TRUE,"Ready 2 Submit","Waiting on Dealer"))</f>
        <v/>
      </c>
      <c r="U483" s="148"/>
      <c r="V483" s="87"/>
      <c r="W483" s="87"/>
      <c r="X483" s="87" t="str">
        <f>IF($A483="","",IF($AK483=TRUE,"Ready 2 Submit","Waiting on Dealer"))</f>
        <v/>
      </c>
      <c r="Y483" s="148"/>
      <c r="Z483" s="87"/>
      <c r="AA483" s="87"/>
      <c r="AB483" s="87" t="str">
        <f>IF($A483="","",IF($AK483=TRUE,"Ready 2 Submit","Waiting on Dealer"))</f>
        <v/>
      </c>
      <c r="AC483" s="148"/>
      <c r="AD483" s="87"/>
      <c r="AE483" s="87"/>
      <c r="AF483" s="87" t="str">
        <f>IF($A483="","",IF($AK483=TRUE,"Ready 2 Submit","Waiting on Dealer"))</f>
        <v/>
      </c>
      <c r="AG483" s="148"/>
      <c r="AH483" s="87"/>
      <c r="AI483" s="87"/>
      <c r="AJ483" s="197"/>
      <c r="AK483" s="110" t="b">
        <v>0</v>
      </c>
      <c r="AL483" s="87" t="str" cm="1">
        <f t="array" ref="AL483">IF($A483="","",SUMPRODUCT((CHOOSE({1,2,3,4,5},$R483,$V483,$Z483,$AD483,$AH483)="Yes")*(((CHOOSE({1,2,3,4,5},$S483,$W483,$AA483,$AE483,$AI483)="Yes")+(CHOOSE({1,2,3,4,5},$S483,$W483,$AA483,$AE483,$AI483)=TRUE))&gt;0)))</f>
        <v/>
      </c>
      <c r="AM483" s="87"/>
      <c r="AN483" s="87" t="str">
        <f ca="1">IF(OR($A483="",$AM483=""),"",TODAY()-$AM483)</f>
        <v/>
      </c>
      <c r="AO483" s="87"/>
      <c r="AP483" s="106"/>
      <c r="AQ483" s="106"/>
      <c r="AR483" s="106"/>
      <c r="AS483" s="106"/>
      <c r="AT483" s="106"/>
      <c r="AU483" s="106"/>
      <c r="AV483" s="106"/>
      <c r="AW483" s="106"/>
      <c r="AX483" s="106"/>
      <c r="AY483" s="106"/>
    </row>
    <row r="484" spans="1:51" s="20" customFormat="1" ht="21" customHeight="1">
      <c r="A484" s="197"/>
      <c r="B484" s="87"/>
      <c r="C484" s="87"/>
      <c r="D484" s="196"/>
      <c r="E484" s="108"/>
      <c r="F484" s="196"/>
      <c r="G484" s="87"/>
      <c r="H484" s="197"/>
      <c r="I484" s="89"/>
      <c r="J484" s="204"/>
      <c r="K484" s="87"/>
      <c r="L484" s="87" t="str" cm="1">
        <f t="array" ref="L484">IF($A484="","",_xlfn.LET(_xlpm.stat,CHOOSE({1,2,3,4,5},$P484,$T484,$X484,$AB484,$AF484),_xlpm.rate,CHOOSE({1,2,3,4,5},$R484,$V484,$Z484,$AD484,$AH484),_xlpm.trn,CHOOSE({1,2,3,4,5},$S484,$W484,$AA484,$AE484,$AI484),_xlpm.nsC,SUMPRODUCT(--(_xlpm.stat="Ready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DLR",IF(AND(_xlpm.actRS&gt;0,_xlpm.actDone&lt;_xlpm.actRS),"Training",IF(_xlpm.actRS&gt;0,"Active",IF(AND(_xlpm.decC&gt;0,_xlpm.inPlay+_xlpm.actC=0),"Dead",IF(AND($AJ484&lt;&gt;"",$AK484=FALSE),"Waiting on Dealer",IF(_xlpm.subC&gt;0,"Waiting on Lender",IF(AND(_xlpm.appC+_xlpm.actC&gt;0,_xlpm.nsC+_xlpm.wdC=0),"Rate Sheet","Application Submitted")))))))))</f>
        <v/>
      </c>
      <c r="M484" s="87"/>
      <c r="N484" s="87"/>
      <c r="O484" s="197"/>
      <c r="P484" s="87" t="str">
        <f>IF($A484="","",IF($AK484=TRUE,"Ready 2 Submit","Waiting on Dealer"))</f>
        <v/>
      </c>
      <c r="Q484" s="148"/>
      <c r="R484" s="87"/>
      <c r="S484" s="87"/>
      <c r="T484" s="87" t="str">
        <f>IF($A484="","",IF($AK484=TRUE,"Ready 2 Submit","Waiting on Dealer"))</f>
        <v/>
      </c>
      <c r="U484" s="148"/>
      <c r="V484" s="87"/>
      <c r="W484" s="87"/>
      <c r="X484" s="87" t="str">
        <f>IF($A484="","",IF($AK484=TRUE,"Ready 2 Submit","Waiting on Dealer"))</f>
        <v/>
      </c>
      <c r="Y484" s="148"/>
      <c r="Z484" s="87"/>
      <c r="AA484" s="87"/>
      <c r="AB484" s="87" t="str">
        <f>IF($A484="","",IF($AK484=TRUE,"Ready 2 Submit","Waiting on Dealer"))</f>
        <v/>
      </c>
      <c r="AC484" s="148"/>
      <c r="AD484" s="87"/>
      <c r="AE484" s="87"/>
      <c r="AF484" s="87" t="str">
        <f>IF($A484="","",IF($AK484=TRUE,"Ready 2 Submit","Waiting on Dealer"))</f>
        <v/>
      </c>
      <c r="AG484" s="148"/>
      <c r="AH484" s="87"/>
      <c r="AI484" s="87"/>
      <c r="AJ484" s="197"/>
      <c r="AK484" s="110" t="b">
        <v>0</v>
      </c>
      <c r="AL484" s="87" t="str" cm="1">
        <f t="array" ref="AL484">IF($A484="","",SUMPRODUCT((CHOOSE({1,2,3,4,5},$R484,$V484,$Z484,$AD484,$AH484)="Yes")*(((CHOOSE({1,2,3,4,5},$S484,$W484,$AA484,$AE484,$AI484)="Yes")+(CHOOSE({1,2,3,4,5},$S484,$W484,$AA484,$AE484,$AI484)=TRUE))&gt;0)))</f>
        <v/>
      </c>
      <c r="AM484" s="87"/>
      <c r="AN484" s="87" t="str">
        <f ca="1">IF(OR($A484="",$AM484=""),"",TODAY()-$AM484)</f>
        <v/>
      </c>
      <c r="AO484" s="87"/>
      <c r="AP484" s="106"/>
      <c r="AQ484" s="106"/>
      <c r="AR484" s="106"/>
      <c r="AS484" s="106"/>
      <c r="AT484" s="106"/>
      <c r="AU484" s="106"/>
      <c r="AV484" s="106"/>
      <c r="AW484" s="106"/>
      <c r="AX484" s="106"/>
      <c r="AY484" s="106"/>
    </row>
    <row r="485" spans="1:51" s="20" customFormat="1" ht="21" customHeight="1">
      <c r="A485" s="197"/>
      <c r="B485" s="87"/>
      <c r="C485" s="87"/>
      <c r="D485" s="196"/>
      <c r="E485" s="108"/>
      <c r="F485" s="196"/>
      <c r="G485" s="87"/>
      <c r="H485" s="197"/>
      <c r="I485" s="89"/>
      <c r="J485" s="204"/>
      <c r="K485" s="87"/>
      <c r="L485" s="87" t="str" cm="1">
        <f t="array" ref="L485">IF($A485="","",_xlfn.LET(_xlpm.stat,CHOOSE({1,2,3,4,5},$P485,$T485,$X485,$AB485,$AF485),_xlpm.rate,CHOOSE({1,2,3,4,5},$R485,$V485,$Z485,$AD485,$AH485),_xlpm.trn,CHOOSE({1,2,3,4,5},$S485,$W485,$AA485,$AE485,$AI485),_xlpm.nsC,SUMPRODUCT(--(_xlpm.stat="Ready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DLR",IF(AND(_xlpm.actRS&gt;0,_xlpm.actDone&lt;_xlpm.actRS),"Training",IF(_xlpm.actRS&gt;0,"Active",IF(AND(_xlpm.decC&gt;0,_xlpm.inPlay+_xlpm.actC=0),"Dead",IF(AND($AJ485&lt;&gt;"",$AK485=FALSE),"Waiting on Dealer",IF(_xlpm.subC&gt;0,"Waiting on Lender",IF(AND(_xlpm.appC+_xlpm.actC&gt;0,_xlpm.nsC+_xlpm.wdC=0),"Rate Sheet","Application Submitted")))))))))</f>
        <v/>
      </c>
      <c r="M485" s="87"/>
      <c r="N485" s="87"/>
      <c r="O485" s="197"/>
      <c r="P485" s="87" t="str">
        <f>IF($A485="","",IF($AK485=TRUE,"Ready 2 Submit","Waiting on Dealer"))</f>
        <v/>
      </c>
      <c r="Q485" s="148"/>
      <c r="R485" s="87"/>
      <c r="S485" s="87"/>
      <c r="T485" s="87" t="str">
        <f>IF($A485="","",IF($AK485=TRUE,"Ready 2 Submit","Waiting on Dealer"))</f>
        <v/>
      </c>
      <c r="U485" s="148"/>
      <c r="V485" s="87"/>
      <c r="W485" s="87"/>
      <c r="X485" s="87" t="str">
        <f>IF($A485="","",IF($AK485=TRUE,"Ready 2 Submit","Waiting on Dealer"))</f>
        <v/>
      </c>
      <c r="Y485" s="148"/>
      <c r="Z485" s="87"/>
      <c r="AA485" s="87"/>
      <c r="AB485" s="87" t="str">
        <f>IF($A485="","",IF($AK485=TRUE,"Ready 2 Submit","Waiting on Dealer"))</f>
        <v/>
      </c>
      <c r="AC485" s="148"/>
      <c r="AD485" s="87"/>
      <c r="AE485" s="87"/>
      <c r="AF485" s="87" t="str">
        <f>IF($A485="","",IF($AK485=TRUE,"Ready 2 Submit","Waiting on Dealer"))</f>
        <v/>
      </c>
      <c r="AG485" s="148"/>
      <c r="AH485" s="87"/>
      <c r="AI485" s="87"/>
      <c r="AJ485" s="197"/>
      <c r="AK485" s="110" t="b">
        <v>0</v>
      </c>
      <c r="AL485" s="87" t="str" cm="1">
        <f t="array" ref="AL485">IF($A485="","",SUMPRODUCT((CHOOSE({1,2,3,4,5},$R485,$V485,$Z485,$AD485,$AH485)="Yes")*(((CHOOSE({1,2,3,4,5},$S485,$W485,$AA485,$AE485,$AI485)="Yes")+(CHOOSE({1,2,3,4,5},$S485,$W485,$AA485,$AE485,$AI485)=TRUE))&gt;0)))</f>
        <v/>
      </c>
      <c r="AM485" s="87"/>
      <c r="AN485" s="87" t="str">
        <f ca="1">IF(OR($A485="",$AM485=""),"",TODAY()-$AM485)</f>
        <v/>
      </c>
      <c r="AO485" s="87"/>
      <c r="AP485" s="106"/>
      <c r="AQ485" s="106"/>
      <c r="AR485" s="106"/>
      <c r="AS485" s="106"/>
      <c r="AT485" s="106"/>
      <c r="AU485" s="106"/>
      <c r="AV485" s="106"/>
      <c r="AW485" s="106"/>
      <c r="AX485" s="106"/>
      <c r="AY485" s="106"/>
    </row>
    <row r="486" spans="1:51" s="20" customFormat="1" ht="21" customHeight="1">
      <c r="A486" s="197"/>
      <c r="B486" s="87"/>
      <c r="C486" s="87"/>
      <c r="D486" s="196"/>
      <c r="E486" s="108"/>
      <c r="F486" s="196"/>
      <c r="G486" s="87"/>
      <c r="H486" s="197"/>
      <c r="I486" s="89"/>
      <c r="J486" s="204"/>
      <c r="K486" s="87"/>
      <c r="L486" s="87" t="str" cm="1">
        <f t="array" ref="L486">IF($A486="","",_xlfn.LET(_xlpm.stat,CHOOSE({1,2,3,4,5},$P486,$T486,$X486,$AB486,$AF486),_xlpm.rate,CHOOSE({1,2,3,4,5},$R486,$V486,$Z486,$AD486,$AH486),_xlpm.trn,CHOOSE({1,2,3,4,5},$S486,$W486,$AA486,$AE486,$AI486),_xlpm.nsC,SUMPRODUCT(--(_xlpm.stat="Ready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DLR",IF(AND(_xlpm.actRS&gt;0,_xlpm.actDone&lt;_xlpm.actRS),"Training",IF(_xlpm.actRS&gt;0,"Active",IF(AND(_xlpm.decC&gt;0,_xlpm.inPlay+_xlpm.actC=0),"Dead",IF(AND($AJ486&lt;&gt;"",$AK486=FALSE),"Waiting on Dealer",IF(_xlpm.subC&gt;0,"Waiting on Lender",IF(AND(_xlpm.appC+_xlpm.actC&gt;0,_xlpm.nsC+_xlpm.wdC=0),"Rate Sheet","Application Submitted")))))))))</f>
        <v/>
      </c>
      <c r="M486" s="87"/>
      <c r="N486" s="87"/>
      <c r="O486" s="197"/>
      <c r="P486" s="87" t="str">
        <f>IF($A486="","",IF($AK486=TRUE,"Ready 2 Submit","Waiting on Dealer"))</f>
        <v/>
      </c>
      <c r="Q486" s="148"/>
      <c r="R486" s="87"/>
      <c r="S486" s="87"/>
      <c r="T486" s="87" t="str">
        <f>IF($A486="","",IF($AK486=TRUE,"Ready 2 Submit","Waiting on Dealer"))</f>
        <v/>
      </c>
      <c r="U486" s="148"/>
      <c r="V486" s="87"/>
      <c r="W486" s="87"/>
      <c r="X486" s="87" t="str">
        <f>IF($A486="","",IF($AK486=TRUE,"Ready 2 Submit","Waiting on Dealer"))</f>
        <v/>
      </c>
      <c r="Y486" s="148"/>
      <c r="Z486" s="87"/>
      <c r="AA486" s="87"/>
      <c r="AB486" s="87" t="str">
        <f>IF($A486="","",IF($AK486=TRUE,"Ready 2 Submit","Waiting on Dealer"))</f>
        <v/>
      </c>
      <c r="AC486" s="148"/>
      <c r="AD486" s="87"/>
      <c r="AE486" s="87"/>
      <c r="AF486" s="87" t="str">
        <f>IF($A486="","",IF($AK486=TRUE,"Ready 2 Submit","Waiting on Dealer"))</f>
        <v/>
      </c>
      <c r="AG486" s="148"/>
      <c r="AH486" s="87"/>
      <c r="AI486" s="87"/>
      <c r="AJ486" s="197"/>
      <c r="AK486" s="110" t="b">
        <v>0</v>
      </c>
      <c r="AL486" s="87" t="str" cm="1">
        <f t="array" ref="AL486">IF($A486="","",SUMPRODUCT((CHOOSE({1,2,3,4,5},$R486,$V486,$Z486,$AD486,$AH486)="Yes")*(((CHOOSE({1,2,3,4,5},$S486,$W486,$AA486,$AE486,$AI486)="Yes")+(CHOOSE({1,2,3,4,5},$S486,$W486,$AA486,$AE486,$AI486)=TRUE))&gt;0)))</f>
        <v/>
      </c>
      <c r="AM486" s="87"/>
      <c r="AN486" s="87" t="str">
        <f ca="1">IF(OR($A486="",$AM486=""),"",TODAY()-$AM486)</f>
        <v/>
      </c>
      <c r="AO486" s="87"/>
      <c r="AP486" s="106"/>
      <c r="AQ486" s="106"/>
      <c r="AR486" s="106"/>
      <c r="AS486" s="106"/>
      <c r="AT486" s="106"/>
      <c r="AU486" s="106"/>
      <c r="AV486" s="106"/>
      <c r="AW486" s="106"/>
      <c r="AX486" s="106"/>
      <c r="AY486" s="106"/>
    </row>
    <row r="487" spans="1:51" s="20" customFormat="1" ht="21" customHeight="1">
      <c r="A487" s="197"/>
      <c r="B487" s="87"/>
      <c r="C487" s="87"/>
      <c r="D487" s="196"/>
      <c r="E487" s="108"/>
      <c r="F487" s="196"/>
      <c r="G487" s="87"/>
      <c r="H487" s="197"/>
      <c r="I487" s="89"/>
      <c r="J487" s="204"/>
      <c r="K487" s="87"/>
      <c r="L487" s="87" t="str" cm="1">
        <f t="array" ref="L487">IF($A487="","",_xlfn.LET(_xlpm.stat,CHOOSE({1,2,3,4,5},$P487,$T487,$X487,$AB487,$AF487),_xlpm.rate,CHOOSE({1,2,3,4,5},$R487,$V487,$Z487,$AD487,$AH487),_xlpm.trn,CHOOSE({1,2,3,4,5},$S487,$W487,$AA487,$AE487,$AI487),_xlpm.nsC,SUMPRODUCT(--(_xlpm.stat="Ready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DLR",IF(AND(_xlpm.actRS&gt;0,_xlpm.actDone&lt;_xlpm.actRS),"Training",IF(_xlpm.actRS&gt;0,"Active",IF(AND(_xlpm.decC&gt;0,_xlpm.inPlay+_xlpm.actC=0),"Dead",IF(AND($AJ487&lt;&gt;"",$AK487=FALSE),"Waiting on Dealer",IF(_xlpm.subC&gt;0,"Waiting on Lender",IF(AND(_xlpm.appC+_xlpm.actC&gt;0,_xlpm.nsC+_xlpm.wdC=0),"Rate Sheet","Application Submitted")))))))))</f>
        <v/>
      </c>
      <c r="M487" s="87"/>
      <c r="N487" s="87"/>
      <c r="O487" s="197"/>
      <c r="P487" s="87" t="str">
        <f>IF($A487="","",IF($AK487=TRUE,"Ready 2 Submit","Waiting on Dealer"))</f>
        <v/>
      </c>
      <c r="Q487" s="148"/>
      <c r="R487" s="87"/>
      <c r="S487" s="87"/>
      <c r="T487" s="87" t="str">
        <f>IF($A487="","",IF($AK487=TRUE,"Ready 2 Submit","Waiting on Dealer"))</f>
        <v/>
      </c>
      <c r="U487" s="148"/>
      <c r="V487" s="87"/>
      <c r="W487" s="87"/>
      <c r="X487" s="87" t="str">
        <f>IF($A487="","",IF($AK487=TRUE,"Ready 2 Submit","Waiting on Dealer"))</f>
        <v/>
      </c>
      <c r="Y487" s="148"/>
      <c r="Z487" s="87"/>
      <c r="AA487" s="87"/>
      <c r="AB487" s="87" t="str">
        <f>IF($A487="","",IF($AK487=TRUE,"Ready 2 Submit","Waiting on Dealer"))</f>
        <v/>
      </c>
      <c r="AC487" s="148"/>
      <c r="AD487" s="87"/>
      <c r="AE487" s="87"/>
      <c r="AF487" s="87" t="str">
        <f>IF($A487="","",IF($AK487=TRUE,"Ready 2 Submit","Waiting on Dealer"))</f>
        <v/>
      </c>
      <c r="AG487" s="148"/>
      <c r="AH487" s="87"/>
      <c r="AI487" s="87"/>
      <c r="AJ487" s="197"/>
      <c r="AK487" s="110" t="b">
        <v>0</v>
      </c>
      <c r="AL487" s="87" t="str" cm="1">
        <f t="array" ref="AL487">IF($A487="","",SUMPRODUCT((CHOOSE({1,2,3,4,5},$R487,$V487,$Z487,$AD487,$AH487)="Yes")*(((CHOOSE({1,2,3,4,5},$S487,$W487,$AA487,$AE487,$AI487)="Yes")+(CHOOSE({1,2,3,4,5},$S487,$W487,$AA487,$AE487,$AI487)=TRUE))&gt;0)))</f>
        <v/>
      </c>
      <c r="AM487" s="87"/>
      <c r="AN487" s="87" t="str">
        <f ca="1">IF(OR($A487="",$AM487=""),"",TODAY()-$AM487)</f>
        <v/>
      </c>
      <c r="AO487" s="87"/>
      <c r="AP487" s="106"/>
      <c r="AQ487" s="106"/>
      <c r="AR487" s="106"/>
      <c r="AS487" s="106"/>
      <c r="AT487" s="106"/>
      <c r="AU487" s="106"/>
      <c r="AV487" s="106"/>
      <c r="AW487" s="106"/>
      <c r="AX487" s="106"/>
      <c r="AY487" s="106"/>
    </row>
    <row r="488" spans="1:51" s="20" customFormat="1" ht="21" customHeight="1">
      <c r="A488" s="197"/>
      <c r="B488" s="87"/>
      <c r="C488" s="87"/>
      <c r="D488" s="196"/>
      <c r="E488" s="108"/>
      <c r="F488" s="196"/>
      <c r="G488" s="87"/>
      <c r="H488" s="197"/>
      <c r="I488" s="89"/>
      <c r="J488" s="204"/>
      <c r="K488" s="87"/>
      <c r="L488" s="87" t="str" cm="1">
        <f t="array" ref="L488">IF($A488="","",_xlfn.LET(_xlpm.stat,CHOOSE({1,2,3,4,5},$P488,$T488,$X488,$AB488,$AF488),_xlpm.rate,CHOOSE({1,2,3,4,5},$R488,$V488,$Z488,$AD488,$AH488),_xlpm.trn,CHOOSE({1,2,3,4,5},$S488,$W488,$AA488,$AE488,$AI488),_xlpm.nsC,SUMPRODUCT(--(_xlpm.stat="Ready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DLR",IF(AND(_xlpm.actRS&gt;0,_xlpm.actDone&lt;_xlpm.actRS),"Training",IF(_xlpm.actRS&gt;0,"Active",IF(AND(_xlpm.decC&gt;0,_xlpm.inPlay+_xlpm.actC=0),"Dead",IF(AND($AJ488&lt;&gt;"",$AK488=FALSE),"Waiting on Dealer",IF(_xlpm.subC&gt;0,"Waiting on Lender",IF(AND(_xlpm.appC+_xlpm.actC&gt;0,_xlpm.nsC+_xlpm.wdC=0),"Rate Sheet","Application Submitted")))))))))</f>
        <v/>
      </c>
      <c r="M488" s="87"/>
      <c r="N488" s="87"/>
      <c r="O488" s="197"/>
      <c r="P488" s="87" t="str">
        <f>IF($A488="","",IF($AK488=TRUE,"Ready 2 Submit","Waiting on Dealer"))</f>
        <v/>
      </c>
      <c r="Q488" s="148"/>
      <c r="R488" s="87"/>
      <c r="S488" s="87"/>
      <c r="T488" s="87" t="str">
        <f>IF($A488="","",IF($AK488=TRUE,"Ready 2 Submit","Waiting on Dealer"))</f>
        <v/>
      </c>
      <c r="U488" s="148"/>
      <c r="V488" s="87"/>
      <c r="W488" s="87"/>
      <c r="X488" s="87" t="str">
        <f>IF($A488="","",IF($AK488=TRUE,"Ready 2 Submit","Waiting on Dealer"))</f>
        <v/>
      </c>
      <c r="Y488" s="148"/>
      <c r="Z488" s="87"/>
      <c r="AA488" s="87"/>
      <c r="AB488" s="87" t="str">
        <f>IF($A488="","",IF($AK488=TRUE,"Ready 2 Submit","Waiting on Dealer"))</f>
        <v/>
      </c>
      <c r="AC488" s="148"/>
      <c r="AD488" s="87"/>
      <c r="AE488" s="87"/>
      <c r="AF488" s="87" t="str">
        <f>IF($A488="","",IF($AK488=TRUE,"Ready 2 Submit","Waiting on Dealer"))</f>
        <v/>
      </c>
      <c r="AG488" s="148"/>
      <c r="AH488" s="87"/>
      <c r="AI488" s="87"/>
      <c r="AJ488" s="197"/>
      <c r="AK488" s="110" t="b">
        <v>0</v>
      </c>
      <c r="AL488" s="87" t="str" cm="1">
        <f t="array" ref="AL488">IF($A488="","",SUMPRODUCT((CHOOSE({1,2,3,4,5},$R488,$V488,$Z488,$AD488,$AH488)="Yes")*(((CHOOSE({1,2,3,4,5},$S488,$W488,$AA488,$AE488,$AI488)="Yes")+(CHOOSE({1,2,3,4,5},$S488,$W488,$AA488,$AE488,$AI488)=TRUE))&gt;0)))</f>
        <v/>
      </c>
      <c r="AM488" s="87"/>
      <c r="AN488" s="87" t="str">
        <f ca="1">IF(OR($A488="",$AM488=""),"",TODAY()-$AM488)</f>
        <v/>
      </c>
      <c r="AO488" s="87"/>
      <c r="AP488" s="106"/>
      <c r="AQ488" s="106"/>
      <c r="AR488" s="106"/>
      <c r="AS488" s="106"/>
      <c r="AT488" s="106"/>
      <c r="AU488" s="106"/>
      <c r="AV488" s="106"/>
      <c r="AW488" s="106"/>
      <c r="AX488" s="106"/>
      <c r="AY488" s="106"/>
    </row>
    <row r="489" spans="1:51" s="20" customFormat="1" ht="21" customHeight="1">
      <c r="A489" s="197"/>
      <c r="B489" s="87"/>
      <c r="C489" s="87"/>
      <c r="D489" s="196"/>
      <c r="E489" s="108"/>
      <c r="F489" s="196"/>
      <c r="G489" s="87"/>
      <c r="H489" s="197"/>
      <c r="I489" s="89"/>
      <c r="J489" s="204"/>
      <c r="K489" s="87"/>
      <c r="L489" s="87" t="str" cm="1">
        <f t="array" ref="L489">IF($A489="","",_xlfn.LET(_xlpm.stat,CHOOSE({1,2,3,4,5},$P489,$T489,$X489,$AB489,$AF489),_xlpm.rate,CHOOSE({1,2,3,4,5},$R489,$V489,$Z489,$AD489,$AH489),_xlpm.trn,CHOOSE({1,2,3,4,5},$S489,$W489,$AA489,$AE489,$AI489),_xlpm.nsC,SUMPRODUCT(--(_xlpm.stat="Ready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DLR",IF(AND(_xlpm.actRS&gt;0,_xlpm.actDone&lt;_xlpm.actRS),"Training",IF(_xlpm.actRS&gt;0,"Active",IF(AND(_xlpm.decC&gt;0,_xlpm.inPlay+_xlpm.actC=0),"Dead",IF(AND($AJ489&lt;&gt;"",$AK489=FALSE),"Waiting on Dealer",IF(_xlpm.subC&gt;0,"Waiting on Lender",IF(AND(_xlpm.appC+_xlpm.actC&gt;0,_xlpm.nsC+_xlpm.wdC=0),"Rate Sheet","Application Submitted")))))))))</f>
        <v/>
      </c>
      <c r="M489" s="87"/>
      <c r="N489" s="87"/>
      <c r="O489" s="197"/>
      <c r="P489" s="87" t="str">
        <f>IF($A489="","",IF($AK489=TRUE,"Ready 2 Submit","Waiting on Dealer"))</f>
        <v/>
      </c>
      <c r="Q489" s="148"/>
      <c r="R489" s="87"/>
      <c r="S489" s="87"/>
      <c r="T489" s="87" t="str">
        <f>IF($A489="","",IF($AK489=TRUE,"Ready 2 Submit","Waiting on Dealer"))</f>
        <v/>
      </c>
      <c r="U489" s="148"/>
      <c r="V489" s="87"/>
      <c r="W489" s="87"/>
      <c r="X489" s="87" t="str">
        <f>IF($A489="","",IF($AK489=TRUE,"Ready 2 Submit","Waiting on Dealer"))</f>
        <v/>
      </c>
      <c r="Y489" s="148"/>
      <c r="Z489" s="87"/>
      <c r="AA489" s="87"/>
      <c r="AB489" s="87" t="str">
        <f>IF($A489="","",IF($AK489=TRUE,"Ready 2 Submit","Waiting on Dealer"))</f>
        <v/>
      </c>
      <c r="AC489" s="148"/>
      <c r="AD489" s="87"/>
      <c r="AE489" s="87"/>
      <c r="AF489" s="87" t="str">
        <f>IF($A489="","",IF($AK489=TRUE,"Ready 2 Submit","Waiting on Dealer"))</f>
        <v/>
      </c>
      <c r="AG489" s="148"/>
      <c r="AH489" s="87"/>
      <c r="AI489" s="87"/>
      <c r="AJ489" s="197"/>
      <c r="AK489" s="110" t="b">
        <v>0</v>
      </c>
      <c r="AL489" s="87" t="str" cm="1">
        <f t="array" ref="AL489">IF($A489="","",SUMPRODUCT((CHOOSE({1,2,3,4,5},$R489,$V489,$Z489,$AD489,$AH489)="Yes")*(((CHOOSE({1,2,3,4,5},$S489,$W489,$AA489,$AE489,$AI489)="Yes")+(CHOOSE({1,2,3,4,5},$S489,$W489,$AA489,$AE489,$AI489)=TRUE))&gt;0)))</f>
        <v/>
      </c>
      <c r="AM489" s="87"/>
      <c r="AN489" s="87" t="str">
        <f ca="1">IF(OR($A489="",$AM489=""),"",TODAY()-$AM489)</f>
        <v/>
      </c>
      <c r="AO489" s="87"/>
      <c r="AP489" s="106"/>
      <c r="AQ489" s="106"/>
      <c r="AR489" s="106"/>
      <c r="AS489" s="106"/>
      <c r="AT489" s="106"/>
      <c r="AU489" s="106"/>
      <c r="AV489" s="106"/>
      <c r="AW489" s="106"/>
      <c r="AX489" s="106"/>
      <c r="AY489" s="106"/>
    </row>
    <row r="490" spans="1:51" s="20" customFormat="1" ht="21" customHeight="1">
      <c r="A490" s="197"/>
      <c r="B490" s="87"/>
      <c r="C490" s="87"/>
      <c r="D490" s="196"/>
      <c r="E490" s="108"/>
      <c r="F490" s="196"/>
      <c r="G490" s="87"/>
      <c r="H490" s="197"/>
      <c r="I490" s="89"/>
      <c r="J490" s="204"/>
      <c r="K490" s="87"/>
      <c r="L490" s="87" t="str" cm="1">
        <f t="array" ref="L490">IF($A490="","",_xlfn.LET(_xlpm.stat,CHOOSE({1,2,3,4,5},$P490,$T490,$X490,$AB490,$AF490),_xlpm.rate,CHOOSE({1,2,3,4,5},$R490,$V490,$Z490,$AD490,$AH490),_xlpm.trn,CHOOSE({1,2,3,4,5},$S490,$W490,$AA490,$AE490,$AI490),_xlpm.nsC,SUMPRODUCT(--(_xlpm.stat="Ready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DLR",IF(AND(_xlpm.actRS&gt;0,_xlpm.actDone&lt;_xlpm.actRS),"Training",IF(_xlpm.actRS&gt;0,"Active",IF(AND(_xlpm.decC&gt;0,_xlpm.inPlay+_xlpm.actC=0),"Dead",IF(AND($AJ490&lt;&gt;"",$AK490=FALSE),"Waiting on Dealer",IF(_xlpm.subC&gt;0,"Waiting on Lender",IF(AND(_xlpm.appC+_xlpm.actC&gt;0,_xlpm.nsC+_xlpm.wdC=0),"Rate Sheet","Application Submitted")))))))))</f>
        <v/>
      </c>
      <c r="M490" s="87"/>
      <c r="N490" s="87"/>
      <c r="O490" s="197"/>
      <c r="P490" s="87" t="str">
        <f>IF($A490="","",IF($AK490=TRUE,"Ready 2 Submit","Waiting on Dealer"))</f>
        <v/>
      </c>
      <c r="Q490" s="148"/>
      <c r="R490" s="87"/>
      <c r="S490" s="87"/>
      <c r="T490" s="87" t="str">
        <f>IF($A490="","",IF($AK490=TRUE,"Ready 2 Submit","Waiting on Dealer"))</f>
        <v/>
      </c>
      <c r="U490" s="148"/>
      <c r="V490" s="87"/>
      <c r="W490" s="87"/>
      <c r="X490" s="87" t="str">
        <f>IF($A490="","",IF($AK490=TRUE,"Ready 2 Submit","Waiting on Dealer"))</f>
        <v/>
      </c>
      <c r="Y490" s="148"/>
      <c r="Z490" s="87"/>
      <c r="AA490" s="87"/>
      <c r="AB490" s="87" t="str">
        <f>IF($A490="","",IF($AK490=TRUE,"Ready 2 Submit","Waiting on Dealer"))</f>
        <v/>
      </c>
      <c r="AC490" s="148"/>
      <c r="AD490" s="87"/>
      <c r="AE490" s="87"/>
      <c r="AF490" s="87" t="str">
        <f>IF($A490="","",IF($AK490=TRUE,"Ready 2 Submit","Waiting on Dealer"))</f>
        <v/>
      </c>
      <c r="AG490" s="148"/>
      <c r="AH490" s="87"/>
      <c r="AI490" s="87"/>
      <c r="AJ490" s="197"/>
      <c r="AK490" s="110" t="b">
        <v>0</v>
      </c>
      <c r="AL490" s="87" t="str" cm="1">
        <f t="array" ref="AL490">IF($A490="","",SUMPRODUCT((CHOOSE({1,2,3,4,5},$R490,$V490,$Z490,$AD490,$AH490)="Yes")*(((CHOOSE({1,2,3,4,5},$S490,$W490,$AA490,$AE490,$AI490)="Yes")+(CHOOSE({1,2,3,4,5},$S490,$W490,$AA490,$AE490,$AI490)=TRUE))&gt;0)))</f>
        <v/>
      </c>
      <c r="AM490" s="87"/>
      <c r="AN490" s="87" t="str">
        <f ca="1">IF(OR($A490="",$AM490=""),"",TODAY()-$AM490)</f>
        <v/>
      </c>
      <c r="AO490" s="87"/>
      <c r="AP490" s="106"/>
      <c r="AQ490" s="106"/>
      <c r="AR490" s="106"/>
      <c r="AS490" s="106"/>
      <c r="AT490" s="106"/>
      <c r="AU490" s="106"/>
      <c r="AV490" s="106"/>
      <c r="AW490" s="106"/>
      <c r="AX490" s="106"/>
      <c r="AY490" s="106"/>
    </row>
    <row r="491" spans="1:51" s="20" customFormat="1" ht="21" customHeight="1">
      <c r="A491" s="197"/>
      <c r="B491" s="87"/>
      <c r="C491" s="87"/>
      <c r="D491" s="196"/>
      <c r="E491" s="108"/>
      <c r="F491" s="196"/>
      <c r="G491" s="87"/>
      <c r="H491" s="197"/>
      <c r="I491" s="89"/>
      <c r="J491" s="204"/>
      <c r="K491" s="87"/>
      <c r="L491" s="87" t="str" cm="1">
        <f t="array" ref="L491">IF($A491="","",_xlfn.LET(_xlpm.stat,CHOOSE({1,2,3,4,5},$P491,$T491,$X491,$AB491,$AF491),_xlpm.rate,CHOOSE({1,2,3,4,5},$R491,$V491,$Z491,$AD491,$AH491),_xlpm.trn,CHOOSE({1,2,3,4,5},$S491,$W491,$AA491,$AE491,$AI491),_xlpm.nsC,SUMPRODUCT(--(_xlpm.stat="Ready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DLR",IF(AND(_xlpm.actRS&gt;0,_xlpm.actDone&lt;_xlpm.actRS),"Training",IF(_xlpm.actRS&gt;0,"Active",IF(AND(_xlpm.decC&gt;0,_xlpm.inPlay+_xlpm.actC=0),"Dead",IF(AND($AJ491&lt;&gt;"",$AK491=FALSE),"Waiting on Dealer",IF(_xlpm.subC&gt;0,"Waiting on Lender",IF(AND(_xlpm.appC+_xlpm.actC&gt;0,_xlpm.nsC+_xlpm.wdC=0),"Rate Sheet","Application Submitted")))))))))</f>
        <v/>
      </c>
      <c r="M491" s="87"/>
      <c r="N491" s="87"/>
      <c r="O491" s="197"/>
      <c r="P491" s="87" t="str">
        <f>IF($A491="","",IF($AK491=TRUE,"Ready 2 Submit","Waiting on Dealer"))</f>
        <v/>
      </c>
      <c r="Q491" s="148"/>
      <c r="R491" s="87"/>
      <c r="S491" s="87"/>
      <c r="T491" s="87" t="str">
        <f>IF($A491="","",IF($AK491=TRUE,"Ready 2 Submit","Waiting on Dealer"))</f>
        <v/>
      </c>
      <c r="U491" s="148"/>
      <c r="V491" s="87"/>
      <c r="W491" s="87"/>
      <c r="X491" s="87" t="str">
        <f>IF($A491="","",IF($AK491=TRUE,"Ready 2 Submit","Waiting on Dealer"))</f>
        <v/>
      </c>
      <c r="Y491" s="148"/>
      <c r="Z491" s="87"/>
      <c r="AA491" s="87"/>
      <c r="AB491" s="87" t="str">
        <f>IF($A491="","",IF($AK491=TRUE,"Ready 2 Submit","Waiting on Dealer"))</f>
        <v/>
      </c>
      <c r="AC491" s="148"/>
      <c r="AD491" s="87"/>
      <c r="AE491" s="87"/>
      <c r="AF491" s="87" t="str">
        <f>IF($A491="","",IF($AK491=TRUE,"Ready 2 Submit","Waiting on Dealer"))</f>
        <v/>
      </c>
      <c r="AG491" s="148"/>
      <c r="AH491" s="87"/>
      <c r="AI491" s="87"/>
      <c r="AJ491" s="197"/>
      <c r="AK491" s="110" t="b">
        <v>0</v>
      </c>
      <c r="AL491" s="87" t="str" cm="1">
        <f t="array" ref="AL491">IF($A491="","",SUMPRODUCT((CHOOSE({1,2,3,4,5},$R491,$V491,$Z491,$AD491,$AH491)="Yes")*(((CHOOSE({1,2,3,4,5},$S491,$W491,$AA491,$AE491,$AI491)="Yes")+(CHOOSE({1,2,3,4,5},$S491,$W491,$AA491,$AE491,$AI491)=TRUE))&gt;0)))</f>
        <v/>
      </c>
      <c r="AM491" s="87"/>
      <c r="AN491" s="87" t="str">
        <f ca="1">IF(OR($A491="",$AM491=""),"",TODAY()-$AM491)</f>
        <v/>
      </c>
      <c r="AO491" s="87"/>
      <c r="AP491" s="106"/>
      <c r="AQ491" s="106"/>
      <c r="AR491" s="106"/>
      <c r="AS491" s="106"/>
      <c r="AT491" s="106"/>
      <c r="AU491" s="106"/>
      <c r="AV491" s="106"/>
      <c r="AW491" s="106"/>
      <c r="AX491" s="106"/>
      <c r="AY491" s="106"/>
    </row>
    <row r="492" spans="1:51" s="20" customFormat="1" ht="21" customHeight="1">
      <c r="A492" s="197"/>
      <c r="B492" s="87"/>
      <c r="C492" s="87"/>
      <c r="D492" s="196"/>
      <c r="E492" s="108"/>
      <c r="F492" s="196"/>
      <c r="G492" s="87"/>
      <c r="H492" s="197"/>
      <c r="I492" s="89"/>
      <c r="J492" s="204"/>
      <c r="K492" s="87"/>
      <c r="L492" s="87" t="str" cm="1">
        <f t="array" ref="L492">IF($A492="","",_xlfn.LET(_xlpm.stat,CHOOSE({1,2,3,4,5},$P492,$T492,$X492,$AB492,$AF492),_xlpm.rate,CHOOSE({1,2,3,4,5},$R492,$V492,$Z492,$AD492,$AH492),_xlpm.trn,CHOOSE({1,2,3,4,5},$S492,$W492,$AA492,$AE492,$AI492),_xlpm.nsC,SUMPRODUCT(--(_xlpm.stat="Ready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DLR",IF(AND(_xlpm.actRS&gt;0,_xlpm.actDone&lt;_xlpm.actRS),"Training",IF(_xlpm.actRS&gt;0,"Active",IF(AND(_xlpm.decC&gt;0,_xlpm.inPlay+_xlpm.actC=0),"Dead",IF(AND($AJ492&lt;&gt;"",$AK492=FALSE),"Waiting on Dealer",IF(_xlpm.subC&gt;0,"Waiting on Lender",IF(AND(_xlpm.appC+_xlpm.actC&gt;0,_xlpm.nsC+_xlpm.wdC=0),"Rate Sheet","Application Submitted")))))))))</f>
        <v/>
      </c>
      <c r="M492" s="87"/>
      <c r="N492" s="87"/>
      <c r="O492" s="197"/>
      <c r="P492" s="87" t="str">
        <f>IF($A492="","",IF($AK492=TRUE,"Ready 2 Submit","Waiting on Dealer"))</f>
        <v/>
      </c>
      <c r="Q492" s="148"/>
      <c r="R492" s="87"/>
      <c r="S492" s="87"/>
      <c r="T492" s="87" t="str">
        <f>IF($A492="","",IF($AK492=TRUE,"Ready 2 Submit","Waiting on Dealer"))</f>
        <v/>
      </c>
      <c r="U492" s="148"/>
      <c r="V492" s="87"/>
      <c r="W492" s="87"/>
      <c r="X492" s="87" t="str">
        <f>IF($A492="","",IF($AK492=TRUE,"Ready 2 Submit","Waiting on Dealer"))</f>
        <v/>
      </c>
      <c r="Y492" s="148"/>
      <c r="Z492" s="87"/>
      <c r="AA492" s="87"/>
      <c r="AB492" s="87" t="str">
        <f>IF($A492="","",IF($AK492=TRUE,"Ready 2 Submit","Waiting on Dealer"))</f>
        <v/>
      </c>
      <c r="AC492" s="148"/>
      <c r="AD492" s="87"/>
      <c r="AE492" s="87"/>
      <c r="AF492" s="87" t="str">
        <f>IF($A492="","",IF($AK492=TRUE,"Ready 2 Submit","Waiting on Dealer"))</f>
        <v/>
      </c>
      <c r="AG492" s="148"/>
      <c r="AH492" s="87"/>
      <c r="AI492" s="87"/>
      <c r="AJ492" s="197"/>
      <c r="AK492" s="110" t="b">
        <v>0</v>
      </c>
      <c r="AL492" s="87" t="str" cm="1">
        <f t="array" ref="AL492">IF($A492="","",SUMPRODUCT((CHOOSE({1,2,3,4,5},$R492,$V492,$Z492,$AD492,$AH492)="Yes")*(((CHOOSE({1,2,3,4,5},$S492,$W492,$AA492,$AE492,$AI492)="Yes")+(CHOOSE({1,2,3,4,5},$S492,$W492,$AA492,$AE492,$AI492)=TRUE))&gt;0)))</f>
        <v/>
      </c>
      <c r="AM492" s="87"/>
      <c r="AN492" s="87" t="str">
        <f ca="1">IF(OR($A492="",$AM492=""),"",TODAY()-$AM492)</f>
        <v/>
      </c>
      <c r="AO492" s="87"/>
      <c r="AP492" s="106"/>
      <c r="AQ492" s="106"/>
      <c r="AR492" s="106"/>
      <c r="AS492" s="106"/>
      <c r="AT492" s="106"/>
      <c r="AU492" s="106"/>
      <c r="AV492" s="106"/>
      <c r="AW492" s="106"/>
      <c r="AX492" s="106"/>
      <c r="AY492" s="106"/>
    </row>
    <row r="493" spans="1:51" s="20" customFormat="1" ht="21" customHeight="1">
      <c r="A493" s="197"/>
      <c r="B493" s="87"/>
      <c r="C493" s="87"/>
      <c r="D493" s="196"/>
      <c r="E493" s="108"/>
      <c r="F493" s="196"/>
      <c r="G493" s="87"/>
      <c r="H493" s="197"/>
      <c r="I493" s="89"/>
      <c r="J493" s="204"/>
      <c r="K493" s="87"/>
      <c r="L493" s="87" t="str" cm="1">
        <f t="array" ref="L493">IF($A493="","",_xlfn.LET(_xlpm.stat,CHOOSE({1,2,3,4,5},$P493,$T493,$X493,$AB493,$AF493),_xlpm.rate,CHOOSE({1,2,3,4,5},$R493,$V493,$Z493,$AD493,$AH493),_xlpm.trn,CHOOSE({1,2,3,4,5},$S493,$W493,$AA493,$AE493,$AI493),_xlpm.nsC,SUMPRODUCT(--(_xlpm.stat="Ready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DLR",IF(AND(_xlpm.actRS&gt;0,_xlpm.actDone&lt;_xlpm.actRS),"Training",IF(_xlpm.actRS&gt;0,"Active",IF(AND(_xlpm.decC&gt;0,_xlpm.inPlay+_xlpm.actC=0),"Dead",IF(AND($AJ493&lt;&gt;"",$AK493=FALSE),"Waiting on Dealer",IF(_xlpm.subC&gt;0,"Waiting on Lender",IF(AND(_xlpm.appC+_xlpm.actC&gt;0,_xlpm.nsC+_xlpm.wdC=0),"Rate Sheet","Application Submitted")))))))))</f>
        <v/>
      </c>
      <c r="M493" s="87"/>
      <c r="N493" s="87"/>
      <c r="O493" s="197"/>
      <c r="P493" s="87" t="str">
        <f>IF($A493="","",IF($AK493=TRUE,"Ready 2 Submit","Waiting on Dealer"))</f>
        <v/>
      </c>
      <c r="Q493" s="148"/>
      <c r="R493" s="87"/>
      <c r="S493" s="87"/>
      <c r="T493" s="87" t="str">
        <f>IF($A493="","",IF($AK493=TRUE,"Ready 2 Submit","Waiting on Dealer"))</f>
        <v/>
      </c>
      <c r="U493" s="148"/>
      <c r="V493" s="87"/>
      <c r="W493" s="87"/>
      <c r="X493" s="87" t="str">
        <f>IF($A493="","",IF($AK493=TRUE,"Ready 2 Submit","Waiting on Dealer"))</f>
        <v/>
      </c>
      <c r="Y493" s="148"/>
      <c r="Z493" s="87"/>
      <c r="AA493" s="87"/>
      <c r="AB493" s="87" t="str">
        <f>IF($A493="","",IF($AK493=TRUE,"Ready 2 Submit","Waiting on Dealer"))</f>
        <v/>
      </c>
      <c r="AC493" s="148"/>
      <c r="AD493" s="87"/>
      <c r="AE493" s="87"/>
      <c r="AF493" s="87" t="str">
        <f>IF($A493="","",IF($AK493=TRUE,"Ready 2 Submit","Waiting on Dealer"))</f>
        <v/>
      </c>
      <c r="AG493" s="148"/>
      <c r="AH493" s="87"/>
      <c r="AI493" s="87"/>
      <c r="AJ493" s="197"/>
      <c r="AK493" s="110" t="b">
        <v>0</v>
      </c>
      <c r="AL493" s="87" t="str" cm="1">
        <f t="array" ref="AL493">IF($A493="","",SUMPRODUCT((CHOOSE({1,2,3,4,5},$R493,$V493,$Z493,$AD493,$AH493)="Yes")*(((CHOOSE({1,2,3,4,5},$S493,$W493,$AA493,$AE493,$AI493)="Yes")+(CHOOSE({1,2,3,4,5},$S493,$W493,$AA493,$AE493,$AI493)=TRUE))&gt;0)))</f>
        <v/>
      </c>
      <c r="AM493" s="87"/>
      <c r="AN493" s="87" t="str">
        <f ca="1">IF(OR($A493="",$AM493=""),"",TODAY()-$AM493)</f>
        <v/>
      </c>
      <c r="AO493" s="87"/>
      <c r="AP493" s="106"/>
      <c r="AQ493" s="106"/>
      <c r="AR493" s="106"/>
      <c r="AS493" s="106"/>
      <c r="AT493" s="106"/>
      <c r="AU493" s="106"/>
      <c r="AV493" s="106"/>
      <c r="AW493" s="106"/>
      <c r="AX493" s="106"/>
      <c r="AY493" s="106"/>
    </row>
    <row r="494" spans="1:51" s="20" customFormat="1" ht="21" customHeight="1">
      <c r="A494" s="197"/>
      <c r="B494" s="87"/>
      <c r="C494" s="87"/>
      <c r="D494" s="196"/>
      <c r="E494" s="108"/>
      <c r="F494" s="196"/>
      <c r="G494" s="87"/>
      <c r="H494" s="197"/>
      <c r="I494" s="89"/>
      <c r="J494" s="204"/>
      <c r="K494" s="87"/>
      <c r="L494" s="87" t="str" cm="1">
        <f t="array" ref="L494">IF($A494="","",_xlfn.LET(_xlpm.stat,CHOOSE({1,2,3,4,5},$P494,$T494,$X494,$AB494,$AF494),_xlpm.rate,CHOOSE({1,2,3,4,5},$R494,$V494,$Z494,$AD494,$AH494),_xlpm.trn,CHOOSE({1,2,3,4,5},$S494,$W494,$AA494,$AE494,$AI494),_xlpm.nsC,SUMPRODUCT(--(_xlpm.stat="Ready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DLR",IF(AND(_xlpm.actRS&gt;0,_xlpm.actDone&lt;_xlpm.actRS),"Training",IF(_xlpm.actRS&gt;0,"Active",IF(AND(_xlpm.decC&gt;0,_xlpm.inPlay+_xlpm.actC=0),"Dead",IF(AND($AJ494&lt;&gt;"",$AK494=FALSE),"Waiting on Dealer",IF(_xlpm.subC&gt;0,"Waiting on Lender",IF(AND(_xlpm.appC+_xlpm.actC&gt;0,_xlpm.nsC+_xlpm.wdC=0),"Rate Sheet","Application Submitted")))))))))</f>
        <v/>
      </c>
      <c r="M494" s="87"/>
      <c r="N494" s="87"/>
      <c r="O494" s="197"/>
      <c r="P494" s="87" t="str">
        <f>IF($A494="","",IF($AK494=TRUE,"Ready 2 Submit","Waiting on Dealer"))</f>
        <v/>
      </c>
      <c r="Q494" s="148"/>
      <c r="R494" s="87"/>
      <c r="S494" s="87"/>
      <c r="T494" s="87" t="str">
        <f>IF($A494="","",IF($AK494=TRUE,"Ready 2 Submit","Waiting on Dealer"))</f>
        <v/>
      </c>
      <c r="U494" s="148"/>
      <c r="V494" s="87"/>
      <c r="W494" s="87"/>
      <c r="X494" s="87" t="str">
        <f>IF($A494="","",IF($AK494=TRUE,"Ready 2 Submit","Waiting on Dealer"))</f>
        <v/>
      </c>
      <c r="Y494" s="148"/>
      <c r="Z494" s="87"/>
      <c r="AA494" s="87"/>
      <c r="AB494" s="87" t="str">
        <f>IF($A494="","",IF($AK494=TRUE,"Ready 2 Submit","Waiting on Dealer"))</f>
        <v/>
      </c>
      <c r="AC494" s="148"/>
      <c r="AD494" s="87"/>
      <c r="AE494" s="87"/>
      <c r="AF494" s="87" t="str">
        <f>IF($A494="","",IF($AK494=TRUE,"Ready 2 Submit","Waiting on Dealer"))</f>
        <v/>
      </c>
      <c r="AG494" s="148"/>
      <c r="AH494" s="87"/>
      <c r="AI494" s="87"/>
      <c r="AJ494" s="197"/>
      <c r="AK494" s="110" t="b">
        <v>0</v>
      </c>
      <c r="AL494" s="87" t="str" cm="1">
        <f t="array" ref="AL494">IF($A494="","",SUMPRODUCT((CHOOSE({1,2,3,4,5},$R494,$V494,$Z494,$AD494,$AH494)="Yes")*(((CHOOSE({1,2,3,4,5},$S494,$W494,$AA494,$AE494,$AI494)="Yes")+(CHOOSE({1,2,3,4,5},$S494,$W494,$AA494,$AE494,$AI494)=TRUE))&gt;0)))</f>
        <v/>
      </c>
      <c r="AM494" s="87"/>
      <c r="AN494" s="87" t="str">
        <f ca="1">IF(OR($A494="",$AM494=""),"",TODAY()-$AM494)</f>
        <v/>
      </c>
      <c r="AO494" s="87"/>
      <c r="AP494" s="106"/>
      <c r="AQ494" s="106"/>
      <c r="AR494" s="106"/>
      <c r="AS494" s="106"/>
      <c r="AT494" s="106"/>
      <c r="AU494" s="106"/>
      <c r="AV494" s="106"/>
      <c r="AW494" s="106"/>
      <c r="AX494" s="106"/>
      <c r="AY494" s="106"/>
    </row>
    <row r="495" spans="1:51" s="20" customFormat="1" ht="21" customHeight="1">
      <c r="A495" s="197"/>
      <c r="B495" s="87"/>
      <c r="C495" s="87"/>
      <c r="D495" s="196"/>
      <c r="E495" s="108"/>
      <c r="F495" s="196"/>
      <c r="G495" s="87"/>
      <c r="H495" s="197"/>
      <c r="I495" s="89"/>
      <c r="J495" s="204"/>
      <c r="K495" s="87"/>
      <c r="L495" s="87" t="str" cm="1">
        <f t="array" ref="L495">IF($A495="","",_xlfn.LET(_xlpm.stat,CHOOSE({1,2,3,4,5},$P495,$T495,$X495,$AB495,$AF495),_xlpm.rate,CHOOSE({1,2,3,4,5},$R495,$V495,$Z495,$AD495,$AH495),_xlpm.trn,CHOOSE({1,2,3,4,5},$S495,$W495,$AA495,$AE495,$AI495),_xlpm.nsC,SUMPRODUCT(--(_xlpm.stat="Ready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DLR",IF(AND(_xlpm.actRS&gt;0,_xlpm.actDone&lt;_xlpm.actRS),"Training",IF(_xlpm.actRS&gt;0,"Active",IF(AND(_xlpm.decC&gt;0,_xlpm.inPlay+_xlpm.actC=0),"Dead",IF(AND($AJ495&lt;&gt;"",$AK495=FALSE),"Waiting on Dealer",IF(_xlpm.subC&gt;0,"Waiting on Lender",IF(AND(_xlpm.appC+_xlpm.actC&gt;0,_xlpm.nsC+_xlpm.wdC=0),"Rate Sheet","Application Submitted")))))))))</f>
        <v/>
      </c>
      <c r="M495" s="87"/>
      <c r="N495" s="87"/>
      <c r="O495" s="197"/>
      <c r="P495" s="87" t="str">
        <f>IF($A495="","",IF($AK495=TRUE,"Ready 2 Submit","Waiting on Dealer"))</f>
        <v/>
      </c>
      <c r="Q495" s="148"/>
      <c r="R495" s="87"/>
      <c r="S495" s="87"/>
      <c r="T495" s="87" t="str">
        <f>IF($A495="","",IF($AK495=TRUE,"Ready 2 Submit","Waiting on Dealer"))</f>
        <v/>
      </c>
      <c r="U495" s="148"/>
      <c r="V495" s="87"/>
      <c r="W495" s="87"/>
      <c r="X495" s="87" t="str">
        <f>IF($A495="","",IF($AK495=TRUE,"Ready 2 Submit","Waiting on Dealer"))</f>
        <v/>
      </c>
      <c r="Y495" s="148"/>
      <c r="Z495" s="87"/>
      <c r="AA495" s="87"/>
      <c r="AB495" s="87" t="str">
        <f>IF($A495="","",IF($AK495=TRUE,"Ready 2 Submit","Waiting on Dealer"))</f>
        <v/>
      </c>
      <c r="AC495" s="148"/>
      <c r="AD495" s="87"/>
      <c r="AE495" s="87"/>
      <c r="AF495" s="87" t="str">
        <f>IF($A495="","",IF($AK495=TRUE,"Ready 2 Submit","Waiting on Dealer"))</f>
        <v/>
      </c>
      <c r="AG495" s="148"/>
      <c r="AH495" s="87"/>
      <c r="AI495" s="87"/>
      <c r="AJ495" s="197"/>
      <c r="AK495" s="110" t="b">
        <v>0</v>
      </c>
      <c r="AL495" s="87" t="str" cm="1">
        <f t="array" ref="AL495">IF($A495="","",SUMPRODUCT((CHOOSE({1,2,3,4,5},$R495,$V495,$Z495,$AD495,$AH495)="Yes")*(((CHOOSE({1,2,3,4,5},$S495,$W495,$AA495,$AE495,$AI495)="Yes")+(CHOOSE({1,2,3,4,5},$S495,$W495,$AA495,$AE495,$AI495)=TRUE))&gt;0)))</f>
        <v/>
      </c>
      <c r="AM495" s="87"/>
      <c r="AN495" s="87" t="str">
        <f ca="1">IF(OR($A495="",$AM495=""),"",TODAY()-$AM495)</f>
        <v/>
      </c>
      <c r="AO495" s="87"/>
      <c r="AP495" s="106"/>
      <c r="AQ495" s="106"/>
      <c r="AR495" s="106"/>
      <c r="AS495" s="106"/>
      <c r="AT495" s="106"/>
      <c r="AU495" s="106"/>
      <c r="AV495" s="106"/>
      <c r="AW495" s="106"/>
      <c r="AX495" s="106"/>
      <c r="AY495" s="106"/>
    </row>
    <row r="496" spans="1:51" s="20" customFormat="1" ht="21" customHeight="1">
      <c r="A496" s="197"/>
      <c r="B496" s="87"/>
      <c r="C496" s="87"/>
      <c r="D496" s="196"/>
      <c r="E496" s="108"/>
      <c r="F496" s="196"/>
      <c r="G496" s="87"/>
      <c r="H496" s="197"/>
      <c r="I496" s="89"/>
      <c r="J496" s="204"/>
      <c r="K496" s="87"/>
      <c r="L496" s="87" t="str" cm="1">
        <f t="array" ref="L496">IF($A496="","",_xlfn.LET(_xlpm.stat,CHOOSE({1,2,3,4,5},$P496,$T496,$X496,$AB496,$AF496),_xlpm.rate,CHOOSE({1,2,3,4,5},$R496,$V496,$Z496,$AD496,$AH496),_xlpm.trn,CHOOSE({1,2,3,4,5},$S496,$W496,$AA496,$AE496,$AI496),_xlpm.nsC,SUMPRODUCT(--(_xlpm.stat="Ready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DLR",IF(AND(_xlpm.actRS&gt;0,_xlpm.actDone&lt;_xlpm.actRS),"Training",IF(_xlpm.actRS&gt;0,"Active",IF(AND(_xlpm.decC&gt;0,_xlpm.inPlay+_xlpm.actC=0),"Dead",IF(AND($AJ496&lt;&gt;"",$AK496=FALSE),"Waiting on Dealer",IF(_xlpm.subC&gt;0,"Waiting on Lender",IF(AND(_xlpm.appC+_xlpm.actC&gt;0,_xlpm.nsC+_xlpm.wdC=0),"Rate Sheet","Application Submitted")))))))))</f>
        <v/>
      </c>
      <c r="M496" s="87"/>
      <c r="N496" s="87"/>
      <c r="O496" s="197"/>
      <c r="P496" s="87" t="str">
        <f>IF($A496="","",IF($AK496=TRUE,"Ready 2 Submit","Waiting on Dealer"))</f>
        <v/>
      </c>
      <c r="Q496" s="148"/>
      <c r="R496" s="87"/>
      <c r="S496" s="87"/>
      <c r="T496" s="87" t="str">
        <f>IF($A496="","",IF($AK496=TRUE,"Ready 2 Submit","Waiting on Dealer"))</f>
        <v/>
      </c>
      <c r="U496" s="148"/>
      <c r="V496" s="87"/>
      <c r="W496" s="87"/>
      <c r="X496" s="87" t="str">
        <f>IF($A496="","",IF($AK496=TRUE,"Ready 2 Submit","Waiting on Dealer"))</f>
        <v/>
      </c>
      <c r="Y496" s="148"/>
      <c r="Z496" s="87"/>
      <c r="AA496" s="87"/>
      <c r="AB496" s="87" t="str">
        <f>IF($A496="","",IF($AK496=TRUE,"Ready 2 Submit","Waiting on Dealer"))</f>
        <v/>
      </c>
      <c r="AC496" s="148"/>
      <c r="AD496" s="87"/>
      <c r="AE496" s="87"/>
      <c r="AF496" s="87" t="str">
        <f>IF($A496="","",IF($AK496=TRUE,"Ready 2 Submit","Waiting on Dealer"))</f>
        <v/>
      </c>
      <c r="AG496" s="148"/>
      <c r="AH496" s="87"/>
      <c r="AI496" s="87"/>
      <c r="AJ496" s="197"/>
      <c r="AK496" s="110" t="b">
        <v>0</v>
      </c>
      <c r="AL496" s="87" t="str" cm="1">
        <f t="array" ref="AL496">IF($A496="","",SUMPRODUCT((CHOOSE({1,2,3,4,5},$R496,$V496,$Z496,$AD496,$AH496)="Yes")*(((CHOOSE({1,2,3,4,5},$S496,$W496,$AA496,$AE496,$AI496)="Yes")+(CHOOSE({1,2,3,4,5},$S496,$W496,$AA496,$AE496,$AI496)=TRUE))&gt;0)))</f>
        <v/>
      </c>
      <c r="AM496" s="87"/>
      <c r="AN496" s="87" t="str">
        <f ca="1">IF(OR($A496="",$AM496=""),"",TODAY()-$AM496)</f>
        <v/>
      </c>
      <c r="AO496" s="87"/>
      <c r="AP496" s="106"/>
      <c r="AQ496" s="106"/>
      <c r="AR496" s="106"/>
      <c r="AS496" s="106"/>
      <c r="AT496" s="106"/>
      <c r="AU496" s="106"/>
      <c r="AV496" s="106"/>
      <c r="AW496" s="106"/>
      <c r="AX496" s="106"/>
      <c r="AY496" s="106"/>
    </row>
    <row r="497" spans="1:51" s="20" customFormat="1" ht="21" customHeight="1">
      <c r="A497" s="197"/>
      <c r="B497" s="87"/>
      <c r="C497" s="87"/>
      <c r="D497" s="196"/>
      <c r="E497" s="108"/>
      <c r="F497" s="196"/>
      <c r="G497" s="87"/>
      <c r="H497" s="197"/>
      <c r="I497" s="89"/>
      <c r="J497" s="204"/>
      <c r="K497" s="87"/>
      <c r="L497" s="87" t="str" cm="1">
        <f t="array" ref="L497">IF($A497="","",_xlfn.LET(_xlpm.stat,CHOOSE({1,2,3,4,5},$P497,$T497,$X497,$AB497,$AF497),_xlpm.rate,CHOOSE({1,2,3,4,5},$R497,$V497,$Z497,$AD497,$AH497),_xlpm.trn,CHOOSE({1,2,3,4,5},$S497,$W497,$AA497,$AE497,$AI497),_xlpm.nsC,SUMPRODUCT(--(_xlpm.stat="Ready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DLR",IF(AND(_xlpm.actRS&gt;0,_xlpm.actDone&lt;_xlpm.actRS),"Training",IF(_xlpm.actRS&gt;0,"Active",IF(AND(_xlpm.decC&gt;0,_xlpm.inPlay+_xlpm.actC=0),"Dead",IF(AND($AJ497&lt;&gt;"",$AK497=FALSE),"Waiting on Dealer",IF(_xlpm.subC&gt;0,"Waiting on Lender",IF(AND(_xlpm.appC+_xlpm.actC&gt;0,_xlpm.nsC+_xlpm.wdC=0),"Rate Sheet","Application Submitted")))))))))</f>
        <v/>
      </c>
      <c r="M497" s="87"/>
      <c r="N497" s="87"/>
      <c r="O497" s="197"/>
      <c r="P497" s="87" t="str">
        <f>IF($A497="","",IF($AK497=TRUE,"Ready 2 Submit","Waiting on Dealer"))</f>
        <v/>
      </c>
      <c r="Q497" s="148"/>
      <c r="R497" s="87"/>
      <c r="S497" s="87"/>
      <c r="T497" s="87" t="str">
        <f>IF($A497="","",IF($AK497=TRUE,"Ready 2 Submit","Waiting on Dealer"))</f>
        <v/>
      </c>
      <c r="U497" s="148"/>
      <c r="V497" s="87"/>
      <c r="W497" s="87"/>
      <c r="X497" s="87" t="str">
        <f>IF($A497="","",IF($AK497=TRUE,"Ready 2 Submit","Waiting on Dealer"))</f>
        <v/>
      </c>
      <c r="Y497" s="148"/>
      <c r="Z497" s="87"/>
      <c r="AA497" s="87"/>
      <c r="AB497" s="87" t="str">
        <f>IF($A497="","",IF($AK497=TRUE,"Ready 2 Submit","Waiting on Dealer"))</f>
        <v/>
      </c>
      <c r="AC497" s="148"/>
      <c r="AD497" s="87"/>
      <c r="AE497" s="87"/>
      <c r="AF497" s="87" t="str">
        <f>IF($A497="","",IF($AK497=TRUE,"Ready 2 Submit","Waiting on Dealer"))</f>
        <v/>
      </c>
      <c r="AG497" s="148"/>
      <c r="AH497" s="87"/>
      <c r="AI497" s="87"/>
      <c r="AJ497" s="197"/>
      <c r="AK497" s="110" t="b">
        <v>0</v>
      </c>
      <c r="AL497" s="87" t="str" cm="1">
        <f t="array" ref="AL497">IF($A497="","",SUMPRODUCT((CHOOSE({1,2,3,4,5},$R497,$V497,$Z497,$AD497,$AH497)="Yes")*(((CHOOSE({1,2,3,4,5},$S497,$W497,$AA497,$AE497,$AI497)="Yes")+(CHOOSE({1,2,3,4,5},$S497,$W497,$AA497,$AE497,$AI497)=TRUE))&gt;0)))</f>
        <v/>
      </c>
      <c r="AM497" s="87"/>
      <c r="AN497" s="87" t="str">
        <f ca="1">IF(OR($A497="",$AM497=""),"",TODAY()-$AM497)</f>
        <v/>
      </c>
      <c r="AO497" s="87"/>
      <c r="AP497" s="106"/>
      <c r="AQ497" s="106"/>
      <c r="AR497" s="106"/>
      <c r="AS497" s="106"/>
      <c r="AT497" s="106"/>
      <c r="AU497" s="106"/>
      <c r="AV497" s="106"/>
      <c r="AW497" s="106"/>
      <c r="AX497" s="106"/>
      <c r="AY497" s="106"/>
    </row>
    <row r="498" spans="1:51" s="20" customFormat="1" ht="21" customHeight="1">
      <c r="A498" s="197"/>
      <c r="B498" s="87"/>
      <c r="C498" s="87"/>
      <c r="D498" s="196"/>
      <c r="E498" s="108"/>
      <c r="F498" s="196"/>
      <c r="G498" s="87"/>
      <c r="H498" s="197"/>
      <c r="I498" s="89"/>
      <c r="J498" s="204"/>
      <c r="K498" s="87"/>
      <c r="L498" s="87" t="str" cm="1">
        <f t="array" ref="L498">IF($A498="","",_xlfn.LET(_xlpm.stat,CHOOSE({1,2,3,4,5},$P498,$T498,$X498,$AB498,$AF498),_xlpm.rate,CHOOSE({1,2,3,4,5},$R498,$V498,$Z498,$AD498,$AH498),_xlpm.trn,CHOOSE({1,2,3,4,5},$S498,$W498,$AA498,$AE498,$AI498),_xlpm.nsC,SUMPRODUCT(--(_xlpm.stat="Ready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DLR",IF(AND(_xlpm.actRS&gt;0,_xlpm.actDone&lt;_xlpm.actRS),"Training",IF(_xlpm.actRS&gt;0,"Active",IF(AND(_xlpm.decC&gt;0,_xlpm.inPlay+_xlpm.actC=0),"Dead",IF(AND($AJ498&lt;&gt;"",$AK498=FALSE),"Waiting on Dealer",IF(_xlpm.subC&gt;0,"Waiting on Lender",IF(AND(_xlpm.appC+_xlpm.actC&gt;0,_xlpm.nsC+_xlpm.wdC=0),"Rate Sheet","Application Submitted")))))))))</f>
        <v/>
      </c>
      <c r="M498" s="87"/>
      <c r="N498" s="87"/>
      <c r="O498" s="197"/>
      <c r="P498" s="87" t="str">
        <f>IF($A498="","",IF($AK498=TRUE,"Ready 2 Submit","Waiting on Dealer"))</f>
        <v/>
      </c>
      <c r="Q498" s="148"/>
      <c r="R498" s="87"/>
      <c r="S498" s="87"/>
      <c r="T498" s="87" t="str">
        <f>IF($A498="","",IF($AK498=TRUE,"Ready 2 Submit","Waiting on Dealer"))</f>
        <v/>
      </c>
      <c r="U498" s="148"/>
      <c r="V498" s="87"/>
      <c r="W498" s="87"/>
      <c r="X498" s="87" t="str">
        <f>IF($A498="","",IF($AK498=TRUE,"Ready 2 Submit","Waiting on Dealer"))</f>
        <v/>
      </c>
      <c r="Y498" s="148"/>
      <c r="Z498" s="87"/>
      <c r="AA498" s="87"/>
      <c r="AB498" s="87" t="str">
        <f>IF($A498="","",IF($AK498=TRUE,"Ready 2 Submit","Waiting on Dealer"))</f>
        <v/>
      </c>
      <c r="AC498" s="148"/>
      <c r="AD498" s="87"/>
      <c r="AE498" s="87"/>
      <c r="AF498" s="87" t="str">
        <f>IF($A498="","",IF($AK498=TRUE,"Ready 2 Submit","Waiting on Dealer"))</f>
        <v/>
      </c>
      <c r="AG498" s="148"/>
      <c r="AH498" s="87"/>
      <c r="AI498" s="87"/>
      <c r="AJ498" s="197"/>
      <c r="AK498" s="110" t="b">
        <v>0</v>
      </c>
      <c r="AL498" s="87" t="str" cm="1">
        <f t="array" ref="AL498">IF($A498="","",SUMPRODUCT((CHOOSE({1,2,3,4,5},$R498,$V498,$Z498,$AD498,$AH498)="Yes")*(((CHOOSE({1,2,3,4,5},$S498,$W498,$AA498,$AE498,$AI498)="Yes")+(CHOOSE({1,2,3,4,5},$S498,$W498,$AA498,$AE498,$AI498)=TRUE))&gt;0)))</f>
        <v/>
      </c>
      <c r="AM498" s="87"/>
      <c r="AN498" s="87" t="str">
        <f ca="1">IF(OR($A498="",$AM498=""),"",TODAY()-$AM498)</f>
        <v/>
      </c>
      <c r="AO498" s="87"/>
      <c r="AP498" s="106"/>
      <c r="AQ498" s="106"/>
      <c r="AR498" s="106"/>
      <c r="AS498" s="106"/>
      <c r="AT498" s="106"/>
      <c r="AU498" s="106"/>
      <c r="AV498" s="106"/>
      <c r="AW498" s="106"/>
      <c r="AX498" s="106"/>
      <c r="AY498" s="106"/>
    </row>
    <row r="499" spans="1:51" s="20" customFormat="1" ht="21" customHeight="1">
      <c r="A499" s="197"/>
      <c r="B499" s="87"/>
      <c r="C499" s="87"/>
      <c r="D499" s="196"/>
      <c r="E499" s="108"/>
      <c r="F499" s="196"/>
      <c r="G499" s="87"/>
      <c r="H499" s="197"/>
      <c r="I499" s="89"/>
      <c r="J499" s="204"/>
      <c r="K499" s="87"/>
      <c r="L499" s="87" t="str" cm="1">
        <f t="array" ref="L499">IF($A499="","",_xlfn.LET(_xlpm.stat,CHOOSE({1,2,3,4,5},$P499,$T499,$X499,$AB499,$AF499),_xlpm.rate,CHOOSE({1,2,3,4,5},$R499,$V499,$Z499,$AD499,$AH499),_xlpm.trn,CHOOSE({1,2,3,4,5},$S499,$W499,$AA499,$AE499,$AI499),_xlpm.nsC,SUMPRODUCT(--(_xlpm.stat="Ready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DLR",IF(AND(_xlpm.actRS&gt;0,_xlpm.actDone&lt;_xlpm.actRS),"Training",IF(_xlpm.actRS&gt;0,"Active",IF(AND(_xlpm.decC&gt;0,_xlpm.inPlay+_xlpm.actC=0),"Dead",IF(AND($AJ499&lt;&gt;"",$AK499=FALSE),"Waiting on Dealer",IF(_xlpm.subC&gt;0,"Waiting on Lender",IF(AND(_xlpm.appC+_xlpm.actC&gt;0,_xlpm.nsC+_xlpm.wdC=0),"Rate Sheet","Application Submitted")))))))))</f>
        <v/>
      </c>
      <c r="M499" s="87"/>
      <c r="N499" s="87"/>
      <c r="O499" s="197"/>
      <c r="P499" s="87" t="str">
        <f>IF($A499="","",IF($AK499=TRUE,"Ready 2 Submit","Waiting on Dealer"))</f>
        <v/>
      </c>
      <c r="Q499" s="148"/>
      <c r="R499" s="87"/>
      <c r="S499" s="87"/>
      <c r="T499" s="87" t="str">
        <f>IF($A499="","",IF($AK499=TRUE,"Ready 2 Submit","Waiting on Dealer"))</f>
        <v/>
      </c>
      <c r="U499" s="148"/>
      <c r="V499" s="87"/>
      <c r="W499" s="87"/>
      <c r="X499" s="87" t="str">
        <f>IF($A499="","",IF($AK499=TRUE,"Ready 2 Submit","Waiting on Dealer"))</f>
        <v/>
      </c>
      <c r="Y499" s="148"/>
      <c r="Z499" s="87"/>
      <c r="AA499" s="87"/>
      <c r="AB499" s="87" t="str">
        <f>IF($A499="","",IF($AK499=TRUE,"Ready 2 Submit","Waiting on Dealer"))</f>
        <v/>
      </c>
      <c r="AC499" s="148"/>
      <c r="AD499" s="87"/>
      <c r="AE499" s="87"/>
      <c r="AF499" s="87" t="str">
        <f>IF($A499="","",IF($AK499=TRUE,"Ready 2 Submit","Waiting on Dealer"))</f>
        <v/>
      </c>
      <c r="AG499" s="148"/>
      <c r="AH499" s="87"/>
      <c r="AI499" s="87"/>
      <c r="AJ499" s="197"/>
      <c r="AK499" s="110" t="b">
        <v>0</v>
      </c>
      <c r="AL499" s="87" t="str" cm="1">
        <f t="array" ref="AL499">IF($A499="","",SUMPRODUCT((CHOOSE({1,2,3,4,5},$R499,$V499,$Z499,$AD499,$AH499)="Yes")*(((CHOOSE({1,2,3,4,5},$S499,$W499,$AA499,$AE499,$AI499)="Yes")+(CHOOSE({1,2,3,4,5},$S499,$W499,$AA499,$AE499,$AI499)=TRUE))&gt;0)))</f>
        <v/>
      </c>
      <c r="AM499" s="87"/>
      <c r="AN499" s="87" t="str">
        <f ca="1">IF(OR($A499="",$AM499=""),"",TODAY()-$AM499)</f>
        <v/>
      </c>
      <c r="AO499" s="87"/>
      <c r="AP499" s="106"/>
      <c r="AQ499" s="106"/>
      <c r="AR499" s="106"/>
      <c r="AS499" s="106"/>
      <c r="AT499" s="106"/>
      <c r="AU499" s="106"/>
      <c r="AV499" s="106"/>
      <c r="AW499" s="106"/>
      <c r="AX499" s="106"/>
      <c r="AY499" s="106"/>
    </row>
    <row r="500" spans="1:51" s="20" customFormat="1" ht="21" customHeight="1">
      <c r="A500" s="197"/>
      <c r="B500" s="87"/>
      <c r="C500" s="87"/>
      <c r="D500" s="196"/>
      <c r="E500" s="108"/>
      <c r="F500" s="196"/>
      <c r="G500" s="87"/>
      <c r="H500" s="197"/>
      <c r="I500" s="89"/>
      <c r="J500" s="204"/>
      <c r="K500" s="87"/>
      <c r="L500" s="87" t="str" cm="1">
        <f t="array" ref="L500">IF($A500="","",_xlfn.LET(_xlpm.stat,CHOOSE({1,2,3,4,5},$P500,$T500,$X500,$AB500,$AF500),_xlpm.rate,CHOOSE({1,2,3,4,5},$R500,$V500,$Z500,$AD500,$AH500),_xlpm.trn,CHOOSE({1,2,3,4,5},$S500,$W500,$AA500,$AE500,$AI500),_xlpm.nsC,SUMPRODUCT(--(_xlpm.stat="Ready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DLR",IF(AND(_xlpm.actRS&gt;0,_xlpm.actDone&lt;_xlpm.actRS),"Training",IF(_xlpm.actRS&gt;0,"Active",IF(AND(_xlpm.decC&gt;0,_xlpm.inPlay+_xlpm.actC=0),"Dead",IF(AND($AJ500&lt;&gt;"",$AK500=FALSE),"Waiting on Dealer",IF(_xlpm.subC&gt;0,"Waiting on Lender",IF(AND(_xlpm.appC+_xlpm.actC&gt;0,_xlpm.nsC+_xlpm.wdC=0),"Rate Sheet","Application Submitted")))))))))</f>
        <v/>
      </c>
      <c r="M500" s="87"/>
      <c r="N500" s="87"/>
      <c r="O500" s="197"/>
      <c r="P500" s="87" t="str">
        <f>IF($A500="","",IF($AK500=TRUE,"Ready 2 Submit","Waiting on Dealer"))</f>
        <v/>
      </c>
      <c r="Q500" s="148"/>
      <c r="R500" s="87"/>
      <c r="S500" s="87"/>
      <c r="T500" s="87" t="str">
        <f>IF($A500="","",IF($AK500=TRUE,"Ready 2 Submit","Waiting on Dealer"))</f>
        <v/>
      </c>
      <c r="U500" s="148"/>
      <c r="V500" s="87"/>
      <c r="W500" s="87"/>
      <c r="X500" s="87" t="str">
        <f>IF($A500="","",IF($AK500=TRUE,"Ready 2 Submit","Waiting on Dealer"))</f>
        <v/>
      </c>
      <c r="Y500" s="148"/>
      <c r="Z500" s="87"/>
      <c r="AA500" s="87"/>
      <c r="AB500" s="87" t="str">
        <f>IF($A500="","",IF($AK500=TRUE,"Ready 2 Submit","Waiting on Dealer"))</f>
        <v/>
      </c>
      <c r="AC500" s="148"/>
      <c r="AD500" s="87"/>
      <c r="AE500" s="87"/>
      <c r="AF500" s="87" t="str">
        <f>IF($A500="","",IF($AK500=TRUE,"Ready 2 Submit","Waiting on Dealer"))</f>
        <v/>
      </c>
      <c r="AG500" s="148"/>
      <c r="AH500" s="87"/>
      <c r="AI500" s="87"/>
      <c r="AJ500" s="197"/>
      <c r="AK500" s="110" t="b">
        <v>0</v>
      </c>
      <c r="AL500" s="87" t="str" cm="1">
        <f t="array" ref="AL500">IF($A500="","",SUMPRODUCT((CHOOSE({1,2,3,4,5},$R500,$V500,$Z500,$AD500,$AH500)="Yes")*(((CHOOSE({1,2,3,4,5},$S500,$W500,$AA500,$AE500,$AI500)="Yes")+(CHOOSE({1,2,3,4,5},$S500,$W500,$AA500,$AE500,$AI500)=TRUE))&gt;0)))</f>
        <v/>
      </c>
      <c r="AM500" s="87"/>
      <c r="AN500" s="87" t="str">
        <f ca="1">IF(OR($A500="",$AM500=""),"",TODAY()-$AM500)</f>
        <v/>
      </c>
      <c r="AO500" s="87"/>
      <c r="AP500" s="106"/>
      <c r="AQ500" s="106"/>
      <c r="AR500" s="106"/>
      <c r="AS500" s="106"/>
      <c r="AT500" s="106"/>
      <c r="AU500" s="106"/>
      <c r="AV500" s="106"/>
      <c r="AW500" s="106"/>
      <c r="AX500" s="106"/>
      <c r="AY500" s="106"/>
    </row>
    <row r="501" spans="1:51" s="20" customFormat="1" ht="21" customHeight="1">
      <c r="A501" s="197"/>
      <c r="B501" s="87"/>
      <c r="C501" s="87"/>
      <c r="D501" s="196"/>
      <c r="E501" s="108"/>
      <c r="F501" s="196"/>
      <c r="G501" s="87"/>
      <c r="H501" s="197"/>
      <c r="I501" s="89"/>
      <c r="J501" s="204"/>
      <c r="K501" s="87"/>
      <c r="L501" s="87" t="str" cm="1">
        <f t="array" ref="L501">IF($A501="","",_xlfn.LET(_xlpm.stat,CHOOSE({1,2,3,4,5},$P501,$T501,$X501,$AB501,$AF501),_xlpm.rate,CHOOSE({1,2,3,4,5},$R501,$V501,$Z501,$AD501,$AH501),_xlpm.trn,CHOOSE({1,2,3,4,5},$S501,$W501,$AA501,$AE501,$AI501),_xlpm.nsC,SUMPRODUCT(--(_xlpm.stat="Ready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DLR",IF(AND(_xlpm.actRS&gt;0,_xlpm.actDone&lt;_xlpm.actRS),"Training",IF(_xlpm.actRS&gt;0,"Active",IF(AND(_xlpm.decC&gt;0,_xlpm.inPlay+_xlpm.actC=0),"Dead",IF(AND($AJ501&lt;&gt;"",$AK501=FALSE),"Waiting on Dealer",IF(_xlpm.subC&gt;0,"Waiting on Lender",IF(AND(_xlpm.appC+_xlpm.actC&gt;0,_xlpm.nsC+_xlpm.wdC=0),"Rate Sheet","Application Submitted")))))))))</f>
        <v/>
      </c>
      <c r="M501" s="87"/>
      <c r="N501" s="87"/>
      <c r="O501" s="197"/>
      <c r="P501" s="87" t="str">
        <f>IF($A501="","",IF($AK501=TRUE,"Ready 2 Submit","Waiting on Dealer"))</f>
        <v/>
      </c>
      <c r="Q501" s="148"/>
      <c r="R501" s="87"/>
      <c r="S501" s="87"/>
      <c r="T501" s="87" t="str">
        <f>IF($A501="","",IF($AK501=TRUE,"Ready 2 Submit","Waiting on Dealer"))</f>
        <v/>
      </c>
      <c r="U501" s="148"/>
      <c r="V501" s="87"/>
      <c r="W501" s="87"/>
      <c r="X501" s="87" t="str">
        <f>IF($A501="","",IF($AK501=TRUE,"Ready 2 Submit","Waiting on Dealer"))</f>
        <v/>
      </c>
      <c r="Y501" s="148"/>
      <c r="Z501" s="87"/>
      <c r="AA501" s="87"/>
      <c r="AB501" s="87" t="str">
        <f>IF($A501="","",IF($AK501=TRUE,"Ready 2 Submit","Waiting on Dealer"))</f>
        <v/>
      </c>
      <c r="AC501" s="148"/>
      <c r="AD501" s="87"/>
      <c r="AE501" s="87"/>
      <c r="AF501" s="87" t="str">
        <f>IF($A501="","",IF($AK501=TRUE,"Ready 2 Submit","Waiting on Dealer"))</f>
        <v/>
      </c>
      <c r="AG501" s="148"/>
      <c r="AH501" s="87"/>
      <c r="AI501" s="87"/>
      <c r="AJ501" s="197"/>
      <c r="AK501" s="110" t="b">
        <v>0</v>
      </c>
      <c r="AL501" s="87" t="str" cm="1">
        <f t="array" ref="AL501">IF($A501="","",SUMPRODUCT((CHOOSE({1,2,3,4,5},$R501,$V501,$Z501,$AD501,$AH501)="Yes")*(((CHOOSE({1,2,3,4,5},$S501,$W501,$AA501,$AE501,$AI501)="Yes")+(CHOOSE({1,2,3,4,5},$S501,$W501,$AA501,$AE501,$AI501)=TRUE))&gt;0)))</f>
        <v/>
      </c>
      <c r="AM501" s="87"/>
      <c r="AN501" s="87" t="str">
        <f ca="1">IF(OR($A501="",$AM501=""),"",TODAY()-$AM501)</f>
        <v/>
      </c>
      <c r="AO501" s="87"/>
      <c r="AP501" s="106"/>
      <c r="AQ501" s="106"/>
      <c r="AR501" s="106"/>
      <c r="AS501" s="106"/>
      <c r="AT501" s="106"/>
      <c r="AU501" s="106"/>
      <c r="AV501" s="106"/>
      <c r="AW501" s="106"/>
      <c r="AX501" s="106"/>
      <c r="AY501" s="106"/>
    </row>
    <row r="502" spans="1:51" s="20" customFormat="1" ht="21" customHeight="1">
      <c r="A502" s="197"/>
      <c r="B502" s="87"/>
      <c r="C502" s="87"/>
      <c r="D502" s="196"/>
      <c r="E502" s="108"/>
      <c r="F502" s="196"/>
      <c r="G502" s="87"/>
      <c r="H502" s="197"/>
      <c r="I502" s="89"/>
      <c r="J502" s="204"/>
      <c r="K502" s="87"/>
      <c r="L502" s="87" t="str" cm="1">
        <f t="array" ref="L502">IF($A502="","",_xlfn.LET(_xlpm.stat,CHOOSE({1,2,3,4,5},$P502,$T502,$X502,$AB502,$AF502),_xlpm.rate,CHOOSE({1,2,3,4,5},$R502,$V502,$Z502,$AD502,$AH502),_xlpm.trn,CHOOSE({1,2,3,4,5},$S502,$W502,$AA502,$AE502,$AI502),_xlpm.nsC,SUMPRODUCT(--(_xlpm.stat="Ready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DLR",IF(AND(_xlpm.actRS&gt;0,_xlpm.actDone&lt;_xlpm.actRS),"Training",IF(_xlpm.actRS&gt;0,"Active",IF(AND(_xlpm.decC&gt;0,_xlpm.inPlay+_xlpm.actC=0),"Dead",IF(AND($AJ502&lt;&gt;"",$AK502=FALSE),"Waiting on Dealer",IF(_xlpm.subC&gt;0,"Waiting on Lender",IF(AND(_xlpm.appC+_xlpm.actC&gt;0,_xlpm.nsC+_xlpm.wdC=0),"Rate Sheet","Application Submitted")))))))))</f>
        <v/>
      </c>
      <c r="M502" s="87"/>
      <c r="N502" s="87"/>
      <c r="O502" s="197"/>
      <c r="P502" s="87" t="str">
        <f>IF($A502="","",IF($AK502=TRUE,"Ready 2 Submit","Waiting on Dealer"))</f>
        <v/>
      </c>
      <c r="Q502" s="148"/>
      <c r="R502" s="87"/>
      <c r="S502" s="87"/>
      <c r="T502" s="87" t="str">
        <f>IF($A502="","",IF($AK502=TRUE,"Ready 2 Submit","Waiting on Dealer"))</f>
        <v/>
      </c>
      <c r="U502" s="148"/>
      <c r="V502" s="87"/>
      <c r="W502" s="87"/>
      <c r="X502" s="87" t="str">
        <f>IF($A502="","",IF($AK502=TRUE,"Ready 2 Submit","Waiting on Dealer"))</f>
        <v/>
      </c>
      <c r="Y502" s="148"/>
      <c r="Z502" s="87"/>
      <c r="AA502" s="87"/>
      <c r="AB502" s="87" t="str">
        <f>IF($A502="","",IF($AK502=TRUE,"Ready 2 Submit","Waiting on Dealer"))</f>
        <v/>
      </c>
      <c r="AC502" s="148"/>
      <c r="AD502" s="87"/>
      <c r="AE502" s="87"/>
      <c r="AF502" s="87" t="str">
        <f>IF($A502="","",IF($AK502=TRUE,"Ready 2 Submit","Waiting on Dealer"))</f>
        <v/>
      </c>
      <c r="AG502" s="148"/>
      <c r="AH502" s="87"/>
      <c r="AI502" s="87"/>
      <c r="AJ502" s="197"/>
      <c r="AK502" s="110" t="b">
        <v>0</v>
      </c>
      <c r="AL502" s="87" t="str" cm="1">
        <f t="array" ref="AL502">IF($A502="","",SUMPRODUCT((CHOOSE({1,2,3,4,5},$R502,$V502,$Z502,$AD502,$AH502)="Yes")*(((CHOOSE({1,2,3,4,5},$S502,$W502,$AA502,$AE502,$AI502)="Yes")+(CHOOSE({1,2,3,4,5},$S502,$W502,$AA502,$AE502,$AI502)=TRUE))&gt;0)))</f>
        <v/>
      </c>
      <c r="AM502" s="87"/>
      <c r="AN502" s="87" t="str">
        <f ca="1">IF(OR($A502="",$AM502=""),"",TODAY()-$AM502)</f>
        <v/>
      </c>
      <c r="AO502" s="87"/>
      <c r="AP502" s="106"/>
      <c r="AQ502" s="106"/>
      <c r="AR502" s="106"/>
      <c r="AS502" s="106"/>
      <c r="AT502" s="106"/>
      <c r="AU502" s="106"/>
      <c r="AV502" s="106"/>
      <c r="AW502" s="106"/>
      <c r="AX502" s="106"/>
      <c r="AY502" s="106"/>
    </row>
    <row r="503" spans="1:51" s="20" customFormat="1" ht="21" customHeight="1">
      <c r="A503" s="197"/>
      <c r="B503" s="87"/>
      <c r="C503" s="87"/>
      <c r="D503" s="196"/>
      <c r="E503" s="108"/>
      <c r="F503" s="196"/>
      <c r="G503" s="87"/>
      <c r="H503" s="197"/>
      <c r="I503" s="89"/>
      <c r="J503" s="204"/>
      <c r="K503" s="87"/>
      <c r="L503" s="87" t="str" cm="1">
        <f t="array" ref="L503">IF($A503="","",_xlfn.LET(_xlpm.stat,CHOOSE({1,2,3,4,5},$P503,$T503,$X503,$AB503,$AF503),_xlpm.rate,CHOOSE({1,2,3,4,5},$R503,$V503,$Z503,$AD503,$AH503),_xlpm.trn,CHOOSE({1,2,3,4,5},$S503,$W503,$AA503,$AE503,$AI503),_xlpm.nsC,SUMPRODUCT(--(_xlpm.stat="Ready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DLR",IF(AND(_xlpm.actRS&gt;0,_xlpm.actDone&lt;_xlpm.actRS),"Training",IF(_xlpm.actRS&gt;0,"Active",IF(AND(_xlpm.decC&gt;0,_xlpm.inPlay+_xlpm.actC=0),"Dead",IF(AND($AJ503&lt;&gt;"",$AK503=FALSE),"Waiting on Dealer",IF(_xlpm.subC&gt;0,"Waiting on Lender",IF(AND(_xlpm.appC+_xlpm.actC&gt;0,_xlpm.nsC+_xlpm.wdC=0),"Rate Sheet","Application Submitted")))))))))</f>
        <v/>
      </c>
      <c r="M503" s="87"/>
      <c r="N503" s="87"/>
      <c r="O503" s="197"/>
      <c r="P503" s="87" t="str">
        <f>IF($A503="","",IF($AK503=TRUE,"Ready 2 Submit","Waiting on Dealer"))</f>
        <v/>
      </c>
      <c r="Q503" s="148"/>
      <c r="R503" s="87"/>
      <c r="S503" s="87"/>
      <c r="T503" s="87" t="str">
        <f>IF($A503="","",IF($AK503=TRUE,"Ready 2 Submit","Waiting on Dealer"))</f>
        <v/>
      </c>
      <c r="U503" s="148"/>
      <c r="V503" s="87"/>
      <c r="W503" s="87"/>
      <c r="X503" s="87" t="str">
        <f>IF($A503="","",IF($AK503=TRUE,"Ready 2 Submit","Waiting on Dealer"))</f>
        <v/>
      </c>
      <c r="Y503" s="148"/>
      <c r="Z503" s="87"/>
      <c r="AA503" s="87"/>
      <c r="AB503" s="87" t="str">
        <f>IF($A503="","",IF($AK503=TRUE,"Ready 2 Submit","Waiting on Dealer"))</f>
        <v/>
      </c>
      <c r="AC503" s="148"/>
      <c r="AD503" s="87"/>
      <c r="AE503" s="87"/>
      <c r="AF503" s="87" t="str">
        <f>IF($A503="","",IF($AK503=TRUE,"Ready 2 Submit","Waiting on Dealer"))</f>
        <v/>
      </c>
      <c r="AG503" s="148"/>
      <c r="AH503" s="87"/>
      <c r="AI503" s="87"/>
      <c r="AJ503" s="197"/>
      <c r="AK503" s="110" t="b">
        <v>0</v>
      </c>
      <c r="AL503" s="87" t="str" cm="1">
        <f t="array" ref="AL503">IF($A503="","",SUMPRODUCT((CHOOSE({1,2,3,4,5},$R503,$V503,$Z503,$AD503,$AH503)="Yes")*(((CHOOSE({1,2,3,4,5},$S503,$W503,$AA503,$AE503,$AI503)="Yes")+(CHOOSE({1,2,3,4,5},$S503,$W503,$AA503,$AE503,$AI503)=TRUE))&gt;0)))</f>
        <v/>
      </c>
      <c r="AM503" s="87"/>
      <c r="AN503" s="87" t="str">
        <f ca="1">IF(OR($A503="",$AM503=""),"",TODAY()-$AM503)</f>
        <v/>
      </c>
      <c r="AO503" s="87"/>
      <c r="AP503" s="106"/>
      <c r="AQ503" s="106"/>
      <c r="AR503" s="106"/>
      <c r="AS503" s="106"/>
      <c r="AT503" s="106"/>
      <c r="AU503" s="106"/>
      <c r="AV503" s="106"/>
      <c r="AW503" s="106"/>
      <c r="AX503" s="106"/>
      <c r="AY503" s="106"/>
    </row>
    <row r="504" spans="1:51" s="20" customFormat="1" ht="21" customHeight="1">
      <c r="A504" s="197"/>
      <c r="B504" s="87"/>
      <c r="C504" s="87"/>
      <c r="D504" s="196"/>
      <c r="E504" s="108"/>
      <c r="F504" s="196"/>
      <c r="G504" s="87"/>
      <c r="H504" s="197"/>
      <c r="I504" s="89"/>
      <c r="J504" s="204"/>
      <c r="K504" s="87"/>
      <c r="L504" s="87" t="str" cm="1">
        <f t="array" ref="L504">IF($A504="","",_xlfn.LET(_xlpm.stat,CHOOSE({1,2,3,4,5},$P504,$T504,$X504,$AB504,$AF504),_xlpm.rate,CHOOSE({1,2,3,4,5},$R504,$V504,$Z504,$AD504,$AH504),_xlpm.trn,CHOOSE({1,2,3,4,5},$S504,$W504,$AA504,$AE504,$AI504),_xlpm.nsC,SUMPRODUCT(--(_xlpm.stat="Ready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DLR",IF(AND(_xlpm.actRS&gt;0,_xlpm.actDone&lt;_xlpm.actRS),"Training",IF(_xlpm.actRS&gt;0,"Active",IF(AND(_xlpm.decC&gt;0,_xlpm.inPlay+_xlpm.actC=0),"Dead",IF(AND($AJ504&lt;&gt;"",$AK504=FALSE),"Waiting on Dealer",IF(_xlpm.subC&gt;0,"Waiting on Lender",IF(AND(_xlpm.appC+_xlpm.actC&gt;0,_xlpm.nsC+_xlpm.wdC=0),"Rate Sheet","Application Submitted")))))))))</f>
        <v/>
      </c>
      <c r="M504" s="87"/>
      <c r="N504" s="87"/>
      <c r="O504" s="197"/>
      <c r="P504" s="87" t="str">
        <f>IF($A504="","",IF($AK504=TRUE,"Ready 2 Submit","Waiting on Dealer"))</f>
        <v/>
      </c>
      <c r="Q504" s="148"/>
      <c r="R504" s="87"/>
      <c r="S504" s="87"/>
      <c r="T504" s="87" t="str">
        <f>IF($A504="","",IF($AK504=TRUE,"Ready 2 Submit","Waiting on Dealer"))</f>
        <v/>
      </c>
      <c r="U504" s="148"/>
      <c r="V504" s="87"/>
      <c r="W504" s="87"/>
      <c r="X504" s="87" t="str">
        <f>IF($A504="","",IF($AK504=TRUE,"Ready 2 Submit","Waiting on Dealer"))</f>
        <v/>
      </c>
      <c r="Y504" s="148"/>
      <c r="Z504" s="87"/>
      <c r="AA504" s="87"/>
      <c r="AB504" s="87" t="str">
        <f>IF($A504="","",IF($AK504=TRUE,"Ready 2 Submit","Waiting on Dealer"))</f>
        <v/>
      </c>
      <c r="AC504" s="148"/>
      <c r="AD504" s="87"/>
      <c r="AE504" s="87"/>
      <c r="AF504" s="87" t="str">
        <f>IF($A504="","",IF($AK504=TRUE,"Ready 2 Submit","Waiting on Dealer"))</f>
        <v/>
      </c>
      <c r="AG504" s="148"/>
      <c r="AH504" s="87"/>
      <c r="AI504" s="87"/>
      <c r="AJ504" s="197"/>
      <c r="AK504" s="110" t="b">
        <v>0</v>
      </c>
      <c r="AL504" s="87" t="str" cm="1">
        <f t="array" ref="AL504">IF($A504="","",SUMPRODUCT((CHOOSE({1,2,3,4,5},$R504,$V504,$Z504,$AD504,$AH504)="Yes")*(((CHOOSE({1,2,3,4,5},$S504,$W504,$AA504,$AE504,$AI504)="Yes")+(CHOOSE({1,2,3,4,5},$S504,$W504,$AA504,$AE504,$AI504)=TRUE))&gt;0)))</f>
        <v/>
      </c>
      <c r="AM504" s="87"/>
      <c r="AN504" s="87" t="str">
        <f ca="1">IF(OR($A504="",$AM504=""),"",TODAY()-$AM504)</f>
        <v/>
      </c>
      <c r="AO504" s="87"/>
      <c r="AP504" s="106"/>
      <c r="AQ504" s="106"/>
      <c r="AR504" s="106"/>
      <c r="AS504" s="106"/>
      <c r="AT504" s="106"/>
      <c r="AU504" s="106"/>
      <c r="AV504" s="106"/>
      <c r="AW504" s="106"/>
      <c r="AX504" s="106"/>
      <c r="AY504" s="106"/>
    </row>
    <row r="505" spans="1:51" s="20" customFormat="1" ht="21" customHeight="1">
      <c r="A505" s="197"/>
      <c r="B505" s="87"/>
      <c r="C505" s="87"/>
      <c r="D505" s="196"/>
      <c r="E505" s="108"/>
      <c r="F505" s="196"/>
      <c r="G505" s="87"/>
      <c r="H505" s="197"/>
      <c r="I505" s="89"/>
      <c r="J505" s="204"/>
      <c r="K505" s="87"/>
      <c r="L505" s="87" t="str" cm="1">
        <f t="array" ref="L505">IF($A505="","",_xlfn.LET(_xlpm.stat,CHOOSE({1,2,3,4,5},$P505,$T505,$X505,$AB505,$AF505),_xlpm.rate,CHOOSE({1,2,3,4,5},$R505,$V505,$Z505,$AD505,$AH505),_xlpm.trn,CHOOSE({1,2,3,4,5},$S505,$W505,$AA505,$AE505,$AI505),_xlpm.nsC,SUMPRODUCT(--(_xlpm.stat="Ready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DLR",IF(AND(_xlpm.actRS&gt;0,_xlpm.actDone&lt;_xlpm.actRS),"Training",IF(_xlpm.actRS&gt;0,"Active",IF(AND(_xlpm.decC&gt;0,_xlpm.inPlay+_xlpm.actC=0),"Dead",IF(AND($AJ505&lt;&gt;"",$AK505=FALSE),"Waiting on Dealer",IF(_xlpm.subC&gt;0,"Waiting on Lender",IF(AND(_xlpm.appC+_xlpm.actC&gt;0,_xlpm.nsC+_xlpm.wdC=0),"Rate Sheet","Application Submitted")))))))))</f>
        <v/>
      </c>
      <c r="M505" s="87"/>
      <c r="N505" s="87"/>
      <c r="O505" s="197"/>
      <c r="P505" s="87" t="str">
        <f>IF($A505="","",IF($AK505=TRUE,"Ready 2 Submit","Waiting on Dealer"))</f>
        <v/>
      </c>
      <c r="Q505" s="148"/>
      <c r="R505" s="87"/>
      <c r="S505" s="87"/>
      <c r="T505" s="87" t="str">
        <f>IF($A505="","",IF($AK505=TRUE,"Ready 2 Submit","Waiting on Dealer"))</f>
        <v/>
      </c>
      <c r="U505" s="148"/>
      <c r="V505" s="87"/>
      <c r="W505" s="87"/>
      <c r="X505" s="87" t="str">
        <f>IF($A505="","",IF($AK505=TRUE,"Ready 2 Submit","Waiting on Dealer"))</f>
        <v/>
      </c>
      <c r="Y505" s="148"/>
      <c r="Z505" s="87"/>
      <c r="AA505" s="87"/>
      <c r="AB505" s="87" t="str">
        <f>IF($A505="","",IF($AK505=TRUE,"Ready 2 Submit","Waiting on Dealer"))</f>
        <v/>
      </c>
      <c r="AC505" s="148"/>
      <c r="AD505" s="87"/>
      <c r="AE505" s="87"/>
      <c r="AF505" s="87" t="str">
        <f>IF($A505="","",IF($AK505=TRUE,"Ready 2 Submit","Waiting on Dealer"))</f>
        <v/>
      </c>
      <c r="AG505" s="148"/>
      <c r="AH505" s="87"/>
      <c r="AI505" s="87"/>
      <c r="AJ505" s="197"/>
      <c r="AK505" s="110" t="b">
        <v>0</v>
      </c>
      <c r="AL505" s="87" t="str" cm="1">
        <f t="array" ref="AL505">IF($A505="","",SUMPRODUCT((CHOOSE({1,2,3,4,5},$R505,$V505,$Z505,$AD505,$AH505)="Yes")*(((CHOOSE({1,2,3,4,5},$S505,$W505,$AA505,$AE505,$AI505)="Yes")+(CHOOSE({1,2,3,4,5},$S505,$W505,$AA505,$AE505,$AI505)=TRUE))&gt;0)))</f>
        <v/>
      </c>
      <c r="AM505" s="87"/>
      <c r="AN505" s="87" t="str">
        <f ca="1">IF(OR($A505="",$AM505=""),"",TODAY()-$AM505)</f>
        <v/>
      </c>
      <c r="AO505" s="87"/>
      <c r="AP505" s="106"/>
      <c r="AQ505" s="106"/>
      <c r="AR505" s="106"/>
      <c r="AS505" s="106"/>
      <c r="AT505" s="106"/>
      <c r="AU505" s="106"/>
      <c r="AV505" s="106"/>
      <c r="AW505" s="106"/>
      <c r="AX505" s="106"/>
      <c r="AY505" s="106"/>
    </row>
    <row r="506" spans="1:51" s="20" customFormat="1" ht="21" customHeight="1">
      <c r="A506" s="197"/>
      <c r="B506" s="87"/>
      <c r="C506" s="87"/>
      <c r="D506" s="196"/>
      <c r="E506" s="108"/>
      <c r="F506" s="196"/>
      <c r="G506" s="87"/>
      <c r="H506" s="197"/>
      <c r="I506" s="89"/>
      <c r="J506" s="204"/>
      <c r="K506" s="87"/>
      <c r="L506" s="87" t="str" cm="1">
        <f t="array" ref="L506">IF($A506="","",_xlfn.LET(_xlpm.stat,CHOOSE({1,2,3,4,5},$P506,$T506,$X506,$AB506,$AF506),_xlpm.rate,CHOOSE({1,2,3,4,5},$R506,$V506,$Z506,$AD506,$AH506),_xlpm.trn,CHOOSE({1,2,3,4,5},$S506,$W506,$AA506,$AE506,$AI506),_xlpm.nsC,SUMPRODUCT(--(_xlpm.stat="Ready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DLR",IF(AND(_xlpm.actRS&gt;0,_xlpm.actDone&lt;_xlpm.actRS),"Training",IF(_xlpm.actRS&gt;0,"Active",IF(AND(_xlpm.decC&gt;0,_xlpm.inPlay+_xlpm.actC=0),"Dead",IF(AND($AJ506&lt;&gt;"",$AK506=FALSE),"Waiting on Dealer",IF(_xlpm.subC&gt;0,"Waiting on Lender",IF(AND(_xlpm.appC+_xlpm.actC&gt;0,_xlpm.nsC+_xlpm.wdC=0),"Rate Sheet","Application Submitted")))))))))</f>
        <v/>
      </c>
      <c r="M506" s="87"/>
      <c r="N506" s="87"/>
      <c r="O506" s="197"/>
      <c r="P506" s="87" t="str">
        <f>IF($A506="","",IF($AK506=TRUE,"Ready 2 Submit","Waiting on Dealer"))</f>
        <v/>
      </c>
      <c r="Q506" s="148"/>
      <c r="R506" s="87"/>
      <c r="S506" s="87"/>
      <c r="T506" s="87" t="str">
        <f>IF($A506="","",IF($AK506=TRUE,"Ready 2 Submit","Waiting on Dealer"))</f>
        <v/>
      </c>
      <c r="U506" s="148"/>
      <c r="V506" s="87"/>
      <c r="W506" s="87"/>
      <c r="X506" s="87" t="str">
        <f>IF($A506="","",IF($AK506=TRUE,"Ready 2 Submit","Waiting on Dealer"))</f>
        <v/>
      </c>
      <c r="Y506" s="148"/>
      <c r="Z506" s="87"/>
      <c r="AA506" s="87"/>
      <c r="AB506" s="87" t="str">
        <f>IF($A506="","",IF($AK506=TRUE,"Ready 2 Submit","Waiting on Dealer"))</f>
        <v/>
      </c>
      <c r="AC506" s="148"/>
      <c r="AD506" s="87"/>
      <c r="AE506" s="87"/>
      <c r="AF506" s="87" t="str">
        <f>IF($A506="","",IF($AK506=TRUE,"Ready 2 Submit","Waiting on Dealer"))</f>
        <v/>
      </c>
      <c r="AG506" s="148"/>
      <c r="AH506" s="87"/>
      <c r="AI506" s="87"/>
      <c r="AJ506" s="197"/>
      <c r="AK506" s="110" t="b">
        <v>0</v>
      </c>
      <c r="AL506" s="87" t="str" cm="1">
        <f t="array" ref="AL506">IF($A506="","",SUMPRODUCT((CHOOSE({1,2,3,4,5},$R506,$V506,$Z506,$AD506,$AH506)="Yes")*(((CHOOSE({1,2,3,4,5},$S506,$W506,$AA506,$AE506,$AI506)="Yes")+(CHOOSE({1,2,3,4,5},$S506,$W506,$AA506,$AE506,$AI506)=TRUE))&gt;0)))</f>
        <v/>
      </c>
      <c r="AM506" s="87"/>
      <c r="AN506" s="87" t="str">
        <f ca="1">IF(OR($A506="",$AM506=""),"",TODAY()-$AM506)</f>
        <v/>
      </c>
      <c r="AO506" s="87"/>
      <c r="AP506" s="106"/>
      <c r="AQ506" s="106"/>
      <c r="AR506" s="106"/>
      <c r="AS506" s="106"/>
      <c r="AT506" s="106"/>
      <c r="AU506" s="106"/>
      <c r="AV506" s="106"/>
      <c r="AW506" s="106"/>
      <c r="AX506" s="106"/>
      <c r="AY506" s="106"/>
    </row>
    <row r="507" spans="1:51" s="20" customFormat="1" ht="21" customHeight="1">
      <c r="A507" s="197"/>
      <c r="B507" s="87"/>
      <c r="C507" s="87"/>
      <c r="D507" s="196"/>
      <c r="E507" s="108"/>
      <c r="F507" s="196"/>
      <c r="G507" s="87"/>
      <c r="H507" s="197"/>
      <c r="I507" s="89"/>
      <c r="J507" s="204"/>
      <c r="K507" s="87"/>
      <c r="L507" s="87" t="str" cm="1">
        <f t="array" ref="L507">IF($A507="","",_xlfn.LET(_xlpm.stat,CHOOSE({1,2,3,4,5},$P507,$T507,$X507,$AB507,$AF507),_xlpm.rate,CHOOSE({1,2,3,4,5},$R507,$V507,$Z507,$AD507,$AH507),_xlpm.trn,CHOOSE({1,2,3,4,5},$S507,$W507,$AA507,$AE507,$AI507),_xlpm.nsC,SUMPRODUCT(--(_xlpm.stat="Ready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DLR",IF(AND(_xlpm.actRS&gt;0,_xlpm.actDone&lt;_xlpm.actRS),"Training",IF(_xlpm.actRS&gt;0,"Active",IF(AND(_xlpm.decC&gt;0,_xlpm.inPlay+_xlpm.actC=0),"Dead",IF(AND($AJ507&lt;&gt;"",$AK507=FALSE),"Waiting on Dealer",IF(_xlpm.subC&gt;0,"Waiting on Lender",IF(AND(_xlpm.appC+_xlpm.actC&gt;0,_xlpm.nsC+_xlpm.wdC=0),"Rate Sheet","Application Submitted")))))))))</f>
        <v/>
      </c>
      <c r="M507" s="87"/>
      <c r="N507" s="87"/>
      <c r="O507" s="197"/>
      <c r="P507" s="87" t="str">
        <f>IF($A507="","",IF($AK507=TRUE,"Ready 2 Submit","Waiting on Dealer"))</f>
        <v/>
      </c>
      <c r="Q507" s="148"/>
      <c r="R507" s="87"/>
      <c r="S507" s="87"/>
      <c r="T507" s="87" t="str">
        <f>IF($A507="","",IF($AK507=TRUE,"Ready 2 Submit","Waiting on Dealer"))</f>
        <v/>
      </c>
      <c r="U507" s="148"/>
      <c r="V507" s="87"/>
      <c r="W507" s="87"/>
      <c r="X507" s="87" t="str">
        <f>IF($A507="","",IF($AK507=TRUE,"Ready 2 Submit","Waiting on Dealer"))</f>
        <v/>
      </c>
      <c r="Y507" s="148"/>
      <c r="Z507" s="87"/>
      <c r="AA507" s="87"/>
      <c r="AB507" s="87" t="str">
        <f>IF($A507="","",IF($AK507=TRUE,"Ready 2 Submit","Waiting on Dealer"))</f>
        <v/>
      </c>
      <c r="AC507" s="148"/>
      <c r="AD507" s="87"/>
      <c r="AE507" s="87"/>
      <c r="AF507" s="87" t="str">
        <f>IF($A507="","",IF($AK507=TRUE,"Ready 2 Submit","Waiting on Dealer"))</f>
        <v/>
      </c>
      <c r="AG507" s="148"/>
      <c r="AH507" s="87"/>
      <c r="AI507" s="87"/>
      <c r="AJ507" s="197"/>
      <c r="AK507" s="110" t="b">
        <v>0</v>
      </c>
      <c r="AL507" s="87" t="str" cm="1">
        <f t="array" ref="AL507">IF($A507="","",SUMPRODUCT((CHOOSE({1,2,3,4,5},$R507,$V507,$Z507,$AD507,$AH507)="Yes")*(((CHOOSE({1,2,3,4,5},$S507,$W507,$AA507,$AE507,$AI507)="Yes")+(CHOOSE({1,2,3,4,5},$S507,$W507,$AA507,$AE507,$AI507)=TRUE))&gt;0)))</f>
        <v/>
      </c>
      <c r="AM507" s="87"/>
      <c r="AN507" s="87" t="str">
        <f ca="1">IF(OR($A507="",$AM507=""),"",TODAY()-$AM507)</f>
        <v/>
      </c>
      <c r="AO507" s="87"/>
      <c r="AP507" s="106"/>
      <c r="AQ507" s="106"/>
      <c r="AR507" s="106"/>
      <c r="AS507" s="106"/>
      <c r="AT507" s="106"/>
      <c r="AU507" s="106"/>
      <c r="AV507" s="106"/>
      <c r="AW507" s="106"/>
      <c r="AX507" s="106"/>
      <c r="AY507" s="106"/>
    </row>
    <row r="508" spans="1:51" s="20" customFormat="1" ht="21" customHeight="1">
      <c r="A508" s="197"/>
      <c r="B508" s="87"/>
      <c r="C508" s="87"/>
      <c r="D508" s="196"/>
      <c r="E508" s="108"/>
      <c r="F508" s="196"/>
      <c r="G508" s="87"/>
      <c r="H508" s="197"/>
      <c r="I508" s="89"/>
      <c r="J508" s="204"/>
      <c r="K508" s="87"/>
      <c r="L508" s="87" t="str" cm="1">
        <f t="array" ref="L508">IF($A508="","",_xlfn.LET(_xlpm.stat,CHOOSE({1,2,3,4,5},$P508,$T508,$X508,$AB508,$AF508),_xlpm.rate,CHOOSE({1,2,3,4,5},$R508,$V508,$Z508,$AD508,$AH508),_xlpm.trn,CHOOSE({1,2,3,4,5},$S508,$W508,$AA508,$AE508,$AI508),_xlpm.nsC,SUMPRODUCT(--(_xlpm.stat="Ready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DLR",IF(AND(_xlpm.actRS&gt;0,_xlpm.actDone&lt;_xlpm.actRS),"Training",IF(_xlpm.actRS&gt;0,"Active",IF(AND(_xlpm.decC&gt;0,_xlpm.inPlay+_xlpm.actC=0),"Dead",IF(AND($AJ508&lt;&gt;"",$AK508=FALSE),"Waiting on Dealer",IF(_xlpm.subC&gt;0,"Waiting on Lender",IF(AND(_xlpm.appC+_xlpm.actC&gt;0,_xlpm.nsC+_xlpm.wdC=0),"Rate Sheet","Application Submitted")))))))))</f>
        <v/>
      </c>
      <c r="M508" s="87"/>
      <c r="N508" s="87"/>
      <c r="O508" s="197"/>
      <c r="P508" s="87" t="str">
        <f>IF($A508="","",IF($AK508=TRUE,"Ready 2 Submit","Waiting on Dealer"))</f>
        <v/>
      </c>
      <c r="Q508" s="148"/>
      <c r="R508" s="87"/>
      <c r="S508" s="87"/>
      <c r="T508" s="87" t="str">
        <f>IF($A508="","",IF($AK508=TRUE,"Ready 2 Submit","Waiting on Dealer"))</f>
        <v/>
      </c>
      <c r="U508" s="148"/>
      <c r="V508" s="87"/>
      <c r="W508" s="87"/>
      <c r="X508" s="87" t="str">
        <f>IF($A508="","",IF($AK508=TRUE,"Ready 2 Submit","Waiting on Dealer"))</f>
        <v/>
      </c>
      <c r="Y508" s="148"/>
      <c r="Z508" s="87"/>
      <c r="AA508" s="87"/>
      <c r="AB508" s="87" t="str">
        <f>IF($A508="","",IF($AK508=TRUE,"Ready 2 Submit","Waiting on Dealer"))</f>
        <v/>
      </c>
      <c r="AC508" s="148"/>
      <c r="AD508" s="87"/>
      <c r="AE508" s="87"/>
      <c r="AF508" s="87" t="str">
        <f>IF($A508="","",IF($AK508=TRUE,"Ready 2 Submit","Waiting on Dealer"))</f>
        <v/>
      </c>
      <c r="AG508" s="148"/>
      <c r="AH508" s="87"/>
      <c r="AI508" s="87"/>
      <c r="AJ508" s="197"/>
      <c r="AK508" s="110" t="b">
        <v>0</v>
      </c>
      <c r="AL508" s="87" t="str" cm="1">
        <f t="array" ref="AL508">IF($A508="","",SUMPRODUCT((CHOOSE({1,2,3,4,5},$R508,$V508,$Z508,$AD508,$AH508)="Yes")*(((CHOOSE({1,2,3,4,5},$S508,$W508,$AA508,$AE508,$AI508)="Yes")+(CHOOSE({1,2,3,4,5},$S508,$W508,$AA508,$AE508,$AI508)=TRUE))&gt;0)))</f>
        <v/>
      </c>
      <c r="AM508" s="87"/>
      <c r="AN508" s="87" t="str">
        <f ca="1">IF(OR($A508="",$AM508=""),"",TODAY()-$AM508)</f>
        <v/>
      </c>
      <c r="AO508" s="87"/>
      <c r="AP508" s="106"/>
      <c r="AQ508" s="106"/>
      <c r="AR508" s="106"/>
      <c r="AS508" s="106"/>
      <c r="AT508" s="106"/>
      <c r="AU508" s="106"/>
      <c r="AV508" s="106"/>
      <c r="AW508" s="106"/>
      <c r="AX508" s="106"/>
      <c r="AY508" s="106"/>
    </row>
    <row r="509" spans="1:51" s="20" customFormat="1" ht="21" customHeight="1">
      <c r="A509" s="197"/>
      <c r="B509" s="87"/>
      <c r="C509" s="87"/>
      <c r="D509" s="196"/>
      <c r="E509" s="108"/>
      <c r="F509" s="196"/>
      <c r="G509" s="87"/>
      <c r="H509" s="197"/>
      <c r="I509" s="89"/>
      <c r="J509" s="204"/>
      <c r="K509" s="87"/>
      <c r="L509" s="87" t="str" cm="1">
        <f t="array" ref="L509">IF($A509="","",_xlfn.LET(_xlpm.stat,CHOOSE({1,2,3,4,5},$P509,$T509,$X509,$AB509,$AF509),_xlpm.rate,CHOOSE({1,2,3,4,5},$R509,$V509,$Z509,$AD509,$AH509),_xlpm.trn,CHOOSE({1,2,3,4,5},$S509,$W509,$AA509,$AE509,$AI509),_xlpm.nsC,SUMPRODUCT(--(_xlpm.stat="Ready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DLR",IF(AND(_xlpm.actRS&gt;0,_xlpm.actDone&lt;_xlpm.actRS),"Training",IF(_xlpm.actRS&gt;0,"Active",IF(AND(_xlpm.decC&gt;0,_xlpm.inPlay+_xlpm.actC=0),"Dead",IF(AND($AJ509&lt;&gt;"",$AK509=FALSE),"Waiting on Dealer",IF(_xlpm.subC&gt;0,"Waiting on Lender",IF(AND(_xlpm.appC+_xlpm.actC&gt;0,_xlpm.nsC+_xlpm.wdC=0),"Rate Sheet","Application Submitted")))))))))</f>
        <v/>
      </c>
      <c r="M509" s="87"/>
      <c r="N509" s="87"/>
      <c r="O509" s="197"/>
      <c r="P509" s="87" t="str">
        <f>IF($A509="","",IF($AK509=TRUE,"Ready 2 Submit","Waiting on Dealer"))</f>
        <v/>
      </c>
      <c r="Q509" s="148"/>
      <c r="R509" s="87"/>
      <c r="S509" s="87"/>
      <c r="T509" s="87" t="str">
        <f>IF($A509="","",IF($AK509=TRUE,"Ready 2 Submit","Waiting on Dealer"))</f>
        <v/>
      </c>
      <c r="U509" s="148"/>
      <c r="V509" s="87"/>
      <c r="W509" s="87"/>
      <c r="X509" s="87" t="str">
        <f>IF($A509="","",IF($AK509=TRUE,"Ready 2 Submit","Waiting on Dealer"))</f>
        <v/>
      </c>
      <c r="Y509" s="148"/>
      <c r="Z509" s="87"/>
      <c r="AA509" s="87"/>
      <c r="AB509" s="87" t="str">
        <f>IF($A509="","",IF($AK509=TRUE,"Ready 2 Submit","Waiting on Dealer"))</f>
        <v/>
      </c>
      <c r="AC509" s="148"/>
      <c r="AD509" s="87"/>
      <c r="AE509" s="87"/>
      <c r="AF509" s="87" t="str">
        <f>IF($A509="","",IF($AK509=TRUE,"Ready 2 Submit","Waiting on Dealer"))</f>
        <v/>
      </c>
      <c r="AG509" s="148"/>
      <c r="AH509" s="87"/>
      <c r="AI509" s="87"/>
      <c r="AJ509" s="197"/>
      <c r="AK509" s="110" t="b">
        <v>0</v>
      </c>
      <c r="AL509" s="87" t="str" cm="1">
        <f t="array" ref="AL509">IF($A509="","",SUMPRODUCT((CHOOSE({1,2,3,4,5},$R509,$V509,$Z509,$AD509,$AH509)="Yes")*(((CHOOSE({1,2,3,4,5},$S509,$W509,$AA509,$AE509,$AI509)="Yes")+(CHOOSE({1,2,3,4,5},$S509,$W509,$AA509,$AE509,$AI509)=TRUE))&gt;0)))</f>
        <v/>
      </c>
      <c r="AM509" s="87"/>
      <c r="AN509" s="87" t="str">
        <f ca="1">IF(OR($A509="",$AM509=""),"",TODAY()-$AM509)</f>
        <v/>
      </c>
      <c r="AO509" s="87"/>
      <c r="AP509" s="106"/>
      <c r="AQ509" s="106"/>
      <c r="AR509" s="106"/>
      <c r="AS509" s="106"/>
      <c r="AT509" s="106"/>
      <c r="AU509" s="106"/>
      <c r="AV509" s="106"/>
      <c r="AW509" s="106"/>
      <c r="AX509" s="106"/>
      <c r="AY509" s="106"/>
    </row>
    <row r="510" spans="1:51" s="20" customFormat="1" ht="21" customHeight="1">
      <c r="A510" s="197"/>
      <c r="B510" s="87"/>
      <c r="C510" s="87"/>
      <c r="D510" s="196"/>
      <c r="E510" s="108"/>
      <c r="F510" s="196"/>
      <c r="G510" s="87"/>
      <c r="H510" s="197"/>
      <c r="I510" s="89"/>
      <c r="J510" s="204"/>
      <c r="K510" s="87"/>
      <c r="L510" s="87" t="str" cm="1">
        <f t="array" ref="L510">IF($A510="","",_xlfn.LET(_xlpm.stat,CHOOSE({1,2,3,4,5},$P510,$T510,$X510,$AB510,$AF510),_xlpm.rate,CHOOSE({1,2,3,4,5},$R510,$V510,$Z510,$AD510,$AH510),_xlpm.trn,CHOOSE({1,2,3,4,5},$S510,$W510,$AA510,$AE510,$AI510),_xlpm.nsC,SUMPRODUCT(--(_xlpm.stat="Ready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DLR",IF(AND(_xlpm.actRS&gt;0,_xlpm.actDone&lt;_xlpm.actRS),"Training",IF(_xlpm.actRS&gt;0,"Active",IF(AND(_xlpm.decC&gt;0,_xlpm.inPlay+_xlpm.actC=0),"Dead",IF(AND($AJ510&lt;&gt;"",$AK510=FALSE),"Waiting on Dealer",IF(_xlpm.subC&gt;0,"Waiting on Lender",IF(AND(_xlpm.appC+_xlpm.actC&gt;0,_xlpm.nsC+_xlpm.wdC=0),"Rate Sheet","Application Submitted")))))))))</f>
        <v/>
      </c>
      <c r="M510" s="87"/>
      <c r="N510" s="87"/>
      <c r="O510" s="197"/>
      <c r="P510" s="87" t="str">
        <f>IF($A510="","",IF($AK510=TRUE,"Ready 2 Submit","Waiting on Dealer"))</f>
        <v/>
      </c>
      <c r="Q510" s="148"/>
      <c r="R510" s="87"/>
      <c r="S510" s="87"/>
      <c r="T510" s="87" t="str">
        <f>IF($A510="","",IF($AK510=TRUE,"Ready 2 Submit","Waiting on Dealer"))</f>
        <v/>
      </c>
      <c r="U510" s="148"/>
      <c r="V510" s="87"/>
      <c r="W510" s="87"/>
      <c r="X510" s="87" t="str">
        <f>IF($A510="","",IF($AK510=TRUE,"Ready 2 Submit","Waiting on Dealer"))</f>
        <v/>
      </c>
      <c r="Y510" s="148"/>
      <c r="Z510" s="87"/>
      <c r="AA510" s="87"/>
      <c r="AB510" s="87" t="str">
        <f>IF($A510="","",IF($AK510=TRUE,"Ready 2 Submit","Waiting on Dealer"))</f>
        <v/>
      </c>
      <c r="AC510" s="148"/>
      <c r="AD510" s="87"/>
      <c r="AE510" s="87"/>
      <c r="AF510" s="87" t="str">
        <f>IF($A510="","",IF($AK510=TRUE,"Ready 2 Submit","Waiting on Dealer"))</f>
        <v/>
      </c>
      <c r="AG510" s="148"/>
      <c r="AH510" s="87"/>
      <c r="AI510" s="87"/>
      <c r="AJ510" s="197"/>
      <c r="AK510" s="110" t="b">
        <v>0</v>
      </c>
      <c r="AL510" s="87" t="str" cm="1">
        <f t="array" ref="AL510">IF($A510="","",SUMPRODUCT((CHOOSE({1,2,3,4,5},$R510,$V510,$Z510,$AD510,$AH510)="Yes")*(((CHOOSE({1,2,3,4,5},$S510,$W510,$AA510,$AE510,$AI510)="Yes")+(CHOOSE({1,2,3,4,5},$S510,$W510,$AA510,$AE510,$AI510)=TRUE))&gt;0)))</f>
        <v/>
      </c>
      <c r="AM510" s="87"/>
      <c r="AN510" s="87" t="str">
        <f ca="1">IF(OR($A510="",$AM510=""),"",TODAY()-$AM510)</f>
        <v/>
      </c>
      <c r="AO510" s="87"/>
      <c r="AP510" s="106"/>
      <c r="AQ510" s="106"/>
      <c r="AR510" s="106"/>
      <c r="AS510" s="106"/>
      <c r="AT510" s="106"/>
      <c r="AU510" s="106"/>
      <c r="AV510" s="106"/>
      <c r="AW510" s="106"/>
      <c r="AX510" s="106"/>
      <c r="AY510" s="106"/>
    </row>
    <row r="511" spans="1:51" s="20" customFormat="1" ht="21" customHeight="1">
      <c r="A511" s="197"/>
      <c r="B511" s="87"/>
      <c r="C511" s="87"/>
      <c r="D511" s="196"/>
      <c r="E511" s="108"/>
      <c r="F511" s="196"/>
      <c r="G511" s="87"/>
      <c r="H511" s="197"/>
      <c r="I511" s="89"/>
      <c r="J511" s="204"/>
      <c r="K511" s="87"/>
      <c r="L511" s="87" t="str" cm="1">
        <f t="array" ref="L511">IF($A511="","",_xlfn.LET(_xlpm.stat,CHOOSE({1,2,3,4,5},$P511,$T511,$X511,$AB511,$AF511),_xlpm.rate,CHOOSE({1,2,3,4,5},$R511,$V511,$Z511,$AD511,$AH511),_xlpm.trn,CHOOSE({1,2,3,4,5},$S511,$W511,$AA511,$AE511,$AI511),_xlpm.nsC,SUMPRODUCT(--(_xlpm.stat="Ready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DLR",IF(AND(_xlpm.actRS&gt;0,_xlpm.actDone&lt;_xlpm.actRS),"Training",IF(_xlpm.actRS&gt;0,"Active",IF(AND(_xlpm.decC&gt;0,_xlpm.inPlay+_xlpm.actC=0),"Dead",IF(AND($AJ511&lt;&gt;"",$AK511=FALSE),"Waiting on Dealer",IF(_xlpm.subC&gt;0,"Waiting on Lender",IF(AND(_xlpm.appC+_xlpm.actC&gt;0,_xlpm.nsC+_xlpm.wdC=0),"Rate Sheet","Application Submitted")))))))))</f>
        <v/>
      </c>
      <c r="M511" s="87"/>
      <c r="N511" s="87"/>
      <c r="O511" s="197"/>
      <c r="P511" s="87" t="str">
        <f>IF($A511="","",IF($AK511=TRUE,"Ready 2 Submit","Waiting on Dealer"))</f>
        <v/>
      </c>
      <c r="Q511" s="148"/>
      <c r="R511" s="87"/>
      <c r="S511" s="87"/>
      <c r="T511" s="87" t="str">
        <f>IF($A511="","",IF($AK511=TRUE,"Ready 2 Submit","Waiting on Dealer"))</f>
        <v/>
      </c>
      <c r="U511" s="148"/>
      <c r="V511" s="87"/>
      <c r="W511" s="87"/>
      <c r="X511" s="87" t="str">
        <f>IF($A511="","",IF($AK511=TRUE,"Ready 2 Submit","Waiting on Dealer"))</f>
        <v/>
      </c>
      <c r="Y511" s="148"/>
      <c r="Z511" s="87"/>
      <c r="AA511" s="87"/>
      <c r="AB511" s="87" t="str">
        <f>IF($A511="","",IF($AK511=TRUE,"Ready 2 Submit","Waiting on Dealer"))</f>
        <v/>
      </c>
      <c r="AC511" s="148"/>
      <c r="AD511" s="87"/>
      <c r="AE511" s="87"/>
      <c r="AF511" s="87" t="str">
        <f>IF($A511="","",IF($AK511=TRUE,"Ready 2 Submit","Waiting on Dealer"))</f>
        <v/>
      </c>
      <c r="AG511" s="148"/>
      <c r="AH511" s="87"/>
      <c r="AI511" s="87"/>
      <c r="AJ511" s="197"/>
      <c r="AK511" s="110" t="b">
        <v>0</v>
      </c>
      <c r="AL511" s="87" t="str" cm="1">
        <f t="array" ref="AL511">IF($A511="","",SUMPRODUCT((CHOOSE({1,2,3,4,5},$R511,$V511,$Z511,$AD511,$AH511)="Yes")*(((CHOOSE({1,2,3,4,5},$S511,$W511,$AA511,$AE511,$AI511)="Yes")+(CHOOSE({1,2,3,4,5},$S511,$W511,$AA511,$AE511,$AI511)=TRUE))&gt;0)))</f>
        <v/>
      </c>
      <c r="AM511" s="87"/>
      <c r="AN511" s="87" t="str">
        <f ca="1">IF(OR($A511="",$AM511=""),"",TODAY()-$AM511)</f>
        <v/>
      </c>
      <c r="AO511" s="87"/>
      <c r="AP511" s="106"/>
      <c r="AQ511" s="106"/>
      <c r="AR511" s="106"/>
      <c r="AS511" s="106"/>
      <c r="AT511" s="106"/>
      <c r="AU511" s="106"/>
      <c r="AV511" s="106"/>
      <c r="AW511" s="106"/>
      <c r="AX511" s="106"/>
      <c r="AY511" s="106"/>
    </row>
    <row r="512" spans="1:51" s="20" customFormat="1" ht="21" customHeight="1">
      <c r="A512" s="197"/>
      <c r="B512" s="87"/>
      <c r="C512" s="87"/>
      <c r="D512" s="196"/>
      <c r="E512" s="108"/>
      <c r="F512" s="196"/>
      <c r="G512" s="87"/>
      <c r="H512" s="197"/>
      <c r="I512" s="89"/>
      <c r="J512" s="204"/>
      <c r="K512" s="87"/>
      <c r="L512" s="87" t="str" cm="1">
        <f t="array" ref="L512">IF($A512="","",_xlfn.LET(_xlpm.stat,CHOOSE({1,2,3,4,5},$P512,$T512,$X512,$AB512,$AF512),_xlpm.rate,CHOOSE({1,2,3,4,5},$R512,$V512,$Z512,$AD512,$AH512),_xlpm.trn,CHOOSE({1,2,3,4,5},$S512,$W512,$AA512,$AE512,$AI512),_xlpm.nsC,SUMPRODUCT(--(_xlpm.stat="Ready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DLR",IF(AND(_xlpm.actRS&gt;0,_xlpm.actDone&lt;_xlpm.actRS),"Training",IF(_xlpm.actRS&gt;0,"Active",IF(AND(_xlpm.decC&gt;0,_xlpm.inPlay+_xlpm.actC=0),"Dead",IF(AND($AJ512&lt;&gt;"",$AK512=FALSE),"Waiting on Dealer",IF(_xlpm.subC&gt;0,"Waiting on Lender",IF(AND(_xlpm.appC+_xlpm.actC&gt;0,_xlpm.nsC+_xlpm.wdC=0),"Rate Sheet","Application Submitted")))))))))</f>
        <v/>
      </c>
      <c r="M512" s="87"/>
      <c r="N512" s="87"/>
      <c r="O512" s="197"/>
      <c r="P512" s="87" t="str">
        <f>IF($A512="","",IF($AK512=TRUE,"Ready 2 Submit","Waiting on Dealer"))</f>
        <v/>
      </c>
      <c r="Q512" s="148"/>
      <c r="R512" s="87"/>
      <c r="S512" s="87"/>
      <c r="T512" s="87" t="str">
        <f>IF($A512="","",IF($AK512=TRUE,"Ready 2 Submit","Waiting on Dealer"))</f>
        <v/>
      </c>
      <c r="U512" s="148"/>
      <c r="V512" s="87"/>
      <c r="W512" s="87"/>
      <c r="X512" s="87" t="str">
        <f>IF($A512="","",IF($AK512=TRUE,"Ready 2 Submit","Waiting on Dealer"))</f>
        <v/>
      </c>
      <c r="Y512" s="148"/>
      <c r="Z512" s="87"/>
      <c r="AA512" s="87"/>
      <c r="AB512" s="87" t="str">
        <f>IF($A512="","",IF($AK512=TRUE,"Ready 2 Submit","Waiting on Dealer"))</f>
        <v/>
      </c>
      <c r="AC512" s="148"/>
      <c r="AD512" s="87"/>
      <c r="AE512" s="87"/>
      <c r="AF512" s="87" t="str">
        <f>IF($A512="","",IF($AK512=TRUE,"Ready 2 Submit","Waiting on Dealer"))</f>
        <v/>
      </c>
      <c r="AG512" s="148"/>
      <c r="AH512" s="87"/>
      <c r="AI512" s="87"/>
      <c r="AJ512" s="197"/>
      <c r="AK512" s="110" t="b">
        <v>0</v>
      </c>
      <c r="AL512" s="87" t="str" cm="1">
        <f t="array" ref="AL512">IF($A512="","",SUMPRODUCT((CHOOSE({1,2,3,4,5},$R512,$V512,$Z512,$AD512,$AH512)="Yes")*(((CHOOSE({1,2,3,4,5},$S512,$W512,$AA512,$AE512,$AI512)="Yes")+(CHOOSE({1,2,3,4,5},$S512,$W512,$AA512,$AE512,$AI512)=TRUE))&gt;0)))</f>
        <v/>
      </c>
      <c r="AM512" s="87"/>
      <c r="AN512" s="87" t="str">
        <f ca="1">IF(OR($A512="",$AM512=""),"",TODAY()-$AM512)</f>
        <v/>
      </c>
      <c r="AO512" s="87"/>
      <c r="AP512" s="106"/>
      <c r="AQ512" s="106"/>
      <c r="AR512" s="106"/>
      <c r="AS512" s="106"/>
      <c r="AT512" s="106"/>
      <c r="AU512" s="106"/>
      <c r="AV512" s="106"/>
      <c r="AW512" s="106"/>
      <c r="AX512" s="106"/>
      <c r="AY512" s="106"/>
    </row>
    <row r="513" spans="1:51" s="20" customFormat="1" ht="21" customHeight="1">
      <c r="A513" s="197"/>
      <c r="B513" s="87"/>
      <c r="C513" s="87"/>
      <c r="D513" s="196"/>
      <c r="E513" s="108"/>
      <c r="F513" s="196"/>
      <c r="G513" s="87"/>
      <c r="H513" s="197"/>
      <c r="I513" s="89"/>
      <c r="J513" s="204"/>
      <c r="K513" s="87"/>
      <c r="L513" s="87" t="str" cm="1">
        <f t="array" ref="L513">IF($A513="","",_xlfn.LET(_xlpm.stat,CHOOSE({1,2,3,4,5},$P513,$T513,$X513,$AB513,$AF513),_xlpm.rate,CHOOSE({1,2,3,4,5},$R513,$V513,$Z513,$AD513,$AH513),_xlpm.trn,CHOOSE({1,2,3,4,5},$S513,$W513,$AA513,$AE513,$AI513),_xlpm.nsC,SUMPRODUCT(--(_xlpm.stat="Ready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DLR",IF(AND(_xlpm.actRS&gt;0,_xlpm.actDone&lt;_xlpm.actRS),"Training",IF(_xlpm.actRS&gt;0,"Active",IF(AND(_xlpm.decC&gt;0,_xlpm.inPlay+_xlpm.actC=0),"Dead",IF(AND($AJ513&lt;&gt;"",$AK513=FALSE),"Waiting on Dealer",IF(_xlpm.subC&gt;0,"Waiting on Lender",IF(AND(_xlpm.appC+_xlpm.actC&gt;0,_xlpm.nsC+_xlpm.wdC=0),"Rate Sheet","Application Submitted")))))))))</f>
        <v/>
      </c>
      <c r="M513" s="87"/>
      <c r="N513" s="87"/>
      <c r="O513" s="197"/>
      <c r="P513" s="87" t="str">
        <f>IF($A513="","",IF($AK513=TRUE,"Ready 2 Submit","Waiting on Dealer"))</f>
        <v/>
      </c>
      <c r="Q513" s="148"/>
      <c r="R513" s="87"/>
      <c r="S513" s="87"/>
      <c r="T513" s="87" t="str">
        <f>IF($A513="","",IF($AK513=TRUE,"Ready 2 Submit","Waiting on Dealer"))</f>
        <v/>
      </c>
      <c r="U513" s="148"/>
      <c r="V513" s="87"/>
      <c r="W513" s="87"/>
      <c r="X513" s="87" t="str">
        <f>IF($A513="","",IF($AK513=TRUE,"Ready 2 Submit","Waiting on Dealer"))</f>
        <v/>
      </c>
      <c r="Y513" s="148"/>
      <c r="Z513" s="87"/>
      <c r="AA513" s="87"/>
      <c r="AB513" s="87" t="str">
        <f>IF($A513="","",IF($AK513=TRUE,"Ready 2 Submit","Waiting on Dealer"))</f>
        <v/>
      </c>
      <c r="AC513" s="148"/>
      <c r="AD513" s="87"/>
      <c r="AE513" s="87"/>
      <c r="AF513" s="87" t="str">
        <f>IF($A513="","",IF($AK513=TRUE,"Ready 2 Submit","Waiting on Dealer"))</f>
        <v/>
      </c>
      <c r="AG513" s="148"/>
      <c r="AH513" s="87"/>
      <c r="AI513" s="87"/>
      <c r="AJ513" s="197"/>
      <c r="AK513" s="110" t="b">
        <v>0</v>
      </c>
      <c r="AL513" s="87" t="str" cm="1">
        <f t="array" ref="AL513">IF($A513="","",SUMPRODUCT((CHOOSE({1,2,3,4,5},$R513,$V513,$Z513,$AD513,$AH513)="Yes")*(((CHOOSE({1,2,3,4,5},$S513,$W513,$AA513,$AE513,$AI513)="Yes")+(CHOOSE({1,2,3,4,5},$S513,$W513,$AA513,$AE513,$AI513)=TRUE))&gt;0)))</f>
        <v/>
      </c>
      <c r="AM513" s="87"/>
      <c r="AN513" s="87" t="str">
        <f ca="1">IF(OR($A513="",$AM513=""),"",TODAY()-$AM513)</f>
        <v/>
      </c>
      <c r="AO513" s="87"/>
      <c r="AP513" s="106"/>
      <c r="AQ513" s="106"/>
      <c r="AR513" s="106"/>
      <c r="AS513" s="106"/>
      <c r="AT513" s="106"/>
      <c r="AU513" s="106"/>
      <c r="AV513" s="106"/>
      <c r="AW513" s="106"/>
      <c r="AX513" s="106"/>
      <c r="AY513" s="106"/>
    </row>
    <row r="514" spans="1:51" s="20" customFormat="1" ht="21" customHeight="1">
      <c r="A514" s="197"/>
      <c r="B514" s="87"/>
      <c r="C514" s="87"/>
      <c r="D514" s="196"/>
      <c r="E514" s="108"/>
      <c r="F514" s="196"/>
      <c r="G514" s="87"/>
      <c r="H514" s="197"/>
      <c r="I514" s="89"/>
      <c r="J514" s="204"/>
      <c r="K514" s="87"/>
      <c r="L514" s="87" t="str" cm="1">
        <f t="array" ref="L514">IF($A514="","",_xlfn.LET(_xlpm.stat,CHOOSE({1,2,3,4,5},$P514,$T514,$X514,$AB514,$AF514),_xlpm.rate,CHOOSE({1,2,3,4,5},$R514,$V514,$Z514,$AD514,$AH514),_xlpm.trn,CHOOSE({1,2,3,4,5},$S514,$W514,$AA514,$AE514,$AI514),_xlpm.nsC,SUMPRODUCT(--(_xlpm.stat="Ready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DLR",IF(AND(_xlpm.actRS&gt;0,_xlpm.actDone&lt;_xlpm.actRS),"Training",IF(_xlpm.actRS&gt;0,"Active",IF(AND(_xlpm.decC&gt;0,_xlpm.inPlay+_xlpm.actC=0),"Dead",IF(AND($AJ514&lt;&gt;"",$AK514=FALSE),"Waiting on Dealer",IF(_xlpm.subC&gt;0,"Waiting on Lender",IF(AND(_xlpm.appC+_xlpm.actC&gt;0,_xlpm.nsC+_xlpm.wdC=0),"Rate Sheet","Application Submitted")))))))))</f>
        <v/>
      </c>
      <c r="M514" s="87"/>
      <c r="N514" s="87"/>
      <c r="O514" s="197"/>
      <c r="P514" s="87" t="str">
        <f>IF($A514="","",IF($AK514=TRUE,"Ready 2 Submit","Waiting on Dealer"))</f>
        <v/>
      </c>
      <c r="Q514" s="148"/>
      <c r="R514" s="87"/>
      <c r="S514" s="87"/>
      <c r="T514" s="87" t="str">
        <f>IF($A514="","",IF($AK514=TRUE,"Ready 2 Submit","Waiting on Dealer"))</f>
        <v/>
      </c>
      <c r="U514" s="148"/>
      <c r="V514" s="87"/>
      <c r="W514" s="87"/>
      <c r="X514" s="87" t="str">
        <f>IF($A514="","",IF($AK514=TRUE,"Ready 2 Submit","Waiting on Dealer"))</f>
        <v/>
      </c>
      <c r="Y514" s="148"/>
      <c r="Z514" s="87"/>
      <c r="AA514" s="87"/>
      <c r="AB514" s="87" t="str">
        <f>IF($A514="","",IF($AK514=TRUE,"Ready 2 Submit","Waiting on Dealer"))</f>
        <v/>
      </c>
      <c r="AC514" s="148"/>
      <c r="AD514" s="87"/>
      <c r="AE514" s="87"/>
      <c r="AF514" s="87" t="str">
        <f>IF($A514="","",IF($AK514=TRUE,"Ready 2 Submit","Waiting on Dealer"))</f>
        <v/>
      </c>
      <c r="AG514" s="148"/>
      <c r="AH514" s="87"/>
      <c r="AI514" s="87"/>
      <c r="AJ514" s="197"/>
      <c r="AK514" s="110" t="b">
        <v>0</v>
      </c>
      <c r="AL514" s="87" t="str" cm="1">
        <f t="array" ref="AL514">IF($A514="","",SUMPRODUCT((CHOOSE({1,2,3,4,5},$R514,$V514,$Z514,$AD514,$AH514)="Yes")*(((CHOOSE({1,2,3,4,5},$S514,$W514,$AA514,$AE514,$AI514)="Yes")+(CHOOSE({1,2,3,4,5},$S514,$W514,$AA514,$AE514,$AI514)=TRUE))&gt;0)))</f>
        <v/>
      </c>
      <c r="AM514" s="87"/>
      <c r="AN514" s="87" t="str">
        <f ca="1">IF(OR($A514="",$AM514=""),"",TODAY()-$AM514)</f>
        <v/>
      </c>
      <c r="AO514" s="87"/>
      <c r="AP514" s="106"/>
      <c r="AQ514" s="106"/>
      <c r="AR514" s="106"/>
      <c r="AS514" s="106"/>
      <c r="AT514" s="106"/>
      <c r="AU514" s="106"/>
      <c r="AV514" s="106"/>
      <c r="AW514" s="106"/>
      <c r="AX514" s="106"/>
      <c r="AY514" s="106"/>
    </row>
    <row r="515" spans="1:51" s="20" customFormat="1" ht="21" customHeight="1">
      <c r="A515" s="197"/>
      <c r="B515" s="87"/>
      <c r="C515" s="87"/>
      <c r="D515" s="196"/>
      <c r="E515" s="108"/>
      <c r="F515" s="196"/>
      <c r="G515" s="87"/>
      <c r="H515" s="197"/>
      <c r="I515" s="89"/>
      <c r="J515" s="204"/>
      <c r="K515" s="87"/>
      <c r="L515" s="87" t="str" cm="1">
        <f t="array" ref="L515">IF($A515="","",_xlfn.LET(_xlpm.stat,CHOOSE({1,2,3,4,5},$P515,$T515,$X515,$AB515,$AF515),_xlpm.rate,CHOOSE({1,2,3,4,5},$R515,$V515,$Z515,$AD515,$AH515),_xlpm.trn,CHOOSE({1,2,3,4,5},$S515,$W515,$AA515,$AE515,$AI515),_xlpm.nsC,SUMPRODUCT(--(_xlpm.stat="Ready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DLR",IF(AND(_xlpm.actRS&gt;0,_xlpm.actDone&lt;_xlpm.actRS),"Training",IF(_xlpm.actRS&gt;0,"Active",IF(AND(_xlpm.decC&gt;0,_xlpm.inPlay+_xlpm.actC=0),"Dead",IF(AND($AJ515&lt;&gt;"",$AK515=FALSE),"Waiting on Dealer",IF(_xlpm.subC&gt;0,"Waiting on Lender",IF(AND(_xlpm.appC+_xlpm.actC&gt;0,_xlpm.nsC+_xlpm.wdC=0),"Rate Sheet","Application Submitted")))))))))</f>
        <v/>
      </c>
      <c r="M515" s="87"/>
      <c r="N515" s="87"/>
      <c r="O515" s="197"/>
      <c r="P515" s="87" t="str">
        <f>IF($A515="","",IF($AK515=TRUE,"Ready 2 Submit","Waiting on Dealer"))</f>
        <v/>
      </c>
      <c r="Q515" s="148"/>
      <c r="R515" s="87"/>
      <c r="S515" s="87"/>
      <c r="T515" s="87" t="str">
        <f>IF($A515="","",IF($AK515=TRUE,"Ready 2 Submit","Waiting on Dealer"))</f>
        <v/>
      </c>
      <c r="U515" s="148"/>
      <c r="V515" s="87"/>
      <c r="W515" s="87"/>
      <c r="X515" s="87" t="str">
        <f>IF($A515="","",IF($AK515=TRUE,"Ready 2 Submit","Waiting on Dealer"))</f>
        <v/>
      </c>
      <c r="Y515" s="148"/>
      <c r="Z515" s="87"/>
      <c r="AA515" s="87"/>
      <c r="AB515" s="87" t="str">
        <f>IF($A515="","",IF($AK515=TRUE,"Ready 2 Submit","Waiting on Dealer"))</f>
        <v/>
      </c>
      <c r="AC515" s="148"/>
      <c r="AD515" s="87"/>
      <c r="AE515" s="87"/>
      <c r="AF515" s="87" t="str">
        <f>IF($A515="","",IF($AK515=TRUE,"Ready 2 Submit","Waiting on Dealer"))</f>
        <v/>
      </c>
      <c r="AG515" s="148"/>
      <c r="AH515" s="87"/>
      <c r="AI515" s="87"/>
      <c r="AJ515" s="197"/>
      <c r="AK515" s="110" t="b">
        <v>0</v>
      </c>
      <c r="AL515" s="87" t="str" cm="1">
        <f t="array" ref="AL515">IF($A515="","",SUMPRODUCT((CHOOSE({1,2,3,4,5},$R515,$V515,$Z515,$AD515,$AH515)="Yes")*(((CHOOSE({1,2,3,4,5},$S515,$W515,$AA515,$AE515,$AI515)="Yes")+(CHOOSE({1,2,3,4,5},$S515,$W515,$AA515,$AE515,$AI515)=TRUE))&gt;0)))</f>
        <v/>
      </c>
      <c r="AM515" s="87"/>
      <c r="AN515" s="87" t="str">
        <f ca="1">IF(OR($A515="",$AM515=""),"",TODAY()-$AM515)</f>
        <v/>
      </c>
      <c r="AO515" s="87"/>
      <c r="AP515" s="106"/>
      <c r="AQ515" s="106"/>
      <c r="AR515" s="106"/>
      <c r="AS515" s="106"/>
      <c r="AT515" s="106"/>
      <c r="AU515" s="106"/>
      <c r="AV515" s="106"/>
      <c r="AW515" s="106"/>
      <c r="AX515" s="106"/>
      <c r="AY515" s="106"/>
    </row>
    <row r="516" spans="1:51" s="20" customFormat="1" ht="21" customHeight="1">
      <c r="A516" s="197"/>
      <c r="B516" s="87"/>
      <c r="C516" s="87"/>
      <c r="D516" s="196"/>
      <c r="E516" s="108"/>
      <c r="F516" s="196"/>
      <c r="G516" s="87"/>
      <c r="H516" s="197"/>
      <c r="I516" s="89"/>
      <c r="J516" s="204"/>
      <c r="K516" s="87"/>
      <c r="L516" s="87" t="str" cm="1">
        <f t="array" ref="L516">IF($A516="","",_xlfn.LET(_xlpm.stat,CHOOSE({1,2,3,4,5},$P516,$T516,$X516,$AB516,$AF516),_xlpm.rate,CHOOSE({1,2,3,4,5},$R516,$V516,$Z516,$AD516,$AH516),_xlpm.trn,CHOOSE({1,2,3,4,5},$S516,$W516,$AA516,$AE516,$AI516),_xlpm.nsC,SUMPRODUCT(--(_xlpm.stat="Ready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DLR",IF(AND(_xlpm.actRS&gt;0,_xlpm.actDone&lt;_xlpm.actRS),"Training",IF(_xlpm.actRS&gt;0,"Active",IF(AND(_xlpm.decC&gt;0,_xlpm.inPlay+_xlpm.actC=0),"Dead",IF(AND($AJ516&lt;&gt;"",$AK516=FALSE),"Waiting on Dealer",IF(_xlpm.subC&gt;0,"Waiting on Lender",IF(AND(_xlpm.appC+_xlpm.actC&gt;0,_xlpm.nsC+_xlpm.wdC=0),"Rate Sheet","Application Submitted")))))))))</f>
        <v/>
      </c>
      <c r="M516" s="87"/>
      <c r="N516" s="87"/>
      <c r="O516" s="197"/>
      <c r="P516" s="87" t="str">
        <f>IF($A516="","",IF($AK516=TRUE,"Ready 2 Submit","Waiting on Dealer"))</f>
        <v/>
      </c>
      <c r="Q516" s="148"/>
      <c r="R516" s="87"/>
      <c r="S516" s="87"/>
      <c r="T516" s="87" t="str">
        <f>IF($A516="","",IF($AK516=TRUE,"Ready 2 Submit","Waiting on Dealer"))</f>
        <v/>
      </c>
      <c r="U516" s="148"/>
      <c r="V516" s="87"/>
      <c r="W516" s="87"/>
      <c r="X516" s="87" t="str">
        <f>IF($A516="","",IF($AK516=TRUE,"Ready 2 Submit","Waiting on Dealer"))</f>
        <v/>
      </c>
      <c r="Y516" s="148"/>
      <c r="Z516" s="87"/>
      <c r="AA516" s="87"/>
      <c r="AB516" s="87" t="str">
        <f>IF($A516="","",IF($AK516=TRUE,"Ready 2 Submit","Waiting on Dealer"))</f>
        <v/>
      </c>
      <c r="AC516" s="148"/>
      <c r="AD516" s="87"/>
      <c r="AE516" s="87"/>
      <c r="AF516" s="87" t="str">
        <f>IF($A516="","",IF($AK516=TRUE,"Ready 2 Submit","Waiting on Dealer"))</f>
        <v/>
      </c>
      <c r="AG516" s="148"/>
      <c r="AH516" s="87"/>
      <c r="AI516" s="87"/>
      <c r="AJ516" s="197"/>
      <c r="AK516" s="110" t="b">
        <v>0</v>
      </c>
      <c r="AL516" s="87" t="str" cm="1">
        <f t="array" ref="AL516">IF($A516="","",SUMPRODUCT((CHOOSE({1,2,3,4,5},$R516,$V516,$Z516,$AD516,$AH516)="Yes")*(((CHOOSE({1,2,3,4,5},$S516,$W516,$AA516,$AE516,$AI516)="Yes")+(CHOOSE({1,2,3,4,5},$S516,$W516,$AA516,$AE516,$AI516)=TRUE))&gt;0)))</f>
        <v/>
      </c>
      <c r="AM516" s="87"/>
      <c r="AN516" s="87" t="str">
        <f ca="1">IF(OR($A516="",$AM516=""),"",TODAY()-$AM516)</f>
        <v/>
      </c>
      <c r="AO516" s="87"/>
      <c r="AP516" s="106"/>
      <c r="AQ516" s="106"/>
      <c r="AR516" s="106"/>
      <c r="AS516" s="106"/>
      <c r="AT516" s="106"/>
      <c r="AU516" s="106"/>
      <c r="AV516" s="106"/>
      <c r="AW516" s="106"/>
      <c r="AX516" s="106"/>
      <c r="AY516" s="106"/>
    </row>
    <row r="517" spans="1:51" s="20" customFormat="1" ht="21" customHeight="1">
      <c r="A517" s="197"/>
      <c r="B517" s="87"/>
      <c r="C517" s="87"/>
      <c r="D517" s="196"/>
      <c r="E517" s="108"/>
      <c r="F517" s="196"/>
      <c r="G517" s="87"/>
      <c r="H517" s="197"/>
      <c r="I517" s="89"/>
      <c r="J517" s="204"/>
      <c r="K517" s="87"/>
      <c r="L517" s="87" t="str" cm="1">
        <f t="array" ref="L517">IF($A517="","",_xlfn.LET(_xlpm.stat,CHOOSE({1,2,3,4,5},$P517,$T517,$X517,$AB517,$AF517),_xlpm.rate,CHOOSE({1,2,3,4,5},$R517,$V517,$Z517,$AD517,$AH517),_xlpm.trn,CHOOSE({1,2,3,4,5},$S517,$W517,$AA517,$AE517,$AI517),_xlpm.nsC,SUMPRODUCT(--(_xlpm.stat="Ready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DLR",IF(AND(_xlpm.actRS&gt;0,_xlpm.actDone&lt;_xlpm.actRS),"Training",IF(_xlpm.actRS&gt;0,"Active",IF(AND(_xlpm.decC&gt;0,_xlpm.inPlay+_xlpm.actC=0),"Dead",IF(AND($AJ517&lt;&gt;"",$AK517=FALSE),"Waiting on Dealer",IF(_xlpm.subC&gt;0,"Waiting on Lender",IF(AND(_xlpm.appC+_xlpm.actC&gt;0,_xlpm.nsC+_xlpm.wdC=0),"Rate Sheet","Application Submitted")))))))))</f>
        <v/>
      </c>
      <c r="M517" s="87"/>
      <c r="N517" s="87"/>
      <c r="O517" s="197"/>
      <c r="P517" s="87" t="str">
        <f>IF($A517="","",IF($AK517=TRUE,"Ready 2 Submit","Waiting on Dealer"))</f>
        <v/>
      </c>
      <c r="Q517" s="148"/>
      <c r="R517" s="87"/>
      <c r="S517" s="87"/>
      <c r="T517" s="87" t="str">
        <f>IF($A517="","",IF($AK517=TRUE,"Ready 2 Submit","Waiting on Dealer"))</f>
        <v/>
      </c>
      <c r="U517" s="148"/>
      <c r="V517" s="87"/>
      <c r="W517" s="87"/>
      <c r="X517" s="87" t="str">
        <f>IF($A517="","",IF($AK517=TRUE,"Ready 2 Submit","Waiting on Dealer"))</f>
        <v/>
      </c>
      <c r="Y517" s="148"/>
      <c r="Z517" s="87"/>
      <c r="AA517" s="87"/>
      <c r="AB517" s="87" t="str">
        <f>IF($A517="","",IF($AK517=TRUE,"Ready 2 Submit","Waiting on Dealer"))</f>
        <v/>
      </c>
      <c r="AC517" s="148"/>
      <c r="AD517" s="87"/>
      <c r="AE517" s="87"/>
      <c r="AF517" s="87" t="str">
        <f>IF($A517="","",IF($AK517=TRUE,"Ready 2 Submit","Waiting on Dealer"))</f>
        <v/>
      </c>
      <c r="AG517" s="148"/>
      <c r="AH517" s="87"/>
      <c r="AI517" s="87"/>
      <c r="AJ517" s="197"/>
      <c r="AK517" s="110" t="b">
        <v>0</v>
      </c>
      <c r="AL517" s="87" t="str" cm="1">
        <f t="array" ref="AL517">IF($A517="","",SUMPRODUCT((CHOOSE({1,2,3,4,5},$R517,$V517,$Z517,$AD517,$AH517)="Yes")*(((CHOOSE({1,2,3,4,5},$S517,$W517,$AA517,$AE517,$AI517)="Yes")+(CHOOSE({1,2,3,4,5},$S517,$W517,$AA517,$AE517,$AI517)=TRUE))&gt;0)))</f>
        <v/>
      </c>
      <c r="AM517" s="87"/>
      <c r="AN517" s="87" t="str">
        <f ca="1">IF(OR($A517="",$AM517=""),"",TODAY()-$AM517)</f>
        <v/>
      </c>
      <c r="AO517" s="87"/>
      <c r="AP517" s="106"/>
      <c r="AQ517" s="106"/>
      <c r="AR517" s="106"/>
      <c r="AS517" s="106"/>
      <c r="AT517" s="106"/>
      <c r="AU517" s="106"/>
      <c r="AV517" s="106"/>
      <c r="AW517" s="106"/>
      <c r="AX517" s="106"/>
      <c r="AY517" s="106"/>
    </row>
    <row r="518" spans="1:51" s="20" customFormat="1" ht="21" customHeight="1">
      <c r="A518" s="197"/>
      <c r="B518" s="87"/>
      <c r="C518" s="87"/>
      <c r="D518" s="196"/>
      <c r="E518" s="108"/>
      <c r="F518" s="196"/>
      <c r="G518" s="87"/>
      <c r="H518" s="197"/>
      <c r="I518" s="89"/>
      <c r="J518" s="204"/>
      <c r="K518" s="87"/>
      <c r="L518" s="87" t="str" cm="1">
        <f t="array" ref="L518">IF($A518="","",_xlfn.LET(_xlpm.stat,CHOOSE({1,2,3,4,5},$P518,$T518,$X518,$AB518,$AF518),_xlpm.rate,CHOOSE({1,2,3,4,5},$R518,$V518,$Z518,$AD518,$AH518),_xlpm.trn,CHOOSE({1,2,3,4,5},$S518,$W518,$AA518,$AE518,$AI518),_xlpm.nsC,SUMPRODUCT(--(_xlpm.stat="Ready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DLR",IF(AND(_xlpm.actRS&gt;0,_xlpm.actDone&lt;_xlpm.actRS),"Training",IF(_xlpm.actRS&gt;0,"Active",IF(AND(_xlpm.decC&gt;0,_xlpm.inPlay+_xlpm.actC=0),"Dead",IF(AND($AJ518&lt;&gt;"",$AK518=FALSE),"Waiting on Dealer",IF(_xlpm.subC&gt;0,"Waiting on Lender",IF(AND(_xlpm.appC+_xlpm.actC&gt;0,_xlpm.nsC+_xlpm.wdC=0),"Rate Sheet","Application Submitted")))))))))</f>
        <v/>
      </c>
      <c r="M518" s="87"/>
      <c r="N518" s="87"/>
      <c r="O518" s="197"/>
      <c r="P518" s="87" t="str">
        <f>IF($A518="","",IF($AK518=TRUE,"Ready 2 Submit","Waiting on Dealer"))</f>
        <v/>
      </c>
      <c r="Q518" s="148"/>
      <c r="R518" s="87"/>
      <c r="S518" s="87"/>
      <c r="T518" s="87" t="str">
        <f>IF($A518="","",IF($AK518=TRUE,"Ready 2 Submit","Waiting on Dealer"))</f>
        <v/>
      </c>
      <c r="U518" s="148"/>
      <c r="V518" s="87"/>
      <c r="W518" s="87"/>
      <c r="X518" s="87" t="str">
        <f>IF($A518="","",IF($AK518=TRUE,"Ready 2 Submit","Waiting on Dealer"))</f>
        <v/>
      </c>
      <c r="Y518" s="148"/>
      <c r="Z518" s="87"/>
      <c r="AA518" s="87"/>
      <c r="AB518" s="87" t="str">
        <f>IF($A518="","",IF($AK518=TRUE,"Ready 2 Submit","Waiting on Dealer"))</f>
        <v/>
      </c>
      <c r="AC518" s="148"/>
      <c r="AD518" s="87"/>
      <c r="AE518" s="87"/>
      <c r="AF518" s="87" t="str">
        <f>IF($A518="","",IF($AK518=TRUE,"Ready 2 Submit","Waiting on Dealer"))</f>
        <v/>
      </c>
      <c r="AG518" s="148"/>
      <c r="AH518" s="87"/>
      <c r="AI518" s="87"/>
      <c r="AJ518" s="197"/>
      <c r="AK518" s="110" t="b">
        <v>0</v>
      </c>
      <c r="AL518" s="87" t="str" cm="1">
        <f t="array" ref="AL518">IF($A518="","",SUMPRODUCT((CHOOSE({1,2,3,4,5},$R518,$V518,$Z518,$AD518,$AH518)="Yes")*(((CHOOSE({1,2,3,4,5},$S518,$W518,$AA518,$AE518,$AI518)="Yes")+(CHOOSE({1,2,3,4,5},$S518,$W518,$AA518,$AE518,$AI518)=TRUE))&gt;0)))</f>
        <v/>
      </c>
      <c r="AM518" s="87"/>
      <c r="AN518" s="87" t="str">
        <f ca="1">IF(OR($A518="",$AM518=""),"",TODAY()-$AM518)</f>
        <v/>
      </c>
      <c r="AO518" s="87"/>
      <c r="AP518" s="106"/>
      <c r="AQ518" s="106"/>
      <c r="AR518" s="106"/>
      <c r="AS518" s="106"/>
      <c r="AT518" s="106"/>
      <c r="AU518" s="106"/>
      <c r="AV518" s="106"/>
      <c r="AW518" s="106"/>
      <c r="AX518" s="106"/>
      <c r="AY518" s="106"/>
    </row>
    <row r="519" spans="1:51" s="20" customFormat="1" ht="21" customHeight="1">
      <c r="A519" s="197"/>
      <c r="B519" s="87"/>
      <c r="C519" s="87"/>
      <c r="D519" s="196"/>
      <c r="E519" s="108"/>
      <c r="F519" s="196"/>
      <c r="G519" s="87"/>
      <c r="H519" s="197"/>
      <c r="I519" s="89"/>
      <c r="J519" s="204"/>
      <c r="K519" s="87"/>
      <c r="L519" s="87" t="str" cm="1">
        <f t="array" ref="L519">IF($A519="","",_xlfn.LET(_xlpm.stat,CHOOSE({1,2,3,4,5},$P519,$T519,$X519,$AB519,$AF519),_xlpm.rate,CHOOSE({1,2,3,4,5},$R519,$V519,$Z519,$AD519,$AH519),_xlpm.trn,CHOOSE({1,2,3,4,5},$S519,$W519,$AA519,$AE519,$AI519),_xlpm.nsC,SUMPRODUCT(--(_xlpm.stat="Ready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DLR",IF(AND(_xlpm.actRS&gt;0,_xlpm.actDone&lt;_xlpm.actRS),"Training",IF(_xlpm.actRS&gt;0,"Active",IF(AND(_xlpm.decC&gt;0,_xlpm.inPlay+_xlpm.actC=0),"Dead",IF(AND($AJ519&lt;&gt;"",$AK519=FALSE),"Waiting on Dealer",IF(_xlpm.subC&gt;0,"Waiting on Lender",IF(AND(_xlpm.appC+_xlpm.actC&gt;0,_xlpm.nsC+_xlpm.wdC=0),"Rate Sheet","Application Submitted")))))))))</f>
        <v/>
      </c>
      <c r="M519" s="87"/>
      <c r="N519" s="87"/>
      <c r="O519" s="197"/>
      <c r="P519" s="87" t="str">
        <f>IF($A519="","",IF($AK519=TRUE,"Ready 2 Submit","Waiting on Dealer"))</f>
        <v/>
      </c>
      <c r="Q519" s="148"/>
      <c r="R519" s="87"/>
      <c r="S519" s="87"/>
      <c r="T519" s="87" t="str">
        <f>IF($A519="","",IF($AK519=TRUE,"Ready 2 Submit","Waiting on Dealer"))</f>
        <v/>
      </c>
      <c r="U519" s="148"/>
      <c r="V519" s="87"/>
      <c r="W519" s="87"/>
      <c r="X519" s="87" t="str">
        <f>IF($A519="","",IF($AK519=TRUE,"Ready 2 Submit","Waiting on Dealer"))</f>
        <v/>
      </c>
      <c r="Y519" s="148"/>
      <c r="Z519" s="87"/>
      <c r="AA519" s="87"/>
      <c r="AB519" s="87" t="str">
        <f>IF($A519="","",IF($AK519=TRUE,"Ready 2 Submit","Waiting on Dealer"))</f>
        <v/>
      </c>
      <c r="AC519" s="148"/>
      <c r="AD519" s="87"/>
      <c r="AE519" s="87"/>
      <c r="AF519" s="87" t="str">
        <f>IF($A519="","",IF($AK519=TRUE,"Ready 2 Submit","Waiting on Dealer"))</f>
        <v/>
      </c>
      <c r="AG519" s="148"/>
      <c r="AH519" s="87"/>
      <c r="AI519" s="87"/>
      <c r="AJ519" s="197"/>
      <c r="AK519" s="110" t="b">
        <v>0</v>
      </c>
      <c r="AL519" s="87" t="str" cm="1">
        <f t="array" ref="AL519">IF($A519="","",SUMPRODUCT((CHOOSE({1,2,3,4,5},$R519,$V519,$Z519,$AD519,$AH519)="Yes")*(((CHOOSE({1,2,3,4,5},$S519,$W519,$AA519,$AE519,$AI519)="Yes")+(CHOOSE({1,2,3,4,5},$S519,$W519,$AA519,$AE519,$AI519)=TRUE))&gt;0)))</f>
        <v/>
      </c>
      <c r="AM519" s="87"/>
      <c r="AN519" s="87" t="str">
        <f ca="1">IF(OR($A519="",$AM519=""),"",TODAY()-$AM519)</f>
        <v/>
      </c>
      <c r="AO519" s="87"/>
      <c r="AP519" s="106"/>
      <c r="AQ519" s="106"/>
      <c r="AR519" s="106"/>
      <c r="AS519" s="106"/>
      <c r="AT519" s="106"/>
      <c r="AU519" s="106"/>
      <c r="AV519" s="106"/>
      <c r="AW519" s="106"/>
      <c r="AX519" s="106"/>
      <c r="AY519" s="106"/>
    </row>
    <row r="520" spans="1:51" s="20" customFormat="1" ht="21" customHeight="1">
      <c r="A520" s="197"/>
      <c r="B520" s="87"/>
      <c r="C520" s="87"/>
      <c r="D520" s="196"/>
      <c r="E520" s="108"/>
      <c r="F520" s="196"/>
      <c r="G520" s="87"/>
      <c r="H520" s="197"/>
      <c r="I520" s="89"/>
      <c r="J520" s="204"/>
      <c r="K520" s="87"/>
      <c r="L520" s="87" t="str" cm="1">
        <f t="array" ref="L520">IF($A520="","",_xlfn.LET(_xlpm.stat,CHOOSE({1,2,3,4,5},$P520,$T520,$X520,$AB520,$AF520),_xlpm.rate,CHOOSE({1,2,3,4,5},$R520,$V520,$Z520,$AD520,$AH520),_xlpm.trn,CHOOSE({1,2,3,4,5},$S520,$W520,$AA520,$AE520,$AI520),_xlpm.nsC,SUMPRODUCT(--(_xlpm.stat="Ready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DLR",IF(AND(_xlpm.actRS&gt;0,_xlpm.actDone&lt;_xlpm.actRS),"Training",IF(_xlpm.actRS&gt;0,"Active",IF(AND(_xlpm.decC&gt;0,_xlpm.inPlay+_xlpm.actC=0),"Dead",IF(AND($AJ520&lt;&gt;"",$AK520=FALSE),"Waiting on Dealer",IF(_xlpm.subC&gt;0,"Waiting on Lender",IF(AND(_xlpm.appC+_xlpm.actC&gt;0,_xlpm.nsC+_xlpm.wdC=0),"Rate Sheet","Application Submitted")))))))))</f>
        <v/>
      </c>
      <c r="M520" s="87"/>
      <c r="N520" s="87"/>
      <c r="O520" s="197"/>
      <c r="P520" s="87" t="str">
        <f>IF($A520="","",IF($AK520=TRUE,"Ready 2 Submit","Waiting on Dealer"))</f>
        <v/>
      </c>
      <c r="Q520" s="148"/>
      <c r="R520" s="87"/>
      <c r="S520" s="87"/>
      <c r="T520" s="87" t="str">
        <f>IF($A520="","",IF($AK520=TRUE,"Ready 2 Submit","Waiting on Dealer"))</f>
        <v/>
      </c>
      <c r="U520" s="148"/>
      <c r="V520" s="87"/>
      <c r="W520" s="87"/>
      <c r="X520" s="87" t="str">
        <f>IF($A520="","",IF($AK520=TRUE,"Ready 2 Submit","Waiting on Dealer"))</f>
        <v/>
      </c>
      <c r="Y520" s="148"/>
      <c r="Z520" s="87"/>
      <c r="AA520" s="87"/>
      <c r="AB520" s="87" t="str">
        <f>IF($A520="","",IF($AK520=TRUE,"Ready 2 Submit","Waiting on Dealer"))</f>
        <v/>
      </c>
      <c r="AC520" s="148"/>
      <c r="AD520" s="87"/>
      <c r="AE520" s="87"/>
      <c r="AF520" s="87" t="str">
        <f>IF($A520="","",IF($AK520=TRUE,"Ready 2 Submit","Waiting on Dealer"))</f>
        <v/>
      </c>
      <c r="AG520" s="148"/>
      <c r="AH520" s="87"/>
      <c r="AI520" s="87"/>
      <c r="AJ520" s="197"/>
      <c r="AK520" s="110" t="b">
        <v>0</v>
      </c>
      <c r="AL520" s="87" t="str" cm="1">
        <f t="array" ref="AL520">IF($A520="","",SUMPRODUCT((CHOOSE({1,2,3,4,5},$R520,$V520,$Z520,$AD520,$AH520)="Yes")*(((CHOOSE({1,2,3,4,5},$S520,$W520,$AA520,$AE520,$AI520)="Yes")+(CHOOSE({1,2,3,4,5},$S520,$W520,$AA520,$AE520,$AI520)=TRUE))&gt;0)))</f>
        <v/>
      </c>
      <c r="AM520" s="87"/>
      <c r="AN520" s="87" t="str">
        <f ca="1">IF(OR($A520="",$AM520=""),"",TODAY()-$AM520)</f>
        <v/>
      </c>
      <c r="AO520" s="87"/>
      <c r="AP520" s="106"/>
      <c r="AQ520" s="106"/>
      <c r="AR520" s="106"/>
      <c r="AS520" s="106"/>
      <c r="AT520" s="106"/>
      <c r="AU520" s="106"/>
      <c r="AV520" s="106"/>
      <c r="AW520" s="106"/>
      <c r="AX520" s="106"/>
      <c r="AY520" s="106"/>
    </row>
    <row r="521" spans="1:51" s="20" customFormat="1" ht="21" customHeight="1">
      <c r="A521" s="197"/>
      <c r="B521" s="87"/>
      <c r="C521" s="87"/>
      <c r="D521" s="196"/>
      <c r="E521" s="108"/>
      <c r="F521" s="196"/>
      <c r="G521" s="87"/>
      <c r="H521" s="197"/>
      <c r="I521" s="89"/>
      <c r="J521" s="204"/>
      <c r="K521" s="87"/>
      <c r="L521" s="87" t="str" cm="1">
        <f t="array" ref="L521">IF($A521="","",_xlfn.LET(_xlpm.stat,CHOOSE({1,2,3,4,5},$P521,$T521,$X521,$AB521,$AF521),_xlpm.rate,CHOOSE({1,2,3,4,5},$R521,$V521,$Z521,$AD521,$AH521),_xlpm.trn,CHOOSE({1,2,3,4,5},$S521,$W521,$AA521,$AE521,$AI521),_xlpm.nsC,SUMPRODUCT(--(_xlpm.stat="Ready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DLR",IF(AND(_xlpm.actRS&gt;0,_xlpm.actDone&lt;_xlpm.actRS),"Training",IF(_xlpm.actRS&gt;0,"Active",IF(AND(_xlpm.decC&gt;0,_xlpm.inPlay+_xlpm.actC=0),"Dead",IF(AND($AJ521&lt;&gt;"",$AK521=FALSE),"Waiting on Dealer",IF(_xlpm.subC&gt;0,"Waiting on Lender",IF(AND(_xlpm.appC+_xlpm.actC&gt;0,_xlpm.nsC+_xlpm.wdC=0),"Rate Sheet","Application Submitted")))))))))</f>
        <v/>
      </c>
      <c r="M521" s="87"/>
      <c r="N521" s="87"/>
      <c r="O521" s="197"/>
      <c r="P521" s="87" t="str">
        <f>IF($A521="","",IF($AK521=TRUE,"Ready 2 Submit","Waiting on Dealer"))</f>
        <v/>
      </c>
      <c r="Q521" s="148"/>
      <c r="R521" s="87"/>
      <c r="S521" s="87"/>
      <c r="T521" s="87" t="str">
        <f>IF($A521="","",IF($AK521=TRUE,"Ready 2 Submit","Waiting on Dealer"))</f>
        <v/>
      </c>
      <c r="U521" s="148"/>
      <c r="V521" s="87"/>
      <c r="W521" s="87"/>
      <c r="X521" s="87" t="str">
        <f>IF($A521="","",IF($AK521=TRUE,"Ready 2 Submit","Waiting on Dealer"))</f>
        <v/>
      </c>
      <c r="Y521" s="148"/>
      <c r="Z521" s="87"/>
      <c r="AA521" s="87"/>
      <c r="AB521" s="87" t="str">
        <f>IF($A521="","",IF($AK521=TRUE,"Ready 2 Submit","Waiting on Dealer"))</f>
        <v/>
      </c>
      <c r="AC521" s="148"/>
      <c r="AD521" s="87"/>
      <c r="AE521" s="87"/>
      <c r="AF521" s="87" t="str">
        <f>IF($A521="","",IF($AK521=TRUE,"Ready 2 Submit","Waiting on Dealer"))</f>
        <v/>
      </c>
      <c r="AG521" s="148"/>
      <c r="AH521" s="87"/>
      <c r="AI521" s="87"/>
      <c r="AJ521" s="197"/>
      <c r="AK521" s="110" t="b">
        <v>0</v>
      </c>
      <c r="AL521" s="87" t="str" cm="1">
        <f t="array" ref="AL521">IF($A521="","",SUMPRODUCT((CHOOSE({1,2,3,4,5},$R521,$V521,$Z521,$AD521,$AH521)="Yes")*(((CHOOSE({1,2,3,4,5},$S521,$W521,$AA521,$AE521,$AI521)="Yes")+(CHOOSE({1,2,3,4,5},$S521,$W521,$AA521,$AE521,$AI521)=TRUE))&gt;0)))</f>
        <v/>
      </c>
      <c r="AM521" s="87"/>
      <c r="AN521" s="87" t="str">
        <f ca="1">IF(OR($A521="",$AM521=""),"",TODAY()-$AM521)</f>
        <v/>
      </c>
      <c r="AO521" s="87"/>
      <c r="AP521" s="106"/>
      <c r="AQ521" s="106"/>
      <c r="AR521" s="106"/>
      <c r="AS521" s="106"/>
      <c r="AT521" s="106"/>
      <c r="AU521" s="106"/>
      <c r="AV521" s="106"/>
      <c r="AW521" s="106"/>
      <c r="AX521" s="106"/>
      <c r="AY521" s="106"/>
    </row>
    <row r="522" spans="1:51" s="20" customFormat="1" ht="21" customHeight="1">
      <c r="A522" s="197"/>
      <c r="B522" s="87"/>
      <c r="C522" s="87"/>
      <c r="D522" s="196"/>
      <c r="E522" s="108"/>
      <c r="F522" s="196"/>
      <c r="G522" s="87"/>
      <c r="H522" s="197"/>
      <c r="I522" s="89"/>
      <c r="J522" s="204"/>
      <c r="K522" s="87"/>
      <c r="L522" s="87" t="str" cm="1">
        <f t="array" ref="L522">IF($A522="","",_xlfn.LET(_xlpm.stat,CHOOSE({1,2,3,4,5},$P522,$T522,$X522,$AB522,$AF522),_xlpm.rate,CHOOSE({1,2,3,4,5},$R522,$V522,$Z522,$AD522,$AH522),_xlpm.trn,CHOOSE({1,2,3,4,5},$S522,$W522,$AA522,$AE522,$AI522),_xlpm.nsC,SUMPRODUCT(--(_xlpm.stat="Ready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DLR",IF(AND(_xlpm.actRS&gt;0,_xlpm.actDone&lt;_xlpm.actRS),"Training",IF(_xlpm.actRS&gt;0,"Active",IF(AND(_xlpm.decC&gt;0,_xlpm.inPlay+_xlpm.actC=0),"Dead",IF(AND($AJ522&lt;&gt;"",$AK522=FALSE),"Waiting on Dealer",IF(_xlpm.subC&gt;0,"Waiting on Lender",IF(AND(_xlpm.appC+_xlpm.actC&gt;0,_xlpm.nsC+_xlpm.wdC=0),"Rate Sheet","Application Submitted")))))))))</f>
        <v/>
      </c>
      <c r="M522" s="87"/>
      <c r="N522" s="87"/>
      <c r="O522" s="197"/>
      <c r="P522" s="87" t="str">
        <f>IF($A522="","",IF($AK522=TRUE,"Ready 2 Submit","Waiting on Dealer"))</f>
        <v/>
      </c>
      <c r="Q522" s="148"/>
      <c r="R522" s="87"/>
      <c r="S522" s="87"/>
      <c r="T522" s="87" t="str">
        <f>IF($A522="","",IF($AK522=TRUE,"Ready 2 Submit","Waiting on Dealer"))</f>
        <v/>
      </c>
      <c r="U522" s="148"/>
      <c r="V522" s="87"/>
      <c r="W522" s="87"/>
      <c r="X522" s="87" t="str">
        <f>IF($A522="","",IF($AK522=TRUE,"Ready 2 Submit","Waiting on Dealer"))</f>
        <v/>
      </c>
      <c r="Y522" s="148"/>
      <c r="Z522" s="87"/>
      <c r="AA522" s="87"/>
      <c r="AB522" s="87" t="str">
        <f>IF($A522="","",IF($AK522=TRUE,"Ready 2 Submit","Waiting on Dealer"))</f>
        <v/>
      </c>
      <c r="AC522" s="148"/>
      <c r="AD522" s="87"/>
      <c r="AE522" s="87"/>
      <c r="AF522" s="87" t="str">
        <f>IF($A522="","",IF($AK522=TRUE,"Ready 2 Submit","Waiting on Dealer"))</f>
        <v/>
      </c>
      <c r="AG522" s="148"/>
      <c r="AH522" s="87"/>
      <c r="AI522" s="87"/>
      <c r="AJ522" s="197"/>
      <c r="AK522" s="110" t="b">
        <v>0</v>
      </c>
      <c r="AL522" s="87" t="str" cm="1">
        <f t="array" ref="AL522">IF($A522="","",SUMPRODUCT((CHOOSE({1,2,3,4,5},$R522,$V522,$Z522,$AD522,$AH522)="Yes")*(((CHOOSE({1,2,3,4,5},$S522,$W522,$AA522,$AE522,$AI522)="Yes")+(CHOOSE({1,2,3,4,5},$S522,$W522,$AA522,$AE522,$AI522)=TRUE))&gt;0)))</f>
        <v/>
      </c>
      <c r="AM522" s="87"/>
      <c r="AN522" s="87" t="str">
        <f ca="1">IF(OR($A522="",$AM522=""),"",TODAY()-$AM522)</f>
        <v/>
      </c>
      <c r="AO522" s="87"/>
      <c r="AP522" s="106"/>
      <c r="AQ522" s="106"/>
      <c r="AR522" s="106"/>
      <c r="AS522" s="106"/>
      <c r="AT522" s="106"/>
      <c r="AU522" s="106"/>
      <c r="AV522" s="106"/>
      <c r="AW522" s="106"/>
      <c r="AX522" s="106"/>
      <c r="AY522" s="106"/>
    </row>
    <row r="523" spans="1:51" s="20" customFormat="1" ht="21" customHeight="1">
      <c r="A523" s="197"/>
      <c r="B523" s="87"/>
      <c r="C523" s="87"/>
      <c r="D523" s="196"/>
      <c r="E523" s="108"/>
      <c r="F523" s="196"/>
      <c r="G523" s="87"/>
      <c r="H523" s="197"/>
      <c r="I523" s="89"/>
      <c r="J523" s="204"/>
      <c r="K523" s="87"/>
      <c r="L523" s="87" t="str" cm="1">
        <f t="array" ref="L523">IF($A523="","",_xlfn.LET(_xlpm.stat,CHOOSE({1,2,3,4,5},$P523,$T523,$X523,$AB523,$AF523),_xlpm.rate,CHOOSE({1,2,3,4,5},$R523,$V523,$Z523,$AD523,$AH523),_xlpm.trn,CHOOSE({1,2,3,4,5},$S523,$W523,$AA523,$AE523,$AI523),_xlpm.nsC,SUMPRODUCT(--(_xlpm.stat="Ready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DLR",IF(AND(_xlpm.actRS&gt;0,_xlpm.actDone&lt;_xlpm.actRS),"Training",IF(_xlpm.actRS&gt;0,"Active",IF(AND(_xlpm.decC&gt;0,_xlpm.inPlay+_xlpm.actC=0),"Dead",IF(AND($AJ523&lt;&gt;"",$AK523=FALSE),"Waiting on Dealer",IF(_xlpm.subC&gt;0,"Waiting on Lender",IF(AND(_xlpm.appC+_xlpm.actC&gt;0,_xlpm.nsC+_xlpm.wdC=0),"Rate Sheet","Application Submitted")))))))))</f>
        <v/>
      </c>
      <c r="M523" s="87"/>
      <c r="N523" s="87"/>
      <c r="O523" s="197"/>
      <c r="P523" s="87" t="str">
        <f>IF($A523="","",IF($AK523=TRUE,"Ready 2 Submit","Waiting on Dealer"))</f>
        <v/>
      </c>
      <c r="Q523" s="148"/>
      <c r="R523" s="87"/>
      <c r="S523" s="87"/>
      <c r="T523" s="87" t="str">
        <f>IF($A523="","",IF($AK523=TRUE,"Ready 2 Submit","Waiting on Dealer"))</f>
        <v/>
      </c>
      <c r="U523" s="148"/>
      <c r="V523" s="87"/>
      <c r="W523" s="87"/>
      <c r="X523" s="87" t="str">
        <f>IF($A523="","",IF($AK523=TRUE,"Ready 2 Submit","Waiting on Dealer"))</f>
        <v/>
      </c>
      <c r="Y523" s="148"/>
      <c r="Z523" s="87"/>
      <c r="AA523" s="87"/>
      <c r="AB523" s="87" t="str">
        <f>IF($A523="","",IF($AK523=TRUE,"Ready 2 Submit","Waiting on Dealer"))</f>
        <v/>
      </c>
      <c r="AC523" s="148"/>
      <c r="AD523" s="87"/>
      <c r="AE523" s="87"/>
      <c r="AF523" s="87" t="str">
        <f>IF($A523="","",IF($AK523=TRUE,"Ready 2 Submit","Waiting on Dealer"))</f>
        <v/>
      </c>
      <c r="AG523" s="148"/>
      <c r="AH523" s="87"/>
      <c r="AI523" s="87"/>
      <c r="AJ523" s="197"/>
      <c r="AK523" s="110" t="b">
        <v>0</v>
      </c>
      <c r="AL523" s="87" t="str" cm="1">
        <f t="array" ref="AL523">IF($A523="","",SUMPRODUCT((CHOOSE({1,2,3,4,5},$R523,$V523,$Z523,$AD523,$AH523)="Yes")*(((CHOOSE({1,2,3,4,5},$S523,$W523,$AA523,$AE523,$AI523)="Yes")+(CHOOSE({1,2,3,4,5},$S523,$W523,$AA523,$AE523,$AI523)=TRUE))&gt;0)))</f>
        <v/>
      </c>
      <c r="AM523" s="87"/>
      <c r="AN523" s="87" t="str">
        <f ca="1">IF(OR($A523="",$AM523=""),"",TODAY()-$AM523)</f>
        <v/>
      </c>
      <c r="AO523" s="87"/>
      <c r="AP523" s="106"/>
      <c r="AQ523" s="106"/>
      <c r="AR523" s="106"/>
      <c r="AS523" s="106"/>
      <c r="AT523" s="106"/>
      <c r="AU523" s="106"/>
      <c r="AV523" s="106"/>
      <c r="AW523" s="106"/>
      <c r="AX523" s="106"/>
      <c r="AY523" s="106"/>
    </row>
    <row r="524" spans="1:51" s="20" customFormat="1" ht="21" customHeight="1">
      <c r="A524" s="197"/>
      <c r="B524" s="87"/>
      <c r="C524" s="87"/>
      <c r="D524" s="196"/>
      <c r="E524" s="108"/>
      <c r="F524" s="196"/>
      <c r="G524" s="87"/>
      <c r="H524" s="197"/>
      <c r="I524" s="89"/>
      <c r="J524" s="204"/>
      <c r="K524" s="87"/>
      <c r="L524" s="87" t="str" cm="1">
        <f t="array" ref="L524">IF($A524="","",_xlfn.LET(_xlpm.stat,CHOOSE({1,2,3,4,5},$P524,$T524,$X524,$AB524,$AF524),_xlpm.rate,CHOOSE({1,2,3,4,5},$R524,$V524,$Z524,$AD524,$AH524),_xlpm.trn,CHOOSE({1,2,3,4,5},$S524,$W524,$AA524,$AE524,$AI524),_xlpm.nsC,SUMPRODUCT(--(_xlpm.stat="Ready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DLR",IF(AND(_xlpm.actRS&gt;0,_xlpm.actDone&lt;_xlpm.actRS),"Training",IF(_xlpm.actRS&gt;0,"Active",IF(AND(_xlpm.decC&gt;0,_xlpm.inPlay+_xlpm.actC=0),"Dead",IF(AND($AJ524&lt;&gt;"",$AK524=FALSE),"Waiting on Dealer",IF(_xlpm.subC&gt;0,"Waiting on Lender",IF(AND(_xlpm.appC+_xlpm.actC&gt;0,_xlpm.nsC+_xlpm.wdC=0),"Rate Sheet","Application Submitted")))))))))</f>
        <v/>
      </c>
      <c r="M524" s="87"/>
      <c r="N524" s="87"/>
      <c r="O524" s="197"/>
      <c r="P524" s="87" t="str">
        <f>IF($A524="","",IF($AK524=TRUE,"Ready 2 Submit","Waiting on Dealer"))</f>
        <v/>
      </c>
      <c r="Q524" s="148"/>
      <c r="R524" s="87"/>
      <c r="S524" s="87"/>
      <c r="T524" s="87" t="str">
        <f>IF($A524="","",IF($AK524=TRUE,"Ready 2 Submit","Waiting on Dealer"))</f>
        <v/>
      </c>
      <c r="U524" s="148"/>
      <c r="V524" s="87"/>
      <c r="W524" s="87"/>
      <c r="X524" s="87" t="str">
        <f>IF($A524="","",IF($AK524=TRUE,"Ready 2 Submit","Waiting on Dealer"))</f>
        <v/>
      </c>
      <c r="Y524" s="148"/>
      <c r="Z524" s="87"/>
      <c r="AA524" s="87"/>
      <c r="AB524" s="87" t="str">
        <f>IF($A524="","",IF($AK524=TRUE,"Ready 2 Submit","Waiting on Dealer"))</f>
        <v/>
      </c>
      <c r="AC524" s="148"/>
      <c r="AD524" s="87"/>
      <c r="AE524" s="87"/>
      <c r="AF524" s="87" t="str">
        <f>IF($A524="","",IF($AK524=TRUE,"Ready 2 Submit","Waiting on Dealer"))</f>
        <v/>
      </c>
      <c r="AG524" s="148"/>
      <c r="AH524" s="87"/>
      <c r="AI524" s="87"/>
      <c r="AJ524" s="197"/>
      <c r="AK524" s="110" t="b">
        <v>0</v>
      </c>
      <c r="AL524" s="87" t="str" cm="1">
        <f t="array" ref="AL524">IF($A524="","",SUMPRODUCT((CHOOSE({1,2,3,4,5},$R524,$V524,$Z524,$AD524,$AH524)="Yes")*(((CHOOSE({1,2,3,4,5},$S524,$W524,$AA524,$AE524,$AI524)="Yes")+(CHOOSE({1,2,3,4,5},$S524,$W524,$AA524,$AE524,$AI524)=TRUE))&gt;0)))</f>
        <v/>
      </c>
      <c r="AM524" s="87"/>
      <c r="AN524" s="87" t="str">
        <f ca="1">IF(OR($A524="",$AM524=""),"",TODAY()-$AM524)</f>
        <v/>
      </c>
      <c r="AO524" s="87"/>
      <c r="AP524" s="106"/>
      <c r="AQ524" s="106"/>
      <c r="AR524" s="106"/>
      <c r="AS524" s="106"/>
      <c r="AT524" s="106"/>
      <c r="AU524" s="106"/>
      <c r="AV524" s="106"/>
      <c r="AW524" s="106"/>
      <c r="AX524" s="106"/>
      <c r="AY524" s="106"/>
    </row>
    <row r="525" spans="1:51" s="20" customFormat="1" ht="21" customHeight="1">
      <c r="A525" s="197"/>
      <c r="B525" s="87"/>
      <c r="C525" s="87"/>
      <c r="D525" s="196"/>
      <c r="E525" s="108"/>
      <c r="F525" s="196"/>
      <c r="G525" s="87"/>
      <c r="H525" s="197"/>
      <c r="I525" s="89"/>
      <c r="J525" s="204"/>
      <c r="K525" s="87"/>
      <c r="L525" s="87" t="str" cm="1">
        <f t="array" ref="L525">IF($A525="","",_xlfn.LET(_xlpm.stat,CHOOSE({1,2,3,4,5},$P525,$T525,$X525,$AB525,$AF525),_xlpm.rate,CHOOSE({1,2,3,4,5},$R525,$V525,$Z525,$AD525,$AH525),_xlpm.trn,CHOOSE({1,2,3,4,5},$S525,$W525,$AA525,$AE525,$AI525),_xlpm.nsC,SUMPRODUCT(--(_xlpm.stat="Ready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DLR",IF(AND(_xlpm.actRS&gt;0,_xlpm.actDone&lt;_xlpm.actRS),"Training",IF(_xlpm.actRS&gt;0,"Active",IF(AND(_xlpm.decC&gt;0,_xlpm.inPlay+_xlpm.actC=0),"Dead",IF(AND($AJ525&lt;&gt;"",$AK525=FALSE),"Waiting on Dealer",IF(_xlpm.subC&gt;0,"Waiting on Lender",IF(AND(_xlpm.appC+_xlpm.actC&gt;0,_xlpm.nsC+_xlpm.wdC=0),"Rate Sheet","Application Submitted")))))))))</f>
        <v/>
      </c>
      <c r="M525" s="87"/>
      <c r="N525" s="87"/>
      <c r="O525" s="197"/>
      <c r="P525" s="87" t="str">
        <f>IF($A525="","",IF($AK525=TRUE,"Ready 2 Submit","Waiting on Dealer"))</f>
        <v/>
      </c>
      <c r="Q525" s="148"/>
      <c r="R525" s="87"/>
      <c r="S525" s="87"/>
      <c r="T525" s="87" t="str">
        <f>IF($A525="","",IF($AK525=TRUE,"Ready 2 Submit","Waiting on Dealer"))</f>
        <v/>
      </c>
      <c r="U525" s="148"/>
      <c r="V525" s="87"/>
      <c r="W525" s="87"/>
      <c r="X525" s="87" t="str">
        <f>IF($A525="","",IF($AK525=TRUE,"Ready 2 Submit","Waiting on Dealer"))</f>
        <v/>
      </c>
      <c r="Y525" s="148"/>
      <c r="Z525" s="87"/>
      <c r="AA525" s="87"/>
      <c r="AB525" s="87" t="str">
        <f>IF($A525="","",IF($AK525=TRUE,"Ready 2 Submit","Waiting on Dealer"))</f>
        <v/>
      </c>
      <c r="AC525" s="148"/>
      <c r="AD525" s="87"/>
      <c r="AE525" s="87"/>
      <c r="AF525" s="87" t="str">
        <f>IF($A525="","",IF($AK525=TRUE,"Ready 2 Submit","Waiting on Dealer"))</f>
        <v/>
      </c>
      <c r="AG525" s="148"/>
      <c r="AH525" s="87"/>
      <c r="AI525" s="87"/>
      <c r="AJ525" s="197"/>
      <c r="AK525" s="110" t="b">
        <v>0</v>
      </c>
      <c r="AL525" s="87" t="str" cm="1">
        <f t="array" ref="AL525">IF($A525="","",SUMPRODUCT((CHOOSE({1,2,3,4,5},$R525,$V525,$Z525,$AD525,$AH525)="Yes")*(((CHOOSE({1,2,3,4,5},$S525,$W525,$AA525,$AE525,$AI525)="Yes")+(CHOOSE({1,2,3,4,5},$S525,$W525,$AA525,$AE525,$AI525)=TRUE))&gt;0)))</f>
        <v/>
      </c>
      <c r="AM525" s="87"/>
      <c r="AN525" s="87" t="str">
        <f ca="1">IF(OR($A525="",$AM525=""),"",TODAY()-$AM525)</f>
        <v/>
      </c>
      <c r="AO525" s="87"/>
      <c r="AP525" s="106"/>
      <c r="AQ525" s="106"/>
      <c r="AR525" s="106"/>
      <c r="AS525" s="106"/>
      <c r="AT525" s="106"/>
      <c r="AU525" s="106"/>
      <c r="AV525" s="106"/>
      <c r="AW525" s="106"/>
      <c r="AX525" s="106"/>
      <c r="AY525" s="106"/>
    </row>
    <row r="526" spans="1:51" s="20" customFormat="1" ht="21" customHeight="1">
      <c r="A526" s="197"/>
      <c r="B526" s="87"/>
      <c r="C526" s="87"/>
      <c r="D526" s="196"/>
      <c r="E526" s="108"/>
      <c r="F526" s="196"/>
      <c r="G526" s="87"/>
      <c r="H526" s="197"/>
      <c r="I526" s="89"/>
      <c r="J526" s="204"/>
      <c r="K526" s="87"/>
      <c r="L526" s="87" t="str" cm="1">
        <f t="array" ref="L526">IF($A526="","",_xlfn.LET(_xlpm.stat,CHOOSE({1,2,3,4,5},$P526,$T526,$X526,$AB526,$AF526),_xlpm.rate,CHOOSE({1,2,3,4,5},$R526,$V526,$Z526,$AD526,$AH526),_xlpm.trn,CHOOSE({1,2,3,4,5},$S526,$W526,$AA526,$AE526,$AI526),_xlpm.nsC,SUMPRODUCT(--(_xlpm.stat="Ready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DLR",IF(AND(_xlpm.actRS&gt;0,_xlpm.actDone&lt;_xlpm.actRS),"Training",IF(_xlpm.actRS&gt;0,"Active",IF(AND(_xlpm.decC&gt;0,_xlpm.inPlay+_xlpm.actC=0),"Dead",IF(AND($AJ526&lt;&gt;"",$AK526=FALSE),"Waiting on Dealer",IF(_xlpm.subC&gt;0,"Waiting on Lender",IF(AND(_xlpm.appC+_xlpm.actC&gt;0,_xlpm.nsC+_xlpm.wdC=0),"Rate Sheet","Application Submitted")))))))))</f>
        <v/>
      </c>
      <c r="M526" s="87"/>
      <c r="N526" s="87"/>
      <c r="O526" s="197"/>
      <c r="P526" s="87" t="str">
        <f>IF($A526="","",IF($AK526=TRUE,"Ready 2 Submit","Waiting on Dealer"))</f>
        <v/>
      </c>
      <c r="Q526" s="148"/>
      <c r="R526" s="87"/>
      <c r="S526" s="87"/>
      <c r="T526" s="87" t="str">
        <f>IF($A526="","",IF($AK526=TRUE,"Ready 2 Submit","Waiting on Dealer"))</f>
        <v/>
      </c>
      <c r="U526" s="148"/>
      <c r="V526" s="87"/>
      <c r="W526" s="87"/>
      <c r="X526" s="87" t="str">
        <f>IF($A526="","",IF($AK526=TRUE,"Ready 2 Submit","Waiting on Dealer"))</f>
        <v/>
      </c>
      <c r="Y526" s="148"/>
      <c r="Z526" s="87"/>
      <c r="AA526" s="87"/>
      <c r="AB526" s="87" t="str">
        <f>IF($A526="","",IF($AK526=TRUE,"Ready 2 Submit","Waiting on Dealer"))</f>
        <v/>
      </c>
      <c r="AC526" s="148"/>
      <c r="AD526" s="87"/>
      <c r="AE526" s="87"/>
      <c r="AF526" s="87" t="str">
        <f>IF($A526="","",IF($AK526=TRUE,"Ready 2 Submit","Waiting on Dealer"))</f>
        <v/>
      </c>
      <c r="AG526" s="148"/>
      <c r="AH526" s="87"/>
      <c r="AI526" s="87"/>
      <c r="AJ526" s="197"/>
      <c r="AK526" s="110" t="b">
        <v>0</v>
      </c>
      <c r="AL526" s="87" t="str" cm="1">
        <f t="array" ref="AL526">IF($A526="","",SUMPRODUCT((CHOOSE({1,2,3,4,5},$R526,$V526,$Z526,$AD526,$AH526)="Yes")*(((CHOOSE({1,2,3,4,5},$S526,$W526,$AA526,$AE526,$AI526)="Yes")+(CHOOSE({1,2,3,4,5},$S526,$W526,$AA526,$AE526,$AI526)=TRUE))&gt;0)))</f>
        <v/>
      </c>
      <c r="AM526" s="87"/>
      <c r="AN526" s="87" t="str">
        <f ca="1">IF(OR($A526="",$AM526=""),"",TODAY()-$AM526)</f>
        <v/>
      </c>
      <c r="AO526" s="87"/>
      <c r="AP526" s="106"/>
      <c r="AQ526" s="106"/>
      <c r="AR526" s="106"/>
      <c r="AS526" s="106"/>
      <c r="AT526" s="106"/>
      <c r="AU526" s="106"/>
      <c r="AV526" s="106"/>
      <c r="AW526" s="106"/>
      <c r="AX526" s="106"/>
      <c r="AY526" s="106"/>
    </row>
    <row r="527" spans="1:51" s="20" customFormat="1" ht="21" customHeight="1">
      <c r="A527" s="197"/>
      <c r="B527" s="87"/>
      <c r="C527" s="87"/>
      <c r="D527" s="196"/>
      <c r="E527" s="108"/>
      <c r="F527" s="196"/>
      <c r="G527" s="87"/>
      <c r="H527" s="197"/>
      <c r="I527" s="89"/>
      <c r="J527" s="204"/>
      <c r="K527" s="87"/>
      <c r="L527" s="87" t="str" cm="1">
        <f t="array" ref="L527">IF($A527="","",_xlfn.LET(_xlpm.stat,CHOOSE({1,2,3,4,5},$P527,$T527,$X527,$AB527,$AF527),_xlpm.rate,CHOOSE({1,2,3,4,5},$R527,$V527,$Z527,$AD527,$AH527),_xlpm.trn,CHOOSE({1,2,3,4,5},$S527,$W527,$AA527,$AE527,$AI527),_xlpm.nsC,SUMPRODUCT(--(_xlpm.stat="Ready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DLR",IF(AND(_xlpm.actRS&gt;0,_xlpm.actDone&lt;_xlpm.actRS),"Training",IF(_xlpm.actRS&gt;0,"Active",IF(AND(_xlpm.decC&gt;0,_xlpm.inPlay+_xlpm.actC=0),"Dead",IF(AND($AJ527&lt;&gt;"",$AK527=FALSE),"Waiting on Dealer",IF(_xlpm.subC&gt;0,"Waiting on Lender",IF(AND(_xlpm.appC+_xlpm.actC&gt;0,_xlpm.nsC+_xlpm.wdC=0),"Rate Sheet","Application Submitted")))))))))</f>
        <v/>
      </c>
      <c r="M527" s="87"/>
      <c r="N527" s="87"/>
      <c r="O527" s="197"/>
      <c r="P527" s="87" t="str">
        <f>IF($A527="","",IF($AK527=TRUE,"Ready 2 Submit","Waiting on Dealer"))</f>
        <v/>
      </c>
      <c r="Q527" s="148"/>
      <c r="R527" s="87"/>
      <c r="S527" s="87"/>
      <c r="T527" s="87" t="str">
        <f>IF($A527="","",IF($AK527=TRUE,"Ready 2 Submit","Waiting on Dealer"))</f>
        <v/>
      </c>
      <c r="U527" s="148"/>
      <c r="V527" s="87"/>
      <c r="W527" s="87"/>
      <c r="X527" s="87" t="str">
        <f>IF($A527="","",IF($AK527=TRUE,"Ready 2 Submit","Waiting on Dealer"))</f>
        <v/>
      </c>
      <c r="Y527" s="148"/>
      <c r="Z527" s="87"/>
      <c r="AA527" s="87"/>
      <c r="AB527" s="87" t="str">
        <f>IF($A527="","",IF($AK527=TRUE,"Ready 2 Submit","Waiting on Dealer"))</f>
        <v/>
      </c>
      <c r="AC527" s="148"/>
      <c r="AD527" s="87"/>
      <c r="AE527" s="87"/>
      <c r="AF527" s="87" t="str">
        <f>IF($A527="","",IF($AK527=TRUE,"Ready 2 Submit","Waiting on Dealer"))</f>
        <v/>
      </c>
      <c r="AG527" s="148"/>
      <c r="AH527" s="87"/>
      <c r="AI527" s="87"/>
      <c r="AJ527" s="197"/>
      <c r="AK527" s="110" t="b">
        <v>0</v>
      </c>
      <c r="AL527" s="87" t="str" cm="1">
        <f t="array" ref="AL527">IF($A527="","",SUMPRODUCT((CHOOSE({1,2,3,4,5},$R527,$V527,$Z527,$AD527,$AH527)="Yes")*(((CHOOSE({1,2,3,4,5},$S527,$W527,$AA527,$AE527,$AI527)="Yes")+(CHOOSE({1,2,3,4,5},$S527,$W527,$AA527,$AE527,$AI527)=TRUE))&gt;0)))</f>
        <v/>
      </c>
      <c r="AM527" s="87"/>
      <c r="AN527" s="87" t="str">
        <f ca="1">IF(OR($A527="",$AM527=""),"",TODAY()-$AM527)</f>
        <v/>
      </c>
      <c r="AO527" s="87"/>
      <c r="AP527" s="106"/>
      <c r="AQ527" s="106"/>
      <c r="AR527" s="106"/>
      <c r="AS527" s="106"/>
      <c r="AT527" s="106"/>
      <c r="AU527" s="106"/>
      <c r="AV527" s="106"/>
      <c r="AW527" s="106"/>
      <c r="AX527" s="106"/>
      <c r="AY527" s="106"/>
    </row>
    <row r="528" spans="1:51" s="20" customFormat="1" ht="21" customHeight="1">
      <c r="A528" s="197"/>
      <c r="B528" s="87"/>
      <c r="C528" s="87"/>
      <c r="D528" s="196"/>
      <c r="E528" s="108"/>
      <c r="F528" s="196"/>
      <c r="G528" s="87"/>
      <c r="H528" s="197"/>
      <c r="I528" s="89"/>
      <c r="J528" s="204"/>
      <c r="K528" s="87"/>
      <c r="L528" s="87" t="str" cm="1">
        <f t="array" ref="L528">IF($A528="","",_xlfn.LET(_xlpm.stat,CHOOSE({1,2,3,4,5},$P528,$T528,$X528,$AB528,$AF528),_xlpm.rate,CHOOSE({1,2,3,4,5},$R528,$V528,$Z528,$AD528,$AH528),_xlpm.trn,CHOOSE({1,2,3,4,5},$S528,$W528,$AA528,$AE528,$AI528),_xlpm.nsC,SUMPRODUCT(--(_xlpm.stat="Ready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DLR",IF(AND(_xlpm.actRS&gt;0,_xlpm.actDone&lt;_xlpm.actRS),"Training",IF(_xlpm.actRS&gt;0,"Active",IF(AND(_xlpm.decC&gt;0,_xlpm.inPlay+_xlpm.actC=0),"Dead",IF(AND($AJ528&lt;&gt;"",$AK528=FALSE),"Waiting on Dealer",IF(_xlpm.subC&gt;0,"Waiting on Lender",IF(AND(_xlpm.appC+_xlpm.actC&gt;0,_xlpm.nsC+_xlpm.wdC=0),"Rate Sheet","Application Submitted")))))))))</f>
        <v/>
      </c>
      <c r="M528" s="87"/>
      <c r="N528" s="87"/>
      <c r="O528" s="197"/>
      <c r="P528" s="87" t="str">
        <f>IF($A528="","",IF($AK528=TRUE,"Ready 2 Submit","Waiting on Dealer"))</f>
        <v/>
      </c>
      <c r="Q528" s="148"/>
      <c r="R528" s="87"/>
      <c r="S528" s="87"/>
      <c r="T528" s="87" t="str">
        <f>IF($A528="","",IF($AK528=TRUE,"Ready 2 Submit","Waiting on Dealer"))</f>
        <v/>
      </c>
      <c r="U528" s="148"/>
      <c r="V528" s="87"/>
      <c r="W528" s="87"/>
      <c r="X528" s="87" t="str">
        <f>IF($A528="","",IF($AK528=TRUE,"Ready 2 Submit","Waiting on Dealer"))</f>
        <v/>
      </c>
      <c r="Y528" s="148"/>
      <c r="Z528" s="87"/>
      <c r="AA528" s="87"/>
      <c r="AB528" s="87" t="str">
        <f>IF($A528="","",IF($AK528=TRUE,"Ready 2 Submit","Waiting on Dealer"))</f>
        <v/>
      </c>
      <c r="AC528" s="148"/>
      <c r="AD528" s="87"/>
      <c r="AE528" s="87"/>
      <c r="AF528" s="87" t="str">
        <f>IF($A528="","",IF($AK528=TRUE,"Ready 2 Submit","Waiting on Dealer"))</f>
        <v/>
      </c>
      <c r="AG528" s="148"/>
      <c r="AH528" s="87"/>
      <c r="AI528" s="87"/>
      <c r="AJ528" s="197"/>
      <c r="AK528" s="110" t="b">
        <v>0</v>
      </c>
      <c r="AL528" s="87" t="str" cm="1">
        <f t="array" ref="AL528">IF($A528="","",SUMPRODUCT((CHOOSE({1,2,3,4,5},$R528,$V528,$Z528,$AD528,$AH528)="Yes")*(((CHOOSE({1,2,3,4,5},$S528,$W528,$AA528,$AE528,$AI528)="Yes")+(CHOOSE({1,2,3,4,5},$S528,$W528,$AA528,$AE528,$AI528)=TRUE))&gt;0)))</f>
        <v/>
      </c>
      <c r="AM528" s="87"/>
      <c r="AN528" s="87" t="str">
        <f ca="1">IF(OR($A528="",$AM528=""),"",TODAY()-$AM528)</f>
        <v/>
      </c>
      <c r="AO528" s="87"/>
      <c r="AP528" s="106"/>
      <c r="AQ528" s="106"/>
      <c r="AR528" s="106"/>
      <c r="AS528" s="106"/>
      <c r="AT528" s="106"/>
      <c r="AU528" s="106"/>
      <c r="AV528" s="106"/>
      <c r="AW528" s="106"/>
      <c r="AX528" s="106"/>
      <c r="AY528" s="106"/>
    </row>
    <row r="529" spans="1:51" s="20" customFormat="1" ht="21" customHeight="1">
      <c r="A529" s="197"/>
      <c r="B529" s="87"/>
      <c r="C529" s="87"/>
      <c r="D529" s="196"/>
      <c r="E529" s="108"/>
      <c r="F529" s="196"/>
      <c r="G529" s="87"/>
      <c r="H529" s="197"/>
      <c r="I529" s="89"/>
      <c r="J529" s="204"/>
      <c r="K529" s="87"/>
      <c r="L529" s="87" t="str" cm="1">
        <f t="array" ref="L529">IF($A529="","",_xlfn.LET(_xlpm.stat,CHOOSE({1,2,3,4,5},$P529,$T529,$X529,$AB529,$AF529),_xlpm.rate,CHOOSE({1,2,3,4,5},$R529,$V529,$Z529,$AD529,$AH529),_xlpm.trn,CHOOSE({1,2,3,4,5},$S529,$W529,$AA529,$AE529,$AI529),_xlpm.nsC,SUMPRODUCT(--(_xlpm.stat="Ready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DLR",IF(AND(_xlpm.actRS&gt;0,_xlpm.actDone&lt;_xlpm.actRS),"Training",IF(_xlpm.actRS&gt;0,"Active",IF(AND(_xlpm.decC&gt;0,_xlpm.inPlay+_xlpm.actC=0),"Dead",IF(AND($AJ529&lt;&gt;"",$AK529=FALSE),"Waiting on Dealer",IF(_xlpm.subC&gt;0,"Waiting on Lender",IF(AND(_xlpm.appC+_xlpm.actC&gt;0,_xlpm.nsC+_xlpm.wdC=0),"Rate Sheet","Application Submitted")))))))))</f>
        <v/>
      </c>
      <c r="M529" s="87"/>
      <c r="N529" s="87"/>
      <c r="O529" s="197"/>
      <c r="P529" s="87" t="str">
        <f>IF($A529="","",IF($AK529=TRUE,"Ready 2 Submit","Waiting on Dealer"))</f>
        <v/>
      </c>
      <c r="Q529" s="148"/>
      <c r="R529" s="87"/>
      <c r="S529" s="87"/>
      <c r="T529" s="87" t="str">
        <f>IF($A529="","",IF($AK529=TRUE,"Ready 2 Submit","Waiting on Dealer"))</f>
        <v/>
      </c>
      <c r="U529" s="148"/>
      <c r="V529" s="87"/>
      <c r="W529" s="87"/>
      <c r="X529" s="87" t="str">
        <f>IF($A529="","",IF($AK529=TRUE,"Ready 2 Submit","Waiting on Dealer"))</f>
        <v/>
      </c>
      <c r="Y529" s="148"/>
      <c r="Z529" s="87"/>
      <c r="AA529" s="87"/>
      <c r="AB529" s="87" t="str">
        <f>IF($A529="","",IF($AK529=TRUE,"Ready 2 Submit","Waiting on Dealer"))</f>
        <v/>
      </c>
      <c r="AC529" s="148"/>
      <c r="AD529" s="87"/>
      <c r="AE529" s="87"/>
      <c r="AF529" s="87" t="str">
        <f>IF($A529="","",IF($AK529=TRUE,"Ready 2 Submit","Waiting on Dealer"))</f>
        <v/>
      </c>
      <c r="AG529" s="148"/>
      <c r="AH529" s="87"/>
      <c r="AI529" s="87"/>
      <c r="AJ529" s="197"/>
      <c r="AK529" s="110" t="b">
        <v>0</v>
      </c>
      <c r="AL529" s="87" t="str" cm="1">
        <f t="array" ref="AL529">IF($A529="","",SUMPRODUCT((CHOOSE({1,2,3,4,5},$R529,$V529,$Z529,$AD529,$AH529)="Yes")*(((CHOOSE({1,2,3,4,5},$S529,$W529,$AA529,$AE529,$AI529)="Yes")+(CHOOSE({1,2,3,4,5},$S529,$W529,$AA529,$AE529,$AI529)=TRUE))&gt;0)))</f>
        <v/>
      </c>
      <c r="AM529" s="87"/>
      <c r="AN529" s="87" t="str">
        <f ca="1">IF(OR($A529="",$AM529=""),"",TODAY()-$AM529)</f>
        <v/>
      </c>
      <c r="AO529" s="87"/>
      <c r="AP529" s="106"/>
      <c r="AQ529" s="106"/>
      <c r="AR529" s="106"/>
      <c r="AS529" s="106"/>
      <c r="AT529" s="106"/>
      <c r="AU529" s="106"/>
      <c r="AV529" s="106"/>
      <c r="AW529" s="106"/>
      <c r="AX529" s="106"/>
      <c r="AY529" s="106"/>
    </row>
    <row r="530" spans="1:51" s="20" customFormat="1" ht="21" customHeight="1">
      <c r="A530" s="197"/>
      <c r="B530" s="87"/>
      <c r="C530" s="87"/>
      <c r="D530" s="196"/>
      <c r="E530" s="108"/>
      <c r="F530" s="196"/>
      <c r="G530" s="87"/>
      <c r="H530" s="197"/>
      <c r="I530" s="89"/>
      <c r="J530" s="204"/>
      <c r="K530" s="87"/>
      <c r="L530" s="87" t="str" cm="1">
        <f t="array" ref="L530">IF($A530="","",_xlfn.LET(_xlpm.stat,CHOOSE({1,2,3,4,5},$P530,$T530,$X530,$AB530,$AF530),_xlpm.rate,CHOOSE({1,2,3,4,5},$R530,$V530,$Z530,$AD530,$AH530),_xlpm.trn,CHOOSE({1,2,3,4,5},$S530,$W530,$AA530,$AE530,$AI530),_xlpm.nsC,SUMPRODUCT(--(_xlpm.stat="Ready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DLR",IF(AND(_xlpm.actRS&gt;0,_xlpm.actDone&lt;_xlpm.actRS),"Training",IF(_xlpm.actRS&gt;0,"Active",IF(AND(_xlpm.decC&gt;0,_xlpm.inPlay+_xlpm.actC=0),"Dead",IF(AND($AJ530&lt;&gt;"",$AK530=FALSE),"Waiting on Dealer",IF(_xlpm.subC&gt;0,"Waiting on Lender",IF(AND(_xlpm.appC+_xlpm.actC&gt;0,_xlpm.nsC+_xlpm.wdC=0),"Rate Sheet","Application Submitted")))))))))</f>
        <v/>
      </c>
      <c r="M530" s="87"/>
      <c r="N530" s="87"/>
      <c r="O530" s="197"/>
      <c r="P530" s="87" t="str">
        <f>IF($A530="","",IF($AK530=TRUE,"Ready 2 Submit","Waiting on Dealer"))</f>
        <v/>
      </c>
      <c r="Q530" s="148"/>
      <c r="R530" s="87"/>
      <c r="S530" s="87"/>
      <c r="T530" s="87" t="str">
        <f>IF($A530="","",IF($AK530=TRUE,"Ready 2 Submit","Waiting on Dealer"))</f>
        <v/>
      </c>
      <c r="U530" s="148"/>
      <c r="V530" s="87"/>
      <c r="W530" s="87"/>
      <c r="X530" s="87" t="str">
        <f>IF($A530="","",IF($AK530=TRUE,"Ready 2 Submit","Waiting on Dealer"))</f>
        <v/>
      </c>
      <c r="Y530" s="148"/>
      <c r="Z530" s="87"/>
      <c r="AA530" s="87"/>
      <c r="AB530" s="87" t="str">
        <f>IF($A530="","",IF($AK530=TRUE,"Ready 2 Submit","Waiting on Dealer"))</f>
        <v/>
      </c>
      <c r="AC530" s="148"/>
      <c r="AD530" s="87"/>
      <c r="AE530" s="87"/>
      <c r="AF530" s="87" t="str">
        <f>IF($A530="","",IF($AK530=TRUE,"Ready 2 Submit","Waiting on Dealer"))</f>
        <v/>
      </c>
      <c r="AG530" s="148"/>
      <c r="AH530" s="87"/>
      <c r="AI530" s="87"/>
      <c r="AJ530" s="197"/>
      <c r="AK530" s="110" t="b">
        <v>0</v>
      </c>
      <c r="AL530" s="87" t="str" cm="1">
        <f t="array" ref="AL530">IF($A530="","",SUMPRODUCT((CHOOSE({1,2,3,4,5},$R530,$V530,$Z530,$AD530,$AH530)="Yes")*(((CHOOSE({1,2,3,4,5},$S530,$W530,$AA530,$AE530,$AI530)="Yes")+(CHOOSE({1,2,3,4,5},$S530,$W530,$AA530,$AE530,$AI530)=TRUE))&gt;0)))</f>
        <v/>
      </c>
      <c r="AM530" s="87"/>
      <c r="AN530" s="87" t="str">
        <f ca="1">IF(OR($A530="",$AM530=""),"",TODAY()-$AM530)</f>
        <v/>
      </c>
      <c r="AO530" s="87"/>
      <c r="AP530" s="106"/>
      <c r="AQ530" s="106"/>
      <c r="AR530" s="106"/>
      <c r="AS530" s="106"/>
      <c r="AT530" s="106"/>
      <c r="AU530" s="106"/>
      <c r="AV530" s="106"/>
      <c r="AW530" s="106"/>
      <c r="AX530" s="106"/>
      <c r="AY530" s="106"/>
    </row>
    <row r="531" spans="1:51" s="20" customFormat="1" ht="21" customHeight="1">
      <c r="A531" s="197"/>
      <c r="B531" s="87"/>
      <c r="C531" s="87"/>
      <c r="D531" s="196"/>
      <c r="E531" s="108"/>
      <c r="F531" s="196"/>
      <c r="G531" s="87"/>
      <c r="H531" s="197"/>
      <c r="I531" s="89"/>
      <c r="J531" s="204"/>
      <c r="K531" s="87"/>
      <c r="L531" s="87" t="str" cm="1">
        <f t="array" ref="L531">IF($A531="","",_xlfn.LET(_xlpm.stat,CHOOSE({1,2,3,4,5},$P531,$T531,$X531,$AB531,$AF531),_xlpm.rate,CHOOSE({1,2,3,4,5},$R531,$V531,$Z531,$AD531,$AH531),_xlpm.trn,CHOOSE({1,2,3,4,5},$S531,$W531,$AA531,$AE531,$AI531),_xlpm.nsC,SUMPRODUCT(--(_xlpm.stat="Ready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DLR",IF(AND(_xlpm.actRS&gt;0,_xlpm.actDone&lt;_xlpm.actRS),"Training",IF(_xlpm.actRS&gt;0,"Active",IF(AND(_xlpm.decC&gt;0,_xlpm.inPlay+_xlpm.actC=0),"Dead",IF(AND($AJ531&lt;&gt;"",$AK531=FALSE),"Waiting on Dealer",IF(_xlpm.subC&gt;0,"Waiting on Lender",IF(AND(_xlpm.appC+_xlpm.actC&gt;0,_xlpm.nsC+_xlpm.wdC=0),"Rate Sheet","Application Submitted")))))))))</f>
        <v/>
      </c>
      <c r="M531" s="87"/>
      <c r="N531" s="87"/>
      <c r="O531" s="197"/>
      <c r="P531" s="87" t="str">
        <f>IF($A531="","",IF($AK531=TRUE,"Ready 2 Submit","Waiting on Dealer"))</f>
        <v/>
      </c>
      <c r="Q531" s="148"/>
      <c r="R531" s="87"/>
      <c r="S531" s="87"/>
      <c r="T531" s="87" t="str">
        <f>IF($A531="","",IF($AK531=TRUE,"Ready 2 Submit","Waiting on Dealer"))</f>
        <v/>
      </c>
      <c r="U531" s="148"/>
      <c r="V531" s="87"/>
      <c r="W531" s="87"/>
      <c r="X531" s="87" t="str">
        <f>IF($A531="","",IF($AK531=TRUE,"Ready 2 Submit","Waiting on Dealer"))</f>
        <v/>
      </c>
      <c r="Y531" s="148"/>
      <c r="Z531" s="87"/>
      <c r="AA531" s="87"/>
      <c r="AB531" s="87" t="str">
        <f>IF($A531="","",IF($AK531=TRUE,"Ready 2 Submit","Waiting on Dealer"))</f>
        <v/>
      </c>
      <c r="AC531" s="148"/>
      <c r="AD531" s="87"/>
      <c r="AE531" s="87"/>
      <c r="AF531" s="87" t="str">
        <f>IF($A531="","",IF($AK531=TRUE,"Ready 2 Submit","Waiting on Dealer"))</f>
        <v/>
      </c>
      <c r="AG531" s="148"/>
      <c r="AH531" s="87"/>
      <c r="AI531" s="87"/>
      <c r="AJ531" s="197"/>
      <c r="AK531" s="110" t="b">
        <v>0</v>
      </c>
      <c r="AL531" s="87" t="str" cm="1">
        <f t="array" ref="AL531">IF($A531="","",SUMPRODUCT((CHOOSE({1,2,3,4,5},$R531,$V531,$Z531,$AD531,$AH531)="Yes")*(((CHOOSE({1,2,3,4,5},$S531,$W531,$AA531,$AE531,$AI531)="Yes")+(CHOOSE({1,2,3,4,5},$S531,$W531,$AA531,$AE531,$AI531)=TRUE))&gt;0)))</f>
        <v/>
      </c>
      <c r="AM531" s="87"/>
      <c r="AN531" s="87" t="str">
        <f ca="1">IF(OR($A531="",$AM531=""),"",TODAY()-$AM531)</f>
        <v/>
      </c>
      <c r="AO531" s="87"/>
      <c r="AP531" s="106"/>
      <c r="AQ531" s="106"/>
      <c r="AR531" s="106"/>
      <c r="AS531" s="106"/>
      <c r="AT531" s="106"/>
      <c r="AU531" s="106"/>
      <c r="AV531" s="106"/>
      <c r="AW531" s="106"/>
      <c r="AX531" s="106"/>
      <c r="AY531" s="106"/>
    </row>
    <row r="532" spans="1:51" s="20" customFormat="1" ht="21" customHeight="1">
      <c r="A532" s="197"/>
      <c r="B532" s="87"/>
      <c r="C532" s="87"/>
      <c r="D532" s="196"/>
      <c r="E532" s="108"/>
      <c r="F532" s="196"/>
      <c r="G532" s="87"/>
      <c r="H532" s="197"/>
      <c r="I532" s="89"/>
      <c r="J532" s="204"/>
      <c r="K532" s="87"/>
      <c r="L532" s="87" t="str" cm="1">
        <f t="array" ref="L532">IF($A532="","",_xlfn.LET(_xlpm.stat,CHOOSE({1,2,3,4,5},$P532,$T532,$X532,$AB532,$AF532),_xlpm.rate,CHOOSE({1,2,3,4,5},$R532,$V532,$Z532,$AD532,$AH532),_xlpm.trn,CHOOSE({1,2,3,4,5},$S532,$W532,$AA532,$AE532,$AI532),_xlpm.nsC,SUMPRODUCT(--(_xlpm.stat="Ready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DLR",IF(AND(_xlpm.actRS&gt;0,_xlpm.actDone&lt;_xlpm.actRS),"Training",IF(_xlpm.actRS&gt;0,"Active",IF(AND(_xlpm.decC&gt;0,_xlpm.inPlay+_xlpm.actC=0),"Dead",IF(AND($AJ532&lt;&gt;"",$AK532=FALSE),"Waiting on Dealer",IF(_xlpm.subC&gt;0,"Waiting on Lender",IF(AND(_xlpm.appC+_xlpm.actC&gt;0,_xlpm.nsC+_xlpm.wdC=0),"Rate Sheet","Application Submitted")))))))))</f>
        <v/>
      </c>
      <c r="M532" s="87"/>
      <c r="N532" s="87"/>
      <c r="O532" s="197"/>
      <c r="P532" s="87" t="str">
        <f>IF($A532="","",IF($AK532=TRUE,"Ready 2 Submit","Waiting on Dealer"))</f>
        <v/>
      </c>
      <c r="Q532" s="148"/>
      <c r="R532" s="87"/>
      <c r="S532" s="87"/>
      <c r="T532" s="87" t="str">
        <f>IF($A532="","",IF($AK532=TRUE,"Ready 2 Submit","Waiting on Dealer"))</f>
        <v/>
      </c>
      <c r="U532" s="148"/>
      <c r="V532" s="87"/>
      <c r="W532" s="87"/>
      <c r="X532" s="87" t="str">
        <f>IF($A532="","",IF($AK532=TRUE,"Ready 2 Submit","Waiting on Dealer"))</f>
        <v/>
      </c>
      <c r="Y532" s="148"/>
      <c r="Z532" s="87"/>
      <c r="AA532" s="87"/>
      <c r="AB532" s="87" t="str">
        <f>IF($A532="","",IF($AK532=TRUE,"Ready 2 Submit","Waiting on Dealer"))</f>
        <v/>
      </c>
      <c r="AC532" s="148"/>
      <c r="AD532" s="87"/>
      <c r="AE532" s="87"/>
      <c r="AF532" s="87" t="str">
        <f>IF($A532="","",IF($AK532=TRUE,"Ready 2 Submit","Waiting on Dealer"))</f>
        <v/>
      </c>
      <c r="AG532" s="148"/>
      <c r="AH532" s="87"/>
      <c r="AI532" s="87"/>
      <c r="AJ532" s="197"/>
      <c r="AK532" s="110" t="b">
        <v>0</v>
      </c>
      <c r="AL532" s="87" t="str" cm="1">
        <f t="array" ref="AL532">IF($A532="","",SUMPRODUCT((CHOOSE({1,2,3,4,5},$R532,$V532,$Z532,$AD532,$AH532)="Yes")*(((CHOOSE({1,2,3,4,5},$S532,$W532,$AA532,$AE532,$AI532)="Yes")+(CHOOSE({1,2,3,4,5},$S532,$W532,$AA532,$AE532,$AI532)=TRUE))&gt;0)))</f>
        <v/>
      </c>
      <c r="AM532" s="87"/>
      <c r="AN532" s="87" t="str">
        <f ca="1">IF(OR($A532="",$AM532=""),"",TODAY()-$AM532)</f>
        <v/>
      </c>
      <c r="AO532" s="87"/>
      <c r="AP532" s="106"/>
      <c r="AQ532" s="106"/>
      <c r="AR532" s="106"/>
      <c r="AS532" s="106"/>
      <c r="AT532" s="106"/>
      <c r="AU532" s="106"/>
      <c r="AV532" s="106"/>
      <c r="AW532" s="106"/>
      <c r="AX532" s="106"/>
      <c r="AY532" s="106"/>
    </row>
    <row r="533" spans="1:51" s="20" customFormat="1" ht="21" customHeight="1">
      <c r="A533" s="197"/>
      <c r="B533" s="87"/>
      <c r="C533" s="87"/>
      <c r="D533" s="196"/>
      <c r="E533" s="108"/>
      <c r="F533" s="196"/>
      <c r="G533" s="87"/>
      <c r="H533" s="197"/>
      <c r="I533" s="89"/>
      <c r="J533" s="204"/>
      <c r="K533" s="87"/>
      <c r="L533" s="87" t="str" cm="1">
        <f t="array" ref="L533">IF($A533="","",_xlfn.LET(_xlpm.stat,CHOOSE({1,2,3,4,5},$P533,$T533,$X533,$AB533,$AF533),_xlpm.rate,CHOOSE({1,2,3,4,5},$R533,$V533,$Z533,$AD533,$AH533),_xlpm.trn,CHOOSE({1,2,3,4,5},$S533,$W533,$AA533,$AE533,$AI533),_xlpm.nsC,SUMPRODUCT(--(_xlpm.stat="Ready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DLR",IF(AND(_xlpm.actRS&gt;0,_xlpm.actDone&lt;_xlpm.actRS),"Training",IF(_xlpm.actRS&gt;0,"Active",IF(AND(_xlpm.decC&gt;0,_xlpm.inPlay+_xlpm.actC=0),"Dead",IF(AND($AJ533&lt;&gt;"",$AK533=FALSE),"Waiting on Dealer",IF(_xlpm.subC&gt;0,"Waiting on Lender",IF(AND(_xlpm.appC+_xlpm.actC&gt;0,_xlpm.nsC+_xlpm.wdC=0),"Rate Sheet","Application Submitted")))))))))</f>
        <v/>
      </c>
      <c r="M533" s="87"/>
      <c r="N533" s="87"/>
      <c r="O533" s="197"/>
      <c r="P533" s="87" t="str">
        <f>IF($A533="","",IF($AK533=TRUE,"Ready 2 Submit","Waiting on Dealer"))</f>
        <v/>
      </c>
      <c r="Q533" s="148"/>
      <c r="R533" s="87"/>
      <c r="S533" s="87"/>
      <c r="T533" s="87" t="str">
        <f>IF($A533="","",IF($AK533=TRUE,"Ready 2 Submit","Waiting on Dealer"))</f>
        <v/>
      </c>
      <c r="U533" s="148"/>
      <c r="V533" s="87"/>
      <c r="W533" s="87"/>
      <c r="X533" s="87" t="str">
        <f>IF($A533="","",IF($AK533=TRUE,"Ready 2 Submit","Waiting on Dealer"))</f>
        <v/>
      </c>
      <c r="Y533" s="148"/>
      <c r="Z533" s="87"/>
      <c r="AA533" s="87"/>
      <c r="AB533" s="87" t="str">
        <f>IF($A533="","",IF($AK533=TRUE,"Ready 2 Submit","Waiting on Dealer"))</f>
        <v/>
      </c>
      <c r="AC533" s="148"/>
      <c r="AD533" s="87"/>
      <c r="AE533" s="87"/>
      <c r="AF533" s="87" t="str">
        <f>IF($A533="","",IF($AK533=TRUE,"Ready 2 Submit","Waiting on Dealer"))</f>
        <v/>
      </c>
      <c r="AG533" s="148"/>
      <c r="AH533" s="87"/>
      <c r="AI533" s="87"/>
      <c r="AJ533" s="197"/>
      <c r="AK533" s="110" t="b">
        <v>0</v>
      </c>
      <c r="AL533" s="87" t="str" cm="1">
        <f t="array" ref="AL533">IF($A533="","",SUMPRODUCT((CHOOSE({1,2,3,4,5},$R533,$V533,$Z533,$AD533,$AH533)="Yes")*(((CHOOSE({1,2,3,4,5},$S533,$W533,$AA533,$AE533,$AI533)="Yes")+(CHOOSE({1,2,3,4,5},$S533,$W533,$AA533,$AE533,$AI533)=TRUE))&gt;0)))</f>
        <v/>
      </c>
      <c r="AM533" s="87"/>
      <c r="AN533" s="87" t="str">
        <f ca="1">IF(OR($A533="",$AM533=""),"",TODAY()-$AM533)</f>
        <v/>
      </c>
      <c r="AO533" s="87"/>
      <c r="AP533" s="106"/>
      <c r="AQ533" s="106"/>
      <c r="AR533" s="106"/>
      <c r="AS533" s="106"/>
      <c r="AT533" s="106"/>
      <c r="AU533" s="106"/>
      <c r="AV533" s="106"/>
      <c r="AW533" s="106"/>
      <c r="AX533" s="106"/>
      <c r="AY533" s="106"/>
    </row>
    <row r="534" spans="1:51" s="20" customFormat="1" ht="21" customHeight="1">
      <c r="A534" s="197"/>
      <c r="B534" s="87"/>
      <c r="C534" s="87"/>
      <c r="D534" s="196"/>
      <c r="E534" s="108"/>
      <c r="F534" s="196"/>
      <c r="G534" s="87"/>
      <c r="H534" s="197"/>
      <c r="I534" s="89"/>
      <c r="J534" s="204"/>
      <c r="K534" s="87"/>
      <c r="L534" s="87" t="str" cm="1">
        <f t="array" ref="L534">IF($A534="","",_xlfn.LET(_xlpm.stat,CHOOSE({1,2,3,4,5},$P534,$T534,$X534,$AB534,$AF534),_xlpm.rate,CHOOSE({1,2,3,4,5},$R534,$V534,$Z534,$AD534,$AH534),_xlpm.trn,CHOOSE({1,2,3,4,5},$S534,$W534,$AA534,$AE534,$AI534),_xlpm.nsC,SUMPRODUCT(--(_xlpm.stat="Ready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DLR",IF(AND(_xlpm.actRS&gt;0,_xlpm.actDone&lt;_xlpm.actRS),"Training",IF(_xlpm.actRS&gt;0,"Active",IF(AND(_xlpm.decC&gt;0,_xlpm.inPlay+_xlpm.actC=0),"Dead",IF(AND($AJ534&lt;&gt;"",$AK534=FALSE),"Waiting on Dealer",IF(_xlpm.subC&gt;0,"Waiting on Lender",IF(AND(_xlpm.appC+_xlpm.actC&gt;0,_xlpm.nsC+_xlpm.wdC=0),"Rate Sheet","Application Submitted")))))))))</f>
        <v/>
      </c>
      <c r="M534" s="87"/>
      <c r="N534" s="87"/>
      <c r="O534" s="197"/>
      <c r="P534" s="87" t="str">
        <f>IF($A534="","",IF($AK534=TRUE,"Ready 2 Submit","Waiting on Dealer"))</f>
        <v/>
      </c>
      <c r="Q534" s="148"/>
      <c r="R534" s="87"/>
      <c r="S534" s="87"/>
      <c r="T534" s="87" t="str">
        <f>IF($A534="","",IF($AK534=TRUE,"Ready 2 Submit","Waiting on Dealer"))</f>
        <v/>
      </c>
      <c r="U534" s="148"/>
      <c r="V534" s="87"/>
      <c r="W534" s="87"/>
      <c r="X534" s="87" t="str">
        <f>IF($A534="","",IF($AK534=TRUE,"Ready 2 Submit","Waiting on Dealer"))</f>
        <v/>
      </c>
      <c r="Y534" s="148"/>
      <c r="Z534" s="87"/>
      <c r="AA534" s="87"/>
      <c r="AB534" s="87" t="str">
        <f>IF($A534="","",IF($AK534=TRUE,"Ready 2 Submit","Waiting on Dealer"))</f>
        <v/>
      </c>
      <c r="AC534" s="148"/>
      <c r="AD534" s="87"/>
      <c r="AE534" s="87"/>
      <c r="AF534" s="87" t="str">
        <f>IF($A534="","",IF($AK534=TRUE,"Ready 2 Submit","Waiting on Dealer"))</f>
        <v/>
      </c>
      <c r="AG534" s="148"/>
      <c r="AH534" s="87"/>
      <c r="AI534" s="87"/>
      <c r="AJ534" s="197"/>
      <c r="AK534" s="110" t="b">
        <v>0</v>
      </c>
      <c r="AL534" s="87" t="str" cm="1">
        <f t="array" ref="AL534">IF($A534="","",SUMPRODUCT((CHOOSE({1,2,3,4,5},$R534,$V534,$Z534,$AD534,$AH534)="Yes")*(((CHOOSE({1,2,3,4,5},$S534,$W534,$AA534,$AE534,$AI534)="Yes")+(CHOOSE({1,2,3,4,5},$S534,$W534,$AA534,$AE534,$AI534)=TRUE))&gt;0)))</f>
        <v/>
      </c>
      <c r="AM534" s="87"/>
      <c r="AN534" s="87" t="str">
        <f ca="1">IF(OR($A534="",$AM534=""),"",TODAY()-$AM534)</f>
        <v/>
      </c>
      <c r="AO534" s="87"/>
      <c r="AP534" s="106"/>
      <c r="AQ534" s="106"/>
      <c r="AR534" s="106"/>
      <c r="AS534" s="106"/>
      <c r="AT534" s="106"/>
      <c r="AU534" s="106"/>
      <c r="AV534" s="106"/>
      <c r="AW534" s="106"/>
      <c r="AX534" s="106"/>
      <c r="AY534" s="106"/>
    </row>
    <row r="535" spans="1:51" s="20" customFormat="1" ht="21" customHeight="1">
      <c r="A535" s="197"/>
      <c r="B535" s="87"/>
      <c r="C535" s="87"/>
      <c r="D535" s="196"/>
      <c r="E535" s="108"/>
      <c r="F535" s="196"/>
      <c r="G535" s="87"/>
      <c r="H535" s="197"/>
      <c r="I535" s="89"/>
      <c r="J535" s="204"/>
      <c r="K535" s="87"/>
      <c r="L535" s="87" t="str" cm="1">
        <f t="array" ref="L535">IF($A535="","",_xlfn.LET(_xlpm.stat,CHOOSE({1,2,3,4,5},$P535,$T535,$X535,$AB535,$AF535),_xlpm.rate,CHOOSE({1,2,3,4,5},$R535,$V535,$Z535,$AD535,$AH535),_xlpm.trn,CHOOSE({1,2,3,4,5},$S535,$W535,$AA535,$AE535,$AI535),_xlpm.nsC,SUMPRODUCT(--(_xlpm.stat="Ready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DLR",IF(AND(_xlpm.actRS&gt;0,_xlpm.actDone&lt;_xlpm.actRS),"Training",IF(_xlpm.actRS&gt;0,"Active",IF(AND(_xlpm.decC&gt;0,_xlpm.inPlay+_xlpm.actC=0),"Dead",IF(AND($AJ535&lt;&gt;"",$AK535=FALSE),"Waiting on Dealer",IF(_xlpm.subC&gt;0,"Waiting on Lender",IF(AND(_xlpm.appC+_xlpm.actC&gt;0,_xlpm.nsC+_xlpm.wdC=0),"Rate Sheet","Application Submitted")))))))))</f>
        <v/>
      </c>
      <c r="M535" s="87"/>
      <c r="N535" s="87"/>
      <c r="O535" s="197"/>
      <c r="P535" s="87" t="str">
        <f>IF($A535="","",IF($AK535=TRUE,"Ready 2 Submit","Waiting on Dealer"))</f>
        <v/>
      </c>
      <c r="Q535" s="148"/>
      <c r="R535" s="87"/>
      <c r="S535" s="87"/>
      <c r="T535" s="87" t="str">
        <f>IF($A535="","",IF($AK535=TRUE,"Ready 2 Submit","Waiting on Dealer"))</f>
        <v/>
      </c>
      <c r="U535" s="148"/>
      <c r="V535" s="87"/>
      <c r="W535" s="87"/>
      <c r="X535" s="87" t="str">
        <f>IF($A535="","",IF($AK535=TRUE,"Ready 2 Submit","Waiting on Dealer"))</f>
        <v/>
      </c>
      <c r="Y535" s="148"/>
      <c r="Z535" s="87"/>
      <c r="AA535" s="87"/>
      <c r="AB535" s="87" t="str">
        <f>IF($A535="","",IF($AK535=TRUE,"Ready 2 Submit","Waiting on Dealer"))</f>
        <v/>
      </c>
      <c r="AC535" s="148"/>
      <c r="AD535" s="87"/>
      <c r="AE535" s="87"/>
      <c r="AF535" s="87" t="str">
        <f>IF($A535="","",IF($AK535=TRUE,"Ready 2 Submit","Waiting on Dealer"))</f>
        <v/>
      </c>
      <c r="AG535" s="148"/>
      <c r="AH535" s="87"/>
      <c r="AI535" s="87"/>
      <c r="AJ535" s="197"/>
      <c r="AK535" s="110" t="b">
        <v>0</v>
      </c>
      <c r="AL535" s="87" t="str" cm="1">
        <f t="array" ref="AL535">IF($A535="","",SUMPRODUCT((CHOOSE({1,2,3,4,5},$R535,$V535,$Z535,$AD535,$AH535)="Yes")*(((CHOOSE({1,2,3,4,5},$S535,$W535,$AA535,$AE535,$AI535)="Yes")+(CHOOSE({1,2,3,4,5},$S535,$W535,$AA535,$AE535,$AI535)=TRUE))&gt;0)))</f>
        <v/>
      </c>
      <c r="AM535" s="87"/>
      <c r="AN535" s="87" t="str">
        <f ca="1">IF(OR($A535="",$AM535=""),"",TODAY()-$AM535)</f>
        <v/>
      </c>
      <c r="AO535" s="87"/>
      <c r="AP535" s="106"/>
      <c r="AQ535" s="106"/>
      <c r="AR535" s="106"/>
      <c r="AS535" s="106"/>
      <c r="AT535" s="106"/>
      <c r="AU535" s="106"/>
      <c r="AV535" s="106"/>
      <c r="AW535" s="106"/>
      <c r="AX535" s="106"/>
      <c r="AY535" s="106"/>
    </row>
    <row r="536" spans="1:51" s="20" customFormat="1" ht="21" customHeight="1">
      <c r="A536" s="197"/>
      <c r="B536" s="87"/>
      <c r="C536" s="87"/>
      <c r="D536" s="196"/>
      <c r="E536" s="108"/>
      <c r="F536" s="196"/>
      <c r="G536" s="87"/>
      <c r="H536" s="197"/>
      <c r="I536" s="89"/>
      <c r="J536" s="204"/>
      <c r="K536" s="87"/>
      <c r="L536" s="87" t="str" cm="1">
        <f t="array" ref="L536">IF($A536="","",_xlfn.LET(_xlpm.stat,CHOOSE({1,2,3,4,5},$P536,$T536,$X536,$AB536,$AF536),_xlpm.rate,CHOOSE({1,2,3,4,5},$R536,$V536,$Z536,$AD536,$AH536),_xlpm.trn,CHOOSE({1,2,3,4,5},$S536,$W536,$AA536,$AE536,$AI536),_xlpm.nsC,SUMPRODUCT(--(_xlpm.stat="Ready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DLR",IF(AND(_xlpm.actRS&gt;0,_xlpm.actDone&lt;_xlpm.actRS),"Training",IF(_xlpm.actRS&gt;0,"Active",IF(AND(_xlpm.decC&gt;0,_xlpm.inPlay+_xlpm.actC=0),"Dead",IF(AND($AJ536&lt;&gt;"",$AK536=FALSE),"Waiting on Dealer",IF(_xlpm.subC&gt;0,"Waiting on Lender",IF(AND(_xlpm.appC+_xlpm.actC&gt;0,_xlpm.nsC+_xlpm.wdC=0),"Rate Sheet","Application Submitted")))))))))</f>
        <v/>
      </c>
      <c r="M536" s="87"/>
      <c r="N536" s="87"/>
      <c r="O536" s="197"/>
      <c r="P536" s="87" t="str">
        <f>IF($A536="","",IF($AK536=TRUE,"Ready 2 Submit","Waiting on Dealer"))</f>
        <v/>
      </c>
      <c r="Q536" s="148"/>
      <c r="R536" s="87"/>
      <c r="S536" s="87"/>
      <c r="T536" s="87" t="str">
        <f>IF($A536="","",IF($AK536=TRUE,"Ready 2 Submit","Waiting on Dealer"))</f>
        <v/>
      </c>
      <c r="U536" s="148"/>
      <c r="V536" s="87"/>
      <c r="W536" s="87"/>
      <c r="X536" s="87" t="str">
        <f>IF($A536="","",IF($AK536=TRUE,"Ready 2 Submit","Waiting on Dealer"))</f>
        <v/>
      </c>
      <c r="Y536" s="148"/>
      <c r="Z536" s="87"/>
      <c r="AA536" s="87"/>
      <c r="AB536" s="87" t="str">
        <f>IF($A536="","",IF($AK536=TRUE,"Ready 2 Submit","Waiting on Dealer"))</f>
        <v/>
      </c>
      <c r="AC536" s="148"/>
      <c r="AD536" s="87"/>
      <c r="AE536" s="87"/>
      <c r="AF536" s="87" t="str">
        <f>IF($A536="","",IF($AK536=TRUE,"Ready 2 Submit","Waiting on Dealer"))</f>
        <v/>
      </c>
      <c r="AG536" s="148"/>
      <c r="AH536" s="87"/>
      <c r="AI536" s="87"/>
      <c r="AJ536" s="197"/>
      <c r="AK536" s="110" t="b">
        <v>0</v>
      </c>
      <c r="AL536" s="87" t="str" cm="1">
        <f t="array" ref="AL536">IF($A536="","",SUMPRODUCT((CHOOSE({1,2,3,4,5},$R536,$V536,$Z536,$AD536,$AH536)="Yes")*(((CHOOSE({1,2,3,4,5},$S536,$W536,$AA536,$AE536,$AI536)="Yes")+(CHOOSE({1,2,3,4,5},$S536,$W536,$AA536,$AE536,$AI536)=TRUE))&gt;0)))</f>
        <v/>
      </c>
      <c r="AM536" s="87"/>
      <c r="AN536" s="87" t="str">
        <f ca="1">IF(OR($A536="",$AM536=""),"",TODAY()-$AM536)</f>
        <v/>
      </c>
      <c r="AO536" s="87"/>
      <c r="AP536" s="106"/>
      <c r="AQ536" s="106"/>
      <c r="AR536" s="106"/>
      <c r="AS536" s="106"/>
      <c r="AT536" s="106"/>
      <c r="AU536" s="106"/>
      <c r="AV536" s="106"/>
      <c r="AW536" s="106"/>
      <c r="AX536" s="106"/>
      <c r="AY536" s="106"/>
    </row>
    <row r="537" spans="1:51" s="20" customFormat="1" ht="21" customHeight="1">
      <c r="A537" s="197"/>
      <c r="B537" s="87"/>
      <c r="C537" s="87"/>
      <c r="D537" s="196"/>
      <c r="E537" s="108"/>
      <c r="F537" s="196"/>
      <c r="G537" s="87"/>
      <c r="H537" s="197"/>
      <c r="I537" s="89"/>
      <c r="J537" s="204"/>
      <c r="K537" s="87"/>
      <c r="L537" s="87" t="str" cm="1">
        <f t="array" ref="L537">IF($A537="","",_xlfn.LET(_xlpm.stat,CHOOSE({1,2,3,4,5},$P537,$T537,$X537,$AB537,$AF537),_xlpm.rate,CHOOSE({1,2,3,4,5},$R537,$V537,$Z537,$AD537,$AH537),_xlpm.trn,CHOOSE({1,2,3,4,5},$S537,$W537,$AA537,$AE537,$AI537),_xlpm.nsC,SUMPRODUCT(--(_xlpm.stat="Ready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DLR",IF(AND(_xlpm.actRS&gt;0,_xlpm.actDone&lt;_xlpm.actRS),"Training",IF(_xlpm.actRS&gt;0,"Active",IF(AND(_xlpm.decC&gt;0,_xlpm.inPlay+_xlpm.actC=0),"Dead",IF(AND($AJ537&lt;&gt;"",$AK537=FALSE),"Waiting on Dealer",IF(_xlpm.subC&gt;0,"Waiting on Lender",IF(AND(_xlpm.appC+_xlpm.actC&gt;0,_xlpm.nsC+_xlpm.wdC=0),"Rate Sheet","Application Submitted")))))))))</f>
        <v/>
      </c>
      <c r="M537" s="87"/>
      <c r="N537" s="87"/>
      <c r="O537" s="197"/>
      <c r="P537" s="87" t="str">
        <f>IF($A537="","",IF($AK537=TRUE,"Ready 2 Submit","Waiting on Dealer"))</f>
        <v/>
      </c>
      <c r="Q537" s="148"/>
      <c r="R537" s="87"/>
      <c r="S537" s="87"/>
      <c r="T537" s="87" t="str">
        <f>IF($A537="","",IF($AK537=TRUE,"Ready 2 Submit","Waiting on Dealer"))</f>
        <v/>
      </c>
      <c r="U537" s="148"/>
      <c r="V537" s="87"/>
      <c r="W537" s="87"/>
      <c r="X537" s="87" t="str">
        <f>IF($A537="","",IF($AK537=TRUE,"Ready 2 Submit","Waiting on Dealer"))</f>
        <v/>
      </c>
      <c r="Y537" s="148"/>
      <c r="Z537" s="87"/>
      <c r="AA537" s="87"/>
      <c r="AB537" s="87" t="str">
        <f>IF($A537="","",IF($AK537=TRUE,"Ready 2 Submit","Waiting on Dealer"))</f>
        <v/>
      </c>
      <c r="AC537" s="148"/>
      <c r="AD537" s="87"/>
      <c r="AE537" s="87"/>
      <c r="AF537" s="87" t="str">
        <f>IF($A537="","",IF($AK537=TRUE,"Ready 2 Submit","Waiting on Dealer"))</f>
        <v/>
      </c>
      <c r="AG537" s="148"/>
      <c r="AH537" s="87"/>
      <c r="AI537" s="87"/>
      <c r="AJ537" s="197"/>
      <c r="AK537" s="110" t="b">
        <v>0</v>
      </c>
      <c r="AL537" s="87" t="str" cm="1">
        <f t="array" ref="AL537">IF($A537="","",SUMPRODUCT((CHOOSE({1,2,3,4,5},$R537,$V537,$Z537,$AD537,$AH537)="Yes")*(((CHOOSE({1,2,3,4,5},$S537,$W537,$AA537,$AE537,$AI537)="Yes")+(CHOOSE({1,2,3,4,5},$S537,$W537,$AA537,$AE537,$AI537)=TRUE))&gt;0)))</f>
        <v/>
      </c>
      <c r="AM537" s="87"/>
      <c r="AN537" s="87" t="str">
        <f ca="1">IF(OR($A537="",$AM537=""),"",TODAY()-$AM537)</f>
        <v/>
      </c>
      <c r="AO537" s="87"/>
      <c r="AP537" s="106"/>
      <c r="AQ537" s="106"/>
      <c r="AR537" s="106"/>
      <c r="AS537" s="106"/>
      <c r="AT537" s="106"/>
      <c r="AU537" s="106"/>
      <c r="AV537" s="106"/>
      <c r="AW537" s="106"/>
      <c r="AX537" s="106"/>
      <c r="AY537" s="106"/>
    </row>
    <row r="538" spans="1:51" s="20" customFormat="1" ht="21" customHeight="1">
      <c r="A538" s="197"/>
      <c r="B538" s="87"/>
      <c r="C538" s="87"/>
      <c r="D538" s="196"/>
      <c r="E538" s="108"/>
      <c r="F538" s="196"/>
      <c r="G538" s="87"/>
      <c r="H538" s="197"/>
      <c r="I538" s="89"/>
      <c r="J538" s="204"/>
      <c r="K538" s="87"/>
      <c r="L538" s="87" t="str" cm="1">
        <f t="array" ref="L538">IF($A538="","",_xlfn.LET(_xlpm.stat,CHOOSE({1,2,3,4,5},$P538,$T538,$X538,$AB538,$AF538),_xlpm.rate,CHOOSE({1,2,3,4,5},$R538,$V538,$Z538,$AD538,$AH538),_xlpm.trn,CHOOSE({1,2,3,4,5},$S538,$W538,$AA538,$AE538,$AI538),_xlpm.nsC,SUMPRODUCT(--(_xlpm.stat="Ready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DLR",IF(AND(_xlpm.actRS&gt;0,_xlpm.actDone&lt;_xlpm.actRS),"Training",IF(_xlpm.actRS&gt;0,"Active",IF(AND(_xlpm.decC&gt;0,_xlpm.inPlay+_xlpm.actC=0),"Dead",IF(AND($AJ538&lt;&gt;"",$AK538=FALSE),"Waiting on Dealer",IF(_xlpm.subC&gt;0,"Waiting on Lender",IF(AND(_xlpm.appC+_xlpm.actC&gt;0,_xlpm.nsC+_xlpm.wdC=0),"Rate Sheet","Application Submitted")))))))))</f>
        <v/>
      </c>
      <c r="M538" s="87"/>
      <c r="N538" s="87"/>
      <c r="O538" s="197"/>
      <c r="P538" s="87" t="str">
        <f>IF($A538="","",IF($AK538=TRUE,"Ready 2 Submit","Waiting on Dealer"))</f>
        <v/>
      </c>
      <c r="Q538" s="148"/>
      <c r="R538" s="87"/>
      <c r="S538" s="87"/>
      <c r="T538" s="87" t="str">
        <f>IF($A538="","",IF($AK538=TRUE,"Ready 2 Submit","Waiting on Dealer"))</f>
        <v/>
      </c>
      <c r="U538" s="148"/>
      <c r="V538" s="87"/>
      <c r="W538" s="87"/>
      <c r="X538" s="87" t="str">
        <f>IF($A538="","",IF($AK538=TRUE,"Ready 2 Submit","Waiting on Dealer"))</f>
        <v/>
      </c>
      <c r="Y538" s="148"/>
      <c r="Z538" s="87"/>
      <c r="AA538" s="87"/>
      <c r="AB538" s="87" t="str">
        <f>IF($A538="","",IF($AK538=TRUE,"Ready 2 Submit","Waiting on Dealer"))</f>
        <v/>
      </c>
      <c r="AC538" s="148"/>
      <c r="AD538" s="87"/>
      <c r="AE538" s="87"/>
      <c r="AF538" s="87" t="str">
        <f>IF($A538="","",IF($AK538=TRUE,"Ready 2 Submit","Waiting on Dealer"))</f>
        <v/>
      </c>
      <c r="AG538" s="148"/>
      <c r="AH538" s="87"/>
      <c r="AI538" s="87"/>
      <c r="AJ538" s="197"/>
      <c r="AK538" s="110" t="b">
        <v>0</v>
      </c>
      <c r="AL538" s="87" t="str" cm="1">
        <f t="array" ref="AL538">IF($A538="","",SUMPRODUCT((CHOOSE({1,2,3,4,5},$R538,$V538,$Z538,$AD538,$AH538)="Yes")*(((CHOOSE({1,2,3,4,5},$S538,$W538,$AA538,$AE538,$AI538)="Yes")+(CHOOSE({1,2,3,4,5},$S538,$W538,$AA538,$AE538,$AI538)=TRUE))&gt;0)))</f>
        <v/>
      </c>
      <c r="AM538" s="87"/>
      <c r="AN538" s="87" t="str">
        <f ca="1">IF(OR($A538="",$AM538=""),"",TODAY()-$AM538)</f>
        <v/>
      </c>
      <c r="AO538" s="87"/>
      <c r="AP538" s="106"/>
      <c r="AQ538" s="106"/>
      <c r="AR538" s="106"/>
      <c r="AS538" s="106"/>
      <c r="AT538" s="106"/>
      <c r="AU538" s="106"/>
      <c r="AV538" s="106"/>
      <c r="AW538" s="106"/>
      <c r="AX538" s="106"/>
      <c r="AY538" s="106"/>
    </row>
    <row r="539" spans="1:51" s="20" customFormat="1" ht="21" customHeight="1">
      <c r="A539" s="197"/>
      <c r="B539" s="87"/>
      <c r="C539" s="87"/>
      <c r="D539" s="196"/>
      <c r="E539" s="108"/>
      <c r="F539" s="196"/>
      <c r="G539" s="87"/>
      <c r="H539" s="197"/>
      <c r="I539" s="89"/>
      <c r="J539" s="204"/>
      <c r="K539" s="87"/>
      <c r="L539" s="87" t="str" cm="1">
        <f t="array" ref="L539">IF($A539="","",_xlfn.LET(_xlpm.stat,CHOOSE({1,2,3,4,5},$P539,$T539,$X539,$AB539,$AF539),_xlpm.rate,CHOOSE({1,2,3,4,5},$R539,$V539,$Z539,$AD539,$AH539),_xlpm.trn,CHOOSE({1,2,3,4,5},$S539,$W539,$AA539,$AE539,$AI539),_xlpm.nsC,SUMPRODUCT(--(_xlpm.stat="Ready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DLR",IF(AND(_xlpm.actRS&gt;0,_xlpm.actDone&lt;_xlpm.actRS),"Training",IF(_xlpm.actRS&gt;0,"Active",IF(AND(_xlpm.decC&gt;0,_xlpm.inPlay+_xlpm.actC=0),"Dead",IF(AND($AJ539&lt;&gt;"",$AK539=FALSE),"Waiting on Dealer",IF(_xlpm.subC&gt;0,"Waiting on Lender",IF(AND(_xlpm.appC+_xlpm.actC&gt;0,_xlpm.nsC+_xlpm.wdC=0),"Rate Sheet","Application Submitted")))))))))</f>
        <v/>
      </c>
      <c r="M539" s="87"/>
      <c r="N539" s="87"/>
      <c r="O539" s="197"/>
      <c r="P539" s="87" t="str">
        <f>IF($A539="","",IF($AK539=TRUE,"Ready 2 Submit","Waiting on Dealer"))</f>
        <v/>
      </c>
      <c r="Q539" s="148"/>
      <c r="R539" s="87"/>
      <c r="S539" s="87"/>
      <c r="T539" s="87" t="str">
        <f>IF($A539="","",IF($AK539=TRUE,"Ready 2 Submit","Waiting on Dealer"))</f>
        <v/>
      </c>
      <c r="U539" s="148"/>
      <c r="V539" s="87"/>
      <c r="W539" s="87"/>
      <c r="X539" s="87" t="str">
        <f>IF($A539="","",IF($AK539=TRUE,"Ready 2 Submit","Waiting on Dealer"))</f>
        <v/>
      </c>
      <c r="Y539" s="148"/>
      <c r="Z539" s="87"/>
      <c r="AA539" s="87"/>
      <c r="AB539" s="87" t="str">
        <f>IF($A539="","",IF($AK539=TRUE,"Ready 2 Submit","Waiting on Dealer"))</f>
        <v/>
      </c>
      <c r="AC539" s="148"/>
      <c r="AD539" s="87"/>
      <c r="AE539" s="87"/>
      <c r="AF539" s="87" t="str">
        <f>IF($A539="","",IF($AK539=TRUE,"Ready 2 Submit","Waiting on Dealer"))</f>
        <v/>
      </c>
      <c r="AG539" s="148"/>
      <c r="AH539" s="87"/>
      <c r="AI539" s="87"/>
      <c r="AJ539" s="197"/>
      <c r="AK539" s="110" t="b">
        <v>0</v>
      </c>
      <c r="AL539" s="87" t="str" cm="1">
        <f t="array" ref="AL539">IF($A539="","",SUMPRODUCT((CHOOSE({1,2,3,4,5},$R539,$V539,$Z539,$AD539,$AH539)="Yes")*(((CHOOSE({1,2,3,4,5},$S539,$W539,$AA539,$AE539,$AI539)="Yes")+(CHOOSE({1,2,3,4,5},$S539,$W539,$AA539,$AE539,$AI539)=TRUE))&gt;0)))</f>
        <v/>
      </c>
      <c r="AM539" s="87"/>
      <c r="AN539" s="87" t="str">
        <f ca="1">IF(OR($A539="",$AM539=""),"",TODAY()-$AM539)</f>
        <v/>
      </c>
      <c r="AO539" s="87"/>
      <c r="AP539" s="106"/>
      <c r="AQ539" s="106"/>
      <c r="AR539" s="106"/>
      <c r="AS539" s="106"/>
      <c r="AT539" s="106"/>
      <c r="AU539" s="106"/>
      <c r="AV539" s="106"/>
      <c r="AW539" s="106"/>
      <c r="AX539" s="106"/>
      <c r="AY539" s="106"/>
    </row>
    <row r="540" spans="1:51" s="20" customFormat="1" ht="21" customHeight="1">
      <c r="A540" s="197"/>
      <c r="B540" s="87"/>
      <c r="C540" s="87"/>
      <c r="D540" s="196"/>
      <c r="E540" s="108"/>
      <c r="F540" s="196"/>
      <c r="G540" s="87"/>
      <c r="H540" s="197"/>
      <c r="I540" s="89"/>
      <c r="J540" s="204"/>
      <c r="K540" s="87"/>
      <c r="L540" s="87" t="str" cm="1">
        <f t="array" ref="L540">IF($A540="","",_xlfn.LET(_xlpm.stat,CHOOSE({1,2,3,4,5},$P540,$T540,$X540,$AB540,$AF540),_xlpm.rate,CHOOSE({1,2,3,4,5},$R540,$V540,$Z540,$AD540,$AH540),_xlpm.trn,CHOOSE({1,2,3,4,5},$S540,$W540,$AA540,$AE540,$AI540),_xlpm.nsC,SUMPRODUCT(--(_xlpm.stat="Ready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DLR",IF(AND(_xlpm.actRS&gt;0,_xlpm.actDone&lt;_xlpm.actRS),"Training",IF(_xlpm.actRS&gt;0,"Active",IF(AND(_xlpm.decC&gt;0,_xlpm.inPlay+_xlpm.actC=0),"Dead",IF(AND($AJ540&lt;&gt;"",$AK540=FALSE),"Waiting on Dealer",IF(_xlpm.subC&gt;0,"Waiting on Lender",IF(AND(_xlpm.appC+_xlpm.actC&gt;0,_xlpm.nsC+_xlpm.wdC=0),"Rate Sheet","Application Submitted")))))))))</f>
        <v/>
      </c>
      <c r="M540" s="87"/>
      <c r="N540" s="87"/>
      <c r="O540" s="197"/>
      <c r="P540" s="87" t="str">
        <f>IF($A540="","",IF($AK540=TRUE,"Ready 2 Submit","Waiting on Dealer"))</f>
        <v/>
      </c>
      <c r="Q540" s="148"/>
      <c r="R540" s="87"/>
      <c r="S540" s="87"/>
      <c r="T540" s="87" t="str">
        <f>IF($A540="","",IF($AK540=TRUE,"Ready 2 Submit","Waiting on Dealer"))</f>
        <v/>
      </c>
      <c r="U540" s="148"/>
      <c r="V540" s="87"/>
      <c r="W540" s="87"/>
      <c r="X540" s="87" t="str">
        <f>IF($A540="","",IF($AK540=TRUE,"Ready 2 Submit","Waiting on Dealer"))</f>
        <v/>
      </c>
      <c r="Y540" s="148"/>
      <c r="Z540" s="87"/>
      <c r="AA540" s="87"/>
      <c r="AB540" s="87" t="str">
        <f>IF($A540="","",IF($AK540=TRUE,"Ready 2 Submit","Waiting on Dealer"))</f>
        <v/>
      </c>
      <c r="AC540" s="148"/>
      <c r="AD540" s="87"/>
      <c r="AE540" s="87"/>
      <c r="AF540" s="87" t="str">
        <f>IF($A540="","",IF($AK540=TRUE,"Ready 2 Submit","Waiting on Dealer"))</f>
        <v/>
      </c>
      <c r="AG540" s="148"/>
      <c r="AH540" s="87"/>
      <c r="AI540" s="87"/>
      <c r="AJ540" s="197"/>
      <c r="AK540" s="110" t="b">
        <v>0</v>
      </c>
      <c r="AL540" s="87" t="str" cm="1">
        <f t="array" ref="AL540">IF($A540="","",SUMPRODUCT((CHOOSE({1,2,3,4,5},$R540,$V540,$Z540,$AD540,$AH540)="Yes")*(((CHOOSE({1,2,3,4,5},$S540,$W540,$AA540,$AE540,$AI540)="Yes")+(CHOOSE({1,2,3,4,5},$S540,$W540,$AA540,$AE540,$AI540)=TRUE))&gt;0)))</f>
        <v/>
      </c>
      <c r="AM540" s="87"/>
      <c r="AN540" s="87" t="str">
        <f ca="1">IF(OR($A540="",$AM540=""),"",TODAY()-$AM540)</f>
        <v/>
      </c>
      <c r="AO540" s="87"/>
      <c r="AP540" s="106"/>
      <c r="AQ540" s="106"/>
      <c r="AR540" s="106"/>
      <c r="AS540" s="106"/>
      <c r="AT540" s="106"/>
      <c r="AU540" s="106"/>
      <c r="AV540" s="106"/>
      <c r="AW540" s="106"/>
      <c r="AX540" s="106"/>
      <c r="AY540" s="106"/>
    </row>
    <row r="541" spans="1:51" s="20" customFormat="1" ht="21" customHeight="1">
      <c r="A541" s="197"/>
      <c r="B541" s="87"/>
      <c r="C541" s="87"/>
      <c r="D541" s="196"/>
      <c r="E541" s="108"/>
      <c r="F541" s="196"/>
      <c r="G541" s="87"/>
      <c r="H541" s="197"/>
      <c r="I541" s="89"/>
      <c r="J541" s="204"/>
      <c r="K541" s="87"/>
      <c r="L541" s="87" t="str" cm="1">
        <f t="array" ref="L541">IF($A541="","",_xlfn.LET(_xlpm.stat,CHOOSE({1,2,3,4,5},$P541,$T541,$X541,$AB541,$AF541),_xlpm.rate,CHOOSE({1,2,3,4,5},$R541,$V541,$Z541,$AD541,$AH541),_xlpm.trn,CHOOSE({1,2,3,4,5},$S541,$W541,$AA541,$AE541,$AI541),_xlpm.nsC,SUMPRODUCT(--(_xlpm.stat="Ready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DLR",IF(AND(_xlpm.actRS&gt;0,_xlpm.actDone&lt;_xlpm.actRS),"Training",IF(_xlpm.actRS&gt;0,"Active",IF(AND(_xlpm.decC&gt;0,_xlpm.inPlay+_xlpm.actC=0),"Dead",IF(AND($AJ541&lt;&gt;"",$AK541=FALSE),"Waiting on Dealer",IF(_xlpm.subC&gt;0,"Waiting on Lender",IF(AND(_xlpm.appC+_xlpm.actC&gt;0,_xlpm.nsC+_xlpm.wdC=0),"Rate Sheet","Application Submitted")))))))))</f>
        <v/>
      </c>
      <c r="M541" s="87"/>
      <c r="N541" s="87"/>
      <c r="O541" s="197"/>
      <c r="P541" s="87" t="str">
        <f>IF($A541="","",IF($AK541=TRUE,"Ready 2 Submit","Waiting on Dealer"))</f>
        <v/>
      </c>
      <c r="Q541" s="148"/>
      <c r="R541" s="87"/>
      <c r="S541" s="87"/>
      <c r="T541" s="87" t="str">
        <f>IF($A541="","",IF($AK541=TRUE,"Ready 2 Submit","Waiting on Dealer"))</f>
        <v/>
      </c>
      <c r="U541" s="148"/>
      <c r="V541" s="87"/>
      <c r="W541" s="87"/>
      <c r="X541" s="87" t="str">
        <f>IF($A541="","",IF($AK541=TRUE,"Ready 2 Submit","Waiting on Dealer"))</f>
        <v/>
      </c>
      <c r="Y541" s="148"/>
      <c r="Z541" s="87"/>
      <c r="AA541" s="87"/>
      <c r="AB541" s="87" t="str">
        <f>IF($A541="","",IF($AK541=TRUE,"Ready 2 Submit","Waiting on Dealer"))</f>
        <v/>
      </c>
      <c r="AC541" s="148"/>
      <c r="AD541" s="87"/>
      <c r="AE541" s="87"/>
      <c r="AF541" s="87" t="str">
        <f>IF($A541="","",IF($AK541=TRUE,"Ready 2 Submit","Waiting on Dealer"))</f>
        <v/>
      </c>
      <c r="AG541" s="148"/>
      <c r="AH541" s="87"/>
      <c r="AI541" s="87"/>
      <c r="AJ541" s="197"/>
      <c r="AK541" s="110" t="b">
        <v>0</v>
      </c>
      <c r="AL541" s="87" t="str" cm="1">
        <f t="array" ref="AL541">IF($A541="","",SUMPRODUCT((CHOOSE({1,2,3,4,5},$R541,$V541,$Z541,$AD541,$AH541)="Yes")*(((CHOOSE({1,2,3,4,5},$S541,$W541,$AA541,$AE541,$AI541)="Yes")+(CHOOSE({1,2,3,4,5},$S541,$W541,$AA541,$AE541,$AI541)=TRUE))&gt;0)))</f>
        <v/>
      </c>
      <c r="AM541" s="87"/>
      <c r="AN541" s="87" t="str">
        <f ca="1">IF(OR($A541="",$AM541=""),"",TODAY()-$AM541)</f>
        <v/>
      </c>
      <c r="AO541" s="87"/>
      <c r="AP541" s="106"/>
      <c r="AQ541" s="106"/>
      <c r="AR541" s="106"/>
      <c r="AS541" s="106"/>
      <c r="AT541" s="106"/>
      <c r="AU541" s="106"/>
      <c r="AV541" s="106"/>
      <c r="AW541" s="106"/>
      <c r="AX541" s="106"/>
      <c r="AY541" s="106"/>
    </row>
    <row r="542" spans="1:51" s="20" customFormat="1" ht="21" customHeight="1">
      <c r="A542" s="197"/>
      <c r="B542" s="87"/>
      <c r="C542" s="87"/>
      <c r="D542" s="196"/>
      <c r="E542" s="108"/>
      <c r="F542" s="196"/>
      <c r="G542" s="87"/>
      <c r="H542" s="197"/>
      <c r="I542" s="89"/>
      <c r="J542" s="204"/>
      <c r="K542" s="87"/>
      <c r="L542" s="87" t="str" cm="1">
        <f t="array" ref="L542">IF($A542="","",_xlfn.LET(_xlpm.stat,CHOOSE({1,2,3,4,5},$P542,$T542,$X542,$AB542,$AF542),_xlpm.rate,CHOOSE({1,2,3,4,5},$R542,$V542,$Z542,$AD542,$AH542),_xlpm.trn,CHOOSE({1,2,3,4,5},$S542,$W542,$AA542,$AE542,$AI542),_xlpm.nsC,SUMPRODUCT(--(_xlpm.stat="Ready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DLR",IF(AND(_xlpm.actRS&gt;0,_xlpm.actDone&lt;_xlpm.actRS),"Training",IF(_xlpm.actRS&gt;0,"Active",IF(AND(_xlpm.decC&gt;0,_xlpm.inPlay+_xlpm.actC=0),"Dead",IF(AND($AJ542&lt;&gt;"",$AK542=FALSE),"Waiting on Dealer",IF(_xlpm.subC&gt;0,"Waiting on Lender",IF(AND(_xlpm.appC+_xlpm.actC&gt;0,_xlpm.nsC+_xlpm.wdC=0),"Rate Sheet","Application Submitted")))))))))</f>
        <v/>
      </c>
      <c r="M542" s="87"/>
      <c r="N542" s="87"/>
      <c r="O542" s="197"/>
      <c r="P542" s="87" t="str">
        <f>IF($A542="","",IF($AK542=TRUE,"Ready 2 Submit","Waiting on Dealer"))</f>
        <v/>
      </c>
      <c r="Q542" s="148"/>
      <c r="R542" s="87"/>
      <c r="S542" s="87"/>
      <c r="T542" s="87" t="str">
        <f>IF($A542="","",IF($AK542=TRUE,"Ready 2 Submit","Waiting on Dealer"))</f>
        <v/>
      </c>
      <c r="U542" s="148"/>
      <c r="V542" s="87"/>
      <c r="W542" s="87"/>
      <c r="X542" s="87" t="str">
        <f>IF($A542="","",IF($AK542=TRUE,"Ready 2 Submit","Waiting on Dealer"))</f>
        <v/>
      </c>
      <c r="Y542" s="148"/>
      <c r="Z542" s="87"/>
      <c r="AA542" s="87"/>
      <c r="AB542" s="87" t="str">
        <f>IF($A542="","",IF($AK542=TRUE,"Ready 2 Submit","Waiting on Dealer"))</f>
        <v/>
      </c>
      <c r="AC542" s="148"/>
      <c r="AD542" s="87"/>
      <c r="AE542" s="87"/>
      <c r="AF542" s="87" t="str">
        <f>IF($A542="","",IF($AK542=TRUE,"Ready 2 Submit","Waiting on Dealer"))</f>
        <v/>
      </c>
      <c r="AG542" s="148"/>
      <c r="AH542" s="87"/>
      <c r="AI542" s="87"/>
      <c r="AJ542" s="197"/>
      <c r="AK542" s="110" t="b">
        <v>0</v>
      </c>
      <c r="AL542" s="87" t="str" cm="1">
        <f t="array" ref="AL542">IF($A542="","",SUMPRODUCT((CHOOSE({1,2,3,4,5},$R542,$V542,$Z542,$AD542,$AH542)="Yes")*(((CHOOSE({1,2,3,4,5},$S542,$W542,$AA542,$AE542,$AI542)="Yes")+(CHOOSE({1,2,3,4,5},$S542,$W542,$AA542,$AE542,$AI542)=TRUE))&gt;0)))</f>
        <v/>
      </c>
      <c r="AM542" s="87"/>
      <c r="AN542" s="87" t="str">
        <f ca="1">IF(OR($A542="",$AM542=""),"",TODAY()-$AM542)</f>
        <v/>
      </c>
      <c r="AO542" s="87"/>
      <c r="AP542" s="106"/>
      <c r="AQ542" s="106"/>
      <c r="AR542" s="106"/>
      <c r="AS542" s="106"/>
      <c r="AT542" s="106"/>
      <c r="AU542" s="106"/>
      <c r="AV542" s="106"/>
      <c r="AW542" s="106"/>
      <c r="AX542" s="106"/>
      <c r="AY542" s="106"/>
    </row>
    <row r="543" spans="1:51" s="20" customFormat="1" ht="21" customHeight="1">
      <c r="A543" s="197"/>
      <c r="B543" s="87"/>
      <c r="C543" s="87"/>
      <c r="D543" s="196"/>
      <c r="E543" s="108"/>
      <c r="F543" s="196"/>
      <c r="G543" s="87"/>
      <c r="H543" s="197"/>
      <c r="I543" s="89"/>
      <c r="J543" s="204"/>
      <c r="K543" s="87"/>
      <c r="L543" s="87" t="str" cm="1">
        <f t="array" ref="L543">IF($A543="","",_xlfn.LET(_xlpm.stat,CHOOSE({1,2,3,4,5},$P543,$T543,$X543,$AB543,$AF543),_xlpm.rate,CHOOSE({1,2,3,4,5},$R543,$V543,$Z543,$AD543,$AH543),_xlpm.trn,CHOOSE({1,2,3,4,5},$S543,$W543,$AA543,$AE543,$AI543),_xlpm.nsC,SUMPRODUCT(--(_xlpm.stat="Ready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DLR",IF(AND(_xlpm.actRS&gt;0,_xlpm.actDone&lt;_xlpm.actRS),"Training",IF(_xlpm.actRS&gt;0,"Active",IF(AND(_xlpm.decC&gt;0,_xlpm.inPlay+_xlpm.actC=0),"Dead",IF(AND($AJ543&lt;&gt;"",$AK543=FALSE),"Waiting on Dealer",IF(_xlpm.subC&gt;0,"Waiting on Lender",IF(AND(_xlpm.appC+_xlpm.actC&gt;0,_xlpm.nsC+_xlpm.wdC=0),"Rate Sheet","Application Submitted")))))))))</f>
        <v/>
      </c>
      <c r="M543" s="87"/>
      <c r="N543" s="87"/>
      <c r="O543" s="197"/>
      <c r="P543" s="87" t="str">
        <f>IF($A543="","",IF($AK543=TRUE,"Ready 2 Submit","Waiting on Dealer"))</f>
        <v/>
      </c>
      <c r="Q543" s="148"/>
      <c r="R543" s="87"/>
      <c r="S543" s="87"/>
      <c r="T543" s="87" t="str">
        <f>IF($A543="","",IF($AK543=TRUE,"Ready 2 Submit","Waiting on Dealer"))</f>
        <v/>
      </c>
      <c r="U543" s="148"/>
      <c r="V543" s="87"/>
      <c r="W543" s="87"/>
      <c r="X543" s="87" t="str">
        <f>IF($A543="","",IF($AK543=TRUE,"Ready 2 Submit","Waiting on Dealer"))</f>
        <v/>
      </c>
      <c r="Y543" s="148"/>
      <c r="Z543" s="87"/>
      <c r="AA543" s="87"/>
      <c r="AB543" s="87" t="str">
        <f>IF($A543="","",IF($AK543=TRUE,"Ready 2 Submit","Waiting on Dealer"))</f>
        <v/>
      </c>
      <c r="AC543" s="148"/>
      <c r="AD543" s="87"/>
      <c r="AE543" s="87"/>
      <c r="AF543" s="87" t="str">
        <f>IF($A543="","",IF($AK543=TRUE,"Ready 2 Submit","Waiting on Dealer"))</f>
        <v/>
      </c>
      <c r="AG543" s="148"/>
      <c r="AH543" s="87"/>
      <c r="AI543" s="87"/>
      <c r="AJ543" s="197"/>
      <c r="AK543" s="110" t="b">
        <v>0</v>
      </c>
      <c r="AL543" s="87" t="str" cm="1">
        <f t="array" ref="AL543">IF($A543="","",SUMPRODUCT((CHOOSE({1,2,3,4,5},$R543,$V543,$Z543,$AD543,$AH543)="Yes")*(((CHOOSE({1,2,3,4,5},$S543,$W543,$AA543,$AE543,$AI543)="Yes")+(CHOOSE({1,2,3,4,5},$S543,$W543,$AA543,$AE543,$AI543)=TRUE))&gt;0)))</f>
        <v/>
      </c>
      <c r="AM543" s="87"/>
      <c r="AN543" s="87" t="str">
        <f ca="1">IF(OR($A543="",$AM543=""),"",TODAY()-$AM543)</f>
        <v/>
      </c>
      <c r="AO543" s="87"/>
      <c r="AP543" s="106"/>
      <c r="AQ543" s="106"/>
      <c r="AR543" s="106"/>
      <c r="AS543" s="106"/>
      <c r="AT543" s="106"/>
      <c r="AU543" s="106"/>
      <c r="AV543" s="106"/>
      <c r="AW543" s="106"/>
      <c r="AX543" s="106"/>
      <c r="AY543" s="106"/>
    </row>
    <row r="544" spans="1:51" s="20" customFormat="1" ht="21" customHeight="1">
      <c r="A544" s="197"/>
      <c r="B544" s="87"/>
      <c r="C544" s="87"/>
      <c r="D544" s="196"/>
      <c r="E544" s="108"/>
      <c r="F544" s="196"/>
      <c r="G544" s="87"/>
      <c r="H544" s="197"/>
      <c r="I544" s="89"/>
      <c r="J544" s="204"/>
      <c r="K544" s="87"/>
      <c r="L544" s="87" t="str" cm="1">
        <f t="array" ref="L544">IF($A544="","",_xlfn.LET(_xlpm.stat,CHOOSE({1,2,3,4,5},$P544,$T544,$X544,$AB544,$AF544),_xlpm.rate,CHOOSE({1,2,3,4,5},$R544,$V544,$Z544,$AD544,$AH544),_xlpm.trn,CHOOSE({1,2,3,4,5},$S544,$W544,$AA544,$AE544,$AI544),_xlpm.nsC,SUMPRODUCT(--(_xlpm.stat="Ready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DLR",IF(AND(_xlpm.actRS&gt;0,_xlpm.actDone&lt;_xlpm.actRS),"Training",IF(_xlpm.actRS&gt;0,"Active",IF(AND(_xlpm.decC&gt;0,_xlpm.inPlay+_xlpm.actC=0),"Dead",IF(AND($AJ544&lt;&gt;"",$AK544=FALSE),"Waiting on Dealer",IF(_xlpm.subC&gt;0,"Waiting on Lender",IF(AND(_xlpm.appC+_xlpm.actC&gt;0,_xlpm.nsC+_xlpm.wdC=0),"Rate Sheet","Application Submitted")))))))))</f>
        <v/>
      </c>
      <c r="M544" s="87"/>
      <c r="N544" s="87"/>
      <c r="O544" s="197"/>
      <c r="P544" s="87" t="str">
        <f>IF($A544="","",IF($AK544=TRUE,"Ready 2 Submit","Waiting on Dealer"))</f>
        <v/>
      </c>
      <c r="Q544" s="148"/>
      <c r="R544" s="87"/>
      <c r="S544" s="87"/>
      <c r="T544" s="87" t="str">
        <f>IF($A544="","",IF($AK544=TRUE,"Ready 2 Submit","Waiting on Dealer"))</f>
        <v/>
      </c>
      <c r="U544" s="148"/>
      <c r="V544" s="87"/>
      <c r="W544" s="87"/>
      <c r="X544" s="87" t="str">
        <f>IF($A544="","",IF($AK544=TRUE,"Ready 2 Submit","Waiting on Dealer"))</f>
        <v/>
      </c>
      <c r="Y544" s="148"/>
      <c r="Z544" s="87"/>
      <c r="AA544" s="87"/>
      <c r="AB544" s="87" t="str">
        <f>IF($A544="","",IF($AK544=TRUE,"Ready 2 Submit","Waiting on Dealer"))</f>
        <v/>
      </c>
      <c r="AC544" s="148"/>
      <c r="AD544" s="87"/>
      <c r="AE544" s="87"/>
      <c r="AF544" s="87" t="str">
        <f>IF($A544="","",IF($AK544=TRUE,"Ready 2 Submit","Waiting on Dealer"))</f>
        <v/>
      </c>
      <c r="AG544" s="148"/>
      <c r="AH544" s="87"/>
      <c r="AI544" s="87"/>
      <c r="AJ544" s="197"/>
      <c r="AK544" s="110" t="b">
        <v>0</v>
      </c>
      <c r="AL544" s="87" t="str" cm="1">
        <f t="array" ref="AL544">IF($A544="","",SUMPRODUCT((CHOOSE({1,2,3,4,5},$R544,$V544,$Z544,$AD544,$AH544)="Yes")*(((CHOOSE({1,2,3,4,5},$S544,$W544,$AA544,$AE544,$AI544)="Yes")+(CHOOSE({1,2,3,4,5},$S544,$W544,$AA544,$AE544,$AI544)=TRUE))&gt;0)))</f>
        <v/>
      </c>
      <c r="AM544" s="87"/>
      <c r="AN544" s="87" t="str">
        <f ca="1">IF(OR($A544="",$AM544=""),"",TODAY()-$AM544)</f>
        <v/>
      </c>
      <c r="AO544" s="87"/>
      <c r="AP544" s="106"/>
      <c r="AQ544" s="106"/>
      <c r="AR544" s="106"/>
      <c r="AS544" s="106"/>
      <c r="AT544" s="106"/>
      <c r="AU544" s="106"/>
      <c r="AV544" s="106"/>
      <c r="AW544" s="106"/>
      <c r="AX544" s="106"/>
      <c r="AY544" s="106"/>
    </row>
    <row r="545" spans="1:51" s="20" customFormat="1" ht="21" customHeight="1">
      <c r="A545" s="197"/>
      <c r="B545" s="87"/>
      <c r="C545" s="87"/>
      <c r="D545" s="196"/>
      <c r="E545" s="108"/>
      <c r="F545" s="196"/>
      <c r="G545" s="87"/>
      <c r="H545" s="197"/>
      <c r="I545" s="89"/>
      <c r="J545" s="204"/>
      <c r="K545" s="87"/>
      <c r="L545" s="87" t="str" cm="1">
        <f t="array" ref="L545">IF($A545="","",_xlfn.LET(_xlpm.stat,CHOOSE({1,2,3,4,5},$P545,$T545,$X545,$AB545,$AF545),_xlpm.rate,CHOOSE({1,2,3,4,5},$R545,$V545,$Z545,$AD545,$AH545),_xlpm.trn,CHOOSE({1,2,3,4,5},$S545,$W545,$AA545,$AE545,$AI545),_xlpm.nsC,SUMPRODUCT(--(_xlpm.stat="Ready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DLR",IF(AND(_xlpm.actRS&gt;0,_xlpm.actDone&lt;_xlpm.actRS),"Training",IF(_xlpm.actRS&gt;0,"Active",IF(AND(_xlpm.decC&gt;0,_xlpm.inPlay+_xlpm.actC=0),"Dead",IF(AND($AJ545&lt;&gt;"",$AK545=FALSE),"Waiting on Dealer",IF(_xlpm.subC&gt;0,"Waiting on Lender",IF(AND(_xlpm.appC+_xlpm.actC&gt;0,_xlpm.nsC+_xlpm.wdC=0),"Rate Sheet","Application Submitted")))))))))</f>
        <v/>
      </c>
      <c r="M545" s="87"/>
      <c r="N545" s="87"/>
      <c r="O545" s="197"/>
      <c r="P545" s="87" t="str">
        <f>IF($A545="","",IF($AK545=TRUE,"Ready 2 Submit","Waiting on Dealer"))</f>
        <v/>
      </c>
      <c r="Q545" s="148"/>
      <c r="R545" s="87"/>
      <c r="S545" s="87"/>
      <c r="T545" s="87" t="str">
        <f>IF($A545="","",IF($AK545=TRUE,"Ready 2 Submit","Waiting on Dealer"))</f>
        <v/>
      </c>
      <c r="U545" s="148"/>
      <c r="V545" s="87"/>
      <c r="W545" s="87"/>
      <c r="X545" s="87" t="str">
        <f>IF($A545="","",IF($AK545=TRUE,"Ready 2 Submit","Waiting on Dealer"))</f>
        <v/>
      </c>
      <c r="Y545" s="148"/>
      <c r="Z545" s="87"/>
      <c r="AA545" s="87"/>
      <c r="AB545" s="87" t="str">
        <f>IF($A545="","",IF($AK545=TRUE,"Ready 2 Submit","Waiting on Dealer"))</f>
        <v/>
      </c>
      <c r="AC545" s="148"/>
      <c r="AD545" s="87"/>
      <c r="AE545" s="87"/>
      <c r="AF545" s="87" t="str">
        <f>IF($A545="","",IF($AK545=TRUE,"Ready 2 Submit","Waiting on Dealer"))</f>
        <v/>
      </c>
      <c r="AG545" s="148"/>
      <c r="AH545" s="87"/>
      <c r="AI545" s="87"/>
      <c r="AJ545" s="197"/>
      <c r="AK545" s="110" t="b">
        <v>0</v>
      </c>
      <c r="AL545" s="87" t="str" cm="1">
        <f t="array" ref="AL545">IF($A545="","",SUMPRODUCT((CHOOSE({1,2,3,4,5},$R545,$V545,$Z545,$AD545,$AH545)="Yes")*(((CHOOSE({1,2,3,4,5},$S545,$W545,$AA545,$AE545,$AI545)="Yes")+(CHOOSE({1,2,3,4,5},$S545,$W545,$AA545,$AE545,$AI545)=TRUE))&gt;0)))</f>
        <v/>
      </c>
      <c r="AM545" s="87"/>
      <c r="AN545" s="87" t="str">
        <f ca="1">IF(OR($A545="",$AM545=""),"",TODAY()-$AM545)</f>
        <v/>
      </c>
      <c r="AO545" s="87"/>
      <c r="AP545" s="106"/>
      <c r="AQ545" s="106"/>
      <c r="AR545" s="106"/>
      <c r="AS545" s="106"/>
      <c r="AT545" s="106"/>
      <c r="AU545" s="106"/>
      <c r="AV545" s="106"/>
      <c r="AW545" s="106"/>
      <c r="AX545" s="106"/>
      <c r="AY545" s="106"/>
    </row>
    <row r="546" spans="1:51" s="20" customFormat="1" ht="21" customHeight="1">
      <c r="A546" s="197"/>
      <c r="B546" s="87"/>
      <c r="C546" s="87"/>
      <c r="D546" s="196"/>
      <c r="E546" s="108"/>
      <c r="F546" s="196"/>
      <c r="G546" s="87"/>
      <c r="H546" s="197"/>
      <c r="I546" s="89"/>
      <c r="J546" s="204"/>
      <c r="K546" s="87"/>
      <c r="L546" s="87" t="str" cm="1">
        <f t="array" ref="L546">IF($A546="","",_xlfn.LET(_xlpm.stat,CHOOSE({1,2,3,4,5},$P546,$T546,$X546,$AB546,$AF546),_xlpm.rate,CHOOSE({1,2,3,4,5},$R546,$V546,$Z546,$AD546,$AH546),_xlpm.trn,CHOOSE({1,2,3,4,5},$S546,$W546,$AA546,$AE546,$AI546),_xlpm.nsC,SUMPRODUCT(--(_xlpm.stat="Ready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DLR",IF(AND(_xlpm.actRS&gt;0,_xlpm.actDone&lt;_xlpm.actRS),"Training",IF(_xlpm.actRS&gt;0,"Active",IF(AND(_xlpm.decC&gt;0,_xlpm.inPlay+_xlpm.actC=0),"Dead",IF(AND($AJ546&lt;&gt;"",$AK546=FALSE),"Waiting on Dealer",IF(_xlpm.subC&gt;0,"Waiting on Lender",IF(AND(_xlpm.appC+_xlpm.actC&gt;0,_xlpm.nsC+_xlpm.wdC=0),"Rate Sheet","Application Submitted")))))))))</f>
        <v/>
      </c>
      <c r="M546" s="87"/>
      <c r="N546" s="87"/>
      <c r="O546" s="197"/>
      <c r="P546" s="87" t="str">
        <f>IF($A546="","",IF($AK546=TRUE,"Ready 2 Submit","Waiting on Dealer"))</f>
        <v/>
      </c>
      <c r="Q546" s="148"/>
      <c r="R546" s="87"/>
      <c r="S546" s="87"/>
      <c r="T546" s="87" t="str">
        <f>IF($A546="","",IF($AK546=TRUE,"Ready 2 Submit","Waiting on Dealer"))</f>
        <v/>
      </c>
      <c r="U546" s="148"/>
      <c r="V546" s="87"/>
      <c r="W546" s="87"/>
      <c r="X546" s="87" t="str">
        <f>IF($A546="","",IF($AK546=TRUE,"Ready 2 Submit","Waiting on Dealer"))</f>
        <v/>
      </c>
      <c r="Y546" s="148"/>
      <c r="Z546" s="87"/>
      <c r="AA546" s="87"/>
      <c r="AB546" s="87" t="str">
        <f>IF($A546="","",IF($AK546=TRUE,"Ready 2 Submit","Waiting on Dealer"))</f>
        <v/>
      </c>
      <c r="AC546" s="148"/>
      <c r="AD546" s="87"/>
      <c r="AE546" s="87"/>
      <c r="AF546" s="87" t="str">
        <f>IF($A546="","",IF($AK546=TRUE,"Ready 2 Submit","Waiting on Dealer"))</f>
        <v/>
      </c>
      <c r="AG546" s="148"/>
      <c r="AH546" s="87"/>
      <c r="AI546" s="87"/>
      <c r="AJ546" s="197"/>
      <c r="AK546" s="110" t="b">
        <v>0</v>
      </c>
      <c r="AL546" s="87" t="str" cm="1">
        <f t="array" ref="AL546">IF($A546="","",SUMPRODUCT((CHOOSE({1,2,3,4,5},$R546,$V546,$Z546,$AD546,$AH546)="Yes")*(((CHOOSE({1,2,3,4,5},$S546,$W546,$AA546,$AE546,$AI546)="Yes")+(CHOOSE({1,2,3,4,5},$S546,$W546,$AA546,$AE546,$AI546)=TRUE))&gt;0)))</f>
        <v/>
      </c>
      <c r="AM546" s="87"/>
      <c r="AN546" s="87" t="str">
        <f ca="1">IF(OR($A546="",$AM546=""),"",TODAY()-$AM546)</f>
        <v/>
      </c>
      <c r="AO546" s="87"/>
      <c r="AP546" s="106"/>
      <c r="AQ546" s="106"/>
      <c r="AR546" s="106"/>
      <c r="AS546" s="106"/>
      <c r="AT546" s="106"/>
      <c r="AU546" s="106"/>
      <c r="AV546" s="106"/>
      <c r="AW546" s="106"/>
      <c r="AX546" s="106"/>
      <c r="AY546" s="106"/>
    </row>
    <row r="547" spans="1:51" s="20" customFormat="1" ht="21" customHeight="1">
      <c r="A547" s="197"/>
      <c r="B547" s="87"/>
      <c r="C547" s="87"/>
      <c r="D547" s="196"/>
      <c r="E547" s="108"/>
      <c r="F547" s="196"/>
      <c r="G547" s="87"/>
      <c r="H547" s="197"/>
      <c r="I547" s="89"/>
      <c r="J547" s="204"/>
      <c r="K547" s="87"/>
      <c r="L547" s="87" t="str" cm="1">
        <f t="array" ref="L547">IF($A547="","",_xlfn.LET(_xlpm.stat,CHOOSE({1,2,3,4,5},$P547,$T547,$X547,$AB547,$AF547),_xlpm.rate,CHOOSE({1,2,3,4,5},$R547,$V547,$Z547,$AD547,$AH547),_xlpm.trn,CHOOSE({1,2,3,4,5},$S547,$W547,$AA547,$AE547,$AI547),_xlpm.nsC,SUMPRODUCT(--(_xlpm.stat="Ready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DLR",IF(AND(_xlpm.actRS&gt;0,_xlpm.actDone&lt;_xlpm.actRS),"Training",IF(_xlpm.actRS&gt;0,"Active",IF(AND(_xlpm.decC&gt;0,_xlpm.inPlay+_xlpm.actC=0),"Dead",IF(AND($AJ547&lt;&gt;"",$AK547=FALSE),"Waiting on Dealer",IF(_xlpm.subC&gt;0,"Waiting on Lender",IF(AND(_xlpm.appC+_xlpm.actC&gt;0,_xlpm.nsC+_xlpm.wdC=0),"Rate Sheet","Application Submitted")))))))))</f>
        <v/>
      </c>
      <c r="M547" s="87"/>
      <c r="N547" s="87"/>
      <c r="O547" s="197"/>
      <c r="P547" s="87" t="str">
        <f>IF($A547="","",IF($AK547=TRUE,"Ready 2 Submit","Waiting on Dealer"))</f>
        <v/>
      </c>
      <c r="Q547" s="148"/>
      <c r="R547" s="87"/>
      <c r="S547" s="87"/>
      <c r="T547" s="87" t="str">
        <f>IF($A547="","",IF($AK547=TRUE,"Ready 2 Submit","Waiting on Dealer"))</f>
        <v/>
      </c>
      <c r="U547" s="148"/>
      <c r="V547" s="87"/>
      <c r="W547" s="87"/>
      <c r="X547" s="87" t="str">
        <f>IF($A547="","",IF($AK547=TRUE,"Ready 2 Submit","Waiting on Dealer"))</f>
        <v/>
      </c>
      <c r="Y547" s="148"/>
      <c r="Z547" s="87"/>
      <c r="AA547" s="87"/>
      <c r="AB547" s="87" t="str">
        <f>IF($A547="","",IF($AK547=TRUE,"Ready 2 Submit","Waiting on Dealer"))</f>
        <v/>
      </c>
      <c r="AC547" s="148"/>
      <c r="AD547" s="87"/>
      <c r="AE547" s="87"/>
      <c r="AF547" s="87" t="str">
        <f>IF($A547="","",IF($AK547=TRUE,"Ready 2 Submit","Waiting on Dealer"))</f>
        <v/>
      </c>
      <c r="AG547" s="148"/>
      <c r="AH547" s="87"/>
      <c r="AI547" s="87"/>
      <c r="AJ547" s="197"/>
      <c r="AK547" s="110" t="b">
        <v>0</v>
      </c>
      <c r="AL547" s="87" t="str" cm="1">
        <f t="array" ref="AL547">IF($A547="","",SUMPRODUCT((CHOOSE({1,2,3,4,5},$R547,$V547,$Z547,$AD547,$AH547)="Yes")*(((CHOOSE({1,2,3,4,5},$S547,$W547,$AA547,$AE547,$AI547)="Yes")+(CHOOSE({1,2,3,4,5},$S547,$W547,$AA547,$AE547,$AI547)=TRUE))&gt;0)))</f>
        <v/>
      </c>
      <c r="AM547" s="87"/>
      <c r="AN547" s="87" t="str">
        <f ca="1">IF(OR($A547="",$AM547=""),"",TODAY()-$AM547)</f>
        <v/>
      </c>
      <c r="AO547" s="87"/>
      <c r="AP547" s="106"/>
      <c r="AQ547" s="106"/>
      <c r="AR547" s="106"/>
      <c r="AS547" s="106"/>
      <c r="AT547" s="106"/>
      <c r="AU547" s="106"/>
      <c r="AV547" s="106"/>
      <c r="AW547" s="106"/>
      <c r="AX547" s="106"/>
      <c r="AY547" s="106"/>
    </row>
    <row r="548" spans="1:51" s="20" customFormat="1" ht="21" customHeight="1">
      <c r="A548" s="197"/>
      <c r="B548" s="87"/>
      <c r="C548" s="87"/>
      <c r="D548" s="196"/>
      <c r="E548" s="108"/>
      <c r="F548" s="196"/>
      <c r="G548" s="87"/>
      <c r="H548" s="197"/>
      <c r="I548" s="89"/>
      <c r="J548" s="204"/>
      <c r="K548" s="87"/>
      <c r="L548" s="87" t="str" cm="1">
        <f t="array" ref="L548">IF($A548="","",_xlfn.LET(_xlpm.stat,CHOOSE({1,2,3,4,5},$P548,$T548,$X548,$AB548,$AF548),_xlpm.rate,CHOOSE({1,2,3,4,5},$R548,$V548,$Z548,$AD548,$AH548),_xlpm.trn,CHOOSE({1,2,3,4,5},$S548,$W548,$AA548,$AE548,$AI548),_xlpm.nsC,SUMPRODUCT(--(_xlpm.stat="Ready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DLR",IF(AND(_xlpm.actRS&gt;0,_xlpm.actDone&lt;_xlpm.actRS),"Training",IF(_xlpm.actRS&gt;0,"Active",IF(AND(_xlpm.decC&gt;0,_xlpm.inPlay+_xlpm.actC=0),"Dead",IF(AND($AJ548&lt;&gt;"",$AK548=FALSE),"Waiting on Dealer",IF(_xlpm.subC&gt;0,"Waiting on Lender",IF(AND(_xlpm.appC+_xlpm.actC&gt;0,_xlpm.nsC+_xlpm.wdC=0),"Rate Sheet","Application Submitted")))))))))</f>
        <v/>
      </c>
      <c r="M548" s="87"/>
      <c r="N548" s="87"/>
      <c r="O548" s="197"/>
      <c r="P548" s="87" t="str">
        <f>IF($A548="","",IF($AK548=TRUE,"Ready 2 Submit","Waiting on Dealer"))</f>
        <v/>
      </c>
      <c r="Q548" s="148"/>
      <c r="R548" s="87"/>
      <c r="S548" s="87"/>
      <c r="T548" s="87" t="str">
        <f>IF($A548="","",IF($AK548=TRUE,"Ready 2 Submit","Waiting on Dealer"))</f>
        <v/>
      </c>
      <c r="U548" s="148"/>
      <c r="V548" s="87"/>
      <c r="W548" s="87"/>
      <c r="X548" s="87" t="str">
        <f>IF($A548="","",IF($AK548=TRUE,"Ready 2 Submit","Waiting on Dealer"))</f>
        <v/>
      </c>
      <c r="Y548" s="148"/>
      <c r="Z548" s="87"/>
      <c r="AA548" s="87"/>
      <c r="AB548" s="87" t="str">
        <f>IF($A548="","",IF($AK548=TRUE,"Ready 2 Submit","Waiting on Dealer"))</f>
        <v/>
      </c>
      <c r="AC548" s="148"/>
      <c r="AD548" s="87"/>
      <c r="AE548" s="87"/>
      <c r="AF548" s="87" t="str">
        <f>IF($A548="","",IF($AK548=TRUE,"Ready 2 Submit","Waiting on Dealer"))</f>
        <v/>
      </c>
      <c r="AG548" s="148"/>
      <c r="AH548" s="87"/>
      <c r="AI548" s="87"/>
      <c r="AJ548" s="197"/>
      <c r="AK548" s="110" t="b">
        <v>0</v>
      </c>
      <c r="AL548" s="87" t="str" cm="1">
        <f t="array" ref="AL548">IF($A548="","",SUMPRODUCT((CHOOSE({1,2,3,4,5},$R548,$V548,$Z548,$AD548,$AH548)="Yes")*(((CHOOSE({1,2,3,4,5},$S548,$W548,$AA548,$AE548,$AI548)="Yes")+(CHOOSE({1,2,3,4,5},$S548,$W548,$AA548,$AE548,$AI548)=TRUE))&gt;0)))</f>
        <v/>
      </c>
      <c r="AM548" s="87"/>
      <c r="AN548" s="87" t="str">
        <f ca="1">IF(OR($A548="",$AM548=""),"",TODAY()-$AM548)</f>
        <v/>
      </c>
      <c r="AO548" s="87"/>
      <c r="AP548" s="106"/>
      <c r="AQ548" s="106"/>
      <c r="AR548" s="106"/>
      <c r="AS548" s="106"/>
      <c r="AT548" s="106"/>
      <c r="AU548" s="106"/>
      <c r="AV548" s="106"/>
      <c r="AW548" s="106"/>
      <c r="AX548" s="106"/>
      <c r="AY548" s="106"/>
    </row>
    <row r="549" spans="1:51" s="20" customFormat="1" ht="21" customHeight="1">
      <c r="A549" s="197"/>
      <c r="B549" s="87"/>
      <c r="C549" s="87"/>
      <c r="D549" s="196"/>
      <c r="E549" s="108"/>
      <c r="F549" s="196"/>
      <c r="G549" s="87"/>
      <c r="H549" s="197"/>
      <c r="I549" s="89"/>
      <c r="J549" s="204"/>
      <c r="K549" s="87"/>
      <c r="L549" s="87" t="str" cm="1">
        <f t="array" ref="L549">IF($A549="","",_xlfn.LET(_xlpm.stat,CHOOSE({1,2,3,4,5},$P549,$T549,$X549,$AB549,$AF549),_xlpm.rate,CHOOSE({1,2,3,4,5},$R549,$V549,$Z549,$AD549,$AH549),_xlpm.trn,CHOOSE({1,2,3,4,5},$S549,$W549,$AA549,$AE549,$AI549),_xlpm.nsC,SUMPRODUCT(--(_xlpm.stat="Ready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DLR",IF(AND(_xlpm.actRS&gt;0,_xlpm.actDone&lt;_xlpm.actRS),"Training",IF(_xlpm.actRS&gt;0,"Active",IF(AND(_xlpm.decC&gt;0,_xlpm.inPlay+_xlpm.actC=0),"Dead",IF(AND($AJ549&lt;&gt;"",$AK549=FALSE),"Waiting on Dealer",IF(_xlpm.subC&gt;0,"Waiting on Lender",IF(AND(_xlpm.appC+_xlpm.actC&gt;0,_xlpm.nsC+_xlpm.wdC=0),"Rate Sheet","Application Submitted")))))))))</f>
        <v/>
      </c>
      <c r="M549" s="87"/>
      <c r="N549" s="87"/>
      <c r="O549" s="197"/>
      <c r="P549" s="87" t="str">
        <f>IF($A549="","",IF($AK549=TRUE,"Ready 2 Submit","Waiting on Dealer"))</f>
        <v/>
      </c>
      <c r="Q549" s="148"/>
      <c r="R549" s="87"/>
      <c r="S549" s="87"/>
      <c r="T549" s="87" t="str">
        <f>IF($A549="","",IF($AK549=TRUE,"Ready 2 Submit","Waiting on Dealer"))</f>
        <v/>
      </c>
      <c r="U549" s="148"/>
      <c r="V549" s="87"/>
      <c r="W549" s="87"/>
      <c r="X549" s="87" t="str">
        <f>IF($A549="","",IF($AK549=TRUE,"Ready 2 Submit","Waiting on Dealer"))</f>
        <v/>
      </c>
      <c r="Y549" s="148"/>
      <c r="Z549" s="87"/>
      <c r="AA549" s="87"/>
      <c r="AB549" s="87" t="str">
        <f>IF($A549="","",IF($AK549=TRUE,"Ready 2 Submit","Waiting on Dealer"))</f>
        <v/>
      </c>
      <c r="AC549" s="148"/>
      <c r="AD549" s="87"/>
      <c r="AE549" s="87"/>
      <c r="AF549" s="87" t="str">
        <f>IF($A549="","",IF($AK549=TRUE,"Ready 2 Submit","Waiting on Dealer"))</f>
        <v/>
      </c>
      <c r="AG549" s="148"/>
      <c r="AH549" s="87"/>
      <c r="AI549" s="87"/>
      <c r="AJ549" s="197"/>
      <c r="AK549" s="110" t="b">
        <v>0</v>
      </c>
      <c r="AL549" s="87" t="str" cm="1">
        <f t="array" ref="AL549">IF($A549="","",SUMPRODUCT((CHOOSE({1,2,3,4,5},$R549,$V549,$Z549,$AD549,$AH549)="Yes")*(((CHOOSE({1,2,3,4,5},$S549,$W549,$AA549,$AE549,$AI549)="Yes")+(CHOOSE({1,2,3,4,5},$S549,$W549,$AA549,$AE549,$AI549)=TRUE))&gt;0)))</f>
        <v/>
      </c>
      <c r="AM549" s="87"/>
      <c r="AN549" s="87" t="str">
        <f ca="1">IF(OR($A549="",$AM549=""),"",TODAY()-$AM549)</f>
        <v/>
      </c>
      <c r="AO549" s="87"/>
      <c r="AP549" s="106"/>
      <c r="AQ549" s="106"/>
      <c r="AR549" s="106"/>
      <c r="AS549" s="106"/>
      <c r="AT549" s="106"/>
      <c r="AU549" s="106"/>
      <c r="AV549" s="106"/>
      <c r="AW549" s="106"/>
      <c r="AX549" s="106"/>
      <c r="AY549" s="106"/>
    </row>
    <row r="550" spans="1:51" s="20" customFormat="1" ht="21" customHeight="1">
      <c r="A550" s="197"/>
      <c r="B550" s="87"/>
      <c r="C550" s="87"/>
      <c r="D550" s="196"/>
      <c r="E550" s="108"/>
      <c r="F550" s="196"/>
      <c r="G550" s="87"/>
      <c r="H550" s="197"/>
      <c r="I550" s="89"/>
      <c r="J550" s="204"/>
      <c r="K550" s="87"/>
      <c r="L550" s="87" t="str" cm="1">
        <f t="array" ref="L550">IF($A550="","",_xlfn.LET(_xlpm.stat,CHOOSE({1,2,3,4,5},$P550,$T550,$X550,$AB550,$AF550),_xlpm.rate,CHOOSE({1,2,3,4,5},$R550,$V550,$Z550,$AD550,$AH550),_xlpm.trn,CHOOSE({1,2,3,4,5},$S550,$W550,$AA550,$AE550,$AI550),_xlpm.nsC,SUMPRODUCT(--(_xlpm.stat="Ready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DLR",IF(AND(_xlpm.actRS&gt;0,_xlpm.actDone&lt;_xlpm.actRS),"Training",IF(_xlpm.actRS&gt;0,"Active",IF(AND(_xlpm.decC&gt;0,_xlpm.inPlay+_xlpm.actC=0),"Dead",IF(AND($AJ550&lt;&gt;"",$AK550=FALSE),"Waiting on Dealer",IF(_xlpm.subC&gt;0,"Waiting on Lender",IF(AND(_xlpm.appC+_xlpm.actC&gt;0,_xlpm.nsC+_xlpm.wdC=0),"Rate Sheet","Application Submitted")))))))))</f>
        <v/>
      </c>
      <c r="M550" s="87"/>
      <c r="N550" s="87"/>
      <c r="O550" s="197"/>
      <c r="P550" s="87" t="str">
        <f>IF($A550="","",IF($AK550=TRUE,"Ready 2 Submit","Waiting on Dealer"))</f>
        <v/>
      </c>
      <c r="Q550" s="148"/>
      <c r="R550" s="87"/>
      <c r="S550" s="87"/>
      <c r="T550" s="87" t="str">
        <f>IF($A550="","",IF($AK550=TRUE,"Ready 2 Submit","Waiting on Dealer"))</f>
        <v/>
      </c>
      <c r="U550" s="148"/>
      <c r="V550" s="87"/>
      <c r="W550" s="87"/>
      <c r="X550" s="87" t="str">
        <f>IF($A550="","",IF($AK550=TRUE,"Ready 2 Submit","Waiting on Dealer"))</f>
        <v/>
      </c>
      <c r="Y550" s="148"/>
      <c r="Z550" s="87"/>
      <c r="AA550" s="87"/>
      <c r="AB550" s="87" t="str">
        <f>IF($A550="","",IF($AK550=TRUE,"Ready 2 Submit","Waiting on Dealer"))</f>
        <v/>
      </c>
      <c r="AC550" s="148"/>
      <c r="AD550" s="87"/>
      <c r="AE550" s="87"/>
      <c r="AF550" s="87" t="str">
        <f>IF($A550="","",IF($AK550=TRUE,"Ready 2 Submit","Waiting on Dealer"))</f>
        <v/>
      </c>
      <c r="AG550" s="148"/>
      <c r="AH550" s="87"/>
      <c r="AI550" s="87"/>
      <c r="AJ550" s="197"/>
      <c r="AK550" s="110" t="b">
        <v>0</v>
      </c>
      <c r="AL550" s="87" t="str" cm="1">
        <f t="array" ref="AL550">IF($A550="","",SUMPRODUCT((CHOOSE({1,2,3,4,5},$R550,$V550,$Z550,$AD550,$AH550)="Yes")*(((CHOOSE({1,2,3,4,5},$S550,$W550,$AA550,$AE550,$AI550)="Yes")+(CHOOSE({1,2,3,4,5},$S550,$W550,$AA550,$AE550,$AI550)=TRUE))&gt;0)))</f>
        <v/>
      </c>
      <c r="AM550" s="87"/>
      <c r="AN550" s="87" t="str">
        <f ca="1">IF(OR($A550="",$AM550=""),"",TODAY()-$AM550)</f>
        <v/>
      </c>
      <c r="AO550" s="87"/>
      <c r="AP550" s="106"/>
      <c r="AQ550" s="106"/>
      <c r="AR550" s="106"/>
      <c r="AS550" s="106"/>
      <c r="AT550" s="106"/>
      <c r="AU550" s="106"/>
      <c r="AV550" s="106"/>
      <c r="AW550" s="106"/>
      <c r="AX550" s="106"/>
      <c r="AY550" s="106"/>
    </row>
    <row r="551" spans="1:51" s="20" customFormat="1" ht="21" customHeight="1">
      <c r="A551" s="197"/>
      <c r="B551" s="87"/>
      <c r="C551" s="87"/>
      <c r="D551" s="196"/>
      <c r="E551" s="108"/>
      <c r="F551" s="196"/>
      <c r="G551" s="87"/>
      <c r="H551" s="197"/>
      <c r="I551" s="89"/>
      <c r="J551" s="204"/>
      <c r="K551" s="87"/>
      <c r="L551" s="87" t="str" cm="1">
        <f t="array" ref="L551">IF($A551="","",_xlfn.LET(_xlpm.stat,CHOOSE({1,2,3,4,5},$P551,$T551,$X551,$AB551,$AF551),_xlpm.rate,CHOOSE({1,2,3,4,5},$R551,$V551,$Z551,$AD551,$AH551),_xlpm.trn,CHOOSE({1,2,3,4,5},$S551,$W551,$AA551,$AE551,$AI551),_xlpm.nsC,SUMPRODUCT(--(_xlpm.stat="Ready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DLR",IF(AND(_xlpm.actRS&gt;0,_xlpm.actDone&lt;_xlpm.actRS),"Training",IF(_xlpm.actRS&gt;0,"Active",IF(AND(_xlpm.decC&gt;0,_xlpm.inPlay+_xlpm.actC=0),"Dead",IF(AND($AJ551&lt;&gt;"",$AK551=FALSE),"Waiting on Dealer",IF(_xlpm.subC&gt;0,"Waiting on Lender",IF(AND(_xlpm.appC+_xlpm.actC&gt;0,_xlpm.nsC+_xlpm.wdC=0),"Rate Sheet","Application Submitted")))))))))</f>
        <v/>
      </c>
      <c r="M551" s="87"/>
      <c r="N551" s="87"/>
      <c r="O551" s="197"/>
      <c r="P551" s="87" t="str">
        <f>IF($A551="","",IF($AK551=TRUE,"Ready 2 Submit","Waiting on Dealer"))</f>
        <v/>
      </c>
      <c r="Q551" s="148"/>
      <c r="R551" s="87"/>
      <c r="S551" s="87"/>
      <c r="T551" s="87" t="str">
        <f>IF($A551="","",IF($AK551=TRUE,"Ready 2 Submit","Waiting on Dealer"))</f>
        <v/>
      </c>
      <c r="U551" s="148"/>
      <c r="V551" s="87"/>
      <c r="W551" s="87"/>
      <c r="X551" s="87" t="str">
        <f>IF($A551="","",IF($AK551=TRUE,"Ready 2 Submit","Waiting on Dealer"))</f>
        <v/>
      </c>
      <c r="Y551" s="148"/>
      <c r="Z551" s="87"/>
      <c r="AA551" s="87"/>
      <c r="AB551" s="87" t="str">
        <f>IF($A551="","",IF($AK551=TRUE,"Ready 2 Submit","Waiting on Dealer"))</f>
        <v/>
      </c>
      <c r="AC551" s="148"/>
      <c r="AD551" s="87"/>
      <c r="AE551" s="87"/>
      <c r="AF551" s="87" t="str">
        <f>IF($A551="","",IF($AK551=TRUE,"Ready 2 Submit","Waiting on Dealer"))</f>
        <v/>
      </c>
      <c r="AG551" s="148"/>
      <c r="AH551" s="87"/>
      <c r="AI551" s="87"/>
      <c r="AJ551" s="197"/>
      <c r="AK551" s="110" t="b">
        <v>0</v>
      </c>
      <c r="AL551" s="87" t="str" cm="1">
        <f t="array" ref="AL551">IF($A551="","",SUMPRODUCT((CHOOSE({1,2,3,4,5},$R551,$V551,$Z551,$AD551,$AH551)="Yes")*(((CHOOSE({1,2,3,4,5},$S551,$W551,$AA551,$AE551,$AI551)="Yes")+(CHOOSE({1,2,3,4,5},$S551,$W551,$AA551,$AE551,$AI551)=TRUE))&gt;0)))</f>
        <v/>
      </c>
      <c r="AM551" s="87"/>
      <c r="AN551" s="87" t="str">
        <f ca="1">IF(OR($A551="",$AM551=""),"",TODAY()-$AM551)</f>
        <v/>
      </c>
      <c r="AO551" s="87"/>
      <c r="AP551" s="106"/>
      <c r="AQ551" s="106"/>
      <c r="AR551" s="106"/>
      <c r="AS551" s="106"/>
      <c r="AT551" s="106"/>
      <c r="AU551" s="106"/>
      <c r="AV551" s="106"/>
      <c r="AW551" s="106"/>
      <c r="AX551" s="106"/>
      <c r="AY551" s="106"/>
    </row>
    <row r="552" spans="1:51" s="20" customFormat="1" ht="21" customHeight="1">
      <c r="A552" s="197"/>
      <c r="B552" s="87"/>
      <c r="C552" s="87"/>
      <c r="D552" s="196"/>
      <c r="E552" s="108"/>
      <c r="F552" s="196"/>
      <c r="G552" s="87"/>
      <c r="H552" s="197"/>
      <c r="I552" s="89"/>
      <c r="J552" s="204"/>
      <c r="K552" s="87"/>
      <c r="L552" s="87" t="str" cm="1">
        <f t="array" ref="L552">IF($A552="","",_xlfn.LET(_xlpm.stat,CHOOSE({1,2,3,4,5},$P552,$T552,$X552,$AB552,$AF552),_xlpm.rate,CHOOSE({1,2,3,4,5},$R552,$V552,$Z552,$AD552,$AH552),_xlpm.trn,CHOOSE({1,2,3,4,5},$S552,$W552,$AA552,$AE552,$AI552),_xlpm.nsC,SUMPRODUCT(--(_xlpm.stat="Ready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DLR",IF(AND(_xlpm.actRS&gt;0,_xlpm.actDone&lt;_xlpm.actRS),"Training",IF(_xlpm.actRS&gt;0,"Active",IF(AND(_xlpm.decC&gt;0,_xlpm.inPlay+_xlpm.actC=0),"Dead",IF(AND($AJ552&lt;&gt;"",$AK552=FALSE),"Waiting on Dealer",IF(_xlpm.subC&gt;0,"Waiting on Lender",IF(AND(_xlpm.appC+_xlpm.actC&gt;0,_xlpm.nsC+_xlpm.wdC=0),"Rate Sheet","Application Submitted")))))))))</f>
        <v/>
      </c>
      <c r="M552" s="87"/>
      <c r="N552" s="87"/>
      <c r="O552" s="197"/>
      <c r="P552" s="87" t="str">
        <f>IF($A552="","",IF($AK552=TRUE,"Ready 2 Submit","Waiting on Dealer"))</f>
        <v/>
      </c>
      <c r="Q552" s="148"/>
      <c r="R552" s="87"/>
      <c r="S552" s="87"/>
      <c r="T552" s="87" t="str">
        <f>IF($A552="","",IF($AK552=TRUE,"Ready 2 Submit","Waiting on Dealer"))</f>
        <v/>
      </c>
      <c r="U552" s="148"/>
      <c r="V552" s="87"/>
      <c r="W552" s="87"/>
      <c r="X552" s="87" t="str">
        <f>IF($A552="","",IF($AK552=TRUE,"Ready 2 Submit","Waiting on Dealer"))</f>
        <v/>
      </c>
      <c r="Y552" s="148"/>
      <c r="Z552" s="87"/>
      <c r="AA552" s="87"/>
      <c r="AB552" s="87" t="str">
        <f>IF($A552="","",IF($AK552=TRUE,"Ready 2 Submit","Waiting on Dealer"))</f>
        <v/>
      </c>
      <c r="AC552" s="148"/>
      <c r="AD552" s="87"/>
      <c r="AE552" s="87"/>
      <c r="AF552" s="87" t="str">
        <f>IF($A552="","",IF($AK552=TRUE,"Ready 2 Submit","Waiting on Dealer"))</f>
        <v/>
      </c>
      <c r="AG552" s="148"/>
      <c r="AH552" s="87"/>
      <c r="AI552" s="87"/>
      <c r="AJ552" s="197"/>
      <c r="AK552" s="110" t="b">
        <v>0</v>
      </c>
      <c r="AL552" s="87" t="str" cm="1">
        <f t="array" ref="AL552">IF($A552="","",SUMPRODUCT((CHOOSE({1,2,3,4,5},$R552,$V552,$Z552,$AD552,$AH552)="Yes")*(((CHOOSE({1,2,3,4,5},$S552,$W552,$AA552,$AE552,$AI552)="Yes")+(CHOOSE({1,2,3,4,5},$S552,$W552,$AA552,$AE552,$AI552)=TRUE))&gt;0)))</f>
        <v/>
      </c>
      <c r="AM552" s="87"/>
      <c r="AN552" s="87" t="str">
        <f ca="1">IF(OR($A552="",$AM552=""),"",TODAY()-$AM552)</f>
        <v/>
      </c>
      <c r="AO552" s="87"/>
      <c r="AP552" s="106"/>
      <c r="AQ552" s="106"/>
      <c r="AR552" s="106"/>
      <c r="AS552" s="106"/>
      <c r="AT552" s="106"/>
      <c r="AU552" s="106"/>
      <c r="AV552" s="106"/>
      <c r="AW552" s="106"/>
      <c r="AX552" s="106"/>
      <c r="AY552" s="106"/>
    </row>
    <row r="553" spans="1:51" s="20" customFormat="1" ht="21" customHeight="1">
      <c r="A553" s="197"/>
      <c r="B553" s="87"/>
      <c r="C553" s="87"/>
      <c r="D553" s="196"/>
      <c r="E553" s="108"/>
      <c r="F553" s="196"/>
      <c r="G553" s="87"/>
      <c r="H553" s="197"/>
      <c r="I553" s="89"/>
      <c r="J553" s="204"/>
      <c r="K553" s="87"/>
      <c r="L553" s="87" t="str" cm="1">
        <f t="array" ref="L553">IF($A553="","",_xlfn.LET(_xlpm.stat,CHOOSE({1,2,3,4,5},$P553,$T553,$X553,$AB553,$AF553),_xlpm.rate,CHOOSE({1,2,3,4,5},$R553,$V553,$Z553,$AD553,$AH553),_xlpm.trn,CHOOSE({1,2,3,4,5},$S553,$W553,$AA553,$AE553,$AI553),_xlpm.nsC,SUMPRODUCT(--(_xlpm.stat="Ready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DLR",IF(AND(_xlpm.actRS&gt;0,_xlpm.actDone&lt;_xlpm.actRS),"Training",IF(_xlpm.actRS&gt;0,"Active",IF(AND(_xlpm.decC&gt;0,_xlpm.inPlay+_xlpm.actC=0),"Dead",IF(AND($AJ553&lt;&gt;"",$AK553=FALSE),"Waiting on Dealer",IF(_xlpm.subC&gt;0,"Waiting on Lender",IF(AND(_xlpm.appC+_xlpm.actC&gt;0,_xlpm.nsC+_xlpm.wdC=0),"Rate Sheet","Application Submitted")))))))))</f>
        <v/>
      </c>
      <c r="M553" s="87"/>
      <c r="N553" s="87"/>
      <c r="O553" s="197"/>
      <c r="P553" s="87" t="str">
        <f>IF($A553="","",IF($AK553=TRUE,"Ready 2 Submit","Waiting on Dealer"))</f>
        <v/>
      </c>
      <c r="Q553" s="148"/>
      <c r="R553" s="87"/>
      <c r="S553" s="87"/>
      <c r="T553" s="87" t="str">
        <f>IF($A553="","",IF($AK553=TRUE,"Ready 2 Submit","Waiting on Dealer"))</f>
        <v/>
      </c>
      <c r="U553" s="148"/>
      <c r="V553" s="87"/>
      <c r="W553" s="87"/>
      <c r="X553" s="87" t="str">
        <f>IF($A553="","",IF($AK553=TRUE,"Ready 2 Submit","Waiting on Dealer"))</f>
        <v/>
      </c>
      <c r="Y553" s="148"/>
      <c r="Z553" s="87"/>
      <c r="AA553" s="87"/>
      <c r="AB553" s="87" t="str">
        <f>IF($A553="","",IF($AK553=TRUE,"Ready 2 Submit","Waiting on Dealer"))</f>
        <v/>
      </c>
      <c r="AC553" s="148"/>
      <c r="AD553" s="87"/>
      <c r="AE553" s="87"/>
      <c r="AF553" s="87" t="str">
        <f>IF($A553="","",IF($AK553=TRUE,"Ready 2 Submit","Waiting on Dealer"))</f>
        <v/>
      </c>
      <c r="AG553" s="148"/>
      <c r="AH553" s="87"/>
      <c r="AI553" s="87"/>
      <c r="AJ553" s="197"/>
      <c r="AK553" s="110" t="b">
        <v>0</v>
      </c>
      <c r="AL553" s="87" t="str" cm="1">
        <f t="array" ref="AL553">IF($A553="","",SUMPRODUCT((CHOOSE({1,2,3,4,5},$R553,$V553,$Z553,$AD553,$AH553)="Yes")*(((CHOOSE({1,2,3,4,5},$S553,$W553,$AA553,$AE553,$AI553)="Yes")+(CHOOSE({1,2,3,4,5},$S553,$W553,$AA553,$AE553,$AI553)=TRUE))&gt;0)))</f>
        <v/>
      </c>
      <c r="AM553" s="87"/>
      <c r="AN553" s="87" t="str">
        <f ca="1">IF(OR($A553="",$AM553=""),"",TODAY()-$AM553)</f>
        <v/>
      </c>
      <c r="AO553" s="87"/>
      <c r="AP553" s="106"/>
      <c r="AQ553" s="106"/>
      <c r="AR553" s="106"/>
      <c r="AS553" s="106"/>
      <c r="AT553" s="106"/>
      <c r="AU553" s="106"/>
      <c r="AV553" s="106"/>
      <c r="AW553" s="106"/>
      <c r="AX553" s="106"/>
      <c r="AY553" s="106"/>
    </row>
    <row r="554" spans="1:51" s="20" customFormat="1" ht="21" customHeight="1">
      <c r="A554" s="197"/>
      <c r="B554" s="87"/>
      <c r="C554" s="87"/>
      <c r="D554" s="196"/>
      <c r="E554" s="108"/>
      <c r="F554" s="196"/>
      <c r="G554" s="87"/>
      <c r="H554" s="197"/>
      <c r="I554" s="89"/>
      <c r="J554" s="204"/>
      <c r="K554" s="87"/>
      <c r="L554" s="87" t="str" cm="1">
        <f t="array" ref="L554">IF($A554="","",_xlfn.LET(_xlpm.stat,CHOOSE({1,2,3,4,5},$P554,$T554,$X554,$AB554,$AF554),_xlpm.rate,CHOOSE({1,2,3,4,5},$R554,$V554,$Z554,$AD554,$AH554),_xlpm.trn,CHOOSE({1,2,3,4,5},$S554,$W554,$AA554,$AE554,$AI554),_xlpm.nsC,SUMPRODUCT(--(_xlpm.stat="Ready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DLR",IF(AND(_xlpm.actRS&gt;0,_xlpm.actDone&lt;_xlpm.actRS),"Training",IF(_xlpm.actRS&gt;0,"Active",IF(AND(_xlpm.decC&gt;0,_xlpm.inPlay+_xlpm.actC=0),"Dead",IF(AND($AJ554&lt;&gt;"",$AK554=FALSE),"Waiting on Dealer",IF(_xlpm.subC&gt;0,"Waiting on Lender",IF(AND(_xlpm.appC+_xlpm.actC&gt;0,_xlpm.nsC+_xlpm.wdC=0),"Rate Sheet","Application Submitted")))))))))</f>
        <v/>
      </c>
      <c r="M554" s="87"/>
      <c r="N554" s="87"/>
      <c r="O554" s="197"/>
      <c r="P554" s="87" t="str">
        <f>IF($A554="","",IF($AK554=TRUE,"Ready 2 Submit","Waiting on Dealer"))</f>
        <v/>
      </c>
      <c r="Q554" s="148"/>
      <c r="R554" s="87"/>
      <c r="S554" s="87"/>
      <c r="T554" s="87" t="str">
        <f>IF($A554="","",IF($AK554=TRUE,"Ready 2 Submit","Waiting on Dealer"))</f>
        <v/>
      </c>
      <c r="U554" s="148"/>
      <c r="V554" s="87"/>
      <c r="W554" s="87"/>
      <c r="X554" s="87" t="str">
        <f>IF($A554="","",IF($AK554=TRUE,"Ready 2 Submit","Waiting on Dealer"))</f>
        <v/>
      </c>
      <c r="Y554" s="148"/>
      <c r="Z554" s="87"/>
      <c r="AA554" s="87"/>
      <c r="AB554" s="87" t="str">
        <f>IF($A554="","",IF($AK554=TRUE,"Ready 2 Submit","Waiting on Dealer"))</f>
        <v/>
      </c>
      <c r="AC554" s="148"/>
      <c r="AD554" s="87"/>
      <c r="AE554" s="87"/>
      <c r="AF554" s="87" t="str">
        <f>IF($A554="","",IF($AK554=TRUE,"Ready 2 Submit","Waiting on Dealer"))</f>
        <v/>
      </c>
      <c r="AG554" s="148"/>
      <c r="AH554" s="87"/>
      <c r="AI554" s="87"/>
      <c r="AJ554" s="197"/>
      <c r="AK554" s="110" t="b">
        <v>0</v>
      </c>
      <c r="AL554" s="87" t="str" cm="1">
        <f t="array" ref="AL554">IF($A554="","",SUMPRODUCT((CHOOSE({1,2,3,4,5},$R554,$V554,$Z554,$AD554,$AH554)="Yes")*(((CHOOSE({1,2,3,4,5},$S554,$W554,$AA554,$AE554,$AI554)="Yes")+(CHOOSE({1,2,3,4,5},$S554,$W554,$AA554,$AE554,$AI554)=TRUE))&gt;0)))</f>
        <v/>
      </c>
      <c r="AM554" s="87"/>
      <c r="AN554" s="87" t="str">
        <f ca="1">IF(OR($A554="",$AM554=""),"",TODAY()-$AM554)</f>
        <v/>
      </c>
      <c r="AO554" s="87"/>
      <c r="AP554" s="106"/>
      <c r="AQ554" s="106"/>
      <c r="AR554" s="106"/>
      <c r="AS554" s="106"/>
      <c r="AT554" s="106"/>
      <c r="AU554" s="106"/>
      <c r="AV554" s="106"/>
      <c r="AW554" s="106"/>
      <c r="AX554" s="106"/>
      <c r="AY554" s="106"/>
    </row>
    <row r="555" spans="1:51" s="20" customFormat="1" ht="21" customHeight="1">
      <c r="A555" s="197"/>
      <c r="B555" s="87"/>
      <c r="C555" s="87"/>
      <c r="D555" s="196"/>
      <c r="E555" s="108"/>
      <c r="F555" s="196"/>
      <c r="G555" s="87"/>
      <c r="H555" s="197"/>
      <c r="I555" s="89"/>
      <c r="J555" s="204"/>
      <c r="K555" s="87"/>
      <c r="L555" s="87" t="str" cm="1">
        <f t="array" ref="L555">IF($A555="","",_xlfn.LET(_xlpm.stat,CHOOSE({1,2,3,4,5},$P555,$T555,$X555,$AB555,$AF555),_xlpm.rate,CHOOSE({1,2,3,4,5},$R555,$V555,$Z555,$AD555,$AH555),_xlpm.trn,CHOOSE({1,2,3,4,5},$S555,$W555,$AA555,$AE555,$AI555),_xlpm.nsC,SUMPRODUCT(--(_xlpm.stat="Ready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DLR",IF(AND(_xlpm.actRS&gt;0,_xlpm.actDone&lt;_xlpm.actRS),"Training",IF(_xlpm.actRS&gt;0,"Active",IF(AND(_xlpm.decC&gt;0,_xlpm.inPlay+_xlpm.actC=0),"Dead",IF(AND($AJ555&lt;&gt;"",$AK555=FALSE),"Waiting on Dealer",IF(_xlpm.subC&gt;0,"Waiting on Lender",IF(AND(_xlpm.appC+_xlpm.actC&gt;0,_xlpm.nsC+_xlpm.wdC=0),"Rate Sheet","Application Submitted")))))))))</f>
        <v/>
      </c>
      <c r="M555" s="87"/>
      <c r="N555" s="87"/>
      <c r="O555" s="197"/>
      <c r="P555" s="87" t="str">
        <f>IF($A555="","",IF($AK555=TRUE,"Ready 2 Submit","Waiting on Dealer"))</f>
        <v/>
      </c>
      <c r="Q555" s="148"/>
      <c r="R555" s="87"/>
      <c r="S555" s="87"/>
      <c r="T555" s="87" t="str">
        <f>IF($A555="","",IF($AK555=TRUE,"Ready 2 Submit","Waiting on Dealer"))</f>
        <v/>
      </c>
      <c r="U555" s="148"/>
      <c r="V555" s="87"/>
      <c r="W555" s="87"/>
      <c r="X555" s="87" t="str">
        <f>IF($A555="","",IF($AK555=TRUE,"Ready 2 Submit","Waiting on Dealer"))</f>
        <v/>
      </c>
      <c r="Y555" s="148"/>
      <c r="Z555" s="87"/>
      <c r="AA555" s="87"/>
      <c r="AB555" s="87" t="str">
        <f>IF($A555="","",IF($AK555=TRUE,"Ready 2 Submit","Waiting on Dealer"))</f>
        <v/>
      </c>
      <c r="AC555" s="148"/>
      <c r="AD555" s="87"/>
      <c r="AE555" s="87"/>
      <c r="AF555" s="87" t="str">
        <f>IF($A555="","",IF($AK555=TRUE,"Ready 2 Submit","Waiting on Dealer"))</f>
        <v/>
      </c>
      <c r="AG555" s="148"/>
      <c r="AH555" s="87"/>
      <c r="AI555" s="87"/>
      <c r="AJ555" s="197"/>
      <c r="AK555" s="110" t="b">
        <v>0</v>
      </c>
      <c r="AL555" s="87" t="str" cm="1">
        <f t="array" ref="AL555">IF($A555="","",SUMPRODUCT((CHOOSE({1,2,3,4,5},$R555,$V555,$Z555,$AD555,$AH555)="Yes")*(((CHOOSE({1,2,3,4,5},$S555,$W555,$AA555,$AE555,$AI555)="Yes")+(CHOOSE({1,2,3,4,5},$S555,$W555,$AA555,$AE555,$AI555)=TRUE))&gt;0)))</f>
        <v/>
      </c>
      <c r="AM555" s="87"/>
      <c r="AN555" s="87" t="str">
        <f ca="1">IF(OR($A555="",$AM555=""),"",TODAY()-$AM555)</f>
        <v/>
      </c>
      <c r="AO555" s="87"/>
      <c r="AP555" s="106"/>
      <c r="AQ555" s="106"/>
      <c r="AR555" s="106"/>
      <c r="AS555" s="106"/>
      <c r="AT555" s="106"/>
      <c r="AU555" s="106"/>
      <c r="AV555" s="106"/>
      <c r="AW555" s="106"/>
      <c r="AX555" s="106"/>
      <c r="AY555" s="106"/>
    </row>
    <row r="556" spans="1:51" s="20" customFormat="1" ht="21" customHeight="1">
      <c r="A556" s="197"/>
      <c r="B556" s="87"/>
      <c r="C556" s="87"/>
      <c r="D556" s="196"/>
      <c r="E556" s="108"/>
      <c r="F556" s="196"/>
      <c r="G556" s="87"/>
      <c r="H556" s="197"/>
      <c r="I556" s="89"/>
      <c r="J556" s="204"/>
      <c r="K556" s="87"/>
      <c r="L556" s="87" t="str" cm="1">
        <f t="array" ref="L556">IF($A556="","",_xlfn.LET(_xlpm.stat,CHOOSE({1,2,3,4,5},$P556,$T556,$X556,$AB556,$AF556),_xlpm.rate,CHOOSE({1,2,3,4,5},$R556,$V556,$Z556,$AD556,$AH556),_xlpm.trn,CHOOSE({1,2,3,4,5},$S556,$W556,$AA556,$AE556,$AI556),_xlpm.nsC,SUMPRODUCT(--(_xlpm.stat="Ready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DLR",IF(AND(_xlpm.actRS&gt;0,_xlpm.actDone&lt;_xlpm.actRS),"Training",IF(_xlpm.actRS&gt;0,"Active",IF(AND(_xlpm.decC&gt;0,_xlpm.inPlay+_xlpm.actC=0),"Dead",IF(AND($AJ556&lt;&gt;"",$AK556=FALSE),"Waiting on Dealer",IF(_xlpm.subC&gt;0,"Waiting on Lender",IF(AND(_xlpm.appC+_xlpm.actC&gt;0,_xlpm.nsC+_xlpm.wdC=0),"Rate Sheet","Application Submitted")))))))))</f>
        <v/>
      </c>
      <c r="M556" s="87"/>
      <c r="N556" s="87"/>
      <c r="O556" s="197"/>
      <c r="P556" s="87" t="str">
        <f>IF($A556="","",IF($AK556=TRUE,"Ready 2 Submit","Waiting on Dealer"))</f>
        <v/>
      </c>
      <c r="Q556" s="148"/>
      <c r="R556" s="87"/>
      <c r="S556" s="87"/>
      <c r="T556" s="87" t="str">
        <f>IF($A556="","",IF($AK556=TRUE,"Ready 2 Submit","Waiting on Dealer"))</f>
        <v/>
      </c>
      <c r="U556" s="148"/>
      <c r="V556" s="87"/>
      <c r="W556" s="87"/>
      <c r="X556" s="87" t="str">
        <f>IF($A556="","",IF($AK556=TRUE,"Ready 2 Submit","Waiting on Dealer"))</f>
        <v/>
      </c>
      <c r="Y556" s="148"/>
      <c r="Z556" s="87"/>
      <c r="AA556" s="87"/>
      <c r="AB556" s="87" t="str">
        <f>IF($A556="","",IF($AK556=TRUE,"Ready 2 Submit","Waiting on Dealer"))</f>
        <v/>
      </c>
      <c r="AC556" s="148"/>
      <c r="AD556" s="87"/>
      <c r="AE556" s="87"/>
      <c r="AF556" s="87" t="str">
        <f>IF($A556="","",IF($AK556=TRUE,"Ready 2 Submit","Waiting on Dealer"))</f>
        <v/>
      </c>
      <c r="AG556" s="148"/>
      <c r="AH556" s="87"/>
      <c r="AI556" s="87"/>
      <c r="AJ556" s="197"/>
      <c r="AK556" s="110" t="b">
        <v>0</v>
      </c>
      <c r="AL556" s="87" t="str" cm="1">
        <f t="array" ref="AL556">IF($A556="","",SUMPRODUCT((CHOOSE({1,2,3,4,5},$R556,$V556,$Z556,$AD556,$AH556)="Yes")*(((CHOOSE({1,2,3,4,5},$S556,$W556,$AA556,$AE556,$AI556)="Yes")+(CHOOSE({1,2,3,4,5},$S556,$W556,$AA556,$AE556,$AI556)=TRUE))&gt;0)))</f>
        <v/>
      </c>
      <c r="AM556" s="87"/>
      <c r="AN556" s="87" t="str">
        <f ca="1">IF(OR($A556="",$AM556=""),"",TODAY()-$AM556)</f>
        <v/>
      </c>
      <c r="AO556" s="87"/>
      <c r="AP556" s="106"/>
      <c r="AQ556" s="106"/>
      <c r="AR556" s="106"/>
      <c r="AS556" s="106"/>
      <c r="AT556" s="106"/>
      <c r="AU556" s="106"/>
      <c r="AV556" s="106"/>
      <c r="AW556" s="106"/>
      <c r="AX556" s="106"/>
      <c r="AY556" s="106"/>
    </row>
    <row r="557" spans="1:51" s="20" customFormat="1" ht="21" customHeight="1">
      <c r="A557" s="197"/>
      <c r="B557" s="87"/>
      <c r="C557" s="87"/>
      <c r="D557" s="196"/>
      <c r="E557" s="108"/>
      <c r="F557" s="196"/>
      <c r="G557" s="87"/>
      <c r="H557" s="197"/>
      <c r="I557" s="89"/>
      <c r="J557" s="204"/>
      <c r="K557" s="87"/>
      <c r="L557" s="87" t="str" cm="1">
        <f t="array" ref="L557">IF($A557="","",_xlfn.LET(_xlpm.stat,CHOOSE({1,2,3,4,5},$P557,$T557,$X557,$AB557,$AF557),_xlpm.rate,CHOOSE({1,2,3,4,5},$R557,$V557,$Z557,$AD557,$AH557),_xlpm.trn,CHOOSE({1,2,3,4,5},$S557,$W557,$AA557,$AE557,$AI557),_xlpm.nsC,SUMPRODUCT(--(_xlpm.stat="Ready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DLR",IF(AND(_xlpm.actRS&gt;0,_xlpm.actDone&lt;_xlpm.actRS),"Training",IF(_xlpm.actRS&gt;0,"Active",IF(AND(_xlpm.decC&gt;0,_xlpm.inPlay+_xlpm.actC=0),"Dead",IF(AND($AJ557&lt;&gt;"",$AK557=FALSE),"Waiting on Dealer",IF(_xlpm.subC&gt;0,"Waiting on Lender",IF(AND(_xlpm.appC+_xlpm.actC&gt;0,_xlpm.nsC+_xlpm.wdC=0),"Rate Sheet","Application Submitted")))))))))</f>
        <v/>
      </c>
      <c r="M557" s="87"/>
      <c r="N557" s="87"/>
      <c r="O557" s="197"/>
      <c r="P557" s="87" t="str">
        <f>IF($A557="","",IF($AK557=TRUE,"Ready 2 Submit","Waiting on Dealer"))</f>
        <v/>
      </c>
      <c r="Q557" s="148"/>
      <c r="R557" s="87"/>
      <c r="S557" s="87"/>
      <c r="T557" s="87" t="str">
        <f>IF($A557="","",IF($AK557=TRUE,"Ready 2 Submit","Waiting on Dealer"))</f>
        <v/>
      </c>
      <c r="U557" s="148"/>
      <c r="V557" s="87"/>
      <c r="W557" s="87"/>
      <c r="X557" s="87" t="str">
        <f>IF($A557="","",IF($AK557=TRUE,"Ready 2 Submit","Waiting on Dealer"))</f>
        <v/>
      </c>
      <c r="Y557" s="148"/>
      <c r="Z557" s="87"/>
      <c r="AA557" s="87"/>
      <c r="AB557" s="87" t="str">
        <f>IF($A557="","",IF($AK557=TRUE,"Ready 2 Submit","Waiting on Dealer"))</f>
        <v/>
      </c>
      <c r="AC557" s="148"/>
      <c r="AD557" s="87"/>
      <c r="AE557" s="87"/>
      <c r="AF557" s="87" t="str">
        <f>IF($A557="","",IF($AK557=TRUE,"Ready 2 Submit","Waiting on Dealer"))</f>
        <v/>
      </c>
      <c r="AG557" s="148"/>
      <c r="AH557" s="87"/>
      <c r="AI557" s="87"/>
      <c r="AJ557" s="197"/>
      <c r="AK557" s="110" t="b">
        <v>0</v>
      </c>
      <c r="AL557" s="87" t="str" cm="1">
        <f t="array" ref="AL557">IF($A557="","",SUMPRODUCT((CHOOSE({1,2,3,4,5},$R557,$V557,$Z557,$AD557,$AH557)="Yes")*(((CHOOSE({1,2,3,4,5},$S557,$W557,$AA557,$AE557,$AI557)="Yes")+(CHOOSE({1,2,3,4,5},$S557,$W557,$AA557,$AE557,$AI557)=TRUE))&gt;0)))</f>
        <v/>
      </c>
      <c r="AM557" s="87"/>
      <c r="AN557" s="87" t="str">
        <f ca="1">IF(OR($A557="",$AM557=""),"",TODAY()-$AM557)</f>
        <v/>
      </c>
      <c r="AO557" s="87"/>
      <c r="AP557" s="106"/>
      <c r="AQ557" s="106"/>
      <c r="AR557" s="106"/>
      <c r="AS557" s="106"/>
      <c r="AT557" s="106"/>
      <c r="AU557" s="106"/>
      <c r="AV557" s="106"/>
      <c r="AW557" s="106"/>
      <c r="AX557" s="106"/>
      <c r="AY557" s="106"/>
    </row>
    <row r="558" spans="1:51" s="20" customFormat="1" ht="21" customHeight="1">
      <c r="A558" s="197"/>
      <c r="B558" s="87"/>
      <c r="C558" s="87"/>
      <c r="D558" s="196"/>
      <c r="E558" s="108"/>
      <c r="F558" s="196"/>
      <c r="G558" s="87"/>
      <c r="H558" s="197"/>
      <c r="I558" s="89"/>
      <c r="J558" s="204"/>
      <c r="K558" s="87"/>
      <c r="L558" s="87" t="str" cm="1">
        <f t="array" ref="L558">IF($A558="","",_xlfn.LET(_xlpm.stat,CHOOSE({1,2,3,4,5},$P558,$T558,$X558,$AB558,$AF558),_xlpm.rate,CHOOSE({1,2,3,4,5},$R558,$V558,$Z558,$AD558,$AH558),_xlpm.trn,CHOOSE({1,2,3,4,5},$S558,$W558,$AA558,$AE558,$AI558),_xlpm.nsC,SUMPRODUCT(--(_xlpm.stat="Ready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DLR",IF(AND(_xlpm.actRS&gt;0,_xlpm.actDone&lt;_xlpm.actRS),"Training",IF(_xlpm.actRS&gt;0,"Active",IF(AND(_xlpm.decC&gt;0,_xlpm.inPlay+_xlpm.actC=0),"Dead",IF(AND($AJ558&lt;&gt;"",$AK558=FALSE),"Waiting on Dealer",IF(_xlpm.subC&gt;0,"Waiting on Lender",IF(AND(_xlpm.appC+_xlpm.actC&gt;0,_xlpm.nsC+_xlpm.wdC=0),"Rate Sheet","Application Submitted")))))))))</f>
        <v/>
      </c>
      <c r="M558" s="87"/>
      <c r="N558" s="87"/>
      <c r="O558" s="197"/>
      <c r="P558" s="87" t="str">
        <f>IF($A558="","",IF($AK558=TRUE,"Ready 2 Submit","Waiting on Dealer"))</f>
        <v/>
      </c>
      <c r="Q558" s="148"/>
      <c r="R558" s="87"/>
      <c r="S558" s="87"/>
      <c r="T558" s="87" t="str">
        <f>IF($A558="","",IF($AK558=TRUE,"Ready 2 Submit","Waiting on Dealer"))</f>
        <v/>
      </c>
      <c r="U558" s="148"/>
      <c r="V558" s="87"/>
      <c r="W558" s="87"/>
      <c r="X558" s="87" t="str">
        <f>IF($A558="","",IF($AK558=TRUE,"Ready 2 Submit","Waiting on Dealer"))</f>
        <v/>
      </c>
      <c r="Y558" s="148"/>
      <c r="Z558" s="87"/>
      <c r="AA558" s="87"/>
      <c r="AB558" s="87" t="str">
        <f>IF($A558="","",IF($AK558=TRUE,"Ready 2 Submit","Waiting on Dealer"))</f>
        <v/>
      </c>
      <c r="AC558" s="148"/>
      <c r="AD558" s="87"/>
      <c r="AE558" s="87"/>
      <c r="AF558" s="87" t="str">
        <f>IF($A558="","",IF($AK558=TRUE,"Ready 2 Submit","Waiting on Dealer"))</f>
        <v/>
      </c>
      <c r="AG558" s="148"/>
      <c r="AH558" s="87"/>
      <c r="AI558" s="87"/>
      <c r="AJ558" s="197"/>
      <c r="AK558" s="110" t="b">
        <v>0</v>
      </c>
      <c r="AL558" s="87" t="str" cm="1">
        <f t="array" ref="AL558">IF($A558="","",SUMPRODUCT((CHOOSE({1,2,3,4,5},$R558,$V558,$Z558,$AD558,$AH558)="Yes")*(((CHOOSE({1,2,3,4,5},$S558,$W558,$AA558,$AE558,$AI558)="Yes")+(CHOOSE({1,2,3,4,5},$S558,$W558,$AA558,$AE558,$AI558)=TRUE))&gt;0)))</f>
        <v/>
      </c>
      <c r="AM558" s="87"/>
      <c r="AN558" s="87" t="str">
        <f ca="1">IF(OR($A558="",$AM558=""),"",TODAY()-$AM558)</f>
        <v/>
      </c>
      <c r="AO558" s="87"/>
      <c r="AP558" s="106"/>
      <c r="AQ558" s="106"/>
      <c r="AR558" s="106"/>
      <c r="AS558" s="106"/>
      <c r="AT558" s="106"/>
      <c r="AU558" s="106"/>
      <c r="AV558" s="106"/>
      <c r="AW558" s="106"/>
      <c r="AX558" s="106"/>
      <c r="AY558" s="106"/>
    </row>
    <row r="559" spans="1:51" s="20" customFormat="1" ht="21" customHeight="1">
      <c r="A559" s="197"/>
      <c r="B559" s="87"/>
      <c r="C559" s="87"/>
      <c r="D559" s="196"/>
      <c r="E559" s="108"/>
      <c r="F559" s="196"/>
      <c r="G559" s="87"/>
      <c r="H559" s="197"/>
      <c r="I559" s="89"/>
      <c r="J559" s="204"/>
      <c r="K559" s="87"/>
      <c r="L559" s="87" t="str" cm="1">
        <f t="array" ref="L559">IF($A559="","",_xlfn.LET(_xlpm.stat,CHOOSE({1,2,3,4,5},$P559,$T559,$X559,$AB559,$AF559),_xlpm.rate,CHOOSE({1,2,3,4,5},$R559,$V559,$Z559,$AD559,$AH559),_xlpm.trn,CHOOSE({1,2,3,4,5},$S559,$W559,$AA559,$AE559,$AI559),_xlpm.nsC,SUMPRODUCT(--(_xlpm.stat="Ready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DLR",IF(AND(_xlpm.actRS&gt;0,_xlpm.actDone&lt;_xlpm.actRS),"Training",IF(_xlpm.actRS&gt;0,"Active",IF(AND(_xlpm.decC&gt;0,_xlpm.inPlay+_xlpm.actC=0),"Dead",IF(AND($AJ559&lt;&gt;"",$AK559=FALSE),"Waiting on Dealer",IF(_xlpm.subC&gt;0,"Waiting on Lender",IF(AND(_xlpm.appC+_xlpm.actC&gt;0,_xlpm.nsC+_xlpm.wdC=0),"Rate Sheet","Application Submitted")))))))))</f>
        <v/>
      </c>
      <c r="M559" s="87"/>
      <c r="N559" s="87"/>
      <c r="O559" s="197"/>
      <c r="P559" s="87" t="str">
        <f>IF($A559="","",IF($AK559=TRUE,"Ready 2 Submit","Waiting on Dealer"))</f>
        <v/>
      </c>
      <c r="Q559" s="148"/>
      <c r="R559" s="87"/>
      <c r="S559" s="87"/>
      <c r="T559" s="87" t="str">
        <f>IF($A559="","",IF($AK559=TRUE,"Ready 2 Submit","Waiting on Dealer"))</f>
        <v/>
      </c>
      <c r="U559" s="148"/>
      <c r="V559" s="87"/>
      <c r="W559" s="87"/>
      <c r="X559" s="87" t="str">
        <f>IF($A559="","",IF($AK559=TRUE,"Ready 2 Submit","Waiting on Dealer"))</f>
        <v/>
      </c>
      <c r="Y559" s="148"/>
      <c r="Z559" s="87"/>
      <c r="AA559" s="87"/>
      <c r="AB559" s="87" t="str">
        <f>IF($A559="","",IF($AK559=TRUE,"Ready 2 Submit","Waiting on Dealer"))</f>
        <v/>
      </c>
      <c r="AC559" s="148"/>
      <c r="AD559" s="87"/>
      <c r="AE559" s="87"/>
      <c r="AF559" s="87" t="str">
        <f>IF($A559="","",IF($AK559=TRUE,"Ready 2 Submit","Waiting on Dealer"))</f>
        <v/>
      </c>
      <c r="AG559" s="148"/>
      <c r="AH559" s="87"/>
      <c r="AI559" s="87"/>
      <c r="AJ559" s="197"/>
      <c r="AK559" s="110" t="b">
        <v>0</v>
      </c>
      <c r="AL559" s="87" t="str" cm="1">
        <f t="array" ref="AL559">IF($A559="","",SUMPRODUCT((CHOOSE({1,2,3,4,5},$R559,$V559,$Z559,$AD559,$AH559)="Yes")*(((CHOOSE({1,2,3,4,5},$S559,$W559,$AA559,$AE559,$AI559)="Yes")+(CHOOSE({1,2,3,4,5},$S559,$W559,$AA559,$AE559,$AI559)=TRUE))&gt;0)))</f>
        <v/>
      </c>
      <c r="AM559" s="87"/>
      <c r="AN559" s="87" t="str">
        <f ca="1">IF(OR($A559="",$AM559=""),"",TODAY()-$AM559)</f>
        <v/>
      </c>
      <c r="AO559" s="87"/>
      <c r="AP559" s="106"/>
      <c r="AQ559" s="106"/>
      <c r="AR559" s="106"/>
      <c r="AS559" s="106"/>
      <c r="AT559" s="106"/>
      <c r="AU559" s="106"/>
      <c r="AV559" s="106"/>
      <c r="AW559" s="106"/>
      <c r="AX559" s="106"/>
      <c r="AY559" s="106"/>
    </row>
    <row r="560" spans="1:51" s="20" customFormat="1" ht="21" customHeight="1">
      <c r="A560" s="197"/>
      <c r="B560" s="87"/>
      <c r="C560" s="87"/>
      <c r="D560" s="196"/>
      <c r="E560" s="108"/>
      <c r="F560" s="196"/>
      <c r="G560" s="87"/>
      <c r="H560" s="197"/>
      <c r="I560" s="89"/>
      <c r="J560" s="204"/>
      <c r="K560" s="87"/>
      <c r="L560" s="87" t="str" cm="1">
        <f t="array" ref="L560">IF($A560="","",_xlfn.LET(_xlpm.stat,CHOOSE({1,2,3,4,5},$P560,$T560,$X560,$AB560,$AF560),_xlpm.rate,CHOOSE({1,2,3,4,5},$R560,$V560,$Z560,$AD560,$AH560),_xlpm.trn,CHOOSE({1,2,3,4,5},$S560,$W560,$AA560,$AE560,$AI560),_xlpm.nsC,SUMPRODUCT(--(_xlpm.stat="Ready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DLR",IF(AND(_xlpm.actRS&gt;0,_xlpm.actDone&lt;_xlpm.actRS),"Training",IF(_xlpm.actRS&gt;0,"Active",IF(AND(_xlpm.decC&gt;0,_xlpm.inPlay+_xlpm.actC=0),"Dead",IF(AND($AJ560&lt;&gt;"",$AK560=FALSE),"Waiting on Dealer",IF(_xlpm.subC&gt;0,"Waiting on Lender",IF(AND(_xlpm.appC+_xlpm.actC&gt;0,_xlpm.nsC+_xlpm.wdC=0),"Rate Sheet","Application Submitted")))))))))</f>
        <v/>
      </c>
      <c r="M560" s="87"/>
      <c r="N560" s="87"/>
      <c r="O560" s="197"/>
      <c r="P560" s="87" t="str">
        <f>IF($A560="","",IF($AK560=TRUE,"Ready 2 Submit","Waiting on Dealer"))</f>
        <v/>
      </c>
      <c r="Q560" s="148"/>
      <c r="R560" s="87"/>
      <c r="S560" s="87"/>
      <c r="T560" s="87" t="str">
        <f>IF($A560="","",IF($AK560=TRUE,"Ready 2 Submit","Waiting on Dealer"))</f>
        <v/>
      </c>
      <c r="U560" s="148"/>
      <c r="V560" s="87"/>
      <c r="W560" s="87"/>
      <c r="X560" s="87" t="str">
        <f>IF($A560="","",IF($AK560=TRUE,"Ready 2 Submit","Waiting on Dealer"))</f>
        <v/>
      </c>
      <c r="Y560" s="148"/>
      <c r="Z560" s="87"/>
      <c r="AA560" s="87"/>
      <c r="AB560" s="87" t="str">
        <f>IF($A560="","",IF($AK560=TRUE,"Ready 2 Submit","Waiting on Dealer"))</f>
        <v/>
      </c>
      <c r="AC560" s="148"/>
      <c r="AD560" s="87"/>
      <c r="AE560" s="87"/>
      <c r="AF560" s="87" t="str">
        <f>IF($A560="","",IF($AK560=TRUE,"Ready 2 Submit","Waiting on Dealer"))</f>
        <v/>
      </c>
      <c r="AG560" s="148"/>
      <c r="AH560" s="87"/>
      <c r="AI560" s="87"/>
      <c r="AJ560" s="197"/>
      <c r="AK560" s="110" t="b">
        <v>0</v>
      </c>
      <c r="AL560" s="87" t="str" cm="1">
        <f t="array" ref="AL560">IF($A560="","",SUMPRODUCT((CHOOSE({1,2,3,4,5},$R560,$V560,$Z560,$AD560,$AH560)="Yes")*(((CHOOSE({1,2,3,4,5},$S560,$W560,$AA560,$AE560,$AI560)="Yes")+(CHOOSE({1,2,3,4,5},$S560,$W560,$AA560,$AE560,$AI560)=TRUE))&gt;0)))</f>
        <v/>
      </c>
      <c r="AM560" s="87"/>
      <c r="AN560" s="87" t="str">
        <f ca="1">IF(OR($A560="",$AM560=""),"",TODAY()-$AM560)</f>
        <v/>
      </c>
      <c r="AO560" s="87"/>
      <c r="AP560" s="106"/>
      <c r="AQ560" s="106"/>
      <c r="AR560" s="106"/>
      <c r="AS560" s="106"/>
      <c r="AT560" s="106"/>
      <c r="AU560" s="106"/>
      <c r="AV560" s="106"/>
      <c r="AW560" s="106"/>
      <c r="AX560" s="106"/>
      <c r="AY560" s="106"/>
    </row>
    <row r="561" spans="1:51" s="20" customFormat="1" ht="21" customHeight="1">
      <c r="A561" s="197"/>
      <c r="B561" s="87"/>
      <c r="C561" s="87"/>
      <c r="D561" s="196"/>
      <c r="E561" s="108"/>
      <c r="F561" s="196"/>
      <c r="G561" s="87"/>
      <c r="H561" s="197"/>
      <c r="I561" s="89"/>
      <c r="J561" s="204"/>
      <c r="K561" s="87"/>
      <c r="L561" s="87" t="str" cm="1">
        <f t="array" ref="L561">IF($A561="","",_xlfn.LET(_xlpm.stat,CHOOSE({1,2,3,4,5},$P561,$T561,$X561,$AB561,$AF561),_xlpm.rate,CHOOSE({1,2,3,4,5},$R561,$V561,$Z561,$AD561,$AH561),_xlpm.trn,CHOOSE({1,2,3,4,5},$S561,$W561,$AA561,$AE561,$AI561),_xlpm.nsC,SUMPRODUCT(--(_xlpm.stat="Ready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DLR",IF(AND(_xlpm.actRS&gt;0,_xlpm.actDone&lt;_xlpm.actRS),"Training",IF(_xlpm.actRS&gt;0,"Active",IF(AND(_xlpm.decC&gt;0,_xlpm.inPlay+_xlpm.actC=0),"Dead",IF(AND($AJ561&lt;&gt;"",$AK561=FALSE),"Waiting on Dealer",IF(_xlpm.subC&gt;0,"Waiting on Lender",IF(AND(_xlpm.appC+_xlpm.actC&gt;0,_xlpm.nsC+_xlpm.wdC=0),"Rate Sheet","Application Submitted")))))))))</f>
        <v/>
      </c>
      <c r="M561" s="87"/>
      <c r="N561" s="87"/>
      <c r="O561" s="197"/>
      <c r="P561" s="87" t="str">
        <f>IF($A561="","",IF($AK561=TRUE,"Ready 2 Submit","Waiting on Dealer"))</f>
        <v/>
      </c>
      <c r="Q561" s="148"/>
      <c r="R561" s="87"/>
      <c r="S561" s="87"/>
      <c r="T561" s="87" t="str">
        <f>IF($A561="","",IF($AK561=TRUE,"Ready 2 Submit","Waiting on Dealer"))</f>
        <v/>
      </c>
      <c r="U561" s="148"/>
      <c r="V561" s="87"/>
      <c r="W561" s="87"/>
      <c r="X561" s="87" t="str">
        <f>IF($A561="","",IF($AK561=TRUE,"Ready 2 Submit","Waiting on Dealer"))</f>
        <v/>
      </c>
      <c r="Y561" s="148"/>
      <c r="Z561" s="87"/>
      <c r="AA561" s="87"/>
      <c r="AB561" s="87" t="str">
        <f>IF($A561="","",IF($AK561=TRUE,"Ready 2 Submit","Waiting on Dealer"))</f>
        <v/>
      </c>
      <c r="AC561" s="148"/>
      <c r="AD561" s="87"/>
      <c r="AE561" s="87"/>
      <c r="AF561" s="87" t="str">
        <f>IF($A561="","",IF($AK561=TRUE,"Ready 2 Submit","Waiting on Dealer"))</f>
        <v/>
      </c>
      <c r="AG561" s="148"/>
      <c r="AH561" s="87"/>
      <c r="AI561" s="87"/>
      <c r="AJ561" s="197"/>
      <c r="AK561" s="110" t="b">
        <v>0</v>
      </c>
      <c r="AL561" s="87" t="str" cm="1">
        <f t="array" ref="AL561">IF($A561="","",SUMPRODUCT((CHOOSE({1,2,3,4,5},$R561,$V561,$Z561,$AD561,$AH561)="Yes")*(((CHOOSE({1,2,3,4,5},$S561,$W561,$AA561,$AE561,$AI561)="Yes")+(CHOOSE({1,2,3,4,5},$S561,$W561,$AA561,$AE561,$AI561)=TRUE))&gt;0)))</f>
        <v/>
      </c>
      <c r="AM561" s="87"/>
      <c r="AN561" s="87" t="str">
        <f ca="1">IF(OR($A561="",$AM561=""),"",TODAY()-$AM561)</f>
        <v/>
      </c>
      <c r="AO561" s="87"/>
      <c r="AP561" s="106"/>
      <c r="AQ561" s="106"/>
      <c r="AR561" s="106"/>
      <c r="AS561" s="106"/>
      <c r="AT561" s="106"/>
      <c r="AU561" s="106"/>
      <c r="AV561" s="106"/>
      <c r="AW561" s="106"/>
      <c r="AX561" s="106"/>
      <c r="AY561" s="106"/>
    </row>
    <row r="562" spans="1:51" s="20" customFormat="1" ht="21" customHeight="1">
      <c r="A562" s="197"/>
      <c r="B562" s="87"/>
      <c r="C562" s="87"/>
      <c r="D562" s="196"/>
      <c r="E562" s="108"/>
      <c r="F562" s="196"/>
      <c r="G562" s="87"/>
      <c r="H562" s="197"/>
      <c r="I562" s="89"/>
      <c r="J562" s="204"/>
      <c r="K562" s="87"/>
      <c r="L562" s="87" t="str" cm="1">
        <f t="array" ref="L562">IF($A562="","",_xlfn.LET(_xlpm.stat,CHOOSE({1,2,3,4,5},$P562,$T562,$X562,$AB562,$AF562),_xlpm.rate,CHOOSE({1,2,3,4,5},$R562,$V562,$Z562,$AD562,$AH562),_xlpm.trn,CHOOSE({1,2,3,4,5},$S562,$W562,$AA562,$AE562,$AI562),_xlpm.nsC,SUMPRODUCT(--(_xlpm.stat="Ready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DLR",IF(AND(_xlpm.actRS&gt;0,_xlpm.actDone&lt;_xlpm.actRS),"Training",IF(_xlpm.actRS&gt;0,"Active",IF(AND(_xlpm.decC&gt;0,_xlpm.inPlay+_xlpm.actC=0),"Dead",IF(AND($AJ562&lt;&gt;"",$AK562=FALSE),"Waiting on Dealer",IF(_xlpm.subC&gt;0,"Waiting on Lender",IF(AND(_xlpm.appC+_xlpm.actC&gt;0,_xlpm.nsC+_xlpm.wdC=0),"Rate Sheet","Application Submitted")))))))))</f>
        <v/>
      </c>
      <c r="M562" s="87"/>
      <c r="N562" s="87"/>
      <c r="O562" s="197"/>
      <c r="P562" s="87" t="str">
        <f>IF($A562="","",IF($AK562=TRUE,"Ready 2 Submit","Waiting on Dealer"))</f>
        <v/>
      </c>
      <c r="Q562" s="148"/>
      <c r="R562" s="87"/>
      <c r="S562" s="87"/>
      <c r="T562" s="87" t="str">
        <f>IF($A562="","",IF($AK562=TRUE,"Ready 2 Submit","Waiting on Dealer"))</f>
        <v/>
      </c>
      <c r="U562" s="148"/>
      <c r="V562" s="87"/>
      <c r="W562" s="87"/>
      <c r="X562" s="87" t="str">
        <f>IF($A562="","",IF($AK562=TRUE,"Ready 2 Submit","Waiting on Dealer"))</f>
        <v/>
      </c>
      <c r="Y562" s="148"/>
      <c r="Z562" s="87"/>
      <c r="AA562" s="87"/>
      <c r="AB562" s="87" t="str">
        <f>IF($A562="","",IF($AK562=TRUE,"Ready 2 Submit","Waiting on Dealer"))</f>
        <v/>
      </c>
      <c r="AC562" s="148"/>
      <c r="AD562" s="87"/>
      <c r="AE562" s="87"/>
      <c r="AF562" s="87" t="str">
        <f>IF($A562="","",IF($AK562=TRUE,"Ready 2 Submit","Waiting on Dealer"))</f>
        <v/>
      </c>
      <c r="AG562" s="148"/>
      <c r="AH562" s="87"/>
      <c r="AI562" s="87"/>
      <c r="AJ562" s="197"/>
      <c r="AK562" s="110" t="b">
        <v>0</v>
      </c>
      <c r="AL562" s="87" t="str" cm="1">
        <f t="array" ref="AL562">IF($A562="","",SUMPRODUCT((CHOOSE({1,2,3,4,5},$R562,$V562,$Z562,$AD562,$AH562)="Yes")*(((CHOOSE({1,2,3,4,5},$S562,$W562,$AA562,$AE562,$AI562)="Yes")+(CHOOSE({1,2,3,4,5},$S562,$W562,$AA562,$AE562,$AI562)=TRUE))&gt;0)))</f>
        <v/>
      </c>
      <c r="AM562" s="87"/>
      <c r="AN562" s="87" t="str">
        <f ca="1">IF(OR($A562="",$AM562=""),"",TODAY()-$AM562)</f>
        <v/>
      </c>
      <c r="AO562" s="87"/>
      <c r="AP562" s="106"/>
      <c r="AQ562" s="106"/>
      <c r="AR562" s="106"/>
      <c r="AS562" s="106"/>
      <c r="AT562" s="106"/>
      <c r="AU562" s="106"/>
      <c r="AV562" s="106"/>
      <c r="AW562" s="106"/>
      <c r="AX562" s="106"/>
      <c r="AY562" s="106"/>
    </row>
    <row r="563" spans="1:51" s="20" customFormat="1" ht="21" customHeight="1">
      <c r="A563" s="197"/>
      <c r="B563" s="87"/>
      <c r="C563" s="87"/>
      <c r="D563" s="196"/>
      <c r="E563" s="108"/>
      <c r="F563" s="196"/>
      <c r="G563" s="87"/>
      <c r="H563" s="197"/>
      <c r="I563" s="89"/>
      <c r="J563" s="204"/>
      <c r="K563" s="87"/>
      <c r="L563" s="87" t="str" cm="1">
        <f t="array" ref="L563">IF($A563="","",_xlfn.LET(_xlpm.stat,CHOOSE({1,2,3,4,5},$P563,$T563,$X563,$AB563,$AF563),_xlpm.rate,CHOOSE({1,2,3,4,5},$R563,$V563,$Z563,$AD563,$AH563),_xlpm.trn,CHOOSE({1,2,3,4,5},$S563,$W563,$AA563,$AE563,$AI563),_xlpm.nsC,SUMPRODUCT(--(_xlpm.stat="Ready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DLR",IF(AND(_xlpm.actRS&gt;0,_xlpm.actDone&lt;_xlpm.actRS),"Training",IF(_xlpm.actRS&gt;0,"Active",IF(AND(_xlpm.decC&gt;0,_xlpm.inPlay+_xlpm.actC=0),"Dead",IF(AND($AJ563&lt;&gt;"",$AK563=FALSE),"Waiting on Dealer",IF(_xlpm.subC&gt;0,"Waiting on Lender",IF(AND(_xlpm.appC+_xlpm.actC&gt;0,_xlpm.nsC+_xlpm.wdC=0),"Rate Sheet","Application Submitted")))))))))</f>
        <v/>
      </c>
      <c r="M563" s="87"/>
      <c r="N563" s="87"/>
      <c r="O563" s="197"/>
      <c r="P563" s="87" t="str">
        <f>IF($A563="","",IF($AK563=TRUE,"Ready 2 Submit","Waiting on Dealer"))</f>
        <v/>
      </c>
      <c r="Q563" s="148"/>
      <c r="R563" s="87"/>
      <c r="S563" s="87"/>
      <c r="T563" s="87" t="str">
        <f>IF($A563="","",IF($AK563=TRUE,"Ready 2 Submit","Waiting on Dealer"))</f>
        <v/>
      </c>
      <c r="U563" s="148"/>
      <c r="V563" s="87"/>
      <c r="W563" s="87"/>
      <c r="X563" s="87" t="str">
        <f>IF($A563="","",IF($AK563=TRUE,"Ready 2 Submit","Waiting on Dealer"))</f>
        <v/>
      </c>
      <c r="Y563" s="148"/>
      <c r="Z563" s="87"/>
      <c r="AA563" s="87"/>
      <c r="AB563" s="87" t="str">
        <f>IF($A563="","",IF($AK563=TRUE,"Ready 2 Submit","Waiting on Dealer"))</f>
        <v/>
      </c>
      <c r="AC563" s="148"/>
      <c r="AD563" s="87"/>
      <c r="AE563" s="87"/>
      <c r="AF563" s="87" t="str">
        <f>IF($A563="","",IF($AK563=TRUE,"Ready 2 Submit","Waiting on Dealer"))</f>
        <v/>
      </c>
      <c r="AG563" s="148"/>
      <c r="AH563" s="87"/>
      <c r="AI563" s="87"/>
      <c r="AJ563" s="197"/>
      <c r="AK563" s="110" t="b">
        <v>0</v>
      </c>
      <c r="AL563" s="87" t="str" cm="1">
        <f t="array" ref="AL563">IF($A563="","",SUMPRODUCT((CHOOSE({1,2,3,4,5},$R563,$V563,$Z563,$AD563,$AH563)="Yes")*(((CHOOSE({1,2,3,4,5},$S563,$W563,$AA563,$AE563,$AI563)="Yes")+(CHOOSE({1,2,3,4,5},$S563,$W563,$AA563,$AE563,$AI563)=TRUE))&gt;0)))</f>
        <v/>
      </c>
      <c r="AM563" s="87"/>
      <c r="AN563" s="87" t="str">
        <f ca="1">IF(OR($A563="",$AM563=""),"",TODAY()-$AM563)</f>
        <v/>
      </c>
      <c r="AO563" s="87"/>
      <c r="AP563" s="106"/>
      <c r="AQ563" s="106"/>
      <c r="AR563" s="106"/>
      <c r="AS563" s="106"/>
      <c r="AT563" s="106"/>
      <c r="AU563" s="106"/>
      <c r="AV563" s="106"/>
      <c r="AW563" s="106"/>
      <c r="AX563" s="106"/>
      <c r="AY563" s="106"/>
    </row>
    <row r="564" spans="1:51" s="20" customFormat="1" ht="21" customHeight="1">
      <c r="A564" s="197"/>
      <c r="B564" s="87"/>
      <c r="C564" s="87"/>
      <c r="D564" s="196"/>
      <c r="E564" s="108"/>
      <c r="F564" s="196"/>
      <c r="G564" s="87"/>
      <c r="H564" s="197"/>
      <c r="I564" s="89"/>
      <c r="J564" s="204"/>
      <c r="K564" s="87"/>
      <c r="L564" s="87" t="str" cm="1">
        <f t="array" ref="L564">IF($A564="","",_xlfn.LET(_xlpm.stat,CHOOSE({1,2,3,4,5},$P564,$T564,$X564,$AB564,$AF564),_xlpm.rate,CHOOSE({1,2,3,4,5},$R564,$V564,$Z564,$AD564,$AH564),_xlpm.trn,CHOOSE({1,2,3,4,5},$S564,$W564,$AA564,$AE564,$AI564),_xlpm.nsC,SUMPRODUCT(--(_xlpm.stat="Ready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DLR",IF(AND(_xlpm.actRS&gt;0,_xlpm.actDone&lt;_xlpm.actRS),"Training",IF(_xlpm.actRS&gt;0,"Active",IF(AND(_xlpm.decC&gt;0,_xlpm.inPlay+_xlpm.actC=0),"Dead",IF(AND($AJ564&lt;&gt;"",$AK564=FALSE),"Waiting on Dealer",IF(_xlpm.subC&gt;0,"Waiting on Lender",IF(AND(_xlpm.appC+_xlpm.actC&gt;0,_xlpm.nsC+_xlpm.wdC=0),"Rate Sheet","Application Submitted")))))))))</f>
        <v/>
      </c>
      <c r="M564" s="87"/>
      <c r="N564" s="87"/>
      <c r="O564" s="197"/>
      <c r="P564" s="87" t="str">
        <f>IF($A564="","",IF($AK564=TRUE,"Ready 2 Submit","Waiting on Dealer"))</f>
        <v/>
      </c>
      <c r="Q564" s="148"/>
      <c r="R564" s="87"/>
      <c r="S564" s="87"/>
      <c r="T564" s="87" t="str">
        <f>IF($A564="","",IF($AK564=TRUE,"Ready 2 Submit","Waiting on Dealer"))</f>
        <v/>
      </c>
      <c r="U564" s="148"/>
      <c r="V564" s="87"/>
      <c r="W564" s="87"/>
      <c r="X564" s="87" t="str">
        <f>IF($A564="","",IF($AK564=TRUE,"Ready 2 Submit","Waiting on Dealer"))</f>
        <v/>
      </c>
      <c r="Y564" s="148"/>
      <c r="Z564" s="87"/>
      <c r="AA564" s="87"/>
      <c r="AB564" s="87" t="str">
        <f>IF($A564="","",IF($AK564=TRUE,"Ready 2 Submit","Waiting on Dealer"))</f>
        <v/>
      </c>
      <c r="AC564" s="148"/>
      <c r="AD564" s="87"/>
      <c r="AE564" s="87"/>
      <c r="AF564" s="87" t="str">
        <f>IF($A564="","",IF($AK564=TRUE,"Ready 2 Submit","Waiting on Dealer"))</f>
        <v/>
      </c>
      <c r="AG564" s="148"/>
      <c r="AH564" s="87"/>
      <c r="AI564" s="87"/>
      <c r="AJ564" s="197"/>
      <c r="AK564" s="110" t="b">
        <v>0</v>
      </c>
      <c r="AL564" s="87" t="str" cm="1">
        <f t="array" ref="AL564">IF($A564="","",SUMPRODUCT((CHOOSE({1,2,3,4,5},$R564,$V564,$Z564,$AD564,$AH564)="Yes")*(((CHOOSE({1,2,3,4,5},$S564,$W564,$AA564,$AE564,$AI564)="Yes")+(CHOOSE({1,2,3,4,5},$S564,$W564,$AA564,$AE564,$AI564)=TRUE))&gt;0)))</f>
        <v/>
      </c>
      <c r="AM564" s="87"/>
      <c r="AN564" s="87" t="str">
        <f ca="1">IF(OR($A564="",$AM564=""),"",TODAY()-$AM564)</f>
        <v/>
      </c>
      <c r="AO564" s="87"/>
      <c r="AP564" s="106"/>
      <c r="AQ564" s="106"/>
      <c r="AR564" s="106"/>
      <c r="AS564" s="106"/>
      <c r="AT564" s="106"/>
      <c r="AU564" s="106"/>
      <c r="AV564" s="106"/>
      <c r="AW564" s="106"/>
      <c r="AX564" s="106"/>
      <c r="AY564" s="106"/>
    </row>
    <row r="565" spans="1:51" s="20" customFormat="1" ht="21" customHeight="1">
      <c r="A565" s="197"/>
      <c r="B565" s="87"/>
      <c r="C565" s="87"/>
      <c r="D565" s="196"/>
      <c r="E565" s="108"/>
      <c r="F565" s="196"/>
      <c r="G565" s="87"/>
      <c r="H565" s="197"/>
      <c r="I565" s="89"/>
      <c r="J565" s="204"/>
      <c r="K565" s="87"/>
      <c r="L565" s="87" t="str" cm="1">
        <f t="array" ref="L565">IF($A565="","",_xlfn.LET(_xlpm.stat,CHOOSE({1,2,3,4,5},$P565,$T565,$X565,$AB565,$AF565),_xlpm.rate,CHOOSE({1,2,3,4,5},$R565,$V565,$Z565,$AD565,$AH565),_xlpm.trn,CHOOSE({1,2,3,4,5},$S565,$W565,$AA565,$AE565,$AI565),_xlpm.nsC,SUMPRODUCT(--(_xlpm.stat="Ready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DLR",IF(AND(_xlpm.actRS&gt;0,_xlpm.actDone&lt;_xlpm.actRS),"Training",IF(_xlpm.actRS&gt;0,"Active",IF(AND(_xlpm.decC&gt;0,_xlpm.inPlay+_xlpm.actC=0),"Dead",IF(AND($AJ565&lt;&gt;"",$AK565=FALSE),"Waiting on Dealer",IF(_xlpm.subC&gt;0,"Waiting on Lender",IF(AND(_xlpm.appC+_xlpm.actC&gt;0,_xlpm.nsC+_xlpm.wdC=0),"Rate Sheet","Application Submitted")))))))))</f>
        <v/>
      </c>
      <c r="M565" s="87"/>
      <c r="N565" s="87"/>
      <c r="O565" s="197"/>
      <c r="P565" s="87" t="str">
        <f>IF($A565="","",IF($AK565=TRUE,"Ready 2 Submit","Waiting on Dealer"))</f>
        <v/>
      </c>
      <c r="Q565" s="148"/>
      <c r="R565" s="87"/>
      <c r="S565" s="87"/>
      <c r="T565" s="87" t="str">
        <f>IF($A565="","",IF($AK565=TRUE,"Ready 2 Submit","Waiting on Dealer"))</f>
        <v/>
      </c>
      <c r="U565" s="148"/>
      <c r="V565" s="87"/>
      <c r="W565" s="87"/>
      <c r="X565" s="87" t="str">
        <f>IF($A565="","",IF($AK565=TRUE,"Ready 2 Submit","Waiting on Dealer"))</f>
        <v/>
      </c>
      <c r="Y565" s="148"/>
      <c r="Z565" s="87"/>
      <c r="AA565" s="87"/>
      <c r="AB565" s="87" t="str">
        <f>IF($A565="","",IF($AK565=TRUE,"Ready 2 Submit","Waiting on Dealer"))</f>
        <v/>
      </c>
      <c r="AC565" s="148"/>
      <c r="AD565" s="87"/>
      <c r="AE565" s="87"/>
      <c r="AF565" s="87" t="str">
        <f>IF($A565="","",IF($AK565=TRUE,"Ready 2 Submit","Waiting on Dealer"))</f>
        <v/>
      </c>
      <c r="AG565" s="148"/>
      <c r="AH565" s="87"/>
      <c r="AI565" s="87"/>
      <c r="AJ565" s="197"/>
      <c r="AK565" s="110" t="b">
        <v>0</v>
      </c>
      <c r="AL565" s="87" t="str" cm="1">
        <f t="array" ref="AL565">IF($A565="","",SUMPRODUCT((CHOOSE({1,2,3,4,5},$R565,$V565,$Z565,$AD565,$AH565)="Yes")*(((CHOOSE({1,2,3,4,5},$S565,$W565,$AA565,$AE565,$AI565)="Yes")+(CHOOSE({1,2,3,4,5},$S565,$W565,$AA565,$AE565,$AI565)=TRUE))&gt;0)))</f>
        <v/>
      </c>
      <c r="AM565" s="87"/>
      <c r="AN565" s="87" t="str">
        <f ca="1">IF(OR($A565="",$AM565=""),"",TODAY()-$AM565)</f>
        <v/>
      </c>
      <c r="AO565" s="87"/>
      <c r="AP565" s="106"/>
      <c r="AQ565" s="106"/>
      <c r="AR565" s="106"/>
      <c r="AS565" s="106"/>
      <c r="AT565" s="106"/>
      <c r="AU565" s="106"/>
      <c r="AV565" s="106"/>
      <c r="AW565" s="106"/>
      <c r="AX565" s="106"/>
      <c r="AY565" s="106"/>
    </row>
    <row r="566" spans="1:51" s="20" customFormat="1" ht="21" customHeight="1">
      <c r="A566" s="197"/>
      <c r="B566" s="87"/>
      <c r="C566" s="87"/>
      <c r="D566" s="196"/>
      <c r="E566" s="108"/>
      <c r="F566" s="196"/>
      <c r="G566" s="87"/>
      <c r="H566" s="197"/>
      <c r="I566" s="89"/>
      <c r="J566" s="204"/>
      <c r="K566" s="87"/>
      <c r="L566" s="87" t="str" cm="1">
        <f t="array" ref="L566">IF($A566="","",_xlfn.LET(_xlpm.stat,CHOOSE({1,2,3,4,5},$P566,$T566,$X566,$AB566,$AF566),_xlpm.rate,CHOOSE({1,2,3,4,5},$R566,$V566,$Z566,$AD566,$AH566),_xlpm.trn,CHOOSE({1,2,3,4,5},$S566,$W566,$AA566,$AE566,$AI566),_xlpm.nsC,SUMPRODUCT(--(_xlpm.stat="Ready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DLR",IF(AND(_xlpm.actRS&gt;0,_xlpm.actDone&lt;_xlpm.actRS),"Training",IF(_xlpm.actRS&gt;0,"Active",IF(AND(_xlpm.decC&gt;0,_xlpm.inPlay+_xlpm.actC=0),"Dead",IF(AND($AJ566&lt;&gt;"",$AK566=FALSE),"Waiting on Dealer",IF(_xlpm.subC&gt;0,"Waiting on Lender",IF(AND(_xlpm.appC+_xlpm.actC&gt;0,_xlpm.nsC+_xlpm.wdC=0),"Rate Sheet","Application Submitted")))))))))</f>
        <v/>
      </c>
      <c r="M566" s="87"/>
      <c r="N566" s="87"/>
      <c r="O566" s="197"/>
      <c r="P566" s="87" t="str">
        <f>IF($A566="","",IF($AK566=TRUE,"Ready 2 Submit","Waiting on Dealer"))</f>
        <v/>
      </c>
      <c r="Q566" s="148"/>
      <c r="R566" s="87"/>
      <c r="S566" s="87"/>
      <c r="T566" s="87" t="str">
        <f>IF($A566="","",IF($AK566=TRUE,"Ready 2 Submit","Waiting on Dealer"))</f>
        <v/>
      </c>
      <c r="U566" s="148"/>
      <c r="V566" s="87"/>
      <c r="W566" s="87"/>
      <c r="X566" s="87" t="str">
        <f>IF($A566="","",IF($AK566=TRUE,"Ready 2 Submit","Waiting on Dealer"))</f>
        <v/>
      </c>
      <c r="Y566" s="148"/>
      <c r="Z566" s="87"/>
      <c r="AA566" s="87"/>
      <c r="AB566" s="87" t="str">
        <f>IF($A566="","",IF($AK566=TRUE,"Ready 2 Submit","Waiting on Dealer"))</f>
        <v/>
      </c>
      <c r="AC566" s="148"/>
      <c r="AD566" s="87"/>
      <c r="AE566" s="87"/>
      <c r="AF566" s="87" t="str">
        <f>IF($A566="","",IF($AK566=TRUE,"Ready 2 Submit","Waiting on Dealer"))</f>
        <v/>
      </c>
      <c r="AG566" s="148"/>
      <c r="AH566" s="87"/>
      <c r="AI566" s="87"/>
      <c r="AJ566" s="197"/>
      <c r="AK566" s="110" t="b">
        <v>0</v>
      </c>
      <c r="AL566" s="87" t="str" cm="1">
        <f t="array" ref="AL566">IF($A566="","",SUMPRODUCT((CHOOSE({1,2,3,4,5},$R566,$V566,$Z566,$AD566,$AH566)="Yes")*(((CHOOSE({1,2,3,4,5},$S566,$W566,$AA566,$AE566,$AI566)="Yes")+(CHOOSE({1,2,3,4,5},$S566,$W566,$AA566,$AE566,$AI566)=TRUE))&gt;0)))</f>
        <v/>
      </c>
      <c r="AM566" s="87"/>
      <c r="AN566" s="87" t="str">
        <f ca="1">IF(OR($A566="",$AM566=""),"",TODAY()-$AM566)</f>
        <v/>
      </c>
      <c r="AO566" s="87"/>
      <c r="AP566" s="106"/>
      <c r="AQ566" s="106"/>
      <c r="AR566" s="106"/>
      <c r="AS566" s="106"/>
      <c r="AT566" s="106"/>
      <c r="AU566" s="106"/>
      <c r="AV566" s="106"/>
      <c r="AW566" s="106"/>
      <c r="AX566" s="106"/>
      <c r="AY566" s="106"/>
    </row>
    <row r="567" spans="1:51" s="20" customFormat="1" ht="21" customHeight="1">
      <c r="A567" s="197"/>
      <c r="B567" s="87"/>
      <c r="C567" s="87"/>
      <c r="D567" s="196"/>
      <c r="E567" s="108"/>
      <c r="F567" s="196"/>
      <c r="G567" s="87"/>
      <c r="H567" s="197"/>
      <c r="I567" s="89"/>
      <c r="J567" s="204"/>
      <c r="K567" s="87"/>
      <c r="L567" s="87" t="str" cm="1">
        <f t="array" ref="L567">IF($A567="","",_xlfn.LET(_xlpm.stat,CHOOSE({1,2,3,4,5},$P567,$T567,$X567,$AB567,$AF567),_xlpm.rate,CHOOSE({1,2,3,4,5},$R567,$V567,$Z567,$AD567,$AH567),_xlpm.trn,CHOOSE({1,2,3,4,5},$S567,$W567,$AA567,$AE567,$AI567),_xlpm.nsC,SUMPRODUCT(--(_xlpm.stat="Ready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DLR",IF(AND(_xlpm.actRS&gt;0,_xlpm.actDone&lt;_xlpm.actRS),"Training",IF(_xlpm.actRS&gt;0,"Active",IF(AND(_xlpm.decC&gt;0,_xlpm.inPlay+_xlpm.actC=0),"Dead",IF(AND($AJ567&lt;&gt;"",$AK567=FALSE),"Waiting on Dealer",IF(_xlpm.subC&gt;0,"Waiting on Lender",IF(AND(_xlpm.appC+_xlpm.actC&gt;0,_xlpm.nsC+_xlpm.wdC=0),"Rate Sheet","Application Submitted")))))))))</f>
        <v/>
      </c>
      <c r="M567" s="87"/>
      <c r="N567" s="87"/>
      <c r="O567" s="197"/>
      <c r="P567" s="87" t="str">
        <f>IF($A567="","",IF($AK567=TRUE,"Ready 2 Submit","Waiting on Dealer"))</f>
        <v/>
      </c>
      <c r="Q567" s="148"/>
      <c r="R567" s="87"/>
      <c r="S567" s="87"/>
      <c r="T567" s="87" t="str">
        <f>IF($A567="","",IF($AK567=TRUE,"Ready 2 Submit","Waiting on Dealer"))</f>
        <v/>
      </c>
      <c r="U567" s="148"/>
      <c r="V567" s="87"/>
      <c r="W567" s="87"/>
      <c r="X567" s="87" t="str">
        <f>IF($A567="","",IF($AK567=TRUE,"Ready 2 Submit","Waiting on Dealer"))</f>
        <v/>
      </c>
      <c r="Y567" s="148"/>
      <c r="Z567" s="87"/>
      <c r="AA567" s="87"/>
      <c r="AB567" s="87" t="str">
        <f>IF($A567="","",IF($AK567=TRUE,"Ready 2 Submit","Waiting on Dealer"))</f>
        <v/>
      </c>
      <c r="AC567" s="148"/>
      <c r="AD567" s="87"/>
      <c r="AE567" s="87"/>
      <c r="AF567" s="87" t="str">
        <f>IF($A567="","",IF($AK567=TRUE,"Ready 2 Submit","Waiting on Dealer"))</f>
        <v/>
      </c>
      <c r="AG567" s="148"/>
      <c r="AH567" s="87"/>
      <c r="AI567" s="87"/>
      <c r="AJ567" s="197"/>
      <c r="AK567" s="110" t="b">
        <v>0</v>
      </c>
      <c r="AL567" s="87" t="str" cm="1">
        <f t="array" ref="AL567">IF($A567="","",SUMPRODUCT((CHOOSE({1,2,3,4,5},$R567,$V567,$Z567,$AD567,$AH567)="Yes")*(((CHOOSE({1,2,3,4,5},$S567,$W567,$AA567,$AE567,$AI567)="Yes")+(CHOOSE({1,2,3,4,5},$S567,$W567,$AA567,$AE567,$AI567)=TRUE))&gt;0)))</f>
        <v/>
      </c>
      <c r="AM567" s="87"/>
      <c r="AN567" s="87" t="str">
        <f ca="1">IF(OR($A567="",$AM567=""),"",TODAY()-$AM567)</f>
        <v/>
      </c>
      <c r="AO567" s="87"/>
      <c r="AP567" s="106"/>
      <c r="AQ567" s="106"/>
      <c r="AR567" s="106"/>
      <c r="AS567" s="106"/>
      <c r="AT567" s="106"/>
      <c r="AU567" s="106"/>
      <c r="AV567" s="106"/>
      <c r="AW567" s="106"/>
      <c r="AX567" s="106"/>
      <c r="AY567" s="106"/>
    </row>
    <row r="568" spans="1:51" s="20" customFormat="1" ht="21" customHeight="1">
      <c r="A568" s="197"/>
      <c r="B568" s="87"/>
      <c r="C568" s="87"/>
      <c r="D568" s="196"/>
      <c r="E568" s="108"/>
      <c r="F568" s="196"/>
      <c r="G568" s="87"/>
      <c r="H568" s="197"/>
      <c r="I568" s="89"/>
      <c r="J568" s="204"/>
      <c r="K568" s="87"/>
      <c r="L568" s="87" t="str" cm="1">
        <f t="array" ref="L568">IF($A568="","",_xlfn.LET(_xlpm.stat,CHOOSE({1,2,3,4,5},$P568,$T568,$X568,$AB568,$AF568),_xlpm.rate,CHOOSE({1,2,3,4,5},$R568,$V568,$Z568,$AD568,$AH568),_xlpm.trn,CHOOSE({1,2,3,4,5},$S568,$W568,$AA568,$AE568,$AI568),_xlpm.nsC,SUMPRODUCT(--(_xlpm.stat="Ready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DLR",IF(AND(_xlpm.actRS&gt;0,_xlpm.actDone&lt;_xlpm.actRS),"Training",IF(_xlpm.actRS&gt;0,"Active",IF(AND(_xlpm.decC&gt;0,_xlpm.inPlay+_xlpm.actC=0),"Dead",IF(AND($AJ568&lt;&gt;"",$AK568=FALSE),"Waiting on Dealer",IF(_xlpm.subC&gt;0,"Waiting on Lender",IF(AND(_xlpm.appC+_xlpm.actC&gt;0,_xlpm.nsC+_xlpm.wdC=0),"Rate Sheet","Application Submitted")))))))))</f>
        <v/>
      </c>
      <c r="M568" s="87"/>
      <c r="N568" s="87"/>
      <c r="O568" s="197"/>
      <c r="P568" s="87" t="str">
        <f>IF($A568="","",IF($AK568=TRUE,"Ready 2 Submit","Waiting on Dealer"))</f>
        <v/>
      </c>
      <c r="Q568" s="148"/>
      <c r="R568" s="87"/>
      <c r="S568" s="87"/>
      <c r="T568" s="87" t="str">
        <f>IF($A568="","",IF($AK568=TRUE,"Ready 2 Submit","Waiting on Dealer"))</f>
        <v/>
      </c>
      <c r="U568" s="148"/>
      <c r="V568" s="87"/>
      <c r="W568" s="87"/>
      <c r="X568" s="87" t="str">
        <f>IF($A568="","",IF($AK568=TRUE,"Ready 2 Submit","Waiting on Dealer"))</f>
        <v/>
      </c>
      <c r="Y568" s="148"/>
      <c r="Z568" s="87"/>
      <c r="AA568" s="87"/>
      <c r="AB568" s="87" t="str">
        <f>IF($A568="","",IF($AK568=TRUE,"Ready 2 Submit","Waiting on Dealer"))</f>
        <v/>
      </c>
      <c r="AC568" s="148"/>
      <c r="AD568" s="87"/>
      <c r="AE568" s="87"/>
      <c r="AF568" s="87" t="str">
        <f>IF($A568="","",IF($AK568=TRUE,"Ready 2 Submit","Waiting on Dealer"))</f>
        <v/>
      </c>
      <c r="AG568" s="148"/>
      <c r="AH568" s="87"/>
      <c r="AI568" s="87"/>
      <c r="AJ568" s="197"/>
      <c r="AK568" s="110" t="b">
        <v>0</v>
      </c>
      <c r="AL568" s="87" t="str" cm="1">
        <f t="array" ref="AL568">IF($A568="","",SUMPRODUCT((CHOOSE({1,2,3,4,5},$R568,$V568,$Z568,$AD568,$AH568)="Yes")*(((CHOOSE({1,2,3,4,5},$S568,$W568,$AA568,$AE568,$AI568)="Yes")+(CHOOSE({1,2,3,4,5},$S568,$W568,$AA568,$AE568,$AI568)=TRUE))&gt;0)))</f>
        <v/>
      </c>
      <c r="AM568" s="87"/>
      <c r="AN568" s="87" t="str">
        <f ca="1">IF(OR($A568="",$AM568=""),"",TODAY()-$AM568)</f>
        <v/>
      </c>
      <c r="AO568" s="87"/>
      <c r="AP568" s="106"/>
      <c r="AQ568" s="106"/>
      <c r="AR568" s="106"/>
      <c r="AS568" s="106"/>
      <c r="AT568" s="106"/>
      <c r="AU568" s="106"/>
      <c r="AV568" s="106"/>
      <c r="AW568" s="106"/>
      <c r="AX568" s="106"/>
      <c r="AY568" s="106"/>
    </row>
    <row r="569" spans="1:51" s="20" customFormat="1" ht="21" customHeight="1">
      <c r="A569" s="197"/>
      <c r="B569" s="87"/>
      <c r="C569" s="87"/>
      <c r="D569" s="196"/>
      <c r="E569" s="108"/>
      <c r="F569" s="196"/>
      <c r="G569" s="87"/>
      <c r="H569" s="197"/>
      <c r="I569" s="89"/>
      <c r="J569" s="204"/>
      <c r="K569" s="87"/>
      <c r="L569" s="87" t="str" cm="1">
        <f t="array" ref="L569">IF($A569="","",_xlfn.LET(_xlpm.stat,CHOOSE({1,2,3,4,5},$P569,$T569,$X569,$AB569,$AF569),_xlpm.rate,CHOOSE({1,2,3,4,5},$R569,$V569,$Z569,$AD569,$AH569),_xlpm.trn,CHOOSE({1,2,3,4,5},$S569,$W569,$AA569,$AE569,$AI569),_xlpm.nsC,SUMPRODUCT(--(_xlpm.stat="Ready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DLR",IF(AND(_xlpm.actRS&gt;0,_xlpm.actDone&lt;_xlpm.actRS),"Training",IF(_xlpm.actRS&gt;0,"Active",IF(AND(_xlpm.decC&gt;0,_xlpm.inPlay+_xlpm.actC=0),"Dead",IF(AND($AJ569&lt;&gt;"",$AK569=FALSE),"Waiting on Dealer",IF(_xlpm.subC&gt;0,"Waiting on Lender",IF(AND(_xlpm.appC+_xlpm.actC&gt;0,_xlpm.nsC+_xlpm.wdC=0),"Rate Sheet","Application Submitted")))))))))</f>
        <v/>
      </c>
      <c r="M569" s="87"/>
      <c r="N569" s="87"/>
      <c r="O569" s="197"/>
      <c r="P569" s="87" t="str">
        <f>IF($A569="","",IF($AK569=TRUE,"Ready 2 Submit","Waiting on Dealer"))</f>
        <v/>
      </c>
      <c r="Q569" s="148"/>
      <c r="R569" s="87"/>
      <c r="S569" s="87"/>
      <c r="T569" s="87" t="str">
        <f>IF($A569="","",IF($AK569=TRUE,"Ready 2 Submit","Waiting on Dealer"))</f>
        <v/>
      </c>
      <c r="U569" s="148"/>
      <c r="V569" s="87"/>
      <c r="W569" s="87"/>
      <c r="X569" s="87" t="str">
        <f>IF($A569="","",IF($AK569=TRUE,"Ready 2 Submit","Waiting on Dealer"))</f>
        <v/>
      </c>
      <c r="Y569" s="148"/>
      <c r="Z569" s="87"/>
      <c r="AA569" s="87"/>
      <c r="AB569" s="87" t="str">
        <f>IF($A569="","",IF($AK569=TRUE,"Ready 2 Submit","Waiting on Dealer"))</f>
        <v/>
      </c>
      <c r="AC569" s="148"/>
      <c r="AD569" s="87"/>
      <c r="AE569" s="87"/>
      <c r="AF569" s="87" t="str">
        <f>IF($A569="","",IF($AK569=TRUE,"Ready 2 Submit","Waiting on Dealer"))</f>
        <v/>
      </c>
      <c r="AG569" s="148"/>
      <c r="AH569" s="87"/>
      <c r="AI569" s="87"/>
      <c r="AJ569" s="197"/>
      <c r="AK569" s="110" t="b">
        <v>0</v>
      </c>
      <c r="AL569" s="87" t="str" cm="1">
        <f t="array" ref="AL569">IF($A569="","",SUMPRODUCT((CHOOSE({1,2,3,4,5},$R569,$V569,$Z569,$AD569,$AH569)="Yes")*(((CHOOSE({1,2,3,4,5},$S569,$W569,$AA569,$AE569,$AI569)="Yes")+(CHOOSE({1,2,3,4,5},$S569,$W569,$AA569,$AE569,$AI569)=TRUE))&gt;0)))</f>
        <v/>
      </c>
      <c r="AM569" s="87"/>
      <c r="AN569" s="87" t="str">
        <f ca="1">IF(OR($A569="",$AM569=""),"",TODAY()-$AM569)</f>
        <v/>
      </c>
      <c r="AO569" s="87"/>
      <c r="AP569" s="106"/>
      <c r="AQ569" s="106"/>
      <c r="AR569" s="106"/>
      <c r="AS569" s="106"/>
      <c r="AT569" s="106"/>
      <c r="AU569" s="106"/>
      <c r="AV569" s="106"/>
      <c r="AW569" s="106"/>
      <c r="AX569" s="106"/>
      <c r="AY569" s="106"/>
    </row>
    <row r="570" spans="1:51" s="20" customFormat="1" ht="21" customHeight="1">
      <c r="A570" s="197"/>
      <c r="B570" s="87"/>
      <c r="C570" s="87"/>
      <c r="D570" s="196"/>
      <c r="E570" s="108"/>
      <c r="F570" s="196"/>
      <c r="G570" s="87"/>
      <c r="H570" s="197"/>
      <c r="I570" s="89"/>
      <c r="J570" s="204"/>
      <c r="K570" s="87"/>
      <c r="L570" s="87" t="str" cm="1">
        <f t="array" ref="L570">IF($A570="","",_xlfn.LET(_xlpm.stat,CHOOSE({1,2,3,4,5},$P570,$T570,$X570,$AB570,$AF570),_xlpm.rate,CHOOSE({1,2,3,4,5},$R570,$V570,$Z570,$AD570,$AH570),_xlpm.trn,CHOOSE({1,2,3,4,5},$S570,$W570,$AA570,$AE570,$AI570),_xlpm.nsC,SUMPRODUCT(--(_xlpm.stat="Ready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DLR",IF(AND(_xlpm.actRS&gt;0,_xlpm.actDone&lt;_xlpm.actRS),"Training",IF(_xlpm.actRS&gt;0,"Active",IF(AND(_xlpm.decC&gt;0,_xlpm.inPlay+_xlpm.actC=0),"Dead",IF(AND($AJ570&lt;&gt;"",$AK570=FALSE),"Waiting on Dealer",IF(_xlpm.subC&gt;0,"Waiting on Lender",IF(AND(_xlpm.appC+_xlpm.actC&gt;0,_xlpm.nsC+_xlpm.wdC=0),"Rate Sheet","Application Submitted")))))))))</f>
        <v/>
      </c>
      <c r="M570" s="87"/>
      <c r="N570" s="87"/>
      <c r="O570" s="197"/>
      <c r="P570" s="87" t="str">
        <f>IF($A570="","",IF($AK570=TRUE,"Ready 2 Submit","Waiting on Dealer"))</f>
        <v/>
      </c>
      <c r="Q570" s="148"/>
      <c r="R570" s="87"/>
      <c r="S570" s="87"/>
      <c r="T570" s="87" t="str">
        <f>IF($A570="","",IF($AK570=TRUE,"Ready 2 Submit","Waiting on Dealer"))</f>
        <v/>
      </c>
      <c r="U570" s="148"/>
      <c r="V570" s="87"/>
      <c r="W570" s="87"/>
      <c r="X570" s="87" t="str">
        <f>IF($A570="","",IF($AK570=TRUE,"Ready 2 Submit","Waiting on Dealer"))</f>
        <v/>
      </c>
      <c r="Y570" s="148"/>
      <c r="Z570" s="87"/>
      <c r="AA570" s="87"/>
      <c r="AB570" s="87" t="str">
        <f>IF($A570="","",IF($AK570=TRUE,"Ready 2 Submit","Waiting on Dealer"))</f>
        <v/>
      </c>
      <c r="AC570" s="148"/>
      <c r="AD570" s="87"/>
      <c r="AE570" s="87"/>
      <c r="AF570" s="87" t="str">
        <f>IF($A570="","",IF($AK570=TRUE,"Ready 2 Submit","Waiting on Dealer"))</f>
        <v/>
      </c>
      <c r="AG570" s="148"/>
      <c r="AH570" s="87"/>
      <c r="AI570" s="87"/>
      <c r="AJ570" s="197"/>
      <c r="AK570" s="110" t="b">
        <v>0</v>
      </c>
      <c r="AL570" s="87" t="str" cm="1">
        <f t="array" ref="AL570">IF($A570="","",SUMPRODUCT((CHOOSE({1,2,3,4,5},$R570,$V570,$Z570,$AD570,$AH570)="Yes")*(((CHOOSE({1,2,3,4,5},$S570,$W570,$AA570,$AE570,$AI570)="Yes")+(CHOOSE({1,2,3,4,5},$S570,$W570,$AA570,$AE570,$AI570)=TRUE))&gt;0)))</f>
        <v/>
      </c>
      <c r="AM570" s="87"/>
      <c r="AN570" s="87" t="str">
        <f ca="1">IF(OR($A570="",$AM570=""),"",TODAY()-$AM570)</f>
        <v/>
      </c>
      <c r="AO570" s="87"/>
      <c r="AP570" s="106"/>
      <c r="AQ570" s="106"/>
      <c r="AR570" s="106"/>
      <c r="AS570" s="106"/>
      <c r="AT570" s="106"/>
      <c r="AU570" s="106"/>
      <c r="AV570" s="106"/>
      <c r="AW570" s="106"/>
      <c r="AX570" s="106"/>
      <c r="AY570" s="106"/>
    </row>
    <row r="571" spans="1:51" s="20" customFormat="1" ht="21" customHeight="1">
      <c r="A571" s="197"/>
      <c r="B571" s="87"/>
      <c r="C571" s="87"/>
      <c r="D571" s="196"/>
      <c r="E571" s="108"/>
      <c r="F571" s="196"/>
      <c r="G571" s="87"/>
      <c r="H571" s="197"/>
      <c r="I571" s="89"/>
      <c r="J571" s="204"/>
      <c r="K571" s="87"/>
      <c r="L571" s="87" t="str" cm="1">
        <f t="array" ref="L571">IF($A571="","",_xlfn.LET(_xlpm.stat,CHOOSE({1,2,3,4,5},$P571,$T571,$X571,$AB571,$AF571),_xlpm.rate,CHOOSE({1,2,3,4,5},$R571,$V571,$Z571,$AD571,$AH571),_xlpm.trn,CHOOSE({1,2,3,4,5},$S571,$W571,$AA571,$AE571,$AI571),_xlpm.nsC,SUMPRODUCT(--(_xlpm.stat="Ready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DLR",IF(AND(_xlpm.actRS&gt;0,_xlpm.actDone&lt;_xlpm.actRS),"Training",IF(_xlpm.actRS&gt;0,"Active",IF(AND(_xlpm.decC&gt;0,_xlpm.inPlay+_xlpm.actC=0),"Dead",IF(AND($AJ571&lt;&gt;"",$AK571=FALSE),"Waiting on Dealer",IF(_xlpm.subC&gt;0,"Waiting on Lender",IF(AND(_xlpm.appC+_xlpm.actC&gt;0,_xlpm.nsC+_xlpm.wdC=0),"Rate Sheet","Application Submitted")))))))))</f>
        <v/>
      </c>
      <c r="M571" s="87"/>
      <c r="N571" s="87"/>
      <c r="O571" s="197"/>
      <c r="P571" s="87" t="str">
        <f>IF($A571="","",IF($AK571=TRUE,"Ready 2 Submit","Waiting on Dealer"))</f>
        <v/>
      </c>
      <c r="Q571" s="148"/>
      <c r="R571" s="87"/>
      <c r="S571" s="87"/>
      <c r="T571" s="87" t="str">
        <f>IF($A571="","",IF($AK571=TRUE,"Ready 2 Submit","Waiting on Dealer"))</f>
        <v/>
      </c>
      <c r="U571" s="148"/>
      <c r="V571" s="87"/>
      <c r="W571" s="87"/>
      <c r="X571" s="87" t="str">
        <f>IF($A571="","",IF($AK571=TRUE,"Ready 2 Submit","Waiting on Dealer"))</f>
        <v/>
      </c>
      <c r="Y571" s="148"/>
      <c r="Z571" s="87"/>
      <c r="AA571" s="87"/>
      <c r="AB571" s="87" t="str">
        <f>IF($A571="","",IF($AK571=TRUE,"Ready 2 Submit","Waiting on Dealer"))</f>
        <v/>
      </c>
      <c r="AC571" s="148"/>
      <c r="AD571" s="87"/>
      <c r="AE571" s="87"/>
      <c r="AF571" s="87" t="str">
        <f>IF($A571="","",IF($AK571=TRUE,"Ready 2 Submit","Waiting on Dealer"))</f>
        <v/>
      </c>
      <c r="AG571" s="148"/>
      <c r="AH571" s="87"/>
      <c r="AI571" s="87"/>
      <c r="AJ571" s="197"/>
      <c r="AK571" s="110" t="b">
        <v>0</v>
      </c>
      <c r="AL571" s="87" t="str" cm="1">
        <f t="array" ref="AL571">IF($A571="","",SUMPRODUCT((CHOOSE({1,2,3,4,5},$R571,$V571,$Z571,$AD571,$AH571)="Yes")*(((CHOOSE({1,2,3,4,5},$S571,$W571,$AA571,$AE571,$AI571)="Yes")+(CHOOSE({1,2,3,4,5},$S571,$W571,$AA571,$AE571,$AI571)=TRUE))&gt;0)))</f>
        <v/>
      </c>
      <c r="AM571" s="87"/>
      <c r="AN571" s="87" t="str">
        <f ca="1">IF(OR($A571="",$AM571=""),"",TODAY()-$AM571)</f>
        <v/>
      </c>
      <c r="AO571" s="87"/>
      <c r="AP571" s="106"/>
      <c r="AQ571" s="106"/>
      <c r="AR571" s="106"/>
      <c r="AS571" s="106"/>
      <c r="AT571" s="106"/>
      <c r="AU571" s="106"/>
      <c r="AV571" s="106"/>
      <c r="AW571" s="106"/>
      <c r="AX571" s="106"/>
      <c r="AY571" s="106"/>
    </row>
    <row r="572" spans="1:51" s="20" customFormat="1" ht="21" customHeight="1">
      <c r="A572" s="197"/>
      <c r="B572" s="87"/>
      <c r="C572" s="87"/>
      <c r="D572" s="196"/>
      <c r="E572" s="108"/>
      <c r="F572" s="196"/>
      <c r="G572" s="87"/>
      <c r="H572" s="197"/>
      <c r="I572" s="89"/>
      <c r="J572" s="204"/>
      <c r="K572" s="87"/>
      <c r="L572" s="87" t="str" cm="1">
        <f t="array" ref="L572">IF($A572="","",_xlfn.LET(_xlpm.stat,CHOOSE({1,2,3,4,5},$P572,$T572,$X572,$AB572,$AF572),_xlpm.rate,CHOOSE({1,2,3,4,5},$R572,$V572,$Z572,$AD572,$AH572),_xlpm.trn,CHOOSE({1,2,3,4,5},$S572,$W572,$AA572,$AE572,$AI572),_xlpm.nsC,SUMPRODUCT(--(_xlpm.stat="Ready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DLR",IF(AND(_xlpm.actRS&gt;0,_xlpm.actDone&lt;_xlpm.actRS),"Training",IF(_xlpm.actRS&gt;0,"Active",IF(AND(_xlpm.decC&gt;0,_xlpm.inPlay+_xlpm.actC=0),"Dead",IF(AND($AJ572&lt;&gt;"",$AK572=FALSE),"Waiting on Dealer",IF(_xlpm.subC&gt;0,"Waiting on Lender",IF(AND(_xlpm.appC+_xlpm.actC&gt;0,_xlpm.nsC+_xlpm.wdC=0),"Rate Sheet","Application Submitted")))))))))</f>
        <v/>
      </c>
      <c r="M572" s="87"/>
      <c r="N572" s="87"/>
      <c r="O572" s="197"/>
      <c r="P572" s="87" t="str">
        <f>IF($A572="","",IF($AK572=TRUE,"Ready 2 Submit","Waiting on Dealer"))</f>
        <v/>
      </c>
      <c r="Q572" s="148"/>
      <c r="R572" s="87"/>
      <c r="S572" s="87"/>
      <c r="T572" s="87" t="str">
        <f>IF($A572="","",IF($AK572=TRUE,"Ready 2 Submit","Waiting on Dealer"))</f>
        <v/>
      </c>
      <c r="U572" s="148"/>
      <c r="V572" s="87"/>
      <c r="W572" s="87"/>
      <c r="X572" s="87" t="str">
        <f>IF($A572="","",IF($AK572=TRUE,"Ready 2 Submit","Waiting on Dealer"))</f>
        <v/>
      </c>
      <c r="Y572" s="148"/>
      <c r="Z572" s="87"/>
      <c r="AA572" s="87"/>
      <c r="AB572" s="87" t="str">
        <f>IF($A572="","",IF($AK572=TRUE,"Ready 2 Submit","Waiting on Dealer"))</f>
        <v/>
      </c>
      <c r="AC572" s="148"/>
      <c r="AD572" s="87"/>
      <c r="AE572" s="87"/>
      <c r="AF572" s="87" t="str">
        <f>IF($A572="","",IF($AK572=TRUE,"Ready 2 Submit","Waiting on Dealer"))</f>
        <v/>
      </c>
      <c r="AG572" s="148"/>
      <c r="AH572" s="87"/>
      <c r="AI572" s="87"/>
      <c r="AJ572" s="197"/>
      <c r="AK572" s="110" t="b">
        <v>0</v>
      </c>
      <c r="AL572" s="87" t="str" cm="1">
        <f t="array" ref="AL572">IF($A572="","",SUMPRODUCT((CHOOSE({1,2,3,4,5},$R572,$V572,$Z572,$AD572,$AH572)="Yes")*(((CHOOSE({1,2,3,4,5},$S572,$W572,$AA572,$AE572,$AI572)="Yes")+(CHOOSE({1,2,3,4,5},$S572,$W572,$AA572,$AE572,$AI572)=TRUE))&gt;0)))</f>
        <v/>
      </c>
      <c r="AM572" s="87"/>
      <c r="AN572" s="87" t="str">
        <f ca="1">IF(OR($A572="",$AM572=""),"",TODAY()-$AM572)</f>
        <v/>
      </c>
      <c r="AO572" s="87"/>
      <c r="AP572" s="106"/>
      <c r="AQ572" s="106"/>
      <c r="AR572" s="106"/>
      <c r="AS572" s="106"/>
      <c r="AT572" s="106"/>
      <c r="AU572" s="106"/>
      <c r="AV572" s="106"/>
      <c r="AW572" s="106"/>
      <c r="AX572" s="106"/>
      <c r="AY572" s="106"/>
    </row>
    <row r="573" spans="1:51" s="20" customFormat="1" ht="21" customHeight="1">
      <c r="A573" s="197"/>
      <c r="B573" s="87"/>
      <c r="C573" s="87"/>
      <c r="D573" s="196"/>
      <c r="E573" s="108"/>
      <c r="F573" s="196"/>
      <c r="G573" s="87"/>
      <c r="H573" s="197"/>
      <c r="I573" s="89"/>
      <c r="J573" s="204"/>
      <c r="K573" s="87"/>
      <c r="L573" s="87" t="str" cm="1">
        <f t="array" ref="L573">IF($A573="","",_xlfn.LET(_xlpm.stat,CHOOSE({1,2,3,4,5},$P573,$T573,$X573,$AB573,$AF573),_xlpm.rate,CHOOSE({1,2,3,4,5},$R573,$V573,$Z573,$AD573,$AH573),_xlpm.trn,CHOOSE({1,2,3,4,5},$S573,$W573,$AA573,$AE573,$AI573),_xlpm.nsC,SUMPRODUCT(--(_xlpm.stat="Ready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DLR",IF(AND(_xlpm.actRS&gt;0,_xlpm.actDone&lt;_xlpm.actRS),"Training",IF(_xlpm.actRS&gt;0,"Active",IF(AND(_xlpm.decC&gt;0,_xlpm.inPlay+_xlpm.actC=0),"Dead",IF(AND($AJ573&lt;&gt;"",$AK573=FALSE),"Waiting on Dealer",IF(_xlpm.subC&gt;0,"Waiting on Lender",IF(AND(_xlpm.appC+_xlpm.actC&gt;0,_xlpm.nsC+_xlpm.wdC=0),"Rate Sheet","Application Submitted")))))))))</f>
        <v/>
      </c>
      <c r="M573" s="87"/>
      <c r="N573" s="87"/>
      <c r="O573" s="197"/>
      <c r="P573" s="87" t="str">
        <f>IF($A573="","",IF($AK573=TRUE,"Ready 2 Submit","Waiting on Dealer"))</f>
        <v/>
      </c>
      <c r="Q573" s="148"/>
      <c r="R573" s="87"/>
      <c r="S573" s="87"/>
      <c r="T573" s="87" t="str">
        <f>IF($A573="","",IF($AK573=TRUE,"Ready 2 Submit","Waiting on Dealer"))</f>
        <v/>
      </c>
      <c r="U573" s="148"/>
      <c r="V573" s="87"/>
      <c r="W573" s="87"/>
      <c r="X573" s="87" t="str">
        <f>IF($A573="","",IF($AK573=TRUE,"Ready 2 Submit","Waiting on Dealer"))</f>
        <v/>
      </c>
      <c r="Y573" s="148"/>
      <c r="Z573" s="87"/>
      <c r="AA573" s="87"/>
      <c r="AB573" s="87" t="str">
        <f>IF($A573="","",IF($AK573=TRUE,"Ready 2 Submit","Waiting on Dealer"))</f>
        <v/>
      </c>
      <c r="AC573" s="148"/>
      <c r="AD573" s="87"/>
      <c r="AE573" s="87"/>
      <c r="AF573" s="87" t="str">
        <f>IF($A573="","",IF($AK573=TRUE,"Ready 2 Submit","Waiting on Dealer"))</f>
        <v/>
      </c>
      <c r="AG573" s="148"/>
      <c r="AH573" s="87"/>
      <c r="AI573" s="87"/>
      <c r="AJ573" s="197"/>
      <c r="AK573" s="110" t="b">
        <v>0</v>
      </c>
      <c r="AL573" s="87" t="str" cm="1">
        <f t="array" ref="AL573">IF($A573="","",SUMPRODUCT((CHOOSE({1,2,3,4,5},$R573,$V573,$Z573,$AD573,$AH573)="Yes")*(((CHOOSE({1,2,3,4,5},$S573,$W573,$AA573,$AE573,$AI573)="Yes")+(CHOOSE({1,2,3,4,5},$S573,$W573,$AA573,$AE573,$AI573)=TRUE))&gt;0)))</f>
        <v/>
      </c>
      <c r="AM573" s="87"/>
      <c r="AN573" s="87" t="str">
        <f ca="1">IF(OR($A573="",$AM573=""),"",TODAY()-$AM573)</f>
        <v/>
      </c>
      <c r="AO573" s="87"/>
      <c r="AP573" s="106"/>
      <c r="AQ573" s="106"/>
      <c r="AR573" s="106"/>
      <c r="AS573" s="106"/>
      <c r="AT573" s="106"/>
      <c r="AU573" s="106"/>
      <c r="AV573" s="106"/>
      <c r="AW573" s="106"/>
      <c r="AX573" s="106"/>
      <c r="AY573" s="106"/>
    </row>
    <row r="574" spans="1:51" s="20" customFormat="1" ht="21" customHeight="1">
      <c r="A574" s="197"/>
      <c r="B574" s="87"/>
      <c r="C574" s="87"/>
      <c r="D574" s="196"/>
      <c r="E574" s="108"/>
      <c r="F574" s="196"/>
      <c r="G574" s="87"/>
      <c r="H574" s="197"/>
      <c r="I574" s="89"/>
      <c r="J574" s="204"/>
      <c r="K574" s="87"/>
      <c r="L574" s="87" t="str" cm="1">
        <f t="array" ref="L574">IF($A574="","",_xlfn.LET(_xlpm.stat,CHOOSE({1,2,3,4,5},$P574,$T574,$X574,$AB574,$AF574),_xlpm.rate,CHOOSE({1,2,3,4,5},$R574,$V574,$Z574,$AD574,$AH574),_xlpm.trn,CHOOSE({1,2,3,4,5},$S574,$W574,$AA574,$AE574,$AI574),_xlpm.nsC,SUMPRODUCT(--(_xlpm.stat="Ready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DLR",IF(AND(_xlpm.actRS&gt;0,_xlpm.actDone&lt;_xlpm.actRS),"Training",IF(_xlpm.actRS&gt;0,"Active",IF(AND(_xlpm.decC&gt;0,_xlpm.inPlay+_xlpm.actC=0),"Dead",IF(AND($AJ574&lt;&gt;"",$AK574=FALSE),"Waiting on Dealer",IF(_xlpm.subC&gt;0,"Waiting on Lender",IF(AND(_xlpm.appC+_xlpm.actC&gt;0,_xlpm.nsC+_xlpm.wdC=0),"Rate Sheet","Application Submitted")))))))))</f>
        <v/>
      </c>
      <c r="M574" s="87"/>
      <c r="N574" s="87"/>
      <c r="O574" s="197"/>
      <c r="P574" s="87" t="str">
        <f>IF($A574="","",IF($AK574=TRUE,"Ready 2 Submit","Waiting on Dealer"))</f>
        <v/>
      </c>
      <c r="Q574" s="148"/>
      <c r="R574" s="87"/>
      <c r="S574" s="87"/>
      <c r="T574" s="87" t="str">
        <f>IF($A574="","",IF($AK574=TRUE,"Ready 2 Submit","Waiting on Dealer"))</f>
        <v/>
      </c>
      <c r="U574" s="148"/>
      <c r="V574" s="87"/>
      <c r="W574" s="87"/>
      <c r="X574" s="87" t="str">
        <f>IF($A574="","",IF($AK574=TRUE,"Ready 2 Submit","Waiting on Dealer"))</f>
        <v/>
      </c>
      <c r="Y574" s="148"/>
      <c r="Z574" s="87"/>
      <c r="AA574" s="87"/>
      <c r="AB574" s="87" t="str">
        <f>IF($A574="","",IF($AK574=TRUE,"Ready 2 Submit","Waiting on Dealer"))</f>
        <v/>
      </c>
      <c r="AC574" s="148"/>
      <c r="AD574" s="87"/>
      <c r="AE574" s="87"/>
      <c r="AF574" s="87" t="str">
        <f>IF($A574="","",IF($AK574=TRUE,"Ready 2 Submit","Waiting on Dealer"))</f>
        <v/>
      </c>
      <c r="AG574" s="148"/>
      <c r="AH574" s="87"/>
      <c r="AI574" s="87"/>
      <c r="AJ574" s="197"/>
      <c r="AK574" s="110" t="b">
        <v>0</v>
      </c>
      <c r="AL574" s="87" t="str" cm="1">
        <f t="array" ref="AL574">IF($A574="","",SUMPRODUCT((CHOOSE({1,2,3,4,5},$R574,$V574,$Z574,$AD574,$AH574)="Yes")*(((CHOOSE({1,2,3,4,5},$S574,$W574,$AA574,$AE574,$AI574)="Yes")+(CHOOSE({1,2,3,4,5},$S574,$W574,$AA574,$AE574,$AI574)=TRUE))&gt;0)))</f>
        <v/>
      </c>
      <c r="AM574" s="87"/>
      <c r="AN574" s="87" t="str">
        <f ca="1">IF(OR($A574="",$AM574=""),"",TODAY()-$AM574)</f>
        <v/>
      </c>
      <c r="AO574" s="87"/>
      <c r="AP574" s="106"/>
      <c r="AQ574" s="106"/>
      <c r="AR574" s="106"/>
      <c r="AS574" s="106"/>
      <c r="AT574" s="106"/>
      <c r="AU574" s="106"/>
      <c r="AV574" s="106"/>
      <c r="AW574" s="106"/>
      <c r="AX574" s="106"/>
      <c r="AY574" s="106"/>
    </row>
    <row r="575" spans="1:51" s="20" customFormat="1" ht="21" customHeight="1">
      <c r="A575" s="197"/>
      <c r="B575" s="87"/>
      <c r="C575" s="87"/>
      <c r="D575" s="196"/>
      <c r="E575" s="108"/>
      <c r="F575" s="196"/>
      <c r="G575" s="87"/>
      <c r="H575" s="197"/>
      <c r="I575" s="89"/>
      <c r="J575" s="204"/>
      <c r="K575" s="87"/>
      <c r="L575" s="87" t="str" cm="1">
        <f t="array" ref="L575">IF($A575="","",_xlfn.LET(_xlpm.stat,CHOOSE({1,2,3,4,5},$P575,$T575,$X575,$AB575,$AF575),_xlpm.rate,CHOOSE({1,2,3,4,5},$R575,$V575,$Z575,$AD575,$AH575),_xlpm.trn,CHOOSE({1,2,3,4,5},$S575,$W575,$AA575,$AE575,$AI575),_xlpm.nsC,SUMPRODUCT(--(_xlpm.stat="Ready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DLR",IF(AND(_xlpm.actRS&gt;0,_xlpm.actDone&lt;_xlpm.actRS),"Training",IF(_xlpm.actRS&gt;0,"Active",IF(AND(_xlpm.decC&gt;0,_xlpm.inPlay+_xlpm.actC=0),"Dead",IF(AND($AJ575&lt;&gt;"",$AK575=FALSE),"Waiting on Dealer",IF(_xlpm.subC&gt;0,"Waiting on Lender",IF(AND(_xlpm.appC+_xlpm.actC&gt;0,_xlpm.nsC+_xlpm.wdC=0),"Rate Sheet","Application Submitted")))))))))</f>
        <v/>
      </c>
      <c r="M575" s="87"/>
      <c r="N575" s="87"/>
      <c r="O575" s="197"/>
      <c r="P575" s="87" t="str">
        <f>IF($A575="","",IF($AK575=TRUE,"Ready 2 Submit","Waiting on Dealer"))</f>
        <v/>
      </c>
      <c r="Q575" s="148"/>
      <c r="R575" s="87"/>
      <c r="S575" s="87"/>
      <c r="T575" s="87" t="str">
        <f>IF($A575="","",IF($AK575=TRUE,"Ready 2 Submit","Waiting on Dealer"))</f>
        <v/>
      </c>
      <c r="U575" s="148"/>
      <c r="V575" s="87"/>
      <c r="W575" s="87"/>
      <c r="X575" s="87" t="str">
        <f>IF($A575="","",IF($AK575=TRUE,"Ready 2 Submit","Waiting on Dealer"))</f>
        <v/>
      </c>
      <c r="Y575" s="148"/>
      <c r="Z575" s="87"/>
      <c r="AA575" s="87"/>
      <c r="AB575" s="87" t="str">
        <f>IF($A575="","",IF($AK575=TRUE,"Ready 2 Submit","Waiting on Dealer"))</f>
        <v/>
      </c>
      <c r="AC575" s="148"/>
      <c r="AD575" s="87"/>
      <c r="AE575" s="87"/>
      <c r="AF575" s="87" t="str">
        <f>IF($A575="","",IF($AK575=TRUE,"Ready 2 Submit","Waiting on Dealer"))</f>
        <v/>
      </c>
      <c r="AG575" s="148"/>
      <c r="AH575" s="87"/>
      <c r="AI575" s="87"/>
      <c r="AJ575" s="197"/>
      <c r="AK575" s="110" t="b">
        <v>0</v>
      </c>
      <c r="AL575" s="87" t="str" cm="1">
        <f t="array" ref="AL575">IF($A575="","",SUMPRODUCT((CHOOSE({1,2,3,4,5},$R575,$V575,$Z575,$AD575,$AH575)="Yes")*(((CHOOSE({1,2,3,4,5},$S575,$W575,$AA575,$AE575,$AI575)="Yes")+(CHOOSE({1,2,3,4,5},$S575,$W575,$AA575,$AE575,$AI575)=TRUE))&gt;0)))</f>
        <v/>
      </c>
      <c r="AM575" s="87"/>
      <c r="AN575" s="87" t="str">
        <f ca="1">IF(OR($A575="",$AM575=""),"",TODAY()-$AM575)</f>
        <v/>
      </c>
      <c r="AO575" s="87"/>
      <c r="AP575" s="106"/>
      <c r="AQ575" s="106"/>
      <c r="AR575" s="106"/>
      <c r="AS575" s="106"/>
      <c r="AT575" s="106"/>
      <c r="AU575" s="106"/>
      <c r="AV575" s="106"/>
      <c r="AW575" s="106"/>
      <c r="AX575" s="106"/>
      <c r="AY575" s="106"/>
    </row>
    <row r="576" spans="1:51" s="20" customFormat="1" ht="21" customHeight="1">
      <c r="A576" s="197"/>
      <c r="B576" s="87"/>
      <c r="C576" s="87"/>
      <c r="D576" s="196"/>
      <c r="E576" s="108"/>
      <c r="F576" s="196"/>
      <c r="G576" s="87"/>
      <c r="H576" s="197"/>
      <c r="I576" s="89"/>
      <c r="J576" s="204"/>
      <c r="K576" s="87"/>
      <c r="L576" s="87" t="str" cm="1">
        <f t="array" ref="L576">IF($A576="","",_xlfn.LET(_xlpm.stat,CHOOSE({1,2,3,4,5},$P576,$T576,$X576,$AB576,$AF576),_xlpm.rate,CHOOSE({1,2,3,4,5},$R576,$V576,$Z576,$AD576,$AH576),_xlpm.trn,CHOOSE({1,2,3,4,5},$S576,$W576,$AA576,$AE576,$AI576),_xlpm.nsC,SUMPRODUCT(--(_xlpm.stat="Ready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DLR",IF(AND(_xlpm.actRS&gt;0,_xlpm.actDone&lt;_xlpm.actRS),"Training",IF(_xlpm.actRS&gt;0,"Active",IF(AND(_xlpm.decC&gt;0,_xlpm.inPlay+_xlpm.actC=0),"Dead",IF(AND($AJ576&lt;&gt;"",$AK576=FALSE),"Waiting on Dealer",IF(_xlpm.subC&gt;0,"Waiting on Lender",IF(AND(_xlpm.appC+_xlpm.actC&gt;0,_xlpm.nsC+_xlpm.wdC=0),"Rate Sheet","Application Submitted")))))))))</f>
        <v/>
      </c>
      <c r="M576" s="87"/>
      <c r="N576" s="87"/>
      <c r="O576" s="197"/>
      <c r="P576" s="87" t="str">
        <f>IF($A576="","",IF($AK576=TRUE,"Ready 2 Submit","Waiting on Dealer"))</f>
        <v/>
      </c>
      <c r="Q576" s="148"/>
      <c r="R576" s="87"/>
      <c r="S576" s="87"/>
      <c r="T576" s="87" t="str">
        <f>IF($A576="","",IF($AK576=TRUE,"Ready 2 Submit","Waiting on Dealer"))</f>
        <v/>
      </c>
      <c r="U576" s="148"/>
      <c r="V576" s="87"/>
      <c r="W576" s="87"/>
      <c r="X576" s="87" t="str">
        <f>IF($A576="","",IF($AK576=TRUE,"Ready 2 Submit","Waiting on Dealer"))</f>
        <v/>
      </c>
      <c r="Y576" s="148"/>
      <c r="Z576" s="87"/>
      <c r="AA576" s="87"/>
      <c r="AB576" s="87" t="str">
        <f>IF($A576="","",IF($AK576=TRUE,"Ready 2 Submit","Waiting on Dealer"))</f>
        <v/>
      </c>
      <c r="AC576" s="148"/>
      <c r="AD576" s="87"/>
      <c r="AE576" s="87"/>
      <c r="AF576" s="87" t="str">
        <f>IF($A576="","",IF($AK576=TRUE,"Ready 2 Submit","Waiting on Dealer"))</f>
        <v/>
      </c>
      <c r="AG576" s="148"/>
      <c r="AH576" s="87"/>
      <c r="AI576" s="87"/>
      <c r="AJ576" s="197"/>
      <c r="AK576" s="110" t="b">
        <v>0</v>
      </c>
      <c r="AL576" s="87" t="str" cm="1">
        <f t="array" ref="AL576">IF($A576="","",SUMPRODUCT((CHOOSE({1,2,3,4,5},$R576,$V576,$Z576,$AD576,$AH576)="Yes")*(((CHOOSE({1,2,3,4,5},$S576,$W576,$AA576,$AE576,$AI576)="Yes")+(CHOOSE({1,2,3,4,5},$S576,$W576,$AA576,$AE576,$AI576)=TRUE))&gt;0)))</f>
        <v/>
      </c>
      <c r="AM576" s="87"/>
      <c r="AN576" s="87" t="str">
        <f ca="1">IF(OR($A576="",$AM576=""),"",TODAY()-$AM576)</f>
        <v/>
      </c>
      <c r="AO576" s="87"/>
      <c r="AP576" s="106"/>
      <c r="AQ576" s="106"/>
      <c r="AR576" s="106"/>
      <c r="AS576" s="106"/>
      <c r="AT576" s="106"/>
      <c r="AU576" s="106"/>
      <c r="AV576" s="106"/>
      <c r="AW576" s="106"/>
      <c r="AX576" s="106"/>
      <c r="AY576" s="106"/>
    </row>
    <row r="577" spans="1:51" s="20" customFormat="1" ht="21" customHeight="1">
      <c r="A577" s="197"/>
      <c r="B577" s="87"/>
      <c r="C577" s="87"/>
      <c r="D577" s="196"/>
      <c r="E577" s="108"/>
      <c r="F577" s="196"/>
      <c r="G577" s="87"/>
      <c r="H577" s="197"/>
      <c r="I577" s="89"/>
      <c r="J577" s="204"/>
      <c r="K577" s="87"/>
      <c r="L577" s="87" t="str" cm="1">
        <f t="array" ref="L577">IF($A577="","",_xlfn.LET(_xlpm.stat,CHOOSE({1,2,3,4,5},$P577,$T577,$X577,$AB577,$AF577),_xlpm.rate,CHOOSE({1,2,3,4,5},$R577,$V577,$Z577,$AD577,$AH577),_xlpm.trn,CHOOSE({1,2,3,4,5},$S577,$W577,$AA577,$AE577,$AI577),_xlpm.nsC,SUMPRODUCT(--(_xlpm.stat="Ready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DLR",IF(AND(_xlpm.actRS&gt;0,_xlpm.actDone&lt;_xlpm.actRS),"Training",IF(_xlpm.actRS&gt;0,"Active",IF(AND(_xlpm.decC&gt;0,_xlpm.inPlay+_xlpm.actC=0),"Dead",IF(AND($AJ577&lt;&gt;"",$AK577=FALSE),"Waiting on Dealer",IF(_xlpm.subC&gt;0,"Waiting on Lender",IF(AND(_xlpm.appC+_xlpm.actC&gt;0,_xlpm.nsC+_xlpm.wdC=0),"Rate Sheet","Application Submitted")))))))))</f>
        <v/>
      </c>
      <c r="M577" s="87"/>
      <c r="N577" s="87"/>
      <c r="O577" s="197"/>
      <c r="P577" s="87" t="str">
        <f>IF($A577="","",IF($AK577=TRUE,"Ready 2 Submit","Waiting on Dealer"))</f>
        <v/>
      </c>
      <c r="Q577" s="148"/>
      <c r="R577" s="87"/>
      <c r="S577" s="87"/>
      <c r="T577" s="87" t="str">
        <f>IF($A577="","",IF($AK577=TRUE,"Ready 2 Submit","Waiting on Dealer"))</f>
        <v/>
      </c>
      <c r="U577" s="148"/>
      <c r="V577" s="87"/>
      <c r="W577" s="87"/>
      <c r="X577" s="87" t="str">
        <f>IF($A577="","",IF($AK577=TRUE,"Ready 2 Submit","Waiting on Dealer"))</f>
        <v/>
      </c>
      <c r="Y577" s="148"/>
      <c r="Z577" s="87"/>
      <c r="AA577" s="87"/>
      <c r="AB577" s="87" t="str">
        <f>IF($A577="","",IF($AK577=TRUE,"Ready 2 Submit","Waiting on Dealer"))</f>
        <v/>
      </c>
      <c r="AC577" s="148"/>
      <c r="AD577" s="87"/>
      <c r="AE577" s="87"/>
      <c r="AF577" s="87" t="str">
        <f>IF($A577="","",IF($AK577=TRUE,"Ready 2 Submit","Waiting on Dealer"))</f>
        <v/>
      </c>
      <c r="AG577" s="148"/>
      <c r="AH577" s="87"/>
      <c r="AI577" s="87"/>
      <c r="AJ577" s="197"/>
      <c r="AK577" s="110" t="b">
        <v>0</v>
      </c>
      <c r="AL577" s="87" t="str" cm="1">
        <f t="array" ref="AL577">IF($A577="","",SUMPRODUCT((CHOOSE({1,2,3,4,5},$R577,$V577,$Z577,$AD577,$AH577)="Yes")*(((CHOOSE({1,2,3,4,5},$S577,$W577,$AA577,$AE577,$AI577)="Yes")+(CHOOSE({1,2,3,4,5},$S577,$W577,$AA577,$AE577,$AI577)=TRUE))&gt;0)))</f>
        <v/>
      </c>
      <c r="AM577" s="87"/>
      <c r="AN577" s="87" t="str">
        <f ca="1">IF(OR($A577="",$AM577=""),"",TODAY()-$AM577)</f>
        <v/>
      </c>
      <c r="AO577" s="87"/>
      <c r="AP577" s="106"/>
      <c r="AQ577" s="106"/>
      <c r="AR577" s="106"/>
      <c r="AS577" s="106"/>
      <c r="AT577" s="106"/>
      <c r="AU577" s="106"/>
      <c r="AV577" s="106"/>
      <c r="AW577" s="106"/>
      <c r="AX577" s="106"/>
      <c r="AY577" s="106"/>
    </row>
    <row r="578" spans="1:51" s="20" customFormat="1" ht="21" customHeight="1">
      <c r="A578" s="197"/>
      <c r="B578" s="87"/>
      <c r="C578" s="87"/>
      <c r="D578" s="196"/>
      <c r="E578" s="108"/>
      <c r="F578" s="196"/>
      <c r="G578" s="87"/>
      <c r="H578" s="197"/>
      <c r="I578" s="89"/>
      <c r="J578" s="204"/>
      <c r="K578" s="87"/>
      <c r="L578" s="87" t="str" cm="1">
        <f t="array" ref="L578">IF($A578="","",_xlfn.LET(_xlpm.stat,CHOOSE({1,2,3,4,5},$P578,$T578,$X578,$AB578,$AF578),_xlpm.rate,CHOOSE({1,2,3,4,5},$R578,$V578,$Z578,$AD578,$AH578),_xlpm.trn,CHOOSE({1,2,3,4,5},$S578,$W578,$AA578,$AE578,$AI578),_xlpm.nsC,SUMPRODUCT(--(_xlpm.stat="Ready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DLR",IF(AND(_xlpm.actRS&gt;0,_xlpm.actDone&lt;_xlpm.actRS),"Training",IF(_xlpm.actRS&gt;0,"Active",IF(AND(_xlpm.decC&gt;0,_xlpm.inPlay+_xlpm.actC=0),"Dead",IF(AND($AJ578&lt;&gt;"",$AK578=FALSE),"Waiting on Dealer",IF(_xlpm.subC&gt;0,"Waiting on Lender",IF(AND(_xlpm.appC+_xlpm.actC&gt;0,_xlpm.nsC+_xlpm.wdC=0),"Rate Sheet","Application Submitted")))))))))</f>
        <v/>
      </c>
      <c r="M578" s="87"/>
      <c r="N578" s="87"/>
      <c r="O578" s="197"/>
      <c r="P578" s="87" t="str">
        <f>IF($A578="","",IF($AK578=TRUE,"Ready 2 Submit","Waiting on Dealer"))</f>
        <v/>
      </c>
      <c r="Q578" s="148"/>
      <c r="R578" s="87"/>
      <c r="S578" s="87"/>
      <c r="T578" s="87" t="str">
        <f>IF($A578="","",IF($AK578=TRUE,"Ready 2 Submit","Waiting on Dealer"))</f>
        <v/>
      </c>
      <c r="U578" s="148"/>
      <c r="V578" s="87"/>
      <c r="W578" s="87"/>
      <c r="X578" s="87" t="str">
        <f>IF($A578="","",IF($AK578=TRUE,"Ready 2 Submit","Waiting on Dealer"))</f>
        <v/>
      </c>
      <c r="Y578" s="148"/>
      <c r="Z578" s="87"/>
      <c r="AA578" s="87"/>
      <c r="AB578" s="87" t="str">
        <f>IF($A578="","",IF($AK578=TRUE,"Ready 2 Submit","Waiting on Dealer"))</f>
        <v/>
      </c>
      <c r="AC578" s="148"/>
      <c r="AD578" s="87"/>
      <c r="AE578" s="87"/>
      <c r="AF578" s="87" t="str">
        <f>IF($A578="","",IF($AK578=TRUE,"Ready 2 Submit","Waiting on Dealer"))</f>
        <v/>
      </c>
      <c r="AG578" s="148"/>
      <c r="AH578" s="87"/>
      <c r="AI578" s="87"/>
      <c r="AJ578" s="197"/>
      <c r="AK578" s="110" t="b">
        <v>0</v>
      </c>
      <c r="AL578" s="87" t="str" cm="1">
        <f t="array" ref="AL578">IF($A578="","",SUMPRODUCT((CHOOSE({1,2,3,4,5},$R578,$V578,$Z578,$AD578,$AH578)="Yes")*(((CHOOSE({1,2,3,4,5},$S578,$W578,$AA578,$AE578,$AI578)="Yes")+(CHOOSE({1,2,3,4,5},$S578,$W578,$AA578,$AE578,$AI578)=TRUE))&gt;0)))</f>
        <v/>
      </c>
      <c r="AM578" s="87"/>
      <c r="AN578" s="87" t="str">
        <f ca="1">IF(OR($A578="",$AM578=""),"",TODAY()-$AM578)</f>
        <v/>
      </c>
      <c r="AO578" s="87"/>
      <c r="AP578" s="106"/>
      <c r="AQ578" s="106"/>
      <c r="AR578" s="106"/>
      <c r="AS578" s="106"/>
      <c r="AT578" s="106"/>
      <c r="AU578" s="106"/>
      <c r="AV578" s="106"/>
      <c r="AW578" s="106"/>
      <c r="AX578" s="106"/>
      <c r="AY578" s="106"/>
    </row>
    <row r="579" spans="1:51" s="20" customFormat="1" ht="21" customHeight="1">
      <c r="A579" s="197"/>
      <c r="B579" s="87"/>
      <c r="C579" s="87"/>
      <c r="D579" s="196"/>
      <c r="E579" s="108"/>
      <c r="F579" s="196"/>
      <c r="G579" s="87"/>
      <c r="H579" s="197"/>
      <c r="I579" s="89"/>
      <c r="J579" s="204"/>
      <c r="K579" s="87"/>
      <c r="L579" s="87" t="str" cm="1">
        <f t="array" ref="L579">IF($A579="","",_xlfn.LET(_xlpm.stat,CHOOSE({1,2,3,4,5},$P579,$T579,$X579,$AB579,$AF579),_xlpm.rate,CHOOSE({1,2,3,4,5},$R579,$V579,$Z579,$AD579,$AH579),_xlpm.trn,CHOOSE({1,2,3,4,5},$S579,$W579,$AA579,$AE579,$AI579),_xlpm.nsC,SUMPRODUCT(--(_xlpm.stat="Ready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DLR",IF(AND(_xlpm.actRS&gt;0,_xlpm.actDone&lt;_xlpm.actRS),"Training",IF(_xlpm.actRS&gt;0,"Active",IF(AND(_xlpm.decC&gt;0,_xlpm.inPlay+_xlpm.actC=0),"Dead",IF(AND($AJ579&lt;&gt;"",$AK579=FALSE),"Waiting on Dealer",IF(_xlpm.subC&gt;0,"Waiting on Lender",IF(AND(_xlpm.appC+_xlpm.actC&gt;0,_xlpm.nsC+_xlpm.wdC=0),"Rate Sheet","Application Submitted")))))))))</f>
        <v/>
      </c>
      <c r="M579" s="87"/>
      <c r="N579" s="87"/>
      <c r="O579" s="197"/>
      <c r="P579" s="87" t="str">
        <f>IF($A579="","",IF($AK579=TRUE,"Ready 2 Submit","Waiting on Dealer"))</f>
        <v/>
      </c>
      <c r="Q579" s="148"/>
      <c r="R579" s="87"/>
      <c r="S579" s="87"/>
      <c r="T579" s="87" t="str">
        <f>IF($A579="","",IF($AK579=TRUE,"Ready 2 Submit","Waiting on Dealer"))</f>
        <v/>
      </c>
      <c r="U579" s="148"/>
      <c r="V579" s="87"/>
      <c r="W579" s="87"/>
      <c r="X579" s="87" t="str">
        <f>IF($A579="","",IF($AK579=TRUE,"Ready 2 Submit","Waiting on Dealer"))</f>
        <v/>
      </c>
      <c r="Y579" s="148"/>
      <c r="Z579" s="87"/>
      <c r="AA579" s="87"/>
      <c r="AB579" s="87" t="str">
        <f>IF($A579="","",IF($AK579=TRUE,"Ready 2 Submit","Waiting on Dealer"))</f>
        <v/>
      </c>
      <c r="AC579" s="148"/>
      <c r="AD579" s="87"/>
      <c r="AE579" s="87"/>
      <c r="AF579" s="87" t="str">
        <f>IF($A579="","",IF($AK579=TRUE,"Ready 2 Submit","Waiting on Dealer"))</f>
        <v/>
      </c>
      <c r="AG579" s="148"/>
      <c r="AH579" s="87"/>
      <c r="AI579" s="87"/>
      <c r="AJ579" s="197"/>
      <c r="AK579" s="110" t="b">
        <v>0</v>
      </c>
      <c r="AL579" s="87" t="str" cm="1">
        <f t="array" ref="AL579">IF($A579="","",SUMPRODUCT((CHOOSE({1,2,3,4,5},$R579,$V579,$Z579,$AD579,$AH579)="Yes")*(((CHOOSE({1,2,3,4,5},$S579,$W579,$AA579,$AE579,$AI579)="Yes")+(CHOOSE({1,2,3,4,5},$S579,$W579,$AA579,$AE579,$AI579)=TRUE))&gt;0)))</f>
        <v/>
      </c>
      <c r="AM579" s="87"/>
      <c r="AN579" s="87" t="str">
        <f ca="1">IF(OR($A579="",$AM579=""),"",TODAY()-$AM579)</f>
        <v/>
      </c>
      <c r="AO579" s="87"/>
      <c r="AP579" s="106"/>
      <c r="AQ579" s="106"/>
      <c r="AR579" s="106"/>
      <c r="AS579" s="106"/>
      <c r="AT579" s="106"/>
      <c r="AU579" s="106"/>
      <c r="AV579" s="106"/>
      <c r="AW579" s="106"/>
      <c r="AX579" s="106"/>
      <c r="AY579" s="106"/>
    </row>
    <row r="580" spans="1:51" s="20" customFormat="1" ht="21" customHeight="1">
      <c r="A580" s="197"/>
      <c r="B580" s="87"/>
      <c r="C580" s="87"/>
      <c r="D580" s="196"/>
      <c r="E580" s="108"/>
      <c r="F580" s="196"/>
      <c r="G580" s="87"/>
      <c r="H580" s="197"/>
      <c r="I580" s="89"/>
      <c r="J580" s="204"/>
      <c r="K580" s="87"/>
      <c r="L580" s="87" t="str" cm="1">
        <f t="array" ref="L580">IF($A580="","",_xlfn.LET(_xlpm.stat,CHOOSE({1,2,3,4,5},$P580,$T580,$X580,$AB580,$AF580),_xlpm.rate,CHOOSE({1,2,3,4,5},$R580,$V580,$Z580,$AD580,$AH580),_xlpm.trn,CHOOSE({1,2,3,4,5},$S580,$W580,$AA580,$AE580,$AI580),_xlpm.nsC,SUMPRODUCT(--(_xlpm.stat="Ready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DLR",IF(AND(_xlpm.actRS&gt;0,_xlpm.actDone&lt;_xlpm.actRS),"Training",IF(_xlpm.actRS&gt;0,"Active",IF(AND(_xlpm.decC&gt;0,_xlpm.inPlay+_xlpm.actC=0),"Dead",IF(AND($AJ580&lt;&gt;"",$AK580=FALSE),"Waiting on Dealer",IF(_xlpm.subC&gt;0,"Waiting on Lender",IF(AND(_xlpm.appC+_xlpm.actC&gt;0,_xlpm.nsC+_xlpm.wdC=0),"Rate Sheet","Application Submitted")))))))))</f>
        <v/>
      </c>
      <c r="M580" s="87"/>
      <c r="N580" s="87"/>
      <c r="O580" s="197"/>
      <c r="P580" s="87" t="str">
        <f>IF($A580="","",IF($AK580=TRUE,"Ready 2 Submit","Waiting on Dealer"))</f>
        <v/>
      </c>
      <c r="Q580" s="148"/>
      <c r="R580" s="87"/>
      <c r="S580" s="87"/>
      <c r="T580" s="87" t="str">
        <f>IF($A580="","",IF($AK580=TRUE,"Ready 2 Submit","Waiting on Dealer"))</f>
        <v/>
      </c>
      <c r="U580" s="148"/>
      <c r="V580" s="87"/>
      <c r="W580" s="87"/>
      <c r="X580" s="87" t="str">
        <f>IF($A580="","",IF($AK580=TRUE,"Ready 2 Submit","Waiting on Dealer"))</f>
        <v/>
      </c>
      <c r="Y580" s="148"/>
      <c r="Z580" s="87"/>
      <c r="AA580" s="87"/>
      <c r="AB580" s="87" t="str">
        <f>IF($A580="","",IF($AK580=TRUE,"Ready 2 Submit","Waiting on Dealer"))</f>
        <v/>
      </c>
      <c r="AC580" s="148"/>
      <c r="AD580" s="87"/>
      <c r="AE580" s="87"/>
      <c r="AF580" s="87" t="str">
        <f>IF($A580="","",IF($AK580=TRUE,"Ready 2 Submit","Waiting on Dealer"))</f>
        <v/>
      </c>
      <c r="AG580" s="148"/>
      <c r="AH580" s="87"/>
      <c r="AI580" s="87"/>
      <c r="AJ580" s="197"/>
      <c r="AK580" s="110" t="b">
        <v>0</v>
      </c>
      <c r="AL580" s="87" t="str" cm="1">
        <f t="array" ref="AL580">IF($A580="","",SUMPRODUCT((CHOOSE({1,2,3,4,5},$R580,$V580,$Z580,$AD580,$AH580)="Yes")*(((CHOOSE({1,2,3,4,5},$S580,$W580,$AA580,$AE580,$AI580)="Yes")+(CHOOSE({1,2,3,4,5},$S580,$W580,$AA580,$AE580,$AI580)=TRUE))&gt;0)))</f>
        <v/>
      </c>
      <c r="AM580" s="87"/>
      <c r="AN580" s="87" t="str">
        <f ca="1">IF(OR($A580="",$AM580=""),"",TODAY()-$AM580)</f>
        <v/>
      </c>
      <c r="AO580" s="87"/>
      <c r="AP580" s="106"/>
      <c r="AQ580" s="106"/>
      <c r="AR580" s="106"/>
      <c r="AS580" s="106"/>
      <c r="AT580" s="106"/>
      <c r="AU580" s="106"/>
      <c r="AV580" s="106"/>
      <c r="AW580" s="106"/>
      <c r="AX580" s="106"/>
      <c r="AY580" s="106"/>
    </row>
    <row r="581" spans="1:51" s="20" customFormat="1" ht="21" customHeight="1">
      <c r="A581" s="197"/>
      <c r="B581" s="87"/>
      <c r="C581" s="87"/>
      <c r="D581" s="196"/>
      <c r="E581" s="108"/>
      <c r="F581" s="196"/>
      <c r="G581" s="87"/>
      <c r="H581" s="197"/>
      <c r="I581" s="89"/>
      <c r="J581" s="204"/>
      <c r="K581" s="87"/>
      <c r="L581" s="87" t="str" cm="1">
        <f t="array" ref="L581">IF($A581="","",_xlfn.LET(_xlpm.stat,CHOOSE({1,2,3,4,5},$P581,$T581,$X581,$AB581,$AF581),_xlpm.rate,CHOOSE({1,2,3,4,5},$R581,$V581,$Z581,$AD581,$AH581),_xlpm.trn,CHOOSE({1,2,3,4,5},$S581,$W581,$AA581,$AE581,$AI581),_xlpm.nsC,SUMPRODUCT(--(_xlpm.stat="Ready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DLR",IF(AND(_xlpm.actRS&gt;0,_xlpm.actDone&lt;_xlpm.actRS),"Training",IF(_xlpm.actRS&gt;0,"Active",IF(AND(_xlpm.decC&gt;0,_xlpm.inPlay+_xlpm.actC=0),"Dead",IF(AND($AJ581&lt;&gt;"",$AK581=FALSE),"Waiting on Dealer",IF(_xlpm.subC&gt;0,"Waiting on Lender",IF(AND(_xlpm.appC+_xlpm.actC&gt;0,_xlpm.nsC+_xlpm.wdC=0),"Rate Sheet","Application Submitted")))))))))</f>
        <v/>
      </c>
      <c r="M581" s="87"/>
      <c r="N581" s="87"/>
      <c r="O581" s="197"/>
      <c r="P581" s="87" t="str">
        <f>IF($A581="","",IF($AK581=TRUE,"Ready 2 Submit","Waiting on Dealer"))</f>
        <v/>
      </c>
      <c r="Q581" s="148"/>
      <c r="R581" s="87"/>
      <c r="S581" s="87"/>
      <c r="T581" s="87" t="str">
        <f>IF($A581="","",IF($AK581=TRUE,"Ready 2 Submit","Waiting on Dealer"))</f>
        <v/>
      </c>
      <c r="U581" s="148"/>
      <c r="V581" s="87"/>
      <c r="W581" s="87"/>
      <c r="X581" s="87" t="str">
        <f>IF($A581="","",IF($AK581=TRUE,"Ready 2 Submit","Waiting on Dealer"))</f>
        <v/>
      </c>
      <c r="Y581" s="148"/>
      <c r="Z581" s="87"/>
      <c r="AA581" s="87"/>
      <c r="AB581" s="87" t="str">
        <f>IF($A581="","",IF($AK581=TRUE,"Ready 2 Submit","Waiting on Dealer"))</f>
        <v/>
      </c>
      <c r="AC581" s="148"/>
      <c r="AD581" s="87"/>
      <c r="AE581" s="87"/>
      <c r="AF581" s="87" t="str">
        <f>IF($A581="","",IF($AK581=TRUE,"Ready 2 Submit","Waiting on Dealer"))</f>
        <v/>
      </c>
      <c r="AG581" s="148"/>
      <c r="AH581" s="87"/>
      <c r="AI581" s="87"/>
      <c r="AJ581" s="197"/>
      <c r="AK581" s="110" t="b">
        <v>0</v>
      </c>
      <c r="AL581" s="87" t="str" cm="1">
        <f t="array" ref="AL581">IF($A581="","",SUMPRODUCT((CHOOSE({1,2,3,4,5},$R581,$V581,$Z581,$AD581,$AH581)="Yes")*(((CHOOSE({1,2,3,4,5},$S581,$W581,$AA581,$AE581,$AI581)="Yes")+(CHOOSE({1,2,3,4,5},$S581,$W581,$AA581,$AE581,$AI581)=TRUE))&gt;0)))</f>
        <v/>
      </c>
      <c r="AM581" s="87"/>
      <c r="AN581" s="87" t="str">
        <f ca="1">IF(OR($A581="",$AM581=""),"",TODAY()-$AM581)</f>
        <v/>
      </c>
      <c r="AO581" s="87"/>
      <c r="AP581" s="106"/>
      <c r="AQ581" s="106"/>
      <c r="AR581" s="106"/>
      <c r="AS581" s="106"/>
      <c r="AT581" s="106"/>
      <c r="AU581" s="106"/>
      <c r="AV581" s="106"/>
      <c r="AW581" s="106"/>
      <c r="AX581" s="106"/>
      <c r="AY581" s="106"/>
    </row>
    <row r="582" spans="1:51" s="20" customFormat="1" ht="21" customHeight="1">
      <c r="A582" s="197"/>
      <c r="B582" s="87"/>
      <c r="C582" s="87"/>
      <c r="D582" s="196"/>
      <c r="E582" s="108"/>
      <c r="F582" s="196"/>
      <c r="G582" s="87"/>
      <c r="H582" s="197"/>
      <c r="I582" s="89"/>
      <c r="J582" s="204"/>
      <c r="K582" s="87"/>
      <c r="L582" s="87" t="str" cm="1">
        <f t="array" ref="L582">IF($A582="","",_xlfn.LET(_xlpm.stat,CHOOSE({1,2,3,4,5},$P582,$T582,$X582,$AB582,$AF582),_xlpm.rate,CHOOSE({1,2,3,4,5},$R582,$V582,$Z582,$AD582,$AH582),_xlpm.trn,CHOOSE({1,2,3,4,5},$S582,$W582,$AA582,$AE582,$AI582),_xlpm.nsC,SUMPRODUCT(--(_xlpm.stat="Ready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DLR",IF(AND(_xlpm.actRS&gt;0,_xlpm.actDone&lt;_xlpm.actRS),"Training",IF(_xlpm.actRS&gt;0,"Active",IF(AND(_xlpm.decC&gt;0,_xlpm.inPlay+_xlpm.actC=0),"Dead",IF(AND($AJ582&lt;&gt;"",$AK582=FALSE),"Waiting on Dealer",IF(_xlpm.subC&gt;0,"Waiting on Lender",IF(AND(_xlpm.appC+_xlpm.actC&gt;0,_xlpm.nsC+_xlpm.wdC=0),"Rate Sheet","Application Submitted")))))))))</f>
        <v/>
      </c>
      <c r="M582" s="87"/>
      <c r="N582" s="87"/>
      <c r="O582" s="197"/>
      <c r="P582" s="87" t="str">
        <f>IF($A582="","",IF($AK582=TRUE,"Ready 2 Submit","Waiting on Dealer"))</f>
        <v/>
      </c>
      <c r="Q582" s="148"/>
      <c r="R582" s="87"/>
      <c r="S582" s="87"/>
      <c r="T582" s="87" t="str">
        <f>IF($A582="","",IF($AK582=TRUE,"Ready 2 Submit","Waiting on Dealer"))</f>
        <v/>
      </c>
      <c r="U582" s="148"/>
      <c r="V582" s="87"/>
      <c r="W582" s="87"/>
      <c r="X582" s="87" t="str">
        <f>IF($A582="","",IF($AK582=TRUE,"Ready 2 Submit","Waiting on Dealer"))</f>
        <v/>
      </c>
      <c r="Y582" s="148"/>
      <c r="Z582" s="87"/>
      <c r="AA582" s="87"/>
      <c r="AB582" s="87" t="str">
        <f>IF($A582="","",IF($AK582=TRUE,"Ready 2 Submit","Waiting on Dealer"))</f>
        <v/>
      </c>
      <c r="AC582" s="148"/>
      <c r="AD582" s="87"/>
      <c r="AE582" s="87"/>
      <c r="AF582" s="87" t="str">
        <f>IF($A582="","",IF($AK582=TRUE,"Ready 2 Submit","Waiting on Dealer"))</f>
        <v/>
      </c>
      <c r="AG582" s="148"/>
      <c r="AH582" s="87"/>
      <c r="AI582" s="87"/>
      <c r="AJ582" s="197"/>
      <c r="AK582" s="110" t="b">
        <v>0</v>
      </c>
      <c r="AL582" s="87" t="str" cm="1">
        <f t="array" ref="AL582">IF($A582="","",SUMPRODUCT((CHOOSE({1,2,3,4,5},$R582,$V582,$Z582,$AD582,$AH582)="Yes")*(((CHOOSE({1,2,3,4,5},$S582,$W582,$AA582,$AE582,$AI582)="Yes")+(CHOOSE({1,2,3,4,5},$S582,$W582,$AA582,$AE582,$AI582)=TRUE))&gt;0)))</f>
        <v/>
      </c>
      <c r="AM582" s="87"/>
      <c r="AN582" s="87" t="str">
        <f ca="1">IF(OR($A582="",$AM582=""),"",TODAY()-$AM582)</f>
        <v/>
      </c>
      <c r="AO582" s="87"/>
      <c r="AP582" s="106"/>
      <c r="AQ582" s="106"/>
      <c r="AR582" s="106"/>
      <c r="AS582" s="106"/>
      <c r="AT582" s="106"/>
      <c r="AU582" s="106"/>
      <c r="AV582" s="106"/>
      <c r="AW582" s="106"/>
      <c r="AX582" s="106"/>
      <c r="AY582" s="106"/>
    </row>
    <row r="583" spans="1:51" s="20" customFormat="1" ht="21" customHeight="1">
      <c r="A583" s="197"/>
      <c r="B583" s="87"/>
      <c r="C583" s="87"/>
      <c r="D583" s="196"/>
      <c r="E583" s="108"/>
      <c r="F583" s="196"/>
      <c r="G583" s="87"/>
      <c r="H583" s="197"/>
      <c r="I583" s="89"/>
      <c r="J583" s="204"/>
      <c r="K583" s="87"/>
      <c r="L583" s="87" t="str" cm="1">
        <f t="array" ref="L583">IF($A583="","",_xlfn.LET(_xlpm.stat,CHOOSE({1,2,3,4,5},$P583,$T583,$X583,$AB583,$AF583),_xlpm.rate,CHOOSE({1,2,3,4,5},$R583,$V583,$Z583,$AD583,$AH583),_xlpm.trn,CHOOSE({1,2,3,4,5},$S583,$W583,$AA583,$AE583,$AI583),_xlpm.nsC,SUMPRODUCT(--(_xlpm.stat="Ready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DLR",IF(AND(_xlpm.actRS&gt;0,_xlpm.actDone&lt;_xlpm.actRS),"Training",IF(_xlpm.actRS&gt;0,"Active",IF(AND(_xlpm.decC&gt;0,_xlpm.inPlay+_xlpm.actC=0),"Dead",IF(AND($AJ583&lt;&gt;"",$AK583=FALSE),"Waiting on Dealer",IF(_xlpm.subC&gt;0,"Waiting on Lender",IF(AND(_xlpm.appC+_xlpm.actC&gt;0,_xlpm.nsC+_xlpm.wdC=0),"Rate Sheet","Application Submitted")))))))))</f>
        <v/>
      </c>
      <c r="M583" s="87"/>
      <c r="N583" s="87"/>
      <c r="O583" s="197"/>
      <c r="P583" s="87" t="str">
        <f>IF($A583="","",IF($AK583=TRUE,"Ready 2 Submit","Waiting on Dealer"))</f>
        <v/>
      </c>
      <c r="Q583" s="148"/>
      <c r="R583" s="87"/>
      <c r="S583" s="87"/>
      <c r="T583" s="87" t="str">
        <f>IF($A583="","",IF($AK583=TRUE,"Ready 2 Submit","Waiting on Dealer"))</f>
        <v/>
      </c>
      <c r="U583" s="148"/>
      <c r="V583" s="87"/>
      <c r="W583" s="87"/>
      <c r="X583" s="87" t="str">
        <f>IF($A583="","",IF($AK583=TRUE,"Ready 2 Submit","Waiting on Dealer"))</f>
        <v/>
      </c>
      <c r="Y583" s="148"/>
      <c r="Z583" s="87"/>
      <c r="AA583" s="87"/>
      <c r="AB583" s="87" t="str">
        <f>IF($A583="","",IF($AK583=TRUE,"Ready 2 Submit","Waiting on Dealer"))</f>
        <v/>
      </c>
      <c r="AC583" s="148"/>
      <c r="AD583" s="87"/>
      <c r="AE583" s="87"/>
      <c r="AF583" s="87" t="str">
        <f>IF($A583="","",IF($AK583=TRUE,"Ready 2 Submit","Waiting on Dealer"))</f>
        <v/>
      </c>
      <c r="AG583" s="148"/>
      <c r="AH583" s="87"/>
      <c r="AI583" s="87"/>
      <c r="AJ583" s="197"/>
      <c r="AK583" s="110" t="b">
        <v>0</v>
      </c>
      <c r="AL583" s="87" t="str" cm="1">
        <f t="array" ref="AL583">IF($A583="","",SUMPRODUCT((CHOOSE({1,2,3,4,5},$R583,$V583,$Z583,$AD583,$AH583)="Yes")*(((CHOOSE({1,2,3,4,5},$S583,$W583,$AA583,$AE583,$AI583)="Yes")+(CHOOSE({1,2,3,4,5},$S583,$W583,$AA583,$AE583,$AI583)=TRUE))&gt;0)))</f>
        <v/>
      </c>
      <c r="AM583" s="87"/>
      <c r="AN583" s="87" t="str">
        <f ca="1">IF(OR($A583="",$AM583=""),"",TODAY()-$AM583)</f>
        <v/>
      </c>
      <c r="AO583" s="87"/>
      <c r="AP583" s="106"/>
      <c r="AQ583" s="106"/>
      <c r="AR583" s="106"/>
      <c r="AS583" s="106"/>
      <c r="AT583" s="106"/>
      <c r="AU583" s="106"/>
      <c r="AV583" s="106"/>
      <c r="AW583" s="106"/>
      <c r="AX583" s="106"/>
      <c r="AY583" s="106"/>
    </row>
    <row r="584" spans="1:51" s="20" customFormat="1" ht="21" customHeight="1">
      <c r="A584" s="197"/>
      <c r="B584" s="87"/>
      <c r="C584" s="87"/>
      <c r="D584" s="196"/>
      <c r="E584" s="108"/>
      <c r="F584" s="196"/>
      <c r="G584" s="87"/>
      <c r="H584" s="197"/>
      <c r="I584" s="89"/>
      <c r="J584" s="204"/>
      <c r="K584" s="87"/>
      <c r="L584" s="87" t="str" cm="1">
        <f t="array" ref="L584">IF($A584="","",_xlfn.LET(_xlpm.stat,CHOOSE({1,2,3,4,5},$P584,$T584,$X584,$AB584,$AF584),_xlpm.rate,CHOOSE({1,2,3,4,5},$R584,$V584,$Z584,$AD584,$AH584),_xlpm.trn,CHOOSE({1,2,3,4,5},$S584,$W584,$AA584,$AE584,$AI584),_xlpm.nsC,SUMPRODUCT(--(_xlpm.stat="Ready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DLR",IF(AND(_xlpm.actRS&gt;0,_xlpm.actDone&lt;_xlpm.actRS),"Training",IF(_xlpm.actRS&gt;0,"Active",IF(AND(_xlpm.decC&gt;0,_xlpm.inPlay+_xlpm.actC=0),"Dead",IF(AND($AJ584&lt;&gt;"",$AK584=FALSE),"Waiting on Dealer",IF(_xlpm.subC&gt;0,"Waiting on Lender",IF(AND(_xlpm.appC+_xlpm.actC&gt;0,_xlpm.nsC+_xlpm.wdC=0),"Rate Sheet","Application Submitted")))))))))</f>
        <v/>
      </c>
      <c r="M584" s="87"/>
      <c r="N584" s="87"/>
      <c r="O584" s="197"/>
      <c r="P584" s="87" t="str">
        <f>IF($A584="","",IF($AK584=TRUE,"Ready 2 Submit","Waiting on Dealer"))</f>
        <v/>
      </c>
      <c r="Q584" s="148"/>
      <c r="R584" s="87"/>
      <c r="S584" s="87"/>
      <c r="T584" s="87" t="str">
        <f>IF($A584="","",IF($AK584=TRUE,"Ready 2 Submit","Waiting on Dealer"))</f>
        <v/>
      </c>
      <c r="U584" s="148"/>
      <c r="V584" s="87"/>
      <c r="W584" s="87"/>
      <c r="X584" s="87" t="str">
        <f>IF($A584="","",IF($AK584=TRUE,"Ready 2 Submit","Waiting on Dealer"))</f>
        <v/>
      </c>
      <c r="Y584" s="148"/>
      <c r="Z584" s="87"/>
      <c r="AA584" s="87"/>
      <c r="AB584" s="87" t="str">
        <f>IF($A584="","",IF($AK584=TRUE,"Ready 2 Submit","Waiting on Dealer"))</f>
        <v/>
      </c>
      <c r="AC584" s="148"/>
      <c r="AD584" s="87"/>
      <c r="AE584" s="87"/>
      <c r="AF584" s="87" t="str">
        <f>IF($A584="","",IF($AK584=TRUE,"Ready 2 Submit","Waiting on Dealer"))</f>
        <v/>
      </c>
      <c r="AG584" s="148"/>
      <c r="AH584" s="87"/>
      <c r="AI584" s="87"/>
      <c r="AJ584" s="197"/>
      <c r="AK584" s="110" t="b">
        <v>0</v>
      </c>
      <c r="AL584" s="87" t="str" cm="1">
        <f t="array" ref="AL584">IF($A584="","",SUMPRODUCT((CHOOSE({1,2,3,4,5},$R584,$V584,$Z584,$AD584,$AH584)="Yes")*(((CHOOSE({1,2,3,4,5},$S584,$W584,$AA584,$AE584,$AI584)="Yes")+(CHOOSE({1,2,3,4,5},$S584,$W584,$AA584,$AE584,$AI584)=TRUE))&gt;0)))</f>
        <v/>
      </c>
      <c r="AM584" s="87"/>
      <c r="AN584" s="87" t="str">
        <f ca="1">IF(OR($A584="",$AM584=""),"",TODAY()-$AM584)</f>
        <v/>
      </c>
      <c r="AO584" s="87"/>
      <c r="AP584" s="106"/>
      <c r="AQ584" s="106"/>
      <c r="AR584" s="106"/>
      <c r="AS584" s="106"/>
      <c r="AT584" s="106"/>
      <c r="AU584" s="106"/>
      <c r="AV584" s="106"/>
      <c r="AW584" s="106"/>
      <c r="AX584" s="106"/>
      <c r="AY584" s="106"/>
    </row>
    <row r="585" spans="1:51" s="20" customFormat="1" ht="21" customHeight="1">
      <c r="A585" s="197"/>
      <c r="B585" s="87"/>
      <c r="C585" s="87"/>
      <c r="D585" s="196"/>
      <c r="E585" s="108"/>
      <c r="F585" s="196"/>
      <c r="G585" s="87"/>
      <c r="H585" s="197"/>
      <c r="I585" s="89"/>
      <c r="J585" s="204"/>
      <c r="K585" s="87"/>
      <c r="L585" s="87" t="str" cm="1">
        <f t="array" ref="L585">IF($A585="","",_xlfn.LET(_xlpm.stat,CHOOSE({1,2,3,4,5},$P585,$T585,$X585,$AB585,$AF585),_xlpm.rate,CHOOSE({1,2,3,4,5},$R585,$V585,$Z585,$AD585,$AH585),_xlpm.trn,CHOOSE({1,2,3,4,5},$S585,$W585,$AA585,$AE585,$AI585),_xlpm.nsC,SUMPRODUCT(--(_xlpm.stat="Ready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DLR",IF(AND(_xlpm.actRS&gt;0,_xlpm.actDone&lt;_xlpm.actRS),"Training",IF(_xlpm.actRS&gt;0,"Active",IF(AND(_xlpm.decC&gt;0,_xlpm.inPlay+_xlpm.actC=0),"Dead",IF(AND($AJ585&lt;&gt;"",$AK585=FALSE),"Waiting on Dealer",IF(_xlpm.subC&gt;0,"Waiting on Lender",IF(AND(_xlpm.appC+_xlpm.actC&gt;0,_xlpm.nsC+_xlpm.wdC=0),"Rate Sheet","Application Submitted")))))))))</f>
        <v/>
      </c>
      <c r="M585" s="87"/>
      <c r="N585" s="87"/>
      <c r="O585" s="197"/>
      <c r="P585" s="87" t="str">
        <f>IF($A585="","",IF($AK585=TRUE,"Ready 2 Submit","Waiting on Dealer"))</f>
        <v/>
      </c>
      <c r="Q585" s="148"/>
      <c r="R585" s="87"/>
      <c r="S585" s="87"/>
      <c r="T585" s="87" t="str">
        <f>IF($A585="","",IF($AK585=TRUE,"Ready 2 Submit","Waiting on Dealer"))</f>
        <v/>
      </c>
      <c r="U585" s="148"/>
      <c r="V585" s="87"/>
      <c r="W585" s="87"/>
      <c r="X585" s="87" t="str">
        <f>IF($A585="","",IF($AK585=TRUE,"Ready 2 Submit","Waiting on Dealer"))</f>
        <v/>
      </c>
      <c r="Y585" s="148"/>
      <c r="Z585" s="87"/>
      <c r="AA585" s="87"/>
      <c r="AB585" s="87" t="str">
        <f>IF($A585="","",IF($AK585=TRUE,"Ready 2 Submit","Waiting on Dealer"))</f>
        <v/>
      </c>
      <c r="AC585" s="148"/>
      <c r="AD585" s="87"/>
      <c r="AE585" s="87"/>
      <c r="AF585" s="87" t="str">
        <f>IF($A585="","",IF($AK585=TRUE,"Ready 2 Submit","Waiting on Dealer"))</f>
        <v/>
      </c>
      <c r="AG585" s="148"/>
      <c r="AH585" s="87"/>
      <c r="AI585" s="87"/>
      <c r="AJ585" s="197"/>
      <c r="AK585" s="110" t="b">
        <v>0</v>
      </c>
      <c r="AL585" s="87" t="str" cm="1">
        <f t="array" ref="AL585">IF($A585="","",SUMPRODUCT((CHOOSE({1,2,3,4,5},$R585,$V585,$Z585,$AD585,$AH585)="Yes")*(((CHOOSE({1,2,3,4,5},$S585,$W585,$AA585,$AE585,$AI585)="Yes")+(CHOOSE({1,2,3,4,5},$S585,$W585,$AA585,$AE585,$AI585)=TRUE))&gt;0)))</f>
        <v/>
      </c>
      <c r="AM585" s="87"/>
      <c r="AN585" s="87" t="str">
        <f ca="1">IF(OR($A585="",$AM585=""),"",TODAY()-$AM585)</f>
        <v/>
      </c>
      <c r="AO585" s="87"/>
      <c r="AP585" s="106"/>
      <c r="AQ585" s="106"/>
      <c r="AR585" s="106"/>
      <c r="AS585" s="106"/>
      <c r="AT585" s="106"/>
      <c r="AU585" s="106"/>
      <c r="AV585" s="106"/>
      <c r="AW585" s="106"/>
      <c r="AX585" s="106"/>
      <c r="AY585" s="106"/>
    </row>
    <row r="586" spans="1:51" s="20" customFormat="1" ht="21" customHeight="1">
      <c r="A586" s="197"/>
      <c r="B586" s="87"/>
      <c r="C586" s="87"/>
      <c r="D586" s="196"/>
      <c r="E586" s="108"/>
      <c r="F586" s="196"/>
      <c r="G586" s="87"/>
      <c r="H586" s="197"/>
      <c r="I586" s="89"/>
      <c r="J586" s="204"/>
      <c r="K586" s="87"/>
      <c r="L586" s="87" t="str" cm="1">
        <f t="array" ref="L586">IF($A586="","",_xlfn.LET(_xlpm.stat,CHOOSE({1,2,3,4,5},$P586,$T586,$X586,$AB586,$AF586),_xlpm.rate,CHOOSE({1,2,3,4,5},$R586,$V586,$Z586,$AD586,$AH586),_xlpm.trn,CHOOSE({1,2,3,4,5},$S586,$W586,$AA586,$AE586,$AI586),_xlpm.nsC,SUMPRODUCT(--(_xlpm.stat="Ready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DLR",IF(AND(_xlpm.actRS&gt;0,_xlpm.actDone&lt;_xlpm.actRS),"Training",IF(_xlpm.actRS&gt;0,"Active",IF(AND(_xlpm.decC&gt;0,_xlpm.inPlay+_xlpm.actC=0),"Dead",IF(AND($AJ586&lt;&gt;"",$AK586=FALSE),"Waiting on Dealer",IF(_xlpm.subC&gt;0,"Waiting on Lender",IF(AND(_xlpm.appC+_xlpm.actC&gt;0,_xlpm.nsC+_xlpm.wdC=0),"Rate Sheet","Application Submitted")))))))))</f>
        <v/>
      </c>
      <c r="M586" s="87"/>
      <c r="N586" s="87"/>
      <c r="O586" s="197"/>
      <c r="P586" s="87" t="str">
        <f>IF($A586="","",IF($AK586=TRUE,"Ready 2 Submit","Waiting on Dealer"))</f>
        <v/>
      </c>
      <c r="Q586" s="148"/>
      <c r="R586" s="87"/>
      <c r="S586" s="87"/>
      <c r="T586" s="87" t="str">
        <f>IF($A586="","",IF($AK586=TRUE,"Ready 2 Submit","Waiting on Dealer"))</f>
        <v/>
      </c>
      <c r="U586" s="148"/>
      <c r="V586" s="87"/>
      <c r="W586" s="87"/>
      <c r="X586" s="87" t="str">
        <f>IF($A586="","",IF($AK586=TRUE,"Ready 2 Submit","Waiting on Dealer"))</f>
        <v/>
      </c>
      <c r="Y586" s="148"/>
      <c r="Z586" s="87"/>
      <c r="AA586" s="87"/>
      <c r="AB586" s="87" t="str">
        <f>IF($A586="","",IF($AK586=TRUE,"Ready 2 Submit","Waiting on Dealer"))</f>
        <v/>
      </c>
      <c r="AC586" s="148"/>
      <c r="AD586" s="87"/>
      <c r="AE586" s="87"/>
      <c r="AF586" s="87" t="str">
        <f>IF($A586="","",IF($AK586=TRUE,"Ready 2 Submit","Waiting on Dealer"))</f>
        <v/>
      </c>
      <c r="AG586" s="148"/>
      <c r="AH586" s="87"/>
      <c r="AI586" s="87"/>
      <c r="AJ586" s="197"/>
      <c r="AK586" s="110" t="b">
        <v>0</v>
      </c>
      <c r="AL586" s="87" t="str" cm="1">
        <f t="array" ref="AL586">IF($A586="","",SUMPRODUCT((CHOOSE({1,2,3,4,5},$R586,$V586,$Z586,$AD586,$AH586)="Yes")*(((CHOOSE({1,2,3,4,5},$S586,$W586,$AA586,$AE586,$AI586)="Yes")+(CHOOSE({1,2,3,4,5},$S586,$W586,$AA586,$AE586,$AI586)=TRUE))&gt;0)))</f>
        <v/>
      </c>
      <c r="AM586" s="87"/>
      <c r="AN586" s="87" t="str">
        <f ca="1">IF(OR($A586="",$AM586=""),"",TODAY()-$AM586)</f>
        <v/>
      </c>
      <c r="AO586" s="87"/>
      <c r="AP586" s="106"/>
      <c r="AQ586" s="106"/>
      <c r="AR586" s="106"/>
      <c r="AS586" s="106"/>
      <c r="AT586" s="106"/>
      <c r="AU586" s="106"/>
      <c r="AV586" s="106"/>
      <c r="AW586" s="106"/>
      <c r="AX586" s="106"/>
      <c r="AY586" s="106"/>
    </row>
    <row r="587" spans="1:51" s="20" customFormat="1" ht="21" customHeight="1">
      <c r="A587" s="197"/>
      <c r="B587" s="87"/>
      <c r="C587" s="87"/>
      <c r="D587" s="196"/>
      <c r="E587" s="108"/>
      <c r="F587" s="196"/>
      <c r="G587" s="87"/>
      <c r="H587" s="197"/>
      <c r="I587" s="89"/>
      <c r="J587" s="204"/>
      <c r="K587" s="87"/>
      <c r="L587" s="87" t="str" cm="1">
        <f t="array" ref="L587">IF($A587="","",_xlfn.LET(_xlpm.stat,CHOOSE({1,2,3,4,5},$P587,$T587,$X587,$AB587,$AF587),_xlpm.rate,CHOOSE({1,2,3,4,5},$R587,$V587,$Z587,$AD587,$AH587),_xlpm.trn,CHOOSE({1,2,3,4,5},$S587,$W587,$AA587,$AE587,$AI587),_xlpm.nsC,SUMPRODUCT(--(_xlpm.stat="Ready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DLR",IF(AND(_xlpm.actRS&gt;0,_xlpm.actDone&lt;_xlpm.actRS),"Training",IF(_xlpm.actRS&gt;0,"Active",IF(AND(_xlpm.decC&gt;0,_xlpm.inPlay+_xlpm.actC=0),"Dead",IF(AND($AJ587&lt;&gt;"",$AK587=FALSE),"Waiting on Dealer",IF(_xlpm.subC&gt;0,"Waiting on Lender",IF(AND(_xlpm.appC+_xlpm.actC&gt;0,_xlpm.nsC+_xlpm.wdC=0),"Rate Sheet","Application Submitted")))))))))</f>
        <v/>
      </c>
      <c r="M587" s="87"/>
      <c r="N587" s="87"/>
      <c r="O587" s="197"/>
      <c r="P587" s="87" t="str">
        <f>IF($A587="","",IF($AK587=TRUE,"Ready 2 Submit","Waiting on Dealer"))</f>
        <v/>
      </c>
      <c r="Q587" s="148"/>
      <c r="R587" s="87"/>
      <c r="S587" s="87"/>
      <c r="T587" s="87" t="str">
        <f>IF($A587="","",IF($AK587=TRUE,"Ready 2 Submit","Waiting on Dealer"))</f>
        <v/>
      </c>
      <c r="U587" s="148"/>
      <c r="V587" s="87"/>
      <c r="W587" s="87"/>
      <c r="X587" s="87" t="str">
        <f>IF($A587="","",IF($AK587=TRUE,"Ready 2 Submit","Waiting on Dealer"))</f>
        <v/>
      </c>
      <c r="Y587" s="148"/>
      <c r="Z587" s="87"/>
      <c r="AA587" s="87"/>
      <c r="AB587" s="87" t="str">
        <f>IF($A587="","",IF($AK587=TRUE,"Ready 2 Submit","Waiting on Dealer"))</f>
        <v/>
      </c>
      <c r="AC587" s="148"/>
      <c r="AD587" s="87"/>
      <c r="AE587" s="87"/>
      <c r="AF587" s="87" t="str">
        <f>IF($A587="","",IF($AK587=TRUE,"Ready 2 Submit","Waiting on Dealer"))</f>
        <v/>
      </c>
      <c r="AG587" s="148"/>
      <c r="AH587" s="87"/>
      <c r="AI587" s="87"/>
      <c r="AJ587" s="197"/>
      <c r="AK587" s="110" t="b">
        <v>0</v>
      </c>
      <c r="AL587" s="87" t="str" cm="1">
        <f t="array" ref="AL587">IF($A587="","",SUMPRODUCT((CHOOSE({1,2,3,4,5},$R587,$V587,$Z587,$AD587,$AH587)="Yes")*(((CHOOSE({1,2,3,4,5},$S587,$W587,$AA587,$AE587,$AI587)="Yes")+(CHOOSE({1,2,3,4,5},$S587,$W587,$AA587,$AE587,$AI587)=TRUE))&gt;0)))</f>
        <v/>
      </c>
      <c r="AM587" s="87"/>
      <c r="AN587" s="87" t="str">
        <f ca="1">IF(OR($A587="",$AM587=""),"",TODAY()-$AM587)</f>
        <v/>
      </c>
      <c r="AO587" s="87"/>
      <c r="AP587" s="106"/>
      <c r="AQ587" s="106"/>
      <c r="AR587" s="106"/>
      <c r="AS587" s="106"/>
      <c r="AT587" s="106"/>
      <c r="AU587" s="106"/>
      <c r="AV587" s="106"/>
      <c r="AW587" s="106"/>
      <c r="AX587" s="106"/>
      <c r="AY587" s="106"/>
    </row>
    <row r="588" spans="1:51" s="20" customFormat="1" ht="21" customHeight="1">
      <c r="A588" s="197"/>
      <c r="B588" s="87"/>
      <c r="C588" s="87"/>
      <c r="D588" s="196"/>
      <c r="E588" s="108"/>
      <c r="F588" s="196"/>
      <c r="G588" s="87"/>
      <c r="H588" s="197"/>
      <c r="I588" s="89"/>
      <c r="J588" s="204"/>
      <c r="K588" s="87"/>
      <c r="L588" s="87" t="str" cm="1">
        <f t="array" ref="L588">IF($A588="","",_xlfn.LET(_xlpm.stat,CHOOSE({1,2,3,4,5},$P588,$T588,$X588,$AB588,$AF588),_xlpm.rate,CHOOSE({1,2,3,4,5},$R588,$V588,$Z588,$AD588,$AH588),_xlpm.trn,CHOOSE({1,2,3,4,5},$S588,$W588,$AA588,$AE588,$AI588),_xlpm.nsC,SUMPRODUCT(--(_xlpm.stat="Ready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DLR",IF(AND(_xlpm.actRS&gt;0,_xlpm.actDone&lt;_xlpm.actRS),"Training",IF(_xlpm.actRS&gt;0,"Active",IF(AND(_xlpm.decC&gt;0,_xlpm.inPlay+_xlpm.actC=0),"Dead",IF(AND($AJ588&lt;&gt;"",$AK588=FALSE),"Waiting on Dealer",IF(_xlpm.subC&gt;0,"Waiting on Lender",IF(AND(_xlpm.appC+_xlpm.actC&gt;0,_xlpm.nsC+_xlpm.wdC=0),"Rate Sheet","Application Submitted")))))))))</f>
        <v/>
      </c>
      <c r="M588" s="87"/>
      <c r="N588" s="87"/>
      <c r="O588" s="197"/>
      <c r="P588" s="87" t="str">
        <f>IF($A588="","",IF($AK588=TRUE,"Ready 2 Submit","Waiting on Dealer"))</f>
        <v/>
      </c>
      <c r="Q588" s="148"/>
      <c r="R588" s="87"/>
      <c r="S588" s="87"/>
      <c r="T588" s="87" t="str">
        <f>IF($A588="","",IF($AK588=TRUE,"Ready 2 Submit","Waiting on Dealer"))</f>
        <v/>
      </c>
      <c r="U588" s="148"/>
      <c r="V588" s="87"/>
      <c r="W588" s="87"/>
      <c r="X588" s="87" t="str">
        <f>IF($A588="","",IF($AK588=TRUE,"Ready 2 Submit","Waiting on Dealer"))</f>
        <v/>
      </c>
      <c r="Y588" s="148"/>
      <c r="Z588" s="87"/>
      <c r="AA588" s="87"/>
      <c r="AB588" s="87" t="str">
        <f>IF($A588="","",IF($AK588=TRUE,"Ready 2 Submit","Waiting on Dealer"))</f>
        <v/>
      </c>
      <c r="AC588" s="148"/>
      <c r="AD588" s="87"/>
      <c r="AE588" s="87"/>
      <c r="AF588" s="87" t="str">
        <f>IF($A588="","",IF($AK588=TRUE,"Ready 2 Submit","Waiting on Dealer"))</f>
        <v/>
      </c>
      <c r="AG588" s="148"/>
      <c r="AH588" s="87"/>
      <c r="AI588" s="87"/>
      <c r="AJ588" s="197"/>
      <c r="AK588" s="110" t="b">
        <v>0</v>
      </c>
      <c r="AL588" s="87" t="str" cm="1">
        <f t="array" ref="AL588">IF($A588="","",SUMPRODUCT((CHOOSE({1,2,3,4,5},$R588,$V588,$Z588,$AD588,$AH588)="Yes")*(((CHOOSE({1,2,3,4,5},$S588,$W588,$AA588,$AE588,$AI588)="Yes")+(CHOOSE({1,2,3,4,5},$S588,$W588,$AA588,$AE588,$AI588)=TRUE))&gt;0)))</f>
        <v/>
      </c>
      <c r="AM588" s="87"/>
      <c r="AN588" s="87" t="str">
        <f ca="1">IF(OR($A588="",$AM588=""),"",TODAY()-$AM588)</f>
        <v/>
      </c>
      <c r="AO588" s="87"/>
      <c r="AP588" s="106"/>
      <c r="AQ588" s="106"/>
      <c r="AR588" s="106"/>
      <c r="AS588" s="106"/>
      <c r="AT588" s="106"/>
      <c r="AU588" s="106"/>
      <c r="AV588" s="106"/>
      <c r="AW588" s="106"/>
      <c r="AX588" s="106"/>
      <c r="AY588" s="106"/>
    </row>
    <row r="589" spans="1:51" s="20" customFormat="1" ht="21" customHeight="1">
      <c r="A589" s="197"/>
      <c r="B589" s="87"/>
      <c r="C589" s="87"/>
      <c r="D589" s="196"/>
      <c r="E589" s="108"/>
      <c r="F589" s="196"/>
      <c r="G589" s="87"/>
      <c r="H589" s="197"/>
      <c r="I589" s="89"/>
      <c r="J589" s="204"/>
      <c r="K589" s="87"/>
      <c r="L589" s="87" t="str" cm="1">
        <f t="array" ref="L589">IF($A589="","",_xlfn.LET(_xlpm.stat,CHOOSE({1,2,3,4,5},$P589,$T589,$X589,$AB589,$AF589),_xlpm.rate,CHOOSE({1,2,3,4,5},$R589,$V589,$Z589,$AD589,$AH589),_xlpm.trn,CHOOSE({1,2,3,4,5},$S589,$W589,$AA589,$AE589,$AI589),_xlpm.nsC,SUMPRODUCT(--(_xlpm.stat="Ready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DLR",IF(AND(_xlpm.actRS&gt;0,_xlpm.actDone&lt;_xlpm.actRS),"Training",IF(_xlpm.actRS&gt;0,"Active",IF(AND(_xlpm.decC&gt;0,_xlpm.inPlay+_xlpm.actC=0),"Dead",IF(AND($AJ589&lt;&gt;"",$AK589=FALSE),"Waiting on Dealer",IF(_xlpm.subC&gt;0,"Waiting on Lender",IF(AND(_xlpm.appC+_xlpm.actC&gt;0,_xlpm.nsC+_xlpm.wdC=0),"Rate Sheet","Application Submitted")))))))))</f>
        <v/>
      </c>
      <c r="M589" s="87"/>
      <c r="N589" s="87"/>
      <c r="O589" s="197"/>
      <c r="P589" s="87" t="str">
        <f>IF($A589="","",IF($AK589=TRUE,"Ready 2 Submit","Waiting on Dealer"))</f>
        <v/>
      </c>
      <c r="Q589" s="148"/>
      <c r="R589" s="87"/>
      <c r="S589" s="87"/>
      <c r="T589" s="87" t="str">
        <f>IF($A589="","",IF($AK589=TRUE,"Ready 2 Submit","Waiting on Dealer"))</f>
        <v/>
      </c>
      <c r="U589" s="148"/>
      <c r="V589" s="87"/>
      <c r="W589" s="87"/>
      <c r="X589" s="87" t="str">
        <f>IF($A589="","",IF($AK589=TRUE,"Ready 2 Submit","Waiting on Dealer"))</f>
        <v/>
      </c>
      <c r="Y589" s="148"/>
      <c r="Z589" s="87"/>
      <c r="AA589" s="87"/>
      <c r="AB589" s="87" t="str">
        <f>IF($A589="","",IF($AK589=TRUE,"Ready 2 Submit","Waiting on Dealer"))</f>
        <v/>
      </c>
      <c r="AC589" s="148"/>
      <c r="AD589" s="87"/>
      <c r="AE589" s="87"/>
      <c r="AF589" s="87" t="str">
        <f>IF($A589="","",IF($AK589=TRUE,"Ready 2 Submit","Waiting on Dealer"))</f>
        <v/>
      </c>
      <c r="AG589" s="148"/>
      <c r="AH589" s="87"/>
      <c r="AI589" s="87"/>
      <c r="AJ589" s="197"/>
      <c r="AK589" s="110" t="b">
        <v>0</v>
      </c>
      <c r="AL589" s="87" t="str" cm="1">
        <f t="array" ref="AL589">IF($A589="","",SUMPRODUCT((CHOOSE({1,2,3,4,5},$R589,$V589,$Z589,$AD589,$AH589)="Yes")*(((CHOOSE({1,2,3,4,5},$S589,$W589,$AA589,$AE589,$AI589)="Yes")+(CHOOSE({1,2,3,4,5},$S589,$W589,$AA589,$AE589,$AI589)=TRUE))&gt;0)))</f>
        <v/>
      </c>
      <c r="AM589" s="87"/>
      <c r="AN589" s="87" t="str">
        <f ca="1">IF(OR($A589="",$AM589=""),"",TODAY()-$AM589)</f>
        <v/>
      </c>
      <c r="AO589" s="87"/>
      <c r="AP589" s="106"/>
      <c r="AQ589" s="106"/>
      <c r="AR589" s="106"/>
      <c r="AS589" s="106"/>
      <c r="AT589" s="106"/>
      <c r="AU589" s="106"/>
      <c r="AV589" s="106"/>
      <c r="AW589" s="106"/>
      <c r="AX589" s="106"/>
      <c r="AY589" s="106"/>
    </row>
    <row r="590" spans="1:51" s="20" customFormat="1" ht="21" customHeight="1">
      <c r="A590" s="197"/>
      <c r="B590" s="87"/>
      <c r="C590" s="87"/>
      <c r="D590" s="196"/>
      <c r="E590" s="108"/>
      <c r="F590" s="196"/>
      <c r="G590" s="87"/>
      <c r="H590" s="197"/>
      <c r="I590" s="89"/>
      <c r="J590" s="204"/>
      <c r="K590" s="87"/>
      <c r="L590" s="87" t="str" cm="1">
        <f t="array" ref="L590">IF($A590="","",_xlfn.LET(_xlpm.stat,CHOOSE({1,2,3,4,5},$P590,$T590,$X590,$AB590,$AF590),_xlpm.rate,CHOOSE({1,2,3,4,5},$R590,$V590,$Z590,$AD590,$AH590),_xlpm.trn,CHOOSE({1,2,3,4,5},$S590,$W590,$AA590,$AE590,$AI590),_xlpm.nsC,SUMPRODUCT(--(_xlpm.stat="Ready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DLR",IF(AND(_xlpm.actRS&gt;0,_xlpm.actDone&lt;_xlpm.actRS),"Training",IF(_xlpm.actRS&gt;0,"Active",IF(AND(_xlpm.decC&gt;0,_xlpm.inPlay+_xlpm.actC=0),"Dead",IF(AND($AJ590&lt;&gt;"",$AK590=FALSE),"Waiting on Dealer",IF(_xlpm.subC&gt;0,"Waiting on Lender",IF(AND(_xlpm.appC+_xlpm.actC&gt;0,_xlpm.nsC+_xlpm.wdC=0),"Rate Sheet","Application Submitted")))))))))</f>
        <v/>
      </c>
      <c r="M590" s="87"/>
      <c r="N590" s="87"/>
      <c r="O590" s="197"/>
      <c r="P590" s="87" t="str">
        <f>IF($A590="","",IF($AK590=TRUE,"Ready 2 Submit","Waiting on Dealer"))</f>
        <v/>
      </c>
      <c r="Q590" s="148"/>
      <c r="R590" s="87"/>
      <c r="S590" s="87"/>
      <c r="T590" s="87" t="str">
        <f>IF($A590="","",IF($AK590=TRUE,"Ready 2 Submit","Waiting on Dealer"))</f>
        <v/>
      </c>
      <c r="U590" s="148"/>
      <c r="V590" s="87"/>
      <c r="W590" s="87"/>
      <c r="X590" s="87" t="str">
        <f>IF($A590="","",IF($AK590=TRUE,"Ready 2 Submit","Waiting on Dealer"))</f>
        <v/>
      </c>
      <c r="Y590" s="148"/>
      <c r="Z590" s="87"/>
      <c r="AA590" s="87"/>
      <c r="AB590" s="87" t="str">
        <f>IF($A590="","",IF($AK590=TRUE,"Ready 2 Submit","Waiting on Dealer"))</f>
        <v/>
      </c>
      <c r="AC590" s="148"/>
      <c r="AD590" s="87"/>
      <c r="AE590" s="87"/>
      <c r="AF590" s="87" t="str">
        <f>IF($A590="","",IF($AK590=TRUE,"Ready 2 Submit","Waiting on Dealer"))</f>
        <v/>
      </c>
      <c r="AG590" s="148"/>
      <c r="AH590" s="87"/>
      <c r="AI590" s="87"/>
      <c r="AJ590" s="197"/>
      <c r="AK590" s="110" t="b">
        <v>0</v>
      </c>
      <c r="AL590" s="87" t="str" cm="1">
        <f t="array" ref="AL590">IF($A590="","",SUMPRODUCT((CHOOSE({1,2,3,4,5},$R590,$V590,$Z590,$AD590,$AH590)="Yes")*(((CHOOSE({1,2,3,4,5},$S590,$W590,$AA590,$AE590,$AI590)="Yes")+(CHOOSE({1,2,3,4,5},$S590,$W590,$AA590,$AE590,$AI590)=TRUE))&gt;0)))</f>
        <v/>
      </c>
      <c r="AM590" s="87"/>
      <c r="AN590" s="87" t="str">
        <f ca="1">IF(OR($A590="",$AM590=""),"",TODAY()-$AM590)</f>
        <v/>
      </c>
      <c r="AO590" s="87"/>
      <c r="AP590" s="106"/>
      <c r="AQ590" s="106"/>
      <c r="AR590" s="106"/>
      <c r="AS590" s="106"/>
      <c r="AT590" s="106"/>
      <c r="AU590" s="106"/>
      <c r="AV590" s="106"/>
      <c r="AW590" s="106"/>
      <c r="AX590" s="106"/>
      <c r="AY590" s="106"/>
    </row>
    <row r="591" spans="1:51" s="20" customFormat="1" ht="21" customHeight="1">
      <c r="A591" s="197"/>
      <c r="B591" s="87"/>
      <c r="C591" s="87"/>
      <c r="D591" s="196"/>
      <c r="E591" s="108"/>
      <c r="F591" s="196"/>
      <c r="G591" s="87"/>
      <c r="H591" s="197"/>
      <c r="I591" s="89"/>
      <c r="J591" s="204"/>
      <c r="K591" s="87"/>
      <c r="L591" s="87" t="str" cm="1">
        <f t="array" ref="L591">IF($A591="","",_xlfn.LET(_xlpm.stat,CHOOSE({1,2,3,4,5},$P591,$T591,$X591,$AB591,$AF591),_xlpm.rate,CHOOSE({1,2,3,4,5},$R591,$V591,$Z591,$AD591,$AH591),_xlpm.trn,CHOOSE({1,2,3,4,5},$S591,$W591,$AA591,$AE591,$AI591),_xlpm.nsC,SUMPRODUCT(--(_xlpm.stat="Ready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DLR",IF(AND(_xlpm.actRS&gt;0,_xlpm.actDone&lt;_xlpm.actRS),"Training",IF(_xlpm.actRS&gt;0,"Active",IF(AND(_xlpm.decC&gt;0,_xlpm.inPlay+_xlpm.actC=0),"Dead",IF(AND($AJ591&lt;&gt;"",$AK591=FALSE),"Waiting on Dealer",IF(_xlpm.subC&gt;0,"Waiting on Lender",IF(AND(_xlpm.appC+_xlpm.actC&gt;0,_xlpm.nsC+_xlpm.wdC=0),"Rate Sheet","Application Submitted")))))))))</f>
        <v/>
      </c>
      <c r="M591" s="87"/>
      <c r="N591" s="87"/>
      <c r="O591" s="197"/>
      <c r="P591" s="87" t="str">
        <f>IF($A591="","",IF($AK591=TRUE,"Ready 2 Submit","Waiting on Dealer"))</f>
        <v/>
      </c>
      <c r="Q591" s="148"/>
      <c r="R591" s="87"/>
      <c r="S591" s="87"/>
      <c r="T591" s="87" t="str">
        <f>IF($A591="","",IF($AK591=TRUE,"Ready 2 Submit","Waiting on Dealer"))</f>
        <v/>
      </c>
      <c r="U591" s="148"/>
      <c r="V591" s="87"/>
      <c r="W591" s="87"/>
      <c r="X591" s="87" t="str">
        <f>IF($A591="","",IF($AK591=TRUE,"Ready 2 Submit","Waiting on Dealer"))</f>
        <v/>
      </c>
      <c r="Y591" s="148"/>
      <c r="Z591" s="87"/>
      <c r="AA591" s="87"/>
      <c r="AB591" s="87" t="str">
        <f>IF($A591="","",IF($AK591=TRUE,"Ready 2 Submit","Waiting on Dealer"))</f>
        <v/>
      </c>
      <c r="AC591" s="148"/>
      <c r="AD591" s="87"/>
      <c r="AE591" s="87"/>
      <c r="AF591" s="87" t="str">
        <f>IF($A591="","",IF($AK591=TRUE,"Ready 2 Submit","Waiting on Dealer"))</f>
        <v/>
      </c>
      <c r="AG591" s="148"/>
      <c r="AH591" s="87"/>
      <c r="AI591" s="87"/>
      <c r="AJ591" s="197"/>
      <c r="AK591" s="110" t="b">
        <v>0</v>
      </c>
      <c r="AL591" s="87" t="str" cm="1">
        <f t="array" ref="AL591">IF($A591="","",SUMPRODUCT((CHOOSE({1,2,3,4,5},$R591,$V591,$Z591,$AD591,$AH591)="Yes")*(((CHOOSE({1,2,3,4,5},$S591,$W591,$AA591,$AE591,$AI591)="Yes")+(CHOOSE({1,2,3,4,5},$S591,$W591,$AA591,$AE591,$AI591)=TRUE))&gt;0)))</f>
        <v/>
      </c>
      <c r="AM591" s="87"/>
      <c r="AN591" s="87" t="str">
        <f ca="1">IF(OR($A591="",$AM591=""),"",TODAY()-$AM591)</f>
        <v/>
      </c>
      <c r="AO591" s="87"/>
      <c r="AP591" s="106"/>
      <c r="AQ591" s="106"/>
      <c r="AR591" s="106"/>
      <c r="AS591" s="106"/>
      <c r="AT591" s="106"/>
      <c r="AU591" s="106"/>
      <c r="AV591" s="106"/>
      <c r="AW591" s="106"/>
      <c r="AX591" s="106"/>
      <c r="AY591" s="106"/>
    </row>
    <row r="592" spans="1:51" s="20" customFormat="1" ht="21" customHeight="1">
      <c r="A592" s="197"/>
      <c r="B592" s="87"/>
      <c r="C592" s="87"/>
      <c r="D592" s="196"/>
      <c r="E592" s="108"/>
      <c r="F592" s="196"/>
      <c r="G592" s="87"/>
      <c r="H592" s="197"/>
      <c r="I592" s="89"/>
      <c r="J592" s="204"/>
      <c r="K592" s="87"/>
      <c r="L592" s="87" t="str" cm="1">
        <f t="array" ref="L592">IF($A592="","",_xlfn.LET(_xlpm.stat,CHOOSE({1,2,3,4,5},$P592,$T592,$X592,$AB592,$AF592),_xlpm.rate,CHOOSE({1,2,3,4,5},$R592,$V592,$Z592,$AD592,$AH592),_xlpm.trn,CHOOSE({1,2,3,4,5},$S592,$W592,$AA592,$AE592,$AI592),_xlpm.nsC,SUMPRODUCT(--(_xlpm.stat="Ready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DLR",IF(AND(_xlpm.actRS&gt;0,_xlpm.actDone&lt;_xlpm.actRS),"Training",IF(_xlpm.actRS&gt;0,"Active",IF(AND(_xlpm.decC&gt;0,_xlpm.inPlay+_xlpm.actC=0),"Dead",IF(AND($AJ592&lt;&gt;"",$AK592=FALSE),"Waiting on Dealer",IF(_xlpm.subC&gt;0,"Waiting on Lender",IF(AND(_xlpm.appC+_xlpm.actC&gt;0,_xlpm.nsC+_xlpm.wdC=0),"Rate Sheet","Application Submitted")))))))))</f>
        <v/>
      </c>
      <c r="M592" s="87"/>
      <c r="N592" s="87"/>
      <c r="O592" s="197"/>
      <c r="P592" s="87" t="str">
        <f>IF($A592="","",IF($AK592=TRUE,"Ready 2 Submit","Waiting on Dealer"))</f>
        <v/>
      </c>
      <c r="Q592" s="148"/>
      <c r="R592" s="87"/>
      <c r="S592" s="87"/>
      <c r="T592" s="87" t="str">
        <f>IF($A592="","",IF($AK592=TRUE,"Ready 2 Submit","Waiting on Dealer"))</f>
        <v/>
      </c>
      <c r="U592" s="148"/>
      <c r="V592" s="87"/>
      <c r="W592" s="87"/>
      <c r="X592" s="87" t="str">
        <f>IF($A592="","",IF($AK592=TRUE,"Ready 2 Submit","Waiting on Dealer"))</f>
        <v/>
      </c>
      <c r="Y592" s="148"/>
      <c r="Z592" s="87"/>
      <c r="AA592" s="87"/>
      <c r="AB592" s="87" t="str">
        <f>IF($A592="","",IF($AK592=TRUE,"Ready 2 Submit","Waiting on Dealer"))</f>
        <v/>
      </c>
      <c r="AC592" s="148"/>
      <c r="AD592" s="87"/>
      <c r="AE592" s="87"/>
      <c r="AF592" s="87" t="str">
        <f>IF($A592="","",IF($AK592=TRUE,"Ready 2 Submit","Waiting on Dealer"))</f>
        <v/>
      </c>
      <c r="AG592" s="148"/>
      <c r="AH592" s="87"/>
      <c r="AI592" s="87"/>
      <c r="AJ592" s="197"/>
      <c r="AK592" s="110" t="b">
        <v>0</v>
      </c>
      <c r="AL592" s="87" t="str" cm="1">
        <f t="array" ref="AL592">IF($A592="","",SUMPRODUCT((CHOOSE({1,2,3,4,5},$R592,$V592,$Z592,$AD592,$AH592)="Yes")*(((CHOOSE({1,2,3,4,5},$S592,$W592,$AA592,$AE592,$AI592)="Yes")+(CHOOSE({1,2,3,4,5},$S592,$W592,$AA592,$AE592,$AI592)=TRUE))&gt;0)))</f>
        <v/>
      </c>
      <c r="AM592" s="87"/>
      <c r="AN592" s="87" t="str">
        <f ca="1">IF(OR($A592="",$AM592=""),"",TODAY()-$AM592)</f>
        <v/>
      </c>
      <c r="AO592" s="87"/>
      <c r="AP592" s="106"/>
      <c r="AQ592" s="106"/>
      <c r="AR592" s="106"/>
      <c r="AS592" s="106"/>
      <c r="AT592" s="106"/>
      <c r="AU592" s="106"/>
      <c r="AV592" s="106"/>
      <c r="AW592" s="106"/>
      <c r="AX592" s="106"/>
      <c r="AY592" s="106"/>
    </row>
    <row r="593" spans="1:51" s="20" customFormat="1" ht="21" customHeight="1">
      <c r="A593" s="197"/>
      <c r="B593" s="87"/>
      <c r="C593" s="87"/>
      <c r="D593" s="196"/>
      <c r="E593" s="108"/>
      <c r="F593" s="196"/>
      <c r="G593" s="87"/>
      <c r="H593" s="197"/>
      <c r="I593" s="89"/>
      <c r="J593" s="204"/>
      <c r="K593" s="87"/>
      <c r="L593" s="87" t="str" cm="1">
        <f t="array" ref="L593">IF($A593="","",_xlfn.LET(_xlpm.stat,CHOOSE({1,2,3,4,5},$P593,$T593,$X593,$AB593,$AF593),_xlpm.rate,CHOOSE({1,2,3,4,5},$R593,$V593,$Z593,$AD593,$AH593),_xlpm.trn,CHOOSE({1,2,3,4,5},$S593,$W593,$AA593,$AE593,$AI593),_xlpm.nsC,SUMPRODUCT(--(_xlpm.stat="Ready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DLR",IF(AND(_xlpm.actRS&gt;0,_xlpm.actDone&lt;_xlpm.actRS),"Training",IF(_xlpm.actRS&gt;0,"Active",IF(AND(_xlpm.decC&gt;0,_xlpm.inPlay+_xlpm.actC=0),"Dead",IF(AND($AJ593&lt;&gt;"",$AK593=FALSE),"Waiting on Dealer",IF(_xlpm.subC&gt;0,"Waiting on Lender",IF(AND(_xlpm.appC+_xlpm.actC&gt;0,_xlpm.nsC+_xlpm.wdC=0),"Rate Sheet","Application Submitted")))))))))</f>
        <v/>
      </c>
      <c r="M593" s="87"/>
      <c r="N593" s="87"/>
      <c r="O593" s="197"/>
      <c r="P593" s="87" t="str">
        <f>IF($A593="","",IF($AK593=TRUE,"Ready 2 Submit","Waiting on Dealer"))</f>
        <v/>
      </c>
      <c r="Q593" s="148"/>
      <c r="R593" s="87"/>
      <c r="S593" s="87"/>
      <c r="T593" s="87" t="str">
        <f>IF($A593="","",IF($AK593=TRUE,"Ready 2 Submit","Waiting on Dealer"))</f>
        <v/>
      </c>
      <c r="U593" s="148"/>
      <c r="V593" s="87"/>
      <c r="W593" s="87"/>
      <c r="X593" s="87" t="str">
        <f>IF($A593="","",IF($AK593=TRUE,"Ready 2 Submit","Waiting on Dealer"))</f>
        <v/>
      </c>
      <c r="Y593" s="148"/>
      <c r="Z593" s="87"/>
      <c r="AA593" s="87"/>
      <c r="AB593" s="87" t="str">
        <f>IF($A593="","",IF($AK593=TRUE,"Ready 2 Submit","Waiting on Dealer"))</f>
        <v/>
      </c>
      <c r="AC593" s="148"/>
      <c r="AD593" s="87"/>
      <c r="AE593" s="87"/>
      <c r="AF593" s="87" t="str">
        <f>IF($A593="","",IF($AK593=TRUE,"Ready 2 Submit","Waiting on Dealer"))</f>
        <v/>
      </c>
      <c r="AG593" s="148"/>
      <c r="AH593" s="87"/>
      <c r="AI593" s="87"/>
      <c r="AJ593" s="197"/>
      <c r="AK593" s="110" t="b">
        <v>0</v>
      </c>
      <c r="AL593" s="87" t="str" cm="1">
        <f t="array" ref="AL593">IF($A593="","",SUMPRODUCT((CHOOSE({1,2,3,4,5},$R593,$V593,$Z593,$AD593,$AH593)="Yes")*(((CHOOSE({1,2,3,4,5},$S593,$W593,$AA593,$AE593,$AI593)="Yes")+(CHOOSE({1,2,3,4,5},$S593,$W593,$AA593,$AE593,$AI593)=TRUE))&gt;0)))</f>
        <v/>
      </c>
      <c r="AM593" s="87"/>
      <c r="AN593" s="87" t="str">
        <f ca="1">IF(OR($A593="",$AM593=""),"",TODAY()-$AM593)</f>
        <v/>
      </c>
      <c r="AO593" s="87"/>
      <c r="AP593" s="106"/>
      <c r="AQ593" s="106"/>
      <c r="AR593" s="106"/>
      <c r="AS593" s="106"/>
      <c r="AT593" s="106"/>
      <c r="AU593" s="106"/>
      <c r="AV593" s="106"/>
      <c r="AW593" s="106"/>
      <c r="AX593" s="106"/>
      <c r="AY593" s="106"/>
    </row>
    <row r="594" spans="1:51" s="20" customFormat="1" ht="21" customHeight="1">
      <c r="A594" s="197"/>
      <c r="B594" s="87"/>
      <c r="C594" s="87"/>
      <c r="D594" s="196"/>
      <c r="E594" s="108"/>
      <c r="F594" s="196"/>
      <c r="G594" s="87"/>
      <c r="H594" s="197"/>
      <c r="I594" s="89"/>
      <c r="J594" s="204"/>
      <c r="K594" s="87"/>
      <c r="L594" s="87" t="str" cm="1">
        <f t="array" ref="L594">IF($A594="","",_xlfn.LET(_xlpm.stat,CHOOSE({1,2,3,4,5},$P594,$T594,$X594,$AB594,$AF594),_xlpm.rate,CHOOSE({1,2,3,4,5},$R594,$V594,$Z594,$AD594,$AH594),_xlpm.trn,CHOOSE({1,2,3,4,5},$S594,$W594,$AA594,$AE594,$AI594),_xlpm.nsC,SUMPRODUCT(--(_xlpm.stat="Ready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DLR",IF(AND(_xlpm.actRS&gt;0,_xlpm.actDone&lt;_xlpm.actRS),"Training",IF(_xlpm.actRS&gt;0,"Active",IF(AND(_xlpm.decC&gt;0,_xlpm.inPlay+_xlpm.actC=0),"Dead",IF(AND($AJ594&lt;&gt;"",$AK594=FALSE),"Waiting on Dealer",IF(_xlpm.subC&gt;0,"Waiting on Lender",IF(AND(_xlpm.appC+_xlpm.actC&gt;0,_xlpm.nsC+_xlpm.wdC=0),"Rate Sheet","Application Submitted")))))))))</f>
        <v/>
      </c>
      <c r="M594" s="87"/>
      <c r="N594" s="87"/>
      <c r="O594" s="197"/>
      <c r="P594" s="87" t="str">
        <f>IF($A594="","",IF($AK594=TRUE,"Ready 2 Submit","Waiting on Dealer"))</f>
        <v/>
      </c>
      <c r="Q594" s="148"/>
      <c r="R594" s="87"/>
      <c r="S594" s="87"/>
      <c r="T594" s="87" t="str">
        <f>IF($A594="","",IF($AK594=TRUE,"Ready 2 Submit","Waiting on Dealer"))</f>
        <v/>
      </c>
      <c r="U594" s="148"/>
      <c r="V594" s="87"/>
      <c r="W594" s="87"/>
      <c r="X594" s="87" t="str">
        <f>IF($A594="","",IF($AK594=TRUE,"Ready 2 Submit","Waiting on Dealer"))</f>
        <v/>
      </c>
      <c r="Y594" s="148"/>
      <c r="Z594" s="87"/>
      <c r="AA594" s="87"/>
      <c r="AB594" s="87" t="str">
        <f>IF($A594="","",IF($AK594=TRUE,"Ready 2 Submit","Waiting on Dealer"))</f>
        <v/>
      </c>
      <c r="AC594" s="148"/>
      <c r="AD594" s="87"/>
      <c r="AE594" s="87"/>
      <c r="AF594" s="87" t="str">
        <f>IF($A594="","",IF($AK594=TRUE,"Ready 2 Submit","Waiting on Dealer"))</f>
        <v/>
      </c>
      <c r="AG594" s="148"/>
      <c r="AH594" s="87"/>
      <c r="AI594" s="87"/>
      <c r="AJ594" s="197"/>
      <c r="AK594" s="110" t="b">
        <v>0</v>
      </c>
      <c r="AL594" s="87" t="str" cm="1">
        <f t="array" ref="AL594">IF($A594="","",SUMPRODUCT((CHOOSE({1,2,3,4,5},$R594,$V594,$Z594,$AD594,$AH594)="Yes")*(((CHOOSE({1,2,3,4,5},$S594,$W594,$AA594,$AE594,$AI594)="Yes")+(CHOOSE({1,2,3,4,5},$S594,$W594,$AA594,$AE594,$AI594)=TRUE))&gt;0)))</f>
        <v/>
      </c>
      <c r="AM594" s="87"/>
      <c r="AN594" s="87" t="str">
        <f ca="1">IF(OR($A594="",$AM594=""),"",TODAY()-$AM594)</f>
        <v/>
      </c>
      <c r="AO594" s="87"/>
      <c r="AP594" s="106"/>
      <c r="AQ594" s="106"/>
      <c r="AR594" s="106"/>
      <c r="AS594" s="106"/>
      <c r="AT594" s="106"/>
      <c r="AU594" s="106"/>
      <c r="AV594" s="106"/>
      <c r="AW594" s="106"/>
      <c r="AX594" s="106"/>
      <c r="AY594" s="106"/>
    </row>
    <row r="595" spans="1:51" s="20" customFormat="1" ht="21" customHeight="1">
      <c r="A595" s="197"/>
      <c r="B595" s="87"/>
      <c r="C595" s="87"/>
      <c r="D595" s="196"/>
      <c r="E595" s="108"/>
      <c r="F595" s="196"/>
      <c r="G595" s="87"/>
      <c r="H595" s="197"/>
      <c r="I595" s="89"/>
      <c r="J595" s="204"/>
      <c r="K595" s="87"/>
      <c r="L595" s="87" t="str" cm="1">
        <f t="array" ref="L595">IF($A595="","",_xlfn.LET(_xlpm.stat,CHOOSE({1,2,3,4,5},$P595,$T595,$X595,$AB595,$AF595),_xlpm.rate,CHOOSE({1,2,3,4,5},$R595,$V595,$Z595,$AD595,$AH595),_xlpm.trn,CHOOSE({1,2,3,4,5},$S595,$W595,$AA595,$AE595,$AI595),_xlpm.nsC,SUMPRODUCT(--(_xlpm.stat="Ready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DLR",IF(AND(_xlpm.actRS&gt;0,_xlpm.actDone&lt;_xlpm.actRS),"Training",IF(_xlpm.actRS&gt;0,"Active",IF(AND(_xlpm.decC&gt;0,_xlpm.inPlay+_xlpm.actC=0),"Dead",IF(AND($AJ595&lt;&gt;"",$AK595=FALSE),"Waiting on Dealer",IF(_xlpm.subC&gt;0,"Waiting on Lender",IF(AND(_xlpm.appC+_xlpm.actC&gt;0,_xlpm.nsC+_xlpm.wdC=0),"Rate Sheet","Application Submitted")))))))))</f>
        <v/>
      </c>
      <c r="M595" s="87"/>
      <c r="N595" s="87"/>
      <c r="O595" s="197"/>
      <c r="P595" s="87" t="str">
        <f>IF($A595="","",IF($AK595=TRUE,"Ready 2 Submit","Waiting on Dealer"))</f>
        <v/>
      </c>
      <c r="Q595" s="148"/>
      <c r="R595" s="87"/>
      <c r="S595" s="87"/>
      <c r="T595" s="87" t="str">
        <f>IF($A595="","",IF($AK595=TRUE,"Ready 2 Submit","Waiting on Dealer"))</f>
        <v/>
      </c>
      <c r="U595" s="148"/>
      <c r="V595" s="87"/>
      <c r="W595" s="87"/>
      <c r="X595" s="87" t="str">
        <f>IF($A595="","",IF($AK595=TRUE,"Ready 2 Submit","Waiting on Dealer"))</f>
        <v/>
      </c>
      <c r="Y595" s="148"/>
      <c r="Z595" s="87"/>
      <c r="AA595" s="87"/>
      <c r="AB595" s="87" t="str">
        <f>IF($A595="","",IF($AK595=TRUE,"Ready 2 Submit","Waiting on Dealer"))</f>
        <v/>
      </c>
      <c r="AC595" s="148"/>
      <c r="AD595" s="87"/>
      <c r="AE595" s="87"/>
      <c r="AF595" s="87" t="str">
        <f>IF($A595="","",IF($AK595=TRUE,"Ready 2 Submit","Waiting on Dealer"))</f>
        <v/>
      </c>
      <c r="AG595" s="148"/>
      <c r="AH595" s="87"/>
      <c r="AI595" s="87"/>
      <c r="AJ595" s="197"/>
      <c r="AK595" s="110" t="b">
        <v>0</v>
      </c>
      <c r="AL595" s="87" t="str" cm="1">
        <f t="array" ref="AL595">IF($A595="","",SUMPRODUCT((CHOOSE({1,2,3,4,5},$R595,$V595,$Z595,$AD595,$AH595)="Yes")*(((CHOOSE({1,2,3,4,5},$S595,$W595,$AA595,$AE595,$AI595)="Yes")+(CHOOSE({1,2,3,4,5},$S595,$W595,$AA595,$AE595,$AI595)=TRUE))&gt;0)))</f>
        <v/>
      </c>
      <c r="AM595" s="87"/>
      <c r="AN595" s="87" t="str">
        <f ca="1">IF(OR($A595="",$AM595=""),"",TODAY()-$AM595)</f>
        <v/>
      </c>
      <c r="AO595" s="87"/>
      <c r="AP595" s="106"/>
      <c r="AQ595" s="106"/>
      <c r="AR595" s="106"/>
      <c r="AS595" s="106"/>
      <c r="AT595" s="106"/>
      <c r="AU595" s="106"/>
      <c r="AV595" s="106"/>
      <c r="AW595" s="106"/>
      <c r="AX595" s="106"/>
      <c r="AY595" s="106"/>
    </row>
    <row r="596" spans="1:51" s="20" customFormat="1" ht="21" customHeight="1">
      <c r="A596" s="197"/>
      <c r="B596" s="87"/>
      <c r="C596" s="87"/>
      <c r="D596" s="196"/>
      <c r="E596" s="108"/>
      <c r="F596" s="196"/>
      <c r="G596" s="87"/>
      <c r="H596" s="197"/>
      <c r="I596" s="89"/>
      <c r="J596" s="204"/>
      <c r="K596" s="87"/>
      <c r="L596" s="87" t="str" cm="1">
        <f t="array" ref="L596">IF($A596="","",_xlfn.LET(_xlpm.stat,CHOOSE({1,2,3,4,5},$P596,$T596,$X596,$AB596,$AF596),_xlpm.rate,CHOOSE({1,2,3,4,5},$R596,$V596,$Z596,$AD596,$AH596),_xlpm.trn,CHOOSE({1,2,3,4,5},$S596,$W596,$AA596,$AE596,$AI596),_xlpm.nsC,SUMPRODUCT(--(_xlpm.stat="Ready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DLR",IF(AND(_xlpm.actRS&gt;0,_xlpm.actDone&lt;_xlpm.actRS),"Training",IF(_xlpm.actRS&gt;0,"Active",IF(AND(_xlpm.decC&gt;0,_xlpm.inPlay+_xlpm.actC=0),"Dead",IF(AND($AJ596&lt;&gt;"",$AK596=FALSE),"Waiting on Dealer",IF(_xlpm.subC&gt;0,"Waiting on Lender",IF(AND(_xlpm.appC+_xlpm.actC&gt;0,_xlpm.nsC+_xlpm.wdC=0),"Rate Sheet","Application Submitted")))))))))</f>
        <v/>
      </c>
      <c r="M596" s="87"/>
      <c r="N596" s="87"/>
      <c r="O596" s="197"/>
      <c r="P596" s="87" t="str">
        <f>IF($A596="","",IF($AK596=TRUE,"Ready 2 Submit","Waiting on Dealer"))</f>
        <v/>
      </c>
      <c r="Q596" s="148"/>
      <c r="R596" s="87"/>
      <c r="S596" s="87"/>
      <c r="T596" s="87" t="str">
        <f>IF($A596="","",IF($AK596=TRUE,"Ready 2 Submit","Waiting on Dealer"))</f>
        <v/>
      </c>
      <c r="U596" s="148"/>
      <c r="V596" s="87"/>
      <c r="W596" s="87"/>
      <c r="X596" s="87" t="str">
        <f>IF($A596="","",IF($AK596=TRUE,"Ready 2 Submit","Waiting on Dealer"))</f>
        <v/>
      </c>
      <c r="Y596" s="148"/>
      <c r="Z596" s="87"/>
      <c r="AA596" s="87"/>
      <c r="AB596" s="87" t="str">
        <f>IF($A596="","",IF($AK596=TRUE,"Ready 2 Submit","Waiting on Dealer"))</f>
        <v/>
      </c>
      <c r="AC596" s="148"/>
      <c r="AD596" s="87"/>
      <c r="AE596" s="87"/>
      <c r="AF596" s="87" t="str">
        <f>IF($A596="","",IF($AK596=TRUE,"Ready 2 Submit","Waiting on Dealer"))</f>
        <v/>
      </c>
      <c r="AG596" s="148"/>
      <c r="AH596" s="87"/>
      <c r="AI596" s="87"/>
      <c r="AJ596" s="197"/>
      <c r="AK596" s="110" t="b">
        <v>0</v>
      </c>
      <c r="AL596" s="87" t="str" cm="1">
        <f t="array" ref="AL596">IF($A596="","",SUMPRODUCT((CHOOSE({1,2,3,4,5},$R596,$V596,$Z596,$AD596,$AH596)="Yes")*(((CHOOSE({1,2,3,4,5},$S596,$W596,$AA596,$AE596,$AI596)="Yes")+(CHOOSE({1,2,3,4,5},$S596,$W596,$AA596,$AE596,$AI596)=TRUE))&gt;0)))</f>
        <v/>
      </c>
      <c r="AM596" s="87"/>
      <c r="AN596" s="87" t="str">
        <f ca="1">IF(OR($A596="",$AM596=""),"",TODAY()-$AM596)</f>
        <v/>
      </c>
      <c r="AO596" s="87"/>
      <c r="AP596" s="106"/>
      <c r="AQ596" s="106"/>
      <c r="AR596" s="106"/>
      <c r="AS596" s="106"/>
      <c r="AT596" s="106"/>
      <c r="AU596" s="106"/>
      <c r="AV596" s="106"/>
      <c r="AW596" s="106"/>
      <c r="AX596" s="106"/>
      <c r="AY596" s="106"/>
    </row>
    <row r="597" spans="1:51" s="20" customFormat="1" ht="21" customHeight="1">
      <c r="A597" s="197"/>
      <c r="B597" s="87"/>
      <c r="C597" s="87"/>
      <c r="D597" s="196"/>
      <c r="E597" s="108"/>
      <c r="F597" s="196"/>
      <c r="G597" s="87"/>
      <c r="H597" s="197"/>
      <c r="I597" s="89"/>
      <c r="J597" s="204"/>
      <c r="K597" s="87"/>
      <c r="L597" s="87" t="str" cm="1">
        <f t="array" ref="L597">IF($A597="","",_xlfn.LET(_xlpm.stat,CHOOSE({1,2,3,4,5},$P597,$T597,$X597,$AB597,$AF597),_xlpm.rate,CHOOSE({1,2,3,4,5},$R597,$V597,$Z597,$AD597,$AH597),_xlpm.trn,CHOOSE({1,2,3,4,5},$S597,$W597,$AA597,$AE597,$AI597),_xlpm.nsC,SUMPRODUCT(--(_xlpm.stat="Ready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DLR",IF(AND(_xlpm.actRS&gt;0,_xlpm.actDone&lt;_xlpm.actRS),"Training",IF(_xlpm.actRS&gt;0,"Active",IF(AND(_xlpm.decC&gt;0,_xlpm.inPlay+_xlpm.actC=0),"Dead",IF(AND($AJ597&lt;&gt;"",$AK597=FALSE),"Waiting on Dealer",IF(_xlpm.subC&gt;0,"Waiting on Lender",IF(AND(_xlpm.appC+_xlpm.actC&gt;0,_xlpm.nsC+_xlpm.wdC=0),"Rate Sheet","Application Submitted")))))))))</f>
        <v/>
      </c>
      <c r="M597" s="87"/>
      <c r="N597" s="87"/>
      <c r="O597" s="197"/>
      <c r="P597" s="87" t="str">
        <f>IF($A597="","",IF($AK597=TRUE,"Ready 2 Submit","Waiting on Dealer"))</f>
        <v/>
      </c>
      <c r="Q597" s="148"/>
      <c r="R597" s="87"/>
      <c r="S597" s="87"/>
      <c r="T597" s="87" t="str">
        <f>IF($A597="","",IF($AK597=TRUE,"Ready 2 Submit","Waiting on Dealer"))</f>
        <v/>
      </c>
      <c r="U597" s="148"/>
      <c r="V597" s="87"/>
      <c r="W597" s="87"/>
      <c r="X597" s="87" t="str">
        <f>IF($A597="","",IF($AK597=TRUE,"Ready 2 Submit","Waiting on Dealer"))</f>
        <v/>
      </c>
      <c r="Y597" s="148"/>
      <c r="Z597" s="87"/>
      <c r="AA597" s="87"/>
      <c r="AB597" s="87" t="str">
        <f>IF($A597="","",IF($AK597=TRUE,"Ready 2 Submit","Waiting on Dealer"))</f>
        <v/>
      </c>
      <c r="AC597" s="148"/>
      <c r="AD597" s="87"/>
      <c r="AE597" s="87"/>
      <c r="AF597" s="87" t="str">
        <f>IF($A597="","",IF($AK597=TRUE,"Ready 2 Submit","Waiting on Dealer"))</f>
        <v/>
      </c>
      <c r="AG597" s="148"/>
      <c r="AH597" s="87"/>
      <c r="AI597" s="87"/>
      <c r="AJ597" s="197"/>
      <c r="AK597" s="110" t="b">
        <v>0</v>
      </c>
      <c r="AL597" s="87" t="str" cm="1">
        <f t="array" ref="AL597">IF($A597="","",SUMPRODUCT((CHOOSE({1,2,3,4,5},$R597,$V597,$Z597,$AD597,$AH597)="Yes")*(((CHOOSE({1,2,3,4,5},$S597,$W597,$AA597,$AE597,$AI597)="Yes")+(CHOOSE({1,2,3,4,5},$S597,$W597,$AA597,$AE597,$AI597)=TRUE))&gt;0)))</f>
        <v/>
      </c>
      <c r="AM597" s="87"/>
      <c r="AN597" s="87" t="str">
        <f ca="1">IF(OR($A597="",$AM597=""),"",TODAY()-$AM597)</f>
        <v/>
      </c>
      <c r="AO597" s="87"/>
      <c r="AP597" s="106"/>
      <c r="AQ597" s="106"/>
      <c r="AR597" s="106"/>
      <c r="AS597" s="106"/>
      <c r="AT597" s="106"/>
      <c r="AU597" s="106"/>
      <c r="AV597" s="106"/>
      <c r="AW597" s="106"/>
      <c r="AX597" s="106"/>
      <c r="AY597" s="106"/>
    </row>
    <row r="598" spans="1:51" s="20" customFormat="1" ht="21" customHeight="1">
      <c r="A598" s="197"/>
      <c r="B598" s="87"/>
      <c r="C598" s="87"/>
      <c r="D598" s="196"/>
      <c r="E598" s="108"/>
      <c r="F598" s="196"/>
      <c r="G598" s="87"/>
      <c r="H598" s="197"/>
      <c r="I598" s="89"/>
      <c r="J598" s="204"/>
      <c r="K598" s="87"/>
      <c r="L598" s="87" t="str" cm="1">
        <f t="array" ref="L598">IF($A598="","",_xlfn.LET(_xlpm.stat,CHOOSE({1,2,3,4,5},$P598,$T598,$X598,$AB598,$AF598),_xlpm.rate,CHOOSE({1,2,3,4,5},$R598,$V598,$Z598,$AD598,$AH598),_xlpm.trn,CHOOSE({1,2,3,4,5},$S598,$W598,$AA598,$AE598,$AI598),_xlpm.nsC,SUMPRODUCT(--(_xlpm.stat="Ready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DLR",IF(AND(_xlpm.actRS&gt;0,_xlpm.actDone&lt;_xlpm.actRS),"Training",IF(_xlpm.actRS&gt;0,"Active",IF(AND(_xlpm.decC&gt;0,_xlpm.inPlay+_xlpm.actC=0),"Dead",IF(AND($AJ598&lt;&gt;"",$AK598=FALSE),"Waiting on Dealer",IF(_xlpm.subC&gt;0,"Waiting on Lender",IF(AND(_xlpm.appC+_xlpm.actC&gt;0,_xlpm.nsC+_xlpm.wdC=0),"Rate Sheet","Application Submitted")))))))))</f>
        <v/>
      </c>
      <c r="M598" s="87"/>
      <c r="N598" s="87"/>
      <c r="O598" s="197"/>
      <c r="P598" s="87" t="str">
        <f>IF($A598="","",IF($AK598=TRUE,"Ready 2 Submit","Waiting on Dealer"))</f>
        <v/>
      </c>
      <c r="Q598" s="148"/>
      <c r="R598" s="87"/>
      <c r="S598" s="87"/>
      <c r="T598" s="87" t="str">
        <f>IF($A598="","",IF($AK598=TRUE,"Ready 2 Submit","Waiting on Dealer"))</f>
        <v/>
      </c>
      <c r="U598" s="148"/>
      <c r="V598" s="87"/>
      <c r="W598" s="87"/>
      <c r="X598" s="87" t="str">
        <f>IF($A598="","",IF($AK598=TRUE,"Ready 2 Submit","Waiting on Dealer"))</f>
        <v/>
      </c>
      <c r="Y598" s="148"/>
      <c r="Z598" s="87"/>
      <c r="AA598" s="87"/>
      <c r="AB598" s="87" t="str">
        <f>IF($A598="","",IF($AK598=TRUE,"Ready 2 Submit","Waiting on Dealer"))</f>
        <v/>
      </c>
      <c r="AC598" s="148"/>
      <c r="AD598" s="87"/>
      <c r="AE598" s="87"/>
      <c r="AF598" s="87" t="str">
        <f>IF($A598="","",IF($AK598=TRUE,"Ready 2 Submit","Waiting on Dealer"))</f>
        <v/>
      </c>
      <c r="AG598" s="148"/>
      <c r="AH598" s="87"/>
      <c r="AI598" s="87"/>
      <c r="AJ598" s="197"/>
      <c r="AK598" s="110" t="b">
        <v>0</v>
      </c>
      <c r="AL598" s="87" t="str" cm="1">
        <f t="array" ref="AL598">IF($A598="","",SUMPRODUCT((CHOOSE({1,2,3,4,5},$R598,$V598,$Z598,$AD598,$AH598)="Yes")*(((CHOOSE({1,2,3,4,5},$S598,$W598,$AA598,$AE598,$AI598)="Yes")+(CHOOSE({1,2,3,4,5},$S598,$W598,$AA598,$AE598,$AI598)=TRUE))&gt;0)))</f>
        <v/>
      </c>
      <c r="AM598" s="87"/>
      <c r="AN598" s="87" t="str">
        <f ca="1">IF(OR($A598="",$AM598=""),"",TODAY()-$AM598)</f>
        <v/>
      </c>
      <c r="AO598" s="87"/>
      <c r="AP598" s="106"/>
      <c r="AQ598" s="106"/>
      <c r="AR598" s="106"/>
      <c r="AS598" s="106"/>
      <c r="AT598" s="106"/>
      <c r="AU598" s="106"/>
      <c r="AV598" s="106"/>
      <c r="AW598" s="106"/>
      <c r="AX598" s="106"/>
      <c r="AY598" s="106"/>
    </row>
    <row r="599" spans="1:51" s="20" customFormat="1" ht="21" customHeight="1">
      <c r="A599" s="197"/>
      <c r="B599" s="87"/>
      <c r="C599" s="87"/>
      <c r="D599" s="196"/>
      <c r="E599" s="108"/>
      <c r="F599" s="196"/>
      <c r="G599" s="87"/>
      <c r="H599" s="197"/>
      <c r="I599" s="89"/>
      <c r="J599" s="204"/>
      <c r="K599" s="87"/>
      <c r="L599" s="87" t="str" cm="1">
        <f t="array" ref="L599">IF($A599="","",_xlfn.LET(_xlpm.stat,CHOOSE({1,2,3,4,5},$P599,$T599,$X599,$AB599,$AF599),_xlpm.rate,CHOOSE({1,2,3,4,5},$R599,$V599,$Z599,$AD599,$AH599),_xlpm.trn,CHOOSE({1,2,3,4,5},$S599,$W599,$AA599,$AE599,$AI599),_xlpm.nsC,SUMPRODUCT(--(_xlpm.stat="Ready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DLR",IF(AND(_xlpm.actRS&gt;0,_xlpm.actDone&lt;_xlpm.actRS),"Training",IF(_xlpm.actRS&gt;0,"Active",IF(AND(_xlpm.decC&gt;0,_xlpm.inPlay+_xlpm.actC=0),"Dead",IF(AND($AJ599&lt;&gt;"",$AK599=FALSE),"Waiting on Dealer",IF(_xlpm.subC&gt;0,"Waiting on Lender",IF(AND(_xlpm.appC+_xlpm.actC&gt;0,_xlpm.nsC+_xlpm.wdC=0),"Rate Sheet","Application Submitted")))))))))</f>
        <v/>
      </c>
      <c r="M599" s="87"/>
      <c r="N599" s="87"/>
      <c r="O599" s="197"/>
      <c r="P599" s="87" t="str">
        <f>IF($A599="","",IF($AK599=TRUE,"Ready 2 Submit","Waiting on Dealer"))</f>
        <v/>
      </c>
      <c r="Q599" s="148"/>
      <c r="R599" s="87"/>
      <c r="S599" s="87"/>
      <c r="T599" s="87" t="str">
        <f>IF($A599="","",IF($AK599=TRUE,"Ready 2 Submit","Waiting on Dealer"))</f>
        <v/>
      </c>
      <c r="U599" s="148"/>
      <c r="V599" s="87"/>
      <c r="W599" s="87"/>
      <c r="X599" s="87" t="str">
        <f>IF($A599="","",IF($AK599=TRUE,"Ready 2 Submit","Waiting on Dealer"))</f>
        <v/>
      </c>
      <c r="Y599" s="148"/>
      <c r="Z599" s="87"/>
      <c r="AA599" s="87"/>
      <c r="AB599" s="87" t="str">
        <f>IF($A599="","",IF($AK599=TRUE,"Ready 2 Submit","Waiting on Dealer"))</f>
        <v/>
      </c>
      <c r="AC599" s="148"/>
      <c r="AD599" s="87"/>
      <c r="AE599" s="87"/>
      <c r="AF599" s="87" t="str">
        <f>IF($A599="","",IF($AK599=TRUE,"Ready 2 Submit","Waiting on Dealer"))</f>
        <v/>
      </c>
      <c r="AG599" s="148"/>
      <c r="AH599" s="87"/>
      <c r="AI599" s="87"/>
      <c r="AJ599" s="197"/>
      <c r="AK599" s="110" t="b">
        <v>0</v>
      </c>
      <c r="AL599" s="87" t="str" cm="1">
        <f t="array" ref="AL599">IF($A599="","",SUMPRODUCT((CHOOSE({1,2,3,4,5},$R599,$V599,$Z599,$AD599,$AH599)="Yes")*(((CHOOSE({1,2,3,4,5},$S599,$W599,$AA599,$AE599,$AI599)="Yes")+(CHOOSE({1,2,3,4,5},$S599,$W599,$AA599,$AE599,$AI599)=TRUE))&gt;0)))</f>
        <v/>
      </c>
      <c r="AM599" s="87"/>
      <c r="AN599" s="87" t="str">
        <f ca="1">IF(OR($A599="",$AM599=""),"",TODAY()-$AM599)</f>
        <v/>
      </c>
      <c r="AO599" s="87"/>
      <c r="AP599" s="106"/>
      <c r="AQ599" s="106"/>
      <c r="AR599" s="106"/>
      <c r="AS599" s="106"/>
      <c r="AT599" s="106"/>
      <c r="AU599" s="106"/>
      <c r="AV599" s="106"/>
      <c r="AW599" s="106"/>
      <c r="AX599" s="106"/>
      <c r="AY599" s="106"/>
    </row>
    <row r="600" spans="1:51" s="20" customFormat="1" ht="21" customHeight="1">
      <c r="A600" s="197"/>
      <c r="B600" s="87"/>
      <c r="C600" s="87"/>
      <c r="D600" s="196"/>
      <c r="E600" s="108"/>
      <c r="F600" s="196"/>
      <c r="G600" s="87"/>
      <c r="H600" s="197"/>
      <c r="I600" s="89"/>
      <c r="J600" s="204"/>
      <c r="K600" s="87"/>
      <c r="L600" s="87" t="str" cm="1">
        <f t="array" ref="L600">IF($A600="","",_xlfn.LET(_xlpm.stat,CHOOSE({1,2,3,4,5},$P600,$T600,$X600,$AB600,$AF600),_xlpm.rate,CHOOSE({1,2,3,4,5},$R600,$V600,$Z600,$AD600,$AH600),_xlpm.trn,CHOOSE({1,2,3,4,5},$S600,$W600,$AA600,$AE600,$AI600),_xlpm.nsC,SUMPRODUCT(--(_xlpm.stat="Ready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DLR",IF(AND(_xlpm.actRS&gt;0,_xlpm.actDone&lt;_xlpm.actRS),"Training",IF(_xlpm.actRS&gt;0,"Active",IF(AND(_xlpm.decC&gt;0,_xlpm.inPlay+_xlpm.actC=0),"Dead",IF(AND($AJ600&lt;&gt;"",$AK600=FALSE),"Waiting on Dealer",IF(_xlpm.subC&gt;0,"Waiting on Lender",IF(AND(_xlpm.appC+_xlpm.actC&gt;0,_xlpm.nsC+_xlpm.wdC=0),"Rate Sheet","Application Submitted")))))))))</f>
        <v/>
      </c>
      <c r="M600" s="87"/>
      <c r="N600" s="87"/>
      <c r="O600" s="197"/>
      <c r="P600" s="87" t="str">
        <f>IF($A600="","",IF($AK600=TRUE,"Ready 2 Submit","Waiting on Dealer"))</f>
        <v/>
      </c>
      <c r="Q600" s="148"/>
      <c r="R600" s="87"/>
      <c r="S600" s="87"/>
      <c r="T600" s="87" t="str">
        <f>IF($A600="","",IF($AK600=TRUE,"Ready 2 Submit","Waiting on Dealer"))</f>
        <v/>
      </c>
      <c r="U600" s="148"/>
      <c r="V600" s="87"/>
      <c r="W600" s="87"/>
      <c r="X600" s="87" t="str">
        <f>IF($A600="","",IF($AK600=TRUE,"Ready 2 Submit","Waiting on Dealer"))</f>
        <v/>
      </c>
      <c r="Y600" s="148"/>
      <c r="Z600" s="87"/>
      <c r="AA600" s="87"/>
      <c r="AB600" s="87" t="str">
        <f>IF($A600="","",IF($AK600=TRUE,"Ready 2 Submit","Waiting on Dealer"))</f>
        <v/>
      </c>
      <c r="AC600" s="148"/>
      <c r="AD600" s="87"/>
      <c r="AE600" s="87"/>
      <c r="AF600" s="87" t="str">
        <f>IF($A600="","",IF($AK600=TRUE,"Ready 2 Submit","Waiting on Dealer"))</f>
        <v/>
      </c>
      <c r="AG600" s="148"/>
      <c r="AH600" s="87"/>
      <c r="AI600" s="87"/>
      <c r="AJ600" s="197"/>
      <c r="AK600" s="110" t="b">
        <v>0</v>
      </c>
      <c r="AL600" s="87" t="str" cm="1">
        <f t="array" ref="AL600">IF($A600="","",SUMPRODUCT((CHOOSE({1,2,3,4,5},$R600,$V600,$Z600,$AD600,$AH600)="Yes")*(((CHOOSE({1,2,3,4,5},$S600,$W600,$AA600,$AE600,$AI600)="Yes")+(CHOOSE({1,2,3,4,5},$S600,$W600,$AA600,$AE600,$AI600)=TRUE))&gt;0)))</f>
        <v/>
      </c>
      <c r="AM600" s="87"/>
      <c r="AN600" s="87" t="str">
        <f ca="1">IF(OR($A600="",$AM600=""),"",TODAY()-$AM600)</f>
        <v/>
      </c>
      <c r="AO600" s="87"/>
      <c r="AP600" s="106"/>
      <c r="AQ600" s="106"/>
      <c r="AR600" s="106"/>
      <c r="AS600" s="106"/>
      <c r="AT600" s="106"/>
      <c r="AU600" s="106"/>
      <c r="AV600" s="106"/>
      <c r="AW600" s="106"/>
      <c r="AX600" s="106"/>
      <c r="AY600" s="106"/>
    </row>
    <row r="601" spans="1:51" s="20" customFormat="1" ht="21" customHeight="1">
      <c r="A601" s="197"/>
      <c r="B601" s="87"/>
      <c r="C601" s="87"/>
      <c r="D601" s="196"/>
      <c r="E601" s="108"/>
      <c r="F601" s="196"/>
      <c r="G601" s="87"/>
      <c r="H601" s="197"/>
      <c r="I601" s="89"/>
      <c r="J601" s="204"/>
      <c r="K601" s="87"/>
      <c r="L601" s="87" t="str" cm="1">
        <f t="array" ref="L601">IF($A601="","",_xlfn.LET(_xlpm.stat,CHOOSE({1,2,3,4,5},$P601,$T601,$X601,$AB601,$AF601),_xlpm.rate,CHOOSE({1,2,3,4,5},$R601,$V601,$Z601,$AD601,$AH601),_xlpm.trn,CHOOSE({1,2,3,4,5},$S601,$W601,$AA601,$AE601,$AI601),_xlpm.nsC,SUMPRODUCT(--(_xlpm.stat="Ready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DLR",IF(AND(_xlpm.actRS&gt;0,_xlpm.actDone&lt;_xlpm.actRS),"Training",IF(_xlpm.actRS&gt;0,"Active",IF(AND(_xlpm.decC&gt;0,_xlpm.inPlay+_xlpm.actC=0),"Dead",IF(AND($AJ601&lt;&gt;"",$AK601=FALSE),"Waiting on Dealer",IF(_xlpm.subC&gt;0,"Waiting on Lender",IF(AND(_xlpm.appC+_xlpm.actC&gt;0,_xlpm.nsC+_xlpm.wdC=0),"Rate Sheet","Application Submitted")))))))))</f>
        <v/>
      </c>
      <c r="M601" s="87"/>
      <c r="N601" s="87"/>
      <c r="O601" s="197"/>
      <c r="P601" s="87" t="str">
        <f>IF($A601="","",IF($AK601=TRUE,"Ready 2 Submit","Waiting on Dealer"))</f>
        <v/>
      </c>
      <c r="Q601" s="148"/>
      <c r="R601" s="87"/>
      <c r="S601" s="87"/>
      <c r="T601" s="87" t="str">
        <f>IF($A601="","",IF($AK601=TRUE,"Ready 2 Submit","Waiting on Dealer"))</f>
        <v/>
      </c>
      <c r="U601" s="148"/>
      <c r="V601" s="87"/>
      <c r="W601" s="87"/>
      <c r="X601" s="87" t="str">
        <f>IF($A601="","",IF($AK601=TRUE,"Ready 2 Submit","Waiting on Dealer"))</f>
        <v/>
      </c>
      <c r="Y601" s="148"/>
      <c r="Z601" s="87"/>
      <c r="AA601" s="87"/>
      <c r="AB601" s="87" t="str">
        <f>IF($A601="","",IF($AK601=TRUE,"Ready 2 Submit","Waiting on Dealer"))</f>
        <v/>
      </c>
      <c r="AC601" s="148"/>
      <c r="AD601" s="87"/>
      <c r="AE601" s="87"/>
      <c r="AF601" s="87" t="str">
        <f>IF($A601="","",IF($AK601=TRUE,"Ready 2 Submit","Waiting on Dealer"))</f>
        <v/>
      </c>
      <c r="AG601" s="148"/>
      <c r="AH601" s="87"/>
      <c r="AI601" s="87"/>
      <c r="AJ601" s="197"/>
      <c r="AK601" s="110" t="b">
        <v>0</v>
      </c>
      <c r="AL601" s="87" t="str" cm="1">
        <f t="array" ref="AL601">IF($A601="","",SUMPRODUCT((CHOOSE({1,2,3,4,5},$R601,$V601,$Z601,$AD601,$AH601)="Yes")*(((CHOOSE({1,2,3,4,5},$S601,$W601,$AA601,$AE601,$AI601)="Yes")+(CHOOSE({1,2,3,4,5},$S601,$W601,$AA601,$AE601,$AI601)=TRUE))&gt;0)))</f>
        <v/>
      </c>
      <c r="AM601" s="87"/>
      <c r="AN601" s="87" t="str">
        <f ca="1">IF(OR($A601="",$AM601=""),"",TODAY()-$AM601)</f>
        <v/>
      </c>
      <c r="AO601" s="87"/>
      <c r="AP601" s="106"/>
      <c r="AQ601" s="106"/>
      <c r="AR601" s="106"/>
      <c r="AS601" s="106"/>
      <c r="AT601" s="106"/>
      <c r="AU601" s="106"/>
      <c r="AV601" s="106"/>
      <c r="AW601" s="106"/>
      <c r="AX601" s="106"/>
      <c r="AY601" s="106"/>
    </row>
    <row r="602" spans="1:51" s="20" customFormat="1" ht="21" customHeight="1">
      <c r="A602" s="197"/>
      <c r="B602" s="87"/>
      <c r="C602" s="87"/>
      <c r="D602" s="196"/>
      <c r="E602" s="108"/>
      <c r="F602" s="196"/>
      <c r="G602" s="87"/>
      <c r="H602" s="197"/>
      <c r="I602" s="89"/>
      <c r="J602" s="204"/>
      <c r="K602" s="87"/>
      <c r="L602" s="87" t="str" cm="1">
        <f t="array" ref="L602">IF($A602="","",_xlfn.LET(_xlpm.stat,CHOOSE({1,2,3,4,5},$P602,$T602,$X602,$AB602,$AF602),_xlpm.rate,CHOOSE({1,2,3,4,5},$R602,$V602,$Z602,$AD602,$AH602),_xlpm.trn,CHOOSE({1,2,3,4,5},$S602,$W602,$AA602,$AE602,$AI602),_xlpm.nsC,SUMPRODUCT(--(_xlpm.stat="Ready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DLR",IF(AND(_xlpm.actRS&gt;0,_xlpm.actDone&lt;_xlpm.actRS),"Training",IF(_xlpm.actRS&gt;0,"Active",IF(AND(_xlpm.decC&gt;0,_xlpm.inPlay+_xlpm.actC=0),"Dead",IF(AND($AJ602&lt;&gt;"",$AK602=FALSE),"Waiting on Dealer",IF(_xlpm.subC&gt;0,"Waiting on Lender",IF(AND(_xlpm.appC+_xlpm.actC&gt;0,_xlpm.nsC+_xlpm.wdC=0),"Rate Sheet","Application Submitted")))))))))</f>
        <v/>
      </c>
      <c r="M602" s="87"/>
      <c r="N602" s="87"/>
      <c r="O602" s="197"/>
      <c r="P602" s="87" t="str">
        <f>IF($A602="","",IF($AK602=TRUE,"Ready 2 Submit","Waiting on Dealer"))</f>
        <v/>
      </c>
      <c r="Q602" s="148"/>
      <c r="R602" s="87"/>
      <c r="S602" s="87"/>
      <c r="T602" s="87" t="str">
        <f>IF($A602="","",IF($AK602=TRUE,"Ready 2 Submit","Waiting on Dealer"))</f>
        <v/>
      </c>
      <c r="U602" s="148"/>
      <c r="V602" s="87"/>
      <c r="W602" s="87"/>
      <c r="X602" s="87" t="str">
        <f>IF($A602="","",IF($AK602=TRUE,"Ready 2 Submit","Waiting on Dealer"))</f>
        <v/>
      </c>
      <c r="Y602" s="148"/>
      <c r="Z602" s="87"/>
      <c r="AA602" s="87"/>
      <c r="AB602" s="87" t="str">
        <f>IF($A602="","",IF($AK602=TRUE,"Ready 2 Submit","Waiting on Dealer"))</f>
        <v/>
      </c>
      <c r="AC602" s="148"/>
      <c r="AD602" s="87"/>
      <c r="AE602" s="87"/>
      <c r="AF602" s="87" t="str">
        <f>IF($A602="","",IF($AK602=TRUE,"Ready 2 Submit","Waiting on Dealer"))</f>
        <v/>
      </c>
      <c r="AG602" s="148"/>
      <c r="AH602" s="87"/>
      <c r="AI602" s="87"/>
      <c r="AJ602" s="197"/>
      <c r="AK602" s="110" t="b">
        <v>0</v>
      </c>
      <c r="AL602" s="87" t="str" cm="1">
        <f t="array" ref="AL602">IF($A602="","",SUMPRODUCT((CHOOSE({1,2,3,4,5},$R602,$V602,$Z602,$AD602,$AH602)="Yes")*(((CHOOSE({1,2,3,4,5},$S602,$W602,$AA602,$AE602,$AI602)="Yes")+(CHOOSE({1,2,3,4,5},$S602,$W602,$AA602,$AE602,$AI602)=TRUE))&gt;0)))</f>
        <v/>
      </c>
      <c r="AM602" s="87"/>
      <c r="AN602" s="87" t="str">
        <f ca="1">IF(OR($A602="",$AM602=""),"",TODAY()-$AM602)</f>
        <v/>
      </c>
      <c r="AO602" s="87"/>
      <c r="AP602" s="106"/>
      <c r="AQ602" s="106"/>
      <c r="AR602" s="106"/>
      <c r="AS602" s="106"/>
      <c r="AT602" s="106"/>
      <c r="AU602" s="106"/>
      <c r="AV602" s="106"/>
      <c r="AW602" s="106"/>
      <c r="AX602" s="106"/>
      <c r="AY602" s="106"/>
    </row>
    <row r="603" spans="1:51" s="20" customFormat="1" ht="21" customHeight="1">
      <c r="A603" s="197"/>
      <c r="B603" s="87"/>
      <c r="C603" s="87"/>
      <c r="D603" s="196"/>
      <c r="E603" s="108"/>
      <c r="F603" s="196"/>
      <c r="G603" s="87"/>
      <c r="H603" s="197"/>
      <c r="I603" s="89"/>
      <c r="J603" s="204"/>
      <c r="K603" s="87"/>
      <c r="L603" s="87" t="str" cm="1">
        <f t="array" ref="L603">IF($A603="","",_xlfn.LET(_xlpm.stat,CHOOSE({1,2,3,4,5},$P603,$T603,$X603,$AB603,$AF603),_xlpm.rate,CHOOSE({1,2,3,4,5},$R603,$V603,$Z603,$AD603,$AH603),_xlpm.trn,CHOOSE({1,2,3,4,5},$S603,$W603,$AA603,$AE603,$AI603),_xlpm.nsC,SUMPRODUCT(--(_xlpm.stat="Ready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DLR",IF(AND(_xlpm.actRS&gt;0,_xlpm.actDone&lt;_xlpm.actRS),"Training",IF(_xlpm.actRS&gt;0,"Active",IF(AND(_xlpm.decC&gt;0,_xlpm.inPlay+_xlpm.actC=0),"Dead",IF(AND($AJ603&lt;&gt;"",$AK603=FALSE),"Waiting on Dealer",IF(_xlpm.subC&gt;0,"Waiting on Lender",IF(AND(_xlpm.appC+_xlpm.actC&gt;0,_xlpm.nsC+_xlpm.wdC=0),"Rate Sheet","Application Submitted")))))))))</f>
        <v/>
      </c>
      <c r="M603" s="87"/>
      <c r="N603" s="87"/>
      <c r="O603" s="197"/>
      <c r="P603" s="87" t="str">
        <f>IF($A603="","",IF($AK603=TRUE,"Ready 2 Submit","Waiting on Dealer"))</f>
        <v/>
      </c>
      <c r="Q603" s="148"/>
      <c r="R603" s="87"/>
      <c r="S603" s="87"/>
      <c r="T603" s="87" t="str">
        <f>IF($A603="","",IF($AK603=TRUE,"Ready 2 Submit","Waiting on Dealer"))</f>
        <v/>
      </c>
      <c r="U603" s="148"/>
      <c r="V603" s="87"/>
      <c r="W603" s="87"/>
      <c r="X603" s="87" t="str">
        <f>IF($A603="","",IF($AK603=TRUE,"Ready 2 Submit","Waiting on Dealer"))</f>
        <v/>
      </c>
      <c r="Y603" s="148"/>
      <c r="Z603" s="87"/>
      <c r="AA603" s="87"/>
      <c r="AB603" s="87" t="str">
        <f>IF($A603="","",IF($AK603=TRUE,"Ready 2 Submit","Waiting on Dealer"))</f>
        <v/>
      </c>
      <c r="AC603" s="148"/>
      <c r="AD603" s="87"/>
      <c r="AE603" s="87"/>
      <c r="AF603" s="87" t="str">
        <f>IF($A603="","",IF($AK603=TRUE,"Ready 2 Submit","Waiting on Dealer"))</f>
        <v/>
      </c>
      <c r="AG603" s="148"/>
      <c r="AH603" s="87"/>
      <c r="AI603" s="87"/>
      <c r="AJ603" s="197"/>
      <c r="AK603" s="110" t="b">
        <v>0</v>
      </c>
      <c r="AL603" s="87" t="str" cm="1">
        <f t="array" ref="AL603">IF($A603="","",SUMPRODUCT((CHOOSE({1,2,3,4,5},$R603,$V603,$Z603,$AD603,$AH603)="Yes")*(((CHOOSE({1,2,3,4,5},$S603,$W603,$AA603,$AE603,$AI603)="Yes")+(CHOOSE({1,2,3,4,5},$S603,$W603,$AA603,$AE603,$AI603)=TRUE))&gt;0)))</f>
        <v/>
      </c>
      <c r="AM603" s="87"/>
      <c r="AN603" s="87" t="str">
        <f ca="1">IF(OR($A603="",$AM603=""),"",TODAY()-$AM603)</f>
        <v/>
      </c>
      <c r="AO603" s="87"/>
      <c r="AP603" s="106"/>
      <c r="AQ603" s="106"/>
      <c r="AR603" s="106"/>
      <c r="AS603" s="106"/>
      <c r="AT603" s="106"/>
      <c r="AU603" s="106"/>
      <c r="AV603" s="106"/>
      <c r="AW603" s="106"/>
      <c r="AX603" s="106"/>
      <c r="AY603" s="106"/>
    </row>
    <row r="604" spans="1:51" s="20" customFormat="1" ht="21" customHeight="1">
      <c r="A604" s="197"/>
      <c r="B604" s="87"/>
      <c r="C604" s="87"/>
      <c r="D604" s="196"/>
      <c r="E604" s="108"/>
      <c r="F604" s="196"/>
      <c r="G604" s="87"/>
      <c r="H604" s="197"/>
      <c r="I604" s="89"/>
      <c r="J604" s="204"/>
      <c r="K604" s="87"/>
      <c r="L604" s="87" t="str" cm="1">
        <f t="array" ref="L604">IF($A604="","",_xlfn.LET(_xlpm.stat,CHOOSE({1,2,3,4,5},$P604,$T604,$X604,$AB604,$AF604),_xlpm.rate,CHOOSE({1,2,3,4,5},$R604,$V604,$Z604,$AD604,$AH604),_xlpm.trn,CHOOSE({1,2,3,4,5},$S604,$W604,$AA604,$AE604,$AI604),_xlpm.nsC,SUMPRODUCT(--(_xlpm.stat="Ready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DLR",IF(AND(_xlpm.actRS&gt;0,_xlpm.actDone&lt;_xlpm.actRS),"Training",IF(_xlpm.actRS&gt;0,"Active",IF(AND(_xlpm.decC&gt;0,_xlpm.inPlay+_xlpm.actC=0),"Dead",IF(AND($AJ604&lt;&gt;"",$AK604=FALSE),"Waiting on Dealer",IF(_xlpm.subC&gt;0,"Waiting on Lender",IF(AND(_xlpm.appC+_xlpm.actC&gt;0,_xlpm.nsC+_xlpm.wdC=0),"Rate Sheet","Application Submitted")))))))))</f>
        <v/>
      </c>
      <c r="M604" s="87"/>
      <c r="N604" s="87"/>
      <c r="O604" s="197"/>
      <c r="P604" s="87" t="str">
        <f>IF($A604="","",IF($AK604=TRUE,"Ready 2 Submit","Waiting on Dealer"))</f>
        <v/>
      </c>
      <c r="Q604" s="148"/>
      <c r="R604" s="87"/>
      <c r="S604" s="87"/>
      <c r="T604" s="87" t="str">
        <f>IF($A604="","",IF($AK604=TRUE,"Ready 2 Submit","Waiting on Dealer"))</f>
        <v/>
      </c>
      <c r="U604" s="148"/>
      <c r="V604" s="87"/>
      <c r="W604" s="87"/>
      <c r="X604" s="87" t="str">
        <f>IF($A604="","",IF($AK604=TRUE,"Ready 2 Submit","Waiting on Dealer"))</f>
        <v/>
      </c>
      <c r="Y604" s="148"/>
      <c r="Z604" s="87"/>
      <c r="AA604" s="87"/>
      <c r="AB604" s="87" t="str">
        <f>IF($A604="","",IF($AK604=TRUE,"Ready 2 Submit","Waiting on Dealer"))</f>
        <v/>
      </c>
      <c r="AC604" s="148"/>
      <c r="AD604" s="87"/>
      <c r="AE604" s="87"/>
      <c r="AF604" s="87" t="str">
        <f>IF($A604="","",IF($AK604=TRUE,"Ready 2 Submit","Waiting on Dealer"))</f>
        <v/>
      </c>
      <c r="AG604" s="148"/>
      <c r="AH604" s="87"/>
      <c r="AI604" s="87"/>
      <c r="AJ604" s="197"/>
      <c r="AK604" s="110" t="b">
        <v>0</v>
      </c>
      <c r="AL604" s="87" t="str" cm="1">
        <f t="array" ref="AL604">IF($A604="","",SUMPRODUCT((CHOOSE({1,2,3,4,5},$R604,$V604,$Z604,$AD604,$AH604)="Yes")*(((CHOOSE({1,2,3,4,5},$S604,$W604,$AA604,$AE604,$AI604)="Yes")+(CHOOSE({1,2,3,4,5},$S604,$W604,$AA604,$AE604,$AI604)=TRUE))&gt;0)))</f>
        <v/>
      </c>
      <c r="AM604" s="87"/>
      <c r="AN604" s="87" t="str">
        <f ca="1">IF(OR($A604="",$AM604=""),"",TODAY()-$AM604)</f>
        <v/>
      </c>
      <c r="AO604" s="87"/>
      <c r="AP604" s="106"/>
      <c r="AQ604" s="106"/>
      <c r="AR604" s="106"/>
      <c r="AS604" s="106"/>
      <c r="AT604" s="106"/>
      <c r="AU604" s="106"/>
      <c r="AV604" s="106"/>
      <c r="AW604" s="106"/>
      <c r="AX604" s="106"/>
      <c r="AY604" s="106"/>
    </row>
    <row r="605" spans="1:51" s="20" customFormat="1" ht="21" customHeight="1">
      <c r="A605" s="197"/>
      <c r="B605" s="87"/>
      <c r="C605" s="87"/>
      <c r="D605" s="196"/>
      <c r="E605" s="108"/>
      <c r="F605" s="196"/>
      <c r="G605" s="87"/>
      <c r="H605" s="197"/>
      <c r="I605" s="89"/>
      <c r="J605" s="204"/>
      <c r="K605" s="87"/>
      <c r="L605" s="87" t="str" cm="1">
        <f t="array" ref="L605">IF($A605="","",_xlfn.LET(_xlpm.stat,CHOOSE({1,2,3,4,5},$P605,$T605,$X605,$AB605,$AF605),_xlpm.rate,CHOOSE({1,2,3,4,5},$R605,$V605,$Z605,$AD605,$AH605),_xlpm.trn,CHOOSE({1,2,3,4,5},$S605,$W605,$AA605,$AE605,$AI605),_xlpm.nsC,SUMPRODUCT(--(_xlpm.stat="Ready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DLR",IF(AND(_xlpm.actRS&gt;0,_xlpm.actDone&lt;_xlpm.actRS),"Training",IF(_xlpm.actRS&gt;0,"Active",IF(AND(_xlpm.decC&gt;0,_xlpm.inPlay+_xlpm.actC=0),"Dead",IF(AND($AJ605&lt;&gt;"",$AK605=FALSE),"Waiting on Dealer",IF(_xlpm.subC&gt;0,"Waiting on Lender",IF(AND(_xlpm.appC+_xlpm.actC&gt;0,_xlpm.nsC+_xlpm.wdC=0),"Rate Sheet","Application Submitted")))))))))</f>
        <v/>
      </c>
      <c r="M605" s="87"/>
      <c r="N605" s="87"/>
      <c r="O605" s="197"/>
      <c r="P605" s="87" t="str">
        <f>IF($A605="","",IF($AK605=TRUE,"Ready 2 Submit","Waiting on Dealer"))</f>
        <v/>
      </c>
      <c r="Q605" s="148"/>
      <c r="R605" s="87"/>
      <c r="S605" s="87"/>
      <c r="T605" s="87" t="str">
        <f>IF($A605="","",IF($AK605=TRUE,"Ready 2 Submit","Waiting on Dealer"))</f>
        <v/>
      </c>
      <c r="U605" s="148"/>
      <c r="V605" s="87"/>
      <c r="W605" s="87"/>
      <c r="X605" s="87" t="str">
        <f>IF($A605="","",IF($AK605=TRUE,"Ready 2 Submit","Waiting on Dealer"))</f>
        <v/>
      </c>
      <c r="Y605" s="148"/>
      <c r="Z605" s="87"/>
      <c r="AA605" s="87"/>
      <c r="AB605" s="87" t="str">
        <f>IF($A605="","",IF($AK605=TRUE,"Ready 2 Submit","Waiting on Dealer"))</f>
        <v/>
      </c>
      <c r="AC605" s="148"/>
      <c r="AD605" s="87"/>
      <c r="AE605" s="87"/>
      <c r="AF605" s="87" t="str">
        <f>IF($A605="","",IF($AK605=TRUE,"Ready 2 Submit","Waiting on Dealer"))</f>
        <v/>
      </c>
      <c r="AG605" s="148"/>
      <c r="AH605" s="87"/>
      <c r="AI605" s="87"/>
      <c r="AJ605" s="197"/>
      <c r="AK605" s="110" t="b">
        <v>0</v>
      </c>
      <c r="AL605" s="87" t="str" cm="1">
        <f t="array" ref="AL605">IF($A605="","",SUMPRODUCT((CHOOSE({1,2,3,4,5},$R605,$V605,$Z605,$AD605,$AH605)="Yes")*(((CHOOSE({1,2,3,4,5},$S605,$W605,$AA605,$AE605,$AI605)="Yes")+(CHOOSE({1,2,3,4,5},$S605,$W605,$AA605,$AE605,$AI605)=TRUE))&gt;0)))</f>
        <v/>
      </c>
      <c r="AM605" s="87"/>
      <c r="AN605" s="87" t="str">
        <f ca="1">IF(OR($A605="",$AM605=""),"",TODAY()-$AM605)</f>
        <v/>
      </c>
      <c r="AO605" s="87"/>
      <c r="AP605" s="106"/>
      <c r="AQ605" s="106"/>
      <c r="AR605" s="106"/>
      <c r="AS605" s="106"/>
      <c r="AT605" s="106"/>
      <c r="AU605" s="106"/>
      <c r="AV605" s="106"/>
      <c r="AW605" s="106"/>
      <c r="AX605" s="106"/>
      <c r="AY605" s="106"/>
    </row>
    <row r="606" spans="1:51" s="20" customFormat="1" ht="21" customHeight="1">
      <c r="A606" s="197"/>
      <c r="B606" s="87"/>
      <c r="C606" s="87"/>
      <c r="D606" s="196"/>
      <c r="E606" s="108"/>
      <c r="F606" s="196"/>
      <c r="G606" s="87"/>
      <c r="H606" s="197"/>
      <c r="I606" s="89"/>
      <c r="J606" s="204"/>
      <c r="K606" s="87"/>
      <c r="L606" s="87" t="str" cm="1">
        <f t="array" ref="L606">IF($A606="","",_xlfn.LET(_xlpm.stat,CHOOSE({1,2,3,4,5},$P606,$T606,$X606,$AB606,$AF606),_xlpm.rate,CHOOSE({1,2,3,4,5},$R606,$V606,$Z606,$AD606,$AH606),_xlpm.trn,CHOOSE({1,2,3,4,5},$S606,$W606,$AA606,$AE606,$AI606),_xlpm.nsC,SUMPRODUCT(--(_xlpm.stat="Ready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DLR",IF(AND(_xlpm.actRS&gt;0,_xlpm.actDone&lt;_xlpm.actRS),"Training",IF(_xlpm.actRS&gt;0,"Active",IF(AND(_xlpm.decC&gt;0,_xlpm.inPlay+_xlpm.actC=0),"Dead",IF(AND($AJ606&lt;&gt;"",$AK606=FALSE),"Waiting on Dealer",IF(_xlpm.subC&gt;0,"Waiting on Lender",IF(AND(_xlpm.appC+_xlpm.actC&gt;0,_xlpm.nsC+_xlpm.wdC=0),"Rate Sheet","Application Submitted")))))))))</f>
        <v/>
      </c>
      <c r="M606" s="87"/>
      <c r="N606" s="87"/>
      <c r="O606" s="197"/>
      <c r="P606" s="87" t="str">
        <f>IF($A606="","",IF($AK606=TRUE,"Ready 2 Submit","Waiting on Dealer"))</f>
        <v/>
      </c>
      <c r="Q606" s="148"/>
      <c r="R606" s="87"/>
      <c r="S606" s="87"/>
      <c r="T606" s="87" t="str">
        <f>IF($A606="","",IF($AK606=TRUE,"Ready 2 Submit","Waiting on Dealer"))</f>
        <v/>
      </c>
      <c r="U606" s="148"/>
      <c r="V606" s="87"/>
      <c r="W606" s="87"/>
      <c r="X606" s="87" t="str">
        <f>IF($A606="","",IF($AK606=TRUE,"Ready 2 Submit","Waiting on Dealer"))</f>
        <v/>
      </c>
      <c r="Y606" s="148"/>
      <c r="Z606" s="87"/>
      <c r="AA606" s="87"/>
      <c r="AB606" s="87" t="str">
        <f>IF($A606="","",IF($AK606=TRUE,"Ready 2 Submit","Waiting on Dealer"))</f>
        <v/>
      </c>
      <c r="AC606" s="148"/>
      <c r="AD606" s="87"/>
      <c r="AE606" s="87"/>
      <c r="AF606" s="87" t="str">
        <f>IF($A606="","",IF($AK606=TRUE,"Ready 2 Submit","Waiting on Dealer"))</f>
        <v/>
      </c>
      <c r="AG606" s="148"/>
      <c r="AH606" s="87"/>
      <c r="AI606" s="87"/>
      <c r="AJ606" s="197"/>
      <c r="AK606" s="110" t="b">
        <v>0</v>
      </c>
      <c r="AL606" s="87" t="str" cm="1">
        <f t="array" ref="AL606">IF($A606="","",SUMPRODUCT((CHOOSE({1,2,3,4,5},$R606,$V606,$Z606,$AD606,$AH606)="Yes")*(((CHOOSE({1,2,3,4,5},$S606,$W606,$AA606,$AE606,$AI606)="Yes")+(CHOOSE({1,2,3,4,5},$S606,$W606,$AA606,$AE606,$AI606)=TRUE))&gt;0)))</f>
        <v/>
      </c>
      <c r="AM606" s="87"/>
      <c r="AN606" s="87" t="str">
        <f ca="1">IF(OR($A606="",$AM606=""),"",TODAY()-$AM606)</f>
        <v/>
      </c>
      <c r="AO606" s="87"/>
      <c r="AP606" s="106"/>
      <c r="AQ606" s="106"/>
      <c r="AR606" s="106"/>
      <c r="AS606" s="106"/>
      <c r="AT606" s="106"/>
      <c r="AU606" s="106"/>
      <c r="AV606" s="106"/>
      <c r="AW606" s="106"/>
      <c r="AX606" s="106"/>
      <c r="AY606" s="106"/>
    </row>
    <row r="607" spans="1:51" s="20" customFormat="1" ht="21" customHeight="1">
      <c r="A607" s="197"/>
      <c r="B607" s="87"/>
      <c r="C607" s="87"/>
      <c r="D607" s="196"/>
      <c r="E607" s="108"/>
      <c r="F607" s="196"/>
      <c r="G607" s="87"/>
      <c r="H607" s="197"/>
      <c r="I607" s="89"/>
      <c r="J607" s="204"/>
      <c r="K607" s="87"/>
      <c r="L607" s="87" t="str" cm="1">
        <f t="array" ref="L607">IF($A607="","",_xlfn.LET(_xlpm.stat,CHOOSE({1,2,3,4,5},$P607,$T607,$X607,$AB607,$AF607),_xlpm.rate,CHOOSE({1,2,3,4,5},$R607,$V607,$Z607,$AD607,$AH607),_xlpm.trn,CHOOSE({1,2,3,4,5},$S607,$W607,$AA607,$AE607,$AI607),_xlpm.nsC,SUMPRODUCT(--(_xlpm.stat="Ready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DLR",IF(AND(_xlpm.actRS&gt;0,_xlpm.actDone&lt;_xlpm.actRS),"Training",IF(_xlpm.actRS&gt;0,"Active",IF(AND(_xlpm.decC&gt;0,_xlpm.inPlay+_xlpm.actC=0),"Dead",IF(AND($AJ607&lt;&gt;"",$AK607=FALSE),"Waiting on Dealer",IF(_xlpm.subC&gt;0,"Waiting on Lender",IF(AND(_xlpm.appC+_xlpm.actC&gt;0,_xlpm.nsC+_xlpm.wdC=0),"Rate Sheet","Application Submitted")))))))))</f>
        <v/>
      </c>
      <c r="M607" s="87"/>
      <c r="N607" s="87"/>
      <c r="O607" s="197"/>
      <c r="P607" s="87" t="str">
        <f>IF($A607="","",IF($AK607=TRUE,"Ready 2 Submit","Waiting on Dealer"))</f>
        <v/>
      </c>
      <c r="Q607" s="148"/>
      <c r="R607" s="87"/>
      <c r="S607" s="87"/>
      <c r="T607" s="87" t="str">
        <f>IF($A607="","",IF($AK607=TRUE,"Ready 2 Submit","Waiting on Dealer"))</f>
        <v/>
      </c>
      <c r="U607" s="148"/>
      <c r="V607" s="87"/>
      <c r="W607" s="87"/>
      <c r="X607" s="87" t="str">
        <f>IF($A607="","",IF($AK607=TRUE,"Ready 2 Submit","Waiting on Dealer"))</f>
        <v/>
      </c>
      <c r="Y607" s="148"/>
      <c r="Z607" s="87"/>
      <c r="AA607" s="87"/>
      <c r="AB607" s="87" t="str">
        <f>IF($A607="","",IF($AK607=TRUE,"Ready 2 Submit","Waiting on Dealer"))</f>
        <v/>
      </c>
      <c r="AC607" s="148"/>
      <c r="AD607" s="87"/>
      <c r="AE607" s="87"/>
      <c r="AF607" s="87" t="str">
        <f>IF($A607="","",IF($AK607=TRUE,"Ready 2 Submit","Waiting on Dealer"))</f>
        <v/>
      </c>
      <c r="AG607" s="148"/>
      <c r="AH607" s="87"/>
      <c r="AI607" s="87"/>
      <c r="AJ607" s="197"/>
      <c r="AK607" s="110" t="b">
        <v>0</v>
      </c>
      <c r="AL607" s="87" t="str" cm="1">
        <f t="array" ref="AL607">IF($A607="","",SUMPRODUCT((CHOOSE({1,2,3,4,5},$R607,$V607,$Z607,$AD607,$AH607)="Yes")*(((CHOOSE({1,2,3,4,5},$S607,$W607,$AA607,$AE607,$AI607)="Yes")+(CHOOSE({1,2,3,4,5},$S607,$W607,$AA607,$AE607,$AI607)=TRUE))&gt;0)))</f>
        <v/>
      </c>
      <c r="AM607" s="87"/>
      <c r="AN607" s="87" t="str">
        <f ca="1">IF(OR($A607="",$AM607=""),"",TODAY()-$AM607)</f>
        <v/>
      </c>
      <c r="AO607" s="87"/>
      <c r="AP607" s="106"/>
      <c r="AQ607" s="106"/>
      <c r="AR607" s="106"/>
      <c r="AS607" s="106"/>
      <c r="AT607" s="106"/>
      <c r="AU607" s="106"/>
      <c r="AV607" s="106"/>
      <c r="AW607" s="106"/>
      <c r="AX607" s="106"/>
      <c r="AY607" s="106"/>
    </row>
    <row r="608" spans="1:51" s="20" customFormat="1" ht="21" customHeight="1">
      <c r="A608" s="197"/>
      <c r="B608" s="87"/>
      <c r="C608" s="87"/>
      <c r="D608" s="196"/>
      <c r="E608" s="108"/>
      <c r="F608" s="196"/>
      <c r="G608" s="87"/>
      <c r="H608" s="197"/>
      <c r="I608" s="89"/>
      <c r="J608" s="204"/>
      <c r="K608" s="87"/>
      <c r="L608" s="87" t="str" cm="1">
        <f t="array" ref="L608">IF($A608="","",_xlfn.LET(_xlpm.stat,CHOOSE({1,2,3,4,5},$P608,$T608,$X608,$AB608,$AF608),_xlpm.rate,CHOOSE({1,2,3,4,5},$R608,$V608,$Z608,$AD608,$AH608),_xlpm.trn,CHOOSE({1,2,3,4,5},$S608,$W608,$AA608,$AE608,$AI608),_xlpm.nsC,SUMPRODUCT(--(_xlpm.stat="Ready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DLR",IF(AND(_xlpm.actRS&gt;0,_xlpm.actDone&lt;_xlpm.actRS),"Training",IF(_xlpm.actRS&gt;0,"Active",IF(AND(_xlpm.decC&gt;0,_xlpm.inPlay+_xlpm.actC=0),"Dead",IF(AND($AJ608&lt;&gt;"",$AK608=FALSE),"Waiting on Dealer",IF(_xlpm.subC&gt;0,"Waiting on Lender",IF(AND(_xlpm.appC+_xlpm.actC&gt;0,_xlpm.nsC+_xlpm.wdC=0),"Rate Sheet","Application Submitted")))))))))</f>
        <v/>
      </c>
      <c r="M608" s="87"/>
      <c r="N608" s="87"/>
      <c r="O608" s="197"/>
      <c r="P608" s="87" t="str">
        <f>IF($A608="","",IF($AK608=TRUE,"Ready 2 Submit","Waiting on Dealer"))</f>
        <v/>
      </c>
      <c r="Q608" s="148"/>
      <c r="R608" s="87"/>
      <c r="S608" s="87"/>
      <c r="T608" s="87" t="str">
        <f>IF($A608="","",IF($AK608=TRUE,"Ready 2 Submit","Waiting on Dealer"))</f>
        <v/>
      </c>
      <c r="U608" s="148"/>
      <c r="V608" s="87"/>
      <c r="W608" s="87"/>
      <c r="X608" s="87" t="str">
        <f>IF($A608="","",IF($AK608=TRUE,"Ready 2 Submit","Waiting on Dealer"))</f>
        <v/>
      </c>
      <c r="Y608" s="148"/>
      <c r="Z608" s="87"/>
      <c r="AA608" s="87"/>
      <c r="AB608" s="87" t="str">
        <f>IF($A608="","",IF($AK608=TRUE,"Ready 2 Submit","Waiting on Dealer"))</f>
        <v/>
      </c>
      <c r="AC608" s="148"/>
      <c r="AD608" s="87"/>
      <c r="AE608" s="87"/>
      <c r="AF608" s="87" t="str">
        <f>IF($A608="","",IF($AK608=TRUE,"Ready 2 Submit","Waiting on Dealer"))</f>
        <v/>
      </c>
      <c r="AG608" s="148"/>
      <c r="AH608" s="87"/>
      <c r="AI608" s="87"/>
      <c r="AJ608" s="197"/>
      <c r="AK608" s="110" t="b">
        <v>0</v>
      </c>
      <c r="AL608" s="87" t="str" cm="1">
        <f t="array" ref="AL608">IF($A608="","",SUMPRODUCT((CHOOSE({1,2,3,4,5},$R608,$V608,$Z608,$AD608,$AH608)="Yes")*(((CHOOSE({1,2,3,4,5},$S608,$W608,$AA608,$AE608,$AI608)="Yes")+(CHOOSE({1,2,3,4,5},$S608,$W608,$AA608,$AE608,$AI608)=TRUE))&gt;0)))</f>
        <v/>
      </c>
      <c r="AM608" s="87"/>
      <c r="AN608" s="87" t="str">
        <f ca="1">IF(OR($A608="",$AM608=""),"",TODAY()-$AM608)</f>
        <v/>
      </c>
      <c r="AO608" s="87"/>
      <c r="AP608" s="106"/>
      <c r="AQ608" s="106"/>
      <c r="AR608" s="106"/>
      <c r="AS608" s="106"/>
      <c r="AT608" s="106"/>
      <c r="AU608" s="106"/>
      <c r="AV608" s="106"/>
      <c r="AW608" s="106"/>
      <c r="AX608" s="106"/>
      <c r="AY608" s="106"/>
    </row>
    <row r="609" spans="1:51" s="20" customFormat="1" ht="21" customHeight="1">
      <c r="A609" s="197"/>
      <c r="B609" s="87"/>
      <c r="C609" s="87"/>
      <c r="D609" s="196"/>
      <c r="E609" s="108"/>
      <c r="F609" s="196"/>
      <c r="G609" s="87"/>
      <c r="H609" s="197"/>
      <c r="I609" s="89"/>
      <c r="J609" s="204"/>
      <c r="K609" s="87"/>
      <c r="L609" s="87" t="str" cm="1">
        <f t="array" ref="L609">IF($A609="","",_xlfn.LET(_xlpm.stat,CHOOSE({1,2,3,4,5},$P609,$T609,$X609,$AB609,$AF609),_xlpm.rate,CHOOSE({1,2,3,4,5},$R609,$V609,$Z609,$AD609,$AH609),_xlpm.trn,CHOOSE({1,2,3,4,5},$S609,$W609,$AA609,$AE609,$AI609),_xlpm.nsC,SUMPRODUCT(--(_xlpm.stat="Ready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DLR",IF(AND(_xlpm.actRS&gt;0,_xlpm.actDone&lt;_xlpm.actRS),"Training",IF(_xlpm.actRS&gt;0,"Active",IF(AND(_xlpm.decC&gt;0,_xlpm.inPlay+_xlpm.actC=0),"Dead",IF(AND($AJ609&lt;&gt;"",$AK609=FALSE),"Waiting on Dealer",IF(_xlpm.subC&gt;0,"Waiting on Lender",IF(AND(_xlpm.appC+_xlpm.actC&gt;0,_xlpm.nsC+_xlpm.wdC=0),"Rate Sheet","Application Submitted")))))))))</f>
        <v/>
      </c>
      <c r="M609" s="87"/>
      <c r="N609" s="87"/>
      <c r="O609" s="197"/>
      <c r="P609" s="87" t="str">
        <f>IF($A609="","",IF($AK609=TRUE,"Ready 2 Submit","Waiting on Dealer"))</f>
        <v/>
      </c>
      <c r="Q609" s="148"/>
      <c r="R609" s="87"/>
      <c r="S609" s="87"/>
      <c r="T609" s="87" t="str">
        <f>IF($A609="","",IF($AK609=TRUE,"Ready 2 Submit","Waiting on Dealer"))</f>
        <v/>
      </c>
      <c r="U609" s="148"/>
      <c r="V609" s="87"/>
      <c r="W609" s="87"/>
      <c r="X609" s="87" t="str">
        <f>IF($A609="","",IF($AK609=TRUE,"Ready 2 Submit","Waiting on Dealer"))</f>
        <v/>
      </c>
      <c r="Y609" s="148"/>
      <c r="Z609" s="87"/>
      <c r="AA609" s="87"/>
      <c r="AB609" s="87" t="str">
        <f>IF($A609="","",IF($AK609=TRUE,"Ready 2 Submit","Waiting on Dealer"))</f>
        <v/>
      </c>
      <c r="AC609" s="148"/>
      <c r="AD609" s="87"/>
      <c r="AE609" s="87"/>
      <c r="AF609" s="87" t="str">
        <f>IF($A609="","",IF($AK609=TRUE,"Ready 2 Submit","Waiting on Dealer"))</f>
        <v/>
      </c>
      <c r="AG609" s="148"/>
      <c r="AH609" s="87"/>
      <c r="AI609" s="87"/>
      <c r="AJ609" s="197"/>
      <c r="AK609" s="110" t="b">
        <v>0</v>
      </c>
      <c r="AL609" s="87" t="str" cm="1">
        <f t="array" ref="AL609">IF($A609="","",SUMPRODUCT((CHOOSE({1,2,3,4,5},$R609,$V609,$Z609,$AD609,$AH609)="Yes")*(((CHOOSE({1,2,3,4,5},$S609,$W609,$AA609,$AE609,$AI609)="Yes")+(CHOOSE({1,2,3,4,5},$S609,$W609,$AA609,$AE609,$AI609)=TRUE))&gt;0)))</f>
        <v/>
      </c>
      <c r="AM609" s="87"/>
      <c r="AN609" s="87" t="str">
        <f ca="1">IF(OR($A609="",$AM609=""),"",TODAY()-$AM609)</f>
        <v/>
      </c>
      <c r="AO609" s="87"/>
      <c r="AP609" s="106"/>
      <c r="AQ609" s="106"/>
      <c r="AR609" s="106"/>
      <c r="AS609" s="106"/>
      <c r="AT609" s="106"/>
      <c r="AU609" s="106"/>
      <c r="AV609" s="106"/>
      <c r="AW609" s="106"/>
      <c r="AX609" s="106"/>
      <c r="AY609" s="106"/>
    </row>
    <row r="610" spans="1:51" s="20" customFormat="1" ht="21" customHeight="1">
      <c r="A610" s="197"/>
      <c r="B610" s="87"/>
      <c r="C610" s="87"/>
      <c r="D610" s="196"/>
      <c r="E610" s="108"/>
      <c r="F610" s="196"/>
      <c r="G610" s="87"/>
      <c r="H610" s="197"/>
      <c r="I610" s="89"/>
      <c r="J610" s="204"/>
      <c r="K610" s="87"/>
      <c r="L610" s="87" t="str" cm="1">
        <f t="array" ref="L610">IF($A610="","",_xlfn.LET(_xlpm.stat,CHOOSE({1,2,3,4,5},$P610,$T610,$X610,$AB610,$AF610),_xlpm.rate,CHOOSE({1,2,3,4,5},$R610,$V610,$Z610,$AD610,$AH610),_xlpm.trn,CHOOSE({1,2,3,4,5},$S610,$W610,$AA610,$AE610,$AI610),_xlpm.nsC,SUMPRODUCT(--(_xlpm.stat="Ready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DLR",IF(AND(_xlpm.actRS&gt;0,_xlpm.actDone&lt;_xlpm.actRS),"Training",IF(_xlpm.actRS&gt;0,"Active",IF(AND(_xlpm.decC&gt;0,_xlpm.inPlay+_xlpm.actC=0),"Dead",IF(AND($AJ610&lt;&gt;"",$AK610=FALSE),"Waiting on Dealer",IF(_xlpm.subC&gt;0,"Waiting on Lender",IF(AND(_xlpm.appC+_xlpm.actC&gt;0,_xlpm.nsC+_xlpm.wdC=0),"Rate Sheet","Application Submitted")))))))))</f>
        <v/>
      </c>
      <c r="M610" s="87"/>
      <c r="N610" s="87"/>
      <c r="O610" s="197"/>
      <c r="P610" s="87" t="str">
        <f>IF($A610="","",IF($AK610=TRUE,"Ready 2 Submit","Waiting on Dealer"))</f>
        <v/>
      </c>
      <c r="Q610" s="148"/>
      <c r="R610" s="87"/>
      <c r="S610" s="87"/>
      <c r="T610" s="87" t="str">
        <f>IF($A610="","",IF($AK610=TRUE,"Ready 2 Submit","Waiting on Dealer"))</f>
        <v/>
      </c>
      <c r="U610" s="148"/>
      <c r="V610" s="87"/>
      <c r="W610" s="87"/>
      <c r="X610" s="87" t="str">
        <f>IF($A610="","",IF($AK610=TRUE,"Ready 2 Submit","Waiting on Dealer"))</f>
        <v/>
      </c>
      <c r="Y610" s="148"/>
      <c r="Z610" s="87"/>
      <c r="AA610" s="87"/>
      <c r="AB610" s="87" t="str">
        <f>IF($A610="","",IF($AK610=TRUE,"Ready 2 Submit","Waiting on Dealer"))</f>
        <v/>
      </c>
      <c r="AC610" s="148"/>
      <c r="AD610" s="87"/>
      <c r="AE610" s="87"/>
      <c r="AF610" s="87" t="str">
        <f>IF($A610="","",IF($AK610=TRUE,"Ready 2 Submit","Waiting on Dealer"))</f>
        <v/>
      </c>
      <c r="AG610" s="148"/>
      <c r="AH610" s="87"/>
      <c r="AI610" s="87"/>
      <c r="AJ610" s="197"/>
      <c r="AK610" s="110" t="b">
        <v>0</v>
      </c>
      <c r="AL610" s="87" t="str" cm="1">
        <f t="array" ref="AL610">IF($A610="","",SUMPRODUCT((CHOOSE({1,2,3,4,5},$R610,$V610,$Z610,$AD610,$AH610)="Yes")*(((CHOOSE({1,2,3,4,5},$S610,$W610,$AA610,$AE610,$AI610)="Yes")+(CHOOSE({1,2,3,4,5},$S610,$W610,$AA610,$AE610,$AI610)=TRUE))&gt;0)))</f>
        <v/>
      </c>
      <c r="AM610" s="87"/>
      <c r="AN610" s="87" t="str">
        <f ca="1">IF(OR($A610="",$AM610=""),"",TODAY()-$AM610)</f>
        <v/>
      </c>
      <c r="AO610" s="87"/>
      <c r="AP610" s="106"/>
      <c r="AQ610" s="106"/>
      <c r="AR610" s="106"/>
      <c r="AS610" s="106"/>
      <c r="AT610" s="106"/>
      <c r="AU610" s="106"/>
      <c r="AV610" s="106"/>
      <c r="AW610" s="106"/>
      <c r="AX610" s="106"/>
      <c r="AY610" s="106"/>
    </row>
    <row r="611" spans="1:51" s="20" customFormat="1" ht="21" customHeight="1">
      <c r="A611" s="197"/>
      <c r="B611" s="87"/>
      <c r="C611" s="87"/>
      <c r="D611" s="196"/>
      <c r="E611" s="108"/>
      <c r="F611" s="196"/>
      <c r="G611" s="87"/>
      <c r="H611" s="197"/>
      <c r="I611" s="89"/>
      <c r="J611" s="204"/>
      <c r="K611" s="87"/>
      <c r="L611" s="87" t="str" cm="1">
        <f t="array" ref="L611">IF($A611="","",_xlfn.LET(_xlpm.stat,CHOOSE({1,2,3,4,5},$P611,$T611,$X611,$AB611,$AF611),_xlpm.rate,CHOOSE({1,2,3,4,5},$R611,$V611,$Z611,$AD611,$AH611),_xlpm.trn,CHOOSE({1,2,3,4,5},$S611,$W611,$AA611,$AE611,$AI611),_xlpm.nsC,SUMPRODUCT(--(_xlpm.stat="Ready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DLR",IF(AND(_xlpm.actRS&gt;0,_xlpm.actDone&lt;_xlpm.actRS),"Training",IF(_xlpm.actRS&gt;0,"Active",IF(AND(_xlpm.decC&gt;0,_xlpm.inPlay+_xlpm.actC=0),"Dead",IF(AND($AJ611&lt;&gt;"",$AK611=FALSE),"Waiting on Dealer",IF(_xlpm.subC&gt;0,"Waiting on Lender",IF(AND(_xlpm.appC+_xlpm.actC&gt;0,_xlpm.nsC+_xlpm.wdC=0),"Rate Sheet","Application Submitted")))))))))</f>
        <v/>
      </c>
      <c r="M611" s="87"/>
      <c r="N611" s="87"/>
      <c r="O611" s="197"/>
      <c r="P611" s="87" t="str">
        <f>IF($A611="","",IF($AK611=TRUE,"Ready 2 Submit","Waiting on Dealer"))</f>
        <v/>
      </c>
      <c r="Q611" s="148"/>
      <c r="R611" s="87"/>
      <c r="S611" s="87"/>
      <c r="T611" s="87" t="str">
        <f>IF($A611="","",IF($AK611=TRUE,"Ready 2 Submit","Waiting on Dealer"))</f>
        <v/>
      </c>
      <c r="U611" s="148"/>
      <c r="V611" s="87"/>
      <c r="W611" s="87"/>
      <c r="X611" s="87" t="str">
        <f>IF($A611="","",IF($AK611=TRUE,"Ready 2 Submit","Waiting on Dealer"))</f>
        <v/>
      </c>
      <c r="Y611" s="148"/>
      <c r="Z611" s="87"/>
      <c r="AA611" s="87"/>
      <c r="AB611" s="87" t="str">
        <f>IF($A611="","",IF($AK611=TRUE,"Ready 2 Submit","Waiting on Dealer"))</f>
        <v/>
      </c>
      <c r="AC611" s="148"/>
      <c r="AD611" s="87"/>
      <c r="AE611" s="87"/>
      <c r="AF611" s="87" t="str">
        <f>IF($A611="","",IF($AK611=TRUE,"Ready 2 Submit","Waiting on Dealer"))</f>
        <v/>
      </c>
      <c r="AG611" s="148"/>
      <c r="AH611" s="87"/>
      <c r="AI611" s="87"/>
      <c r="AJ611" s="197"/>
      <c r="AK611" s="110" t="b">
        <v>0</v>
      </c>
      <c r="AL611" s="87" t="str" cm="1">
        <f t="array" ref="AL611">IF($A611="","",SUMPRODUCT((CHOOSE({1,2,3,4,5},$R611,$V611,$Z611,$AD611,$AH611)="Yes")*(((CHOOSE({1,2,3,4,5},$S611,$W611,$AA611,$AE611,$AI611)="Yes")+(CHOOSE({1,2,3,4,5},$S611,$W611,$AA611,$AE611,$AI611)=TRUE))&gt;0)))</f>
        <v/>
      </c>
      <c r="AM611" s="87"/>
      <c r="AN611" s="87" t="str">
        <f ca="1">IF(OR($A611="",$AM611=""),"",TODAY()-$AM611)</f>
        <v/>
      </c>
      <c r="AO611" s="87"/>
      <c r="AP611" s="106"/>
      <c r="AQ611" s="106"/>
      <c r="AR611" s="106"/>
      <c r="AS611" s="106"/>
      <c r="AT611" s="106"/>
      <c r="AU611" s="106"/>
      <c r="AV611" s="106"/>
      <c r="AW611" s="106"/>
      <c r="AX611" s="106"/>
      <c r="AY611" s="106"/>
    </row>
    <row r="612" spans="1:51" s="20" customFormat="1" ht="21" customHeight="1">
      <c r="A612" s="197"/>
      <c r="B612" s="87"/>
      <c r="C612" s="87"/>
      <c r="D612" s="196"/>
      <c r="E612" s="108"/>
      <c r="F612" s="196"/>
      <c r="G612" s="87"/>
      <c r="H612" s="197"/>
      <c r="I612" s="89"/>
      <c r="J612" s="204"/>
      <c r="K612" s="87"/>
      <c r="L612" s="87" t="str" cm="1">
        <f t="array" ref="L612">IF($A612="","",_xlfn.LET(_xlpm.stat,CHOOSE({1,2,3,4,5},$P612,$T612,$X612,$AB612,$AF612),_xlpm.rate,CHOOSE({1,2,3,4,5},$R612,$V612,$Z612,$AD612,$AH612),_xlpm.trn,CHOOSE({1,2,3,4,5},$S612,$W612,$AA612,$AE612,$AI612),_xlpm.nsC,SUMPRODUCT(--(_xlpm.stat="Ready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DLR",IF(AND(_xlpm.actRS&gt;0,_xlpm.actDone&lt;_xlpm.actRS),"Training",IF(_xlpm.actRS&gt;0,"Active",IF(AND(_xlpm.decC&gt;0,_xlpm.inPlay+_xlpm.actC=0),"Dead",IF(AND($AJ612&lt;&gt;"",$AK612=FALSE),"Waiting on Dealer",IF(_xlpm.subC&gt;0,"Waiting on Lender",IF(AND(_xlpm.appC+_xlpm.actC&gt;0,_xlpm.nsC+_xlpm.wdC=0),"Rate Sheet","Application Submitted")))))))))</f>
        <v/>
      </c>
      <c r="M612" s="87"/>
      <c r="N612" s="87"/>
      <c r="O612" s="197"/>
      <c r="P612" s="87" t="str">
        <f>IF($A612="","",IF($AK612=TRUE,"Ready 2 Submit","Waiting on Dealer"))</f>
        <v/>
      </c>
      <c r="Q612" s="148"/>
      <c r="R612" s="87"/>
      <c r="S612" s="87"/>
      <c r="T612" s="87" t="str">
        <f>IF($A612="","",IF($AK612=TRUE,"Ready 2 Submit","Waiting on Dealer"))</f>
        <v/>
      </c>
      <c r="U612" s="148"/>
      <c r="V612" s="87"/>
      <c r="W612" s="87"/>
      <c r="X612" s="87" t="str">
        <f>IF($A612="","",IF($AK612=TRUE,"Ready 2 Submit","Waiting on Dealer"))</f>
        <v/>
      </c>
      <c r="Y612" s="148"/>
      <c r="Z612" s="87"/>
      <c r="AA612" s="87"/>
      <c r="AB612" s="87" t="str">
        <f>IF($A612="","",IF($AK612=TRUE,"Ready 2 Submit","Waiting on Dealer"))</f>
        <v/>
      </c>
      <c r="AC612" s="148"/>
      <c r="AD612" s="87"/>
      <c r="AE612" s="87"/>
      <c r="AF612" s="87" t="str">
        <f>IF($A612="","",IF($AK612=TRUE,"Ready 2 Submit","Waiting on Dealer"))</f>
        <v/>
      </c>
      <c r="AG612" s="148"/>
      <c r="AH612" s="87"/>
      <c r="AI612" s="87"/>
      <c r="AJ612" s="197"/>
      <c r="AK612" s="110" t="b">
        <v>0</v>
      </c>
      <c r="AL612" s="87" t="str" cm="1">
        <f t="array" ref="AL612">IF($A612="","",SUMPRODUCT((CHOOSE({1,2,3,4,5},$R612,$V612,$Z612,$AD612,$AH612)="Yes")*(((CHOOSE({1,2,3,4,5},$S612,$W612,$AA612,$AE612,$AI612)="Yes")+(CHOOSE({1,2,3,4,5},$S612,$W612,$AA612,$AE612,$AI612)=TRUE))&gt;0)))</f>
        <v/>
      </c>
      <c r="AM612" s="87"/>
      <c r="AN612" s="87" t="str">
        <f ca="1">IF(OR($A612="",$AM612=""),"",TODAY()-$AM612)</f>
        <v/>
      </c>
      <c r="AO612" s="87"/>
      <c r="AP612" s="106"/>
      <c r="AQ612" s="106"/>
      <c r="AR612" s="106"/>
      <c r="AS612" s="106"/>
      <c r="AT612" s="106"/>
      <c r="AU612" s="106"/>
      <c r="AV612" s="106"/>
      <c r="AW612" s="106"/>
      <c r="AX612" s="106"/>
      <c r="AY612" s="106"/>
    </row>
    <row r="613" spans="1:51" s="20" customFormat="1" ht="21" customHeight="1">
      <c r="A613" s="197"/>
      <c r="B613" s="87"/>
      <c r="C613" s="87"/>
      <c r="D613" s="196"/>
      <c r="E613" s="108"/>
      <c r="F613" s="196"/>
      <c r="G613" s="87"/>
      <c r="H613" s="197"/>
      <c r="I613" s="89"/>
      <c r="J613" s="204"/>
      <c r="K613" s="87"/>
      <c r="L613" s="87" t="str" cm="1">
        <f t="array" ref="L613">IF($A613="","",_xlfn.LET(_xlpm.stat,CHOOSE({1,2,3,4,5},$P613,$T613,$X613,$AB613,$AF613),_xlpm.rate,CHOOSE({1,2,3,4,5},$R613,$V613,$Z613,$AD613,$AH613),_xlpm.trn,CHOOSE({1,2,3,4,5},$S613,$W613,$AA613,$AE613,$AI613),_xlpm.nsC,SUMPRODUCT(--(_xlpm.stat="Ready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DLR",IF(AND(_xlpm.actRS&gt;0,_xlpm.actDone&lt;_xlpm.actRS),"Training",IF(_xlpm.actRS&gt;0,"Active",IF(AND(_xlpm.decC&gt;0,_xlpm.inPlay+_xlpm.actC=0),"Dead",IF(AND($AJ613&lt;&gt;"",$AK613=FALSE),"Waiting on Dealer",IF(_xlpm.subC&gt;0,"Waiting on Lender",IF(AND(_xlpm.appC+_xlpm.actC&gt;0,_xlpm.nsC+_xlpm.wdC=0),"Rate Sheet","Application Submitted")))))))))</f>
        <v/>
      </c>
      <c r="M613" s="87"/>
      <c r="N613" s="87"/>
      <c r="O613" s="197"/>
      <c r="P613" s="87" t="str">
        <f>IF($A613="","",IF($AK613=TRUE,"Ready 2 Submit","Waiting on Dealer"))</f>
        <v/>
      </c>
      <c r="Q613" s="148"/>
      <c r="R613" s="87"/>
      <c r="S613" s="87"/>
      <c r="T613" s="87" t="str">
        <f>IF($A613="","",IF($AK613=TRUE,"Ready 2 Submit","Waiting on Dealer"))</f>
        <v/>
      </c>
      <c r="U613" s="148"/>
      <c r="V613" s="87"/>
      <c r="W613" s="87"/>
      <c r="X613" s="87" t="str">
        <f>IF($A613="","",IF($AK613=TRUE,"Ready 2 Submit","Waiting on Dealer"))</f>
        <v/>
      </c>
      <c r="Y613" s="148"/>
      <c r="Z613" s="87"/>
      <c r="AA613" s="87"/>
      <c r="AB613" s="87" t="str">
        <f>IF($A613="","",IF($AK613=TRUE,"Ready 2 Submit","Waiting on Dealer"))</f>
        <v/>
      </c>
      <c r="AC613" s="148"/>
      <c r="AD613" s="87"/>
      <c r="AE613" s="87"/>
      <c r="AF613" s="87" t="str">
        <f>IF($A613="","",IF($AK613=TRUE,"Ready 2 Submit","Waiting on Dealer"))</f>
        <v/>
      </c>
      <c r="AG613" s="148"/>
      <c r="AH613" s="87"/>
      <c r="AI613" s="87"/>
      <c r="AJ613" s="197"/>
      <c r="AK613" s="110" t="b">
        <v>0</v>
      </c>
      <c r="AL613" s="87" t="str" cm="1">
        <f t="array" ref="AL613">IF($A613="","",SUMPRODUCT((CHOOSE({1,2,3,4,5},$R613,$V613,$Z613,$AD613,$AH613)="Yes")*(((CHOOSE({1,2,3,4,5},$S613,$W613,$AA613,$AE613,$AI613)="Yes")+(CHOOSE({1,2,3,4,5},$S613,$W613,$AA613,$AE613,$AI613)=TRUE))&gt;0)))</f>
        <v/>
      </c>
      <c r="AM613" s="87"/>
      <c r="AN613" s="87" t="str">
        <f ca="1">IF(OR($A613="",$AM613=""),"",TODAY()-$AM613)</f>
        <v/>
      </c>
      <c r="AO613" s="87"/>
      <c r="AP613" s="106"/>
      <c r="AQ613" s="106"/>
      <c r="AR613" s="106"/>
      <c r="AS613" s="106"/>
      <c r="AT613" s="106"/>
      <c r="AU613" s="106"/>
      <c r="AV613" s="106"/>
      <c r="AW613" s="106"/>
      <c r="AX613" s="106"/>
      <c r="AY613" s="106"/>
    </row>
    <row r="614" spans="1:51" s="20" customFormat="1" ht="21" customHeight="1">
      <c r="A614" s="197"/>
      <c r="B614" s="87"/>
      <c r="C614" s="87"/>
      <c r="D614" s="196"/>
      <c r="E614" s="108"/>
      <c r="F614" s="196"/>
      <c r="G614" s="87"/>
      <c r="H614" s="197"/>
      <c r="I614" s="89"/>
      <c r="J614" s="204"/>
      <c r="K614" s="87"/>
      <c r="L614" s="87" t="str" cm="1">
        <f t="array" ref="L614">IF($A614="","",_xlfn.LET(_xlpm.stat,CHOOSE({1,2,3,4,5},$P614,$T614,$X614,$AB614,$AF614),_xlpm.rate,CHOOSE({1,2,3,4,5},$R614,$V614,$Z614,$AD614,$AH614),_xlpm.trn,CHOOSE({1,2,3,4,5},$S614,$W614,$AA614,$AE614,$AI614),_xlpm.nsC,SUMPRODUCT(--(_xlpm.stat="Ready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DLR",IF(AND(_xlpm.actRS&gt;0,_xlpm.actDone&lt;_xlpm.actRS),"Training",IF(_xlpm.actRS&gt;0,"Active",IF(AND(_xlpm.decC&gt;0,_xlpm.inPlay+_xlpm.actC=0),"Dead",IF(AND($AJ614&lt;&gt;"",$AK614=FALSE),"Waiting on Dealer",IF(_xlpm.subC&gt;0,"Waiting on Lender",IF(AND(_xlpm.appC+_xlpm.actC&gt;0,_xlpm.nsC+_xlpm.wdC=0),"Rate Sheet","Application Submitted")))))))))</f>
        <v/>
      </c>
      <c r="M614" s="87"/>
      <c r="N614" s="87"/>
      <c r="O614" s="197"/>
      <c r="P614" s="87" t="str">
        <f>IF($A614="","",IF($AK614=TRUE,"Ready 2 Submit","Waiting on Dealer"))</f>
        <v/>
      </c>
      <c r="Q614" s="148"/>
      <c r="R614" s="87"/>
      <c r="S614" s="87"/>
      <c r="T614" s="87" t="str">
        <f>IF($A614="","",IF($AK614=TRUE,"Ready 2 Submit","Waiting on Dealer"))</f>
        <v/>
      </c>
      <c r="U614" s="148"/>
      <c r="V614" s="87"/>
      <c r="W614" s="87"/>
      <c r="X614" s="87" t="str">
        <f>IF($A614="","",IF($AK614=TRUE,"Ready 2 Submit","Waiting on Dealer"))</f>
        <v/>
      </c>
      <c r="Y614" s="148"/>
      <c r="Z614" s="87"/>
      <c r="AA614" s="87"/>
      <c r="AB614" s="87" t="str">
        <f>IF($A614="","",IF($AK614=TRUE,"Ready 2 Submit","Waiting on Dealer"))</f>
        <v/>
      </c>
      <c r="AC614" s="148"/>
      <c r="AD614" s="87"/>
      <c r="AE614" s="87"/>
      <c r="AF614" s="87" t="str">
        <f>IF($A614="","",IF($AK614=TRUE,"Ready 2 Submit","Waiting on Dealer"))</f>
        <v/>
      </c>
      <c r="AG614" s="148"/>
      <c r="AH614" s="87"/>
      <c r="AI614" s="87"/>
      <c r="AJ614" s="197"/>
      <c r="AK614" s="110" t="b">
        <v>0</v>
      </c>
      <c r="AL614" s="87" t="str" cm="1">
        <f t="array" ref="AL614">IF($A614="","",SUMPRODUCT((CHOOSE({1,2,3,4,5},$R614,$V614,$Z614,$AD614,$AH614)="Yes")*(((CHOOSE({1,2,3,4,5},$S614,$W614,$AA614,$AE614,$AI614)="Yes")+(CHOOSE({1,2,3,4,5},$S614,$W614,$AA614,$AE614,$AI614)=TRUE))&gt;0)))</f>
        <v/>
      </c>
      <c r="AM614" s="87"/>
      <c r="AN614" s="87" t="str">
        <f ca="1">IF(OR($A614="",$AM614=""),"",TODAY()-$AM614)</f>
        <v/>
      </c>
      <c r="AO614" s="87"/>
      <c r="AP614" s="106"/>
      <c r="AQ614" s="106"/>
      <c r="AR614" s="106"/>
      <c r="AS614" s="106"/>
      <c r="AT614" s="106"/>
      <c r="AU614" s="106"/>
      <c r="AV614" s="106"/>
      <c r="AW614" s="106"/>
      <c r="AX614" s="106"/>
      <c r="AY614" s="106"/>
    </row>
    <row r="615" spans="1:51" s="20" customFormat="1" ht="21" customHeight="1">
      <c r="A615" s="197"/>
      <c r="B615" s="87"/>
      <c r="C615" s="87"/>
      <c r="D615" s="196"/>
      <c r="E615" s="108"/>
      <c r="F615" s="196"/>
      <c r="G615" s="87"/>
      <c r="H615" s="197"/>
      <c r="I615" s="89"/>
      <c r="J615" s="204"/>
      <c r="K615" s="87"/>
      <c r="L615" s="87" t="str" cm="1">
        <f t="array" ref="L615">IF($A615="","",_xlfn.LET(_xlpm.stat,CHOOSE({1,2,3,4,5},$P615,$T615,$X615,$AB615,$AF615),_xlpm.rate,CHOOSE({1,2,3,4,5},$R615,$V615,$Z615,$AD615,$AH615),_xlpm.trn,CHOOSE({1,2,3,4,5},$S615,$W615,$AA615,$AE615,$AI615),_xlpm.nsC,SUMPRODUCT(--(_xlpm.stat="Ready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DLR",IF(AND(_xlpm.actRS&gt;0,_xlpm.actDone&lt;_xlpm.actRS),"Training",IF(_xlpm.actRS&gt;0,"Active",IF(AND(_xlpm.decC&gt;0,_xlpm.inPlay+_xlpm.actC=0),"Dead",IF(AND($AJ615&lt;&gt;"",$AK615=FALSE),"Waiting on Dealer",IF(_xlpm.subC&gt;0,"Waiting on Lender",IF(AND(_xlpm.appC+_xlpm.actC&gt;0,_xlpm.nsC+_xlpm.wdC=0),"Rate Sheet","Application Submitted")))))))))</f>
        <v/>
      </c>
      <c r="M615" s="87"/>
      <c r="N615" s="87"/>
      <c r="O615" s="197"/>
      <c r="P615" s="87" t="str">
        <f>IF($A615="","",IF($AK615=TRUE,"Ready 2 Submit","Waiting on Dealer"))</f>
        <v/>
      </c>
      <c r="Q615" s="148"/>
      <c r="R615" s="87"/>
      <c r="S615" s="87"/>
      <c r="T615" s="87" t="str">
        <f>IF($A615="","",IF($AK615=TRUE,"Ready 2 Submit","Waiting on Dealer"))</f>
        <v/>
      </c>
      <c r="U615" s="148"/>
      <c r="V615" s="87"/>
      <c r="W615" s="87"/>
      <c r="X615" s="87" t="str">
        <f>IF($A615="","",IF($AK615=TRUE,"Ready 2 Submit","Waiting on Dealer"))</f>
        <v/>
      </c>
      <c r="Y615" s="148"/>
      <c r="Z615" s="87"/>
      <c r="AA615" s="87"/>
      <c r="AB615" s="87" t="str">
        <f>IF($A615="","",IF($AK615=TRUE,"Ready 2 Submit","Waiting on Dealer"))</f>
        <v/>
      </c>
      <c r="AC615" s="148"/>
      <c r="AD615" s="87"/>
      <c r="AE615" s="87"/>
      <c r="AF615" s="87" t="str">
        <f>IF($A615="","",IF($AK615=TRUE,"Ready 2 Submit","Waiting on Dealer"))</f>
        <v/>
      </c>
      <c r="AG615" s="148"/>
      <c r="AH615" s="87"/>
      <c r="AI615" s="87"/>
      <c r="AJ615" s="197"/>
      <c r="AK615" s="110" t="b">
        <v>0</v>
      </c>
      <c r="AL615" s="87" t="str" cm="1">
        <f t="array" ref="AL615">IF($A615="","",SUMPRODUCT((CHOOSE({1,2,3,4,5},$R615,$V615,$Z615,$AD615,$AH615)="Yes")*(((CHOOSE({1,2,3,4,5},$S615,$W615,$AA615,$AE615,$AI615)="Yes")+(CHOOSE({1,2,3,4,5},$S615,$W615,$AA615,$AE615,$AI615)=TRUE))&gt;0)))</f>
        <v/>
      </c>
      <c r="AM615" s="87"/>
      <c r="AN615" s="87" t="str">
        <f ca="1">IF(OR($A615="",$AM615=""),"",TODAY()-$AM615)</f>
        <v/>
      </c>
      <c r="AO615" s="87"/>
      <c r="AP615" s="106"/>
      <c r="AQ615" s="106"/>
      <c r="AR615" s="106"/>
      <c r="AS615" s="106"/>
      <c r="AT615" s="106"/>
      <c r="AU615" s="106"/>
      <c r="AV615" s="106"/>
      <c r="AW615" s="106"/>
      <c r="AX615" s="106"/>
      <c r="AY615" s="106"/>
    </row>
    <row r="616" spans="1:51" s="20" customFormat="1" ht="21" customHeight="1">
      <c r="A616" s="197"/>
      <c r="B616" s="87"/>
      <c r="C616" s="87"/>
      <c r="D616" s="196"/>
      <c r="E616" s="108"/>
      <c r="F616" s="196"/>
      <c r="G616" s="87"/>
      <c r="H616" s="197"/>
      <c r="I616" s="89"/>
      <c r="J616" s="204"/>
      <c r="K616" s="87"/>
      <c r="L616" s="87" t="str" cm="1">
        <f t="array" ref="L616">IF($A616="","",_xlfn.LET(_xlpm.stat,CHOOSE({1,2,3,4,5},$P616,$T616,$X616,$AB616,$AF616),_xlpm.rate,CHOOSE({1,2,3,4,5},$R616,$V616,$Z616,$AD616,$AH616),_xlpm.trn,CHOOSE({1,2,3,4,5},$S616,$W616,$AA616,$AE616,$AI616),_xlpm.nsC,SUMPRODUCT(--(_xlpm.stat="Ready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DLR",IF(AND(_xlpm.actRS&gt;0,_xlpm.actDone&lt;_xlpm.actRS),"Training",IF(_xlpm.actRS&gt;0,"Active",IF(AND(_xlpm.decC&gt;0,_xlpm.inPlay+_xlpm.actC=0),"Dead",IF(AND($AJ616&lt;&gt;"",$AK616=FALSE),"Waiting on Dealer",IF(_xlpm.subC&gt;0,"Waiting on Lender",IF(AND(_xlpm.appC+_xlpm.actC&gt;0,_xlpm.nsC+_xlpm.wdC=0),"Rate Sheet","Application Submitted")))))))))</f>
        <v/>
      </c>
      <c r="M616" s="87"/>
      <c r="N616" s="87"/>
      <c r="O616" s="197"/>
      <c r="P616" s="87" t="str">
        <f>IF($A616="","",IF($AK616=TRUE,"Ready 2 Submit","Waiting on Dealer"))</f>
        <v/>
      </c>
      <c r="Q616" s="148"/>
      <c r="R616" s="87"/>
      <c r="S616" s="87"/>
      <c r="T616" s="87" t="str">
        <f>IF($A616="","",IF($AK616=TRUE,"Ready 2 Submit","Waiting on Dealer"))</f>
        <v/>
      </c>
      <c r="U616" s="148"/>
      <c r="V616" s="87"/>
      <c r="W616" s="87"/>
      <c r="X616" s="87" t="str">
        <f>IF($A616="","",IF($AK616=TRUE,"Ready 2 Submit","Waiting on Dealer"))</f>
        <v/>
      </c>
      <c r="Y616" s="148"/>
      <c r="Z616" s="87"/>
      <c r="AA616" s="87"/>
      <c r="AB616" s="87" t="str">
        <f>IF($A616="","",IF($AK616=TRUE,"Ready 2 Submit","Waiting on Dealer"))</f>
        <v/>
      </c>
      <c r="AC616" s="148"/>
      <c r="AD616" s="87"/>
      <c r="AE616" s="87"/>
      <c r="AF616" s="87" t="str">
        <f>IF($A616="","",IF($AK616=TRUE,"Ready 2 Submit","Waiting on Dealer"))</f>
        <v/>
      </c>
      <c r="AG616" s="148"/>
      <c r="AH616" s="87"/>
      <c r="AI616" s="87"/>
      <c r="AJ616" s="197"/>
      <c r="AK616" s="110" t="b">
        <v>0</v>
      </c>
      <c r="AL616" s="87" t="str" cm="1">
        <f t="array" ref="AL616">IF($A616="","",SUMPRODUCT((CHOOSE({1,2,3,4,5},$R616,$V616,$Z616,$AD616,$AH616)="Yes")*(((CHOOSE({1,2,3,4,5},$S616,$W616,$AA616,$AE616,$AI616)="Yes")+(CHOOSE({1,2,3,4,5},$S616,$W616,$AA616,$AE616,$AI616)=TRUE))&gt;0)))</f>
        <v/>
      </c>
      <c r="AM616" s="87"/>
      <c r="AN616" s="87" t="str">
        <f ca="1">IF(OR($A616="",$AM616=""),"",TODAY()-$AM616)</f>
        <v/>
      </c>
      <c r="AO616" s="87"/>
      <c r="AP616" s="106"/>
      <c r="AQ616" s="106"/>
      <c r="AR616" s="106"/>
      <c r="AS616" s="106"/>
      <c r="AT616" s="106"/>
      <c r="AU616" s="106"/>
      <c r="AV616" s="106"/>
      <c r="AW616" s="106"/>
      <c r="AX616" s="106"/>
      <c r="AY616" s="106"/>
    </row>
    <row r="617" spans="1:51" s="20" customFormat="1" ht="21" customHeight="1">
      <c r="A617" s="197"/>
      <c r="B617" s="87"/>
      <c r="C617" s="87"/>
      <c r="D617" s="196"/>
      <c r="E617" s="108"/>
      <c r="F617" s="196"/>
      <c r="G617" s="87"/>
      <c r="H617" s="197"/>
      <c r="I617" s="89"/>
      <c r="J617" s="204"/>
      <c r="K617" s="87"/>
      <c r="L617" s="87" t="str" cm="1">
        <f t="array" ref="L617">IF($A617="","",_xlfn.LET(_xlpm.stat,CHOOSE({1,2,3,4,5},$P617,$T617,$X617,$AB617,$AF617),_xlpm.rate,CHOOSE({1,2,3,4,5},$R617,$V617,$Z617,$AD617,$AH617),_xlpm.trn,CHOOSE({1,2,3,4,5},$S617,$W617,$AA617,$AE617,$AI617),_xlpm.nsC,SUMPRODUCT(--(_xlpm.stat="Ready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DLR",IF(AND(_xlpm.actRS&gt;0,_xlpm.actDone&lt;_xlpm.actRS),"Training",IF(_xlpm.actRS&gt;0,"Active",IF(AND(_xlpm.decC&gt;0,_xlpm.inPlay+_xlpm.actC=0),"Dead",IF(AND($AJ617&lt;&gt;"",$AK617=FALSE),"Waiting on Dealer",IF(_xlpm.subC&gt;0,"Waiting on Lender",IF(AND(_xlpm.appC+_xlpm.actC&gt;0,_xlpm.nsC+_xlpm.wdC=0),"Rate Sheet","Application Submitted")))))))))</f>
        <v/>
      </c>
      <c r="M617" s="87"/>
      <c r="N617" s="87"/>
      <c r="O617" s="197"/>
      <c r="P617" s="87" t="str">
        <f>IF($A617="","",IF($AK617=TRUE,"Ready 2 Submit","Waiting on Dealer"))</f>
        <v/>
      </c>
      <c r="Q617" s="148"/>
      <c r="R617" s="87"/>
      <c r="S617" s="87"/>
      <c r="T617" s="87" t="str">
        <f>IF($A617="","",IF($AK617=TRUE,"Ready 2 Submit","Waiting on Dealer"))</f>
        <v/>
      </c>
      <c r="U617" s="148"/>
      <c r="V617" s="87"/>
      <c r="W617" s="87"/>
      <c r="X617" s="87" t="str">
        <f>IF($A617="","",IF($AK617=TRUE,"Ready 2 Submit","Waiting on Dealer"))</f>
        <v/>
      </c>
      <c r="Y617" s="148"/>
      <c r="Z617" s="87"/>
      <c r="AA617" s="87"/>
      <c r="AB617" s="87" t="str">
        <f>IF($A617="","",IF($AK617=TRUE,"Ready 2 Submit","Waiting on Dealer"))</f>
        <v/>
      </c>
      <c r="AC617" s="148"/>
      <c r="AD617" s="87"/>
      <c r="AE617" s="87"/>
      <c r="AF617" s="87" t="str">
        <f>IF($A617="","",IF($AK617=TRUE,"Ready 2 Submit","Waiting on Dealer"))</f>
        <v/>
      </c>
      <c r="AG617" s="148"/>
      <c r="AH617" s="87"/>
      <c r="AI617" s="87"/>
      <c r="AJ617" s="197"/>
      <c r="AK617" s="110" t="b">
        <v>0</v>
      </c>
      <c r="AL617" s="87" t="str" cm="1">
        <f t="array" ref="AL617">IF($A617="","",SUMPRODUCT((CHOOSE({1,2,3,4,5},$R617,$V617,$Z617,$AD617,$AH617)="Yes")*(((CHOOSE({1,2,3,4,5},$S617,$W617,$AA617,$AE617,$AI617)="Yes")+(CHOOSE({1,2,3,4,5},$S617,$W617,$AA617,$AE617,$AI617)=TRUE))&gt;0)))</f>
        <v/>
      </c>
      <c r="AM617" s="87"/>
      <c r="AN617" s="87" t="str">
        <f ca="1">IF(OR($A617="",$AM617=""),"",TODAY()-$AM617)</f>
        <v/>
      </c>
      <c r="AO617" s="87"/>
      <c r="AP617" s="106"/>
      <c r="AQ617" s="106"/>
      <c r="AR617" s="106"/>
      <c r="AS617" s="106"/>
      <c r="AT617" s="106"/>
      <c r="AU617" s="106"/>
      <c r="AV617" s="106"/>
      <c r="AW617" s="106"/>
      <c r="AX617" s="106"/>
      <c r="AY617" s="106"/>
    </row>
    <row r="618" spans="1:51" s="20" customFormat="1" ht="21" customHeight="1">
      <c r="A618" s="197"/>
      <c r="B618" s="87"/>
      <c r="C618" s="87"/>
      <c r="D618" s="196"/>
      <c r="E618" s="108"/>
      <c r="F618" s="196"/>
      <c r="G618" s="87"/>
      <c r="H618" s="197"/>
      <c r="I618" s="89"/>
      <c r="J618" s="204"/>
      <c r="K618" s="87"/>
      <c r="L618" s="87" t="str" cm="1">
        <f t="array" ref="L618">IF($A618="","",_xlfn.LET(_xlpm.stat,CHOOSE({1,2,3,4,5},$P618,$T618,$X618,$AB618,$AF618),_xlpm.rate,CHOOSE({1,2,3,4,5},$R618,$V618,$Z618,$AD618,$AH618),_xlpm.trn,CHOOSE({1,2,3,4,5},$S618,$W618,$AA618,$AE618,$AI618),_xlpm.nsC,SUMPRODUCT(--(_xlpm.stat="Ready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DLR",IF(AND(_xlpm.actRS&gt;0,_xlpm.actDone&lt;_xlpm.actRS),"Training",IF(_xlpm.actRS&gt;0,"Active",IF(AND(_xlpm.decC&gt;0,_xlpm.inPlay+_xlpm.actC=0),"Dead",IF(AND($AJ618&lt;&gt;"",$AK618=FALSE),"Waiting on Dealer",IF(_xlpm.subC&gt;0,"Waiting on Lender",IF(AND(_xlpm.appC+_xlpm.actC&gt;0,_xlpm.nsC+_xlpm.wdC=0),"Rate Sheet","Application Submitted")))))))))</f>
        <v/>
      </c>
      <c r="M618" s="87"/>
      <c r="N618" s="87"/>
      <c r="O618" s="197"/>
      <c r="P618" s="87" t="str">
        <f>IF($A618="","",IF($AK618=TRUE,"Ready 2 Submit","Waiting on Dealer"))</f>
        <v/>
      </c>
      <c r="Q618" s="148"/>
      <c r="R618" s="87"/>
      <c r="S618" s="87"/>
      <c r="T618" s="87" t="str">
        <f>IF($A618="","",IF($AK618=TRUE,"Ready 2 Submit","Waiting on Dealer"))</f>
        <v/>
      </c>
      <c r="U618" s="148"/>
      <c r="V618" s="87"/>
      <c r="W618" s="87"/>
      <c r="X618" s="87" t="str">
        <f>IF($A618="","",IF($AK618=TRUE,"Ready 2 Submit","Waiting on Dealer"))</f>
        <v/>
      </c>
      <c r="Y618" s="148"/>
      <c r="Z618" s="87"/>
      <c r="AA618" s="87"/>
      <c r="AB618" s="87" t="str">
        <f>IF($A618="","",IF($AK618=TRUE,"Ready 2 Submit","Waiting on Dealer"))</f>
        <v/>
      </c>
      <c r="AC618" s="148"/>
      <c r="AD618" s="87"/>
      <c r="AE618" s="87"/>
      <c r="AF618" s="87" t="str">
        <f>IF($A618="","",IF($AK618=TRUE,"Ready 2 Submit","Waiting on Dealer"))</f>
        <v/>
      </c>
      <c r="AG618" s="148"/>
      <c r="AH618" s="87"/>
      <c r="AI618" s="87"/>
      <c r="AJ618" s="197"/>
      <c r="AK618" s="110" t="b">
        <v>0</v>
      </c>
      <c r="AL618" s="87" t="str" cm="1">
        <f t="array" ref="AL618">IF($A618="","",SUMPRODUCT((CHOOSE({1,2,3,4,5},$R618,$V618,$Z618,$AD618,$AH618)="Yes")*(((CHOOSE({1,2,3,4,5},$S618,$W618,$AA618,$AE618,$AI618)="Yes")+(CHOOSE({1,2,3,4,5},$S618,$W618,$AA618,$AE618,$AI618)=TRUE))&gt;0)))</f>
        <v/>
      </c>
      <c r="AM618" s="87"/>
      <c r="AN618" s="87" t="str">
        <f ca="1">IF(OR($A618="",$AM618=""),"",TODAY()-$AM618)</f>
        <v/>
      </c>
      <c r="AO618" s="87"/>
      <c r="AP618" s="106"/>
      <c r="AQ618" s="106"/>
      <c r="AR618" s="106"/>
      <c r="AS618" s="106"/>
      <c r="AT618" s="106"/>
      <c r="AU618" s="106"/>
      <c r="AV618" s="106"/>
      <c r="AW618" s="106"/>
      <c r="AX618" s="106"/>
      <c r="AY618" s="106"/>
    </row>
    <row r="619" spans="1:51" s="20" customFormat="1" ht="21" customHeight="1">
      <c r="A619" s="197"/>
      <c r="B619" s="87"/>
      <c r="C619" s="87"/>
      <c r="D619" s="196"/>
      <c r="E619" s="108"/>
      <c r="F619" s="196"/>
      <c r="G619" s="87"/>
      <c r="H619" s="197"/>
      <c r="I619" s="89"/>
      <c r="J619" s="204"/>
      <c r="K619" s="87"/>
      <c r="L619" s="87" t="str" cm="1">
        <f t="array" ref="L619">IF($A619="","",_xlfn.LET(_xlpm.stat,CHOOSE({1,2,3,4,5},$P619,$T619,$X619,$AB619,$AF619),_xlpm.rate,CHOOSE({1,2,3,4,5},$R619,$V619,$Z619,$AD619,$AH619),_xlpm.trn,CHOOSE({1,2,3,4,5},$S619,$W619,$AA619,$AE619,$AI619),_xlpm.nsC,SUMPRODUCT(--(_xlpm.stat="Ready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DLR",IF(AND(_xlpm.actRS&gt;0,_xlpm.actDone&lt;_xlpm.actRS),"Training",IF(_xlpm.actRS&gt;0,"Active",IF(AND(_xlpm.decC&gt;0,_xlpm.inPlay+_xlpm.actC=0),"Dead",IF(AND($AJ619&lt;&gt;"",$AK619=FALSE),"Waiting on Dealer",IF(_xlpm.subC&gt;0,"Waiting on Lender",IF(AND(_xlpm.appC+_xlpm.actC&gt;0,_xlpm.nsC+_xlpm.wdC=0),"Rate Sheet","Application Submitted")))))))))</f>
        <v/>
      </c>
      <c r="M619" s="87"/>
      <c r="N619" s="87"/>
      <c r="O619" s="197"/>
      <c r="P619" s="87" t="str">
        <f>IF($A619="","",IF($AK619=TRUE,"Ready 2 Submit","Waiting on Dealer"))</f>
        <v/>
      </c>
      <c r="Q619" s="148"/>
      <c r="R619" s="87"/>
      <c r="S619" s="87"/>
      <c r="T619" s="87" t="str">
        <f>IF($A619="","",IF($AK619=TRUE,"Ready 2 Submit","Waiting on Dealer"))</f>
        <v/>
      </c>
      <c r="U619" s="148"/>
      <c r="V619" s="87"/>
      <c r="W619" s="87"/>
      <c r="X619" s="87" t="str">
        <f>IF($A619="","",IF($AK619=TRUE,"Ready 2 Submit","Waiting on Dealer"))</f>
        <v/>
      </c>
      <c r="Y619" s="148"/>
      <c r="Z619" s="87"/>
      <c r="AA619" s="87"/>
      <c r="AB619" s="87" t="str">
        <f>IF($A619="","",IF($AK619=TRUE,"Ready 2 Submit","Waiting on Dealer"))</f>
        <v/>
      </c>
      <c r="AC619" s="148"/>
      <c r="AD619" s="87"/>
      <c r="AE619" s="87"/>
      <c r="AF619" s="87" t="str">
        <f>IF($A619="","",IF($AK619=TRUE,"Ready 2 Submit","Waiting on Dealer"))</f>
        <v/>
      </c>
      <c r="AG619" s="148"/>
      <c r="AH619" s="87"/>
      <c r="AI619" s="87"/>
      <c r="AJ619" s="197"/>
      <c r="AK619" s="110" t="b">
        <v>0</v>
      </c>
      <c r="AL619" s="87" t="str" cm="1">
        <f t="array" ref="AL619">IF($A619="","",SUMPRODUCT((CHOOSE({1,2,3,4,5},$R619,$V619,$Z619,$AD619,$AH619)="Yes")*(((CHOOSE({1,2,3,4,5},$S619,$W619,$AA619,$AE619,$AI619)="Yes")+(CHOOSE({1,2,3,4,5},$S619,$W619,$AA619,$AE619,$AI619)=TRUE))&gt;0)))</f>
        <v/>
      </c>
      <c r="AM619" s="87"/>
      <c r="AN619" s="87" t="str">
        <f ca="1">IF(OR($A619="",$AM619=""),"",TODAY()-$AM619)</f>
        <v/>
      </c>
      <c r="AO619" s="87"/>
      <c r="AP619" s="106"/>
      <c r="AQ619" s="106"/>
      <c r="AR619" s="106"/>
      <c r="AS619" s="106"/>
      <c r="AT619" s="106"/>
      <c r="AU619" s="106"/>
      <c r="AV619" s="106"/>
      <c r="AW619" s="106"/>
      <c r="AX619" s="106"/>
      <c r="AY619" s="106"/>
    </row>
    <row r="620" spans="1:51" s="20" customFormat="1" ht="21" customHeight="1">
      <c r="A620" s="197"/>
      <c r="B620" s="87"/>
      <c r="C620" s="87"/>
      <c r="D620" s="196"/>
      <c r="E620" s="108"/>
      <c r="F620" s="196"/>
      <c r="G620" s="87"/>
      <c r="H620" s="197"/>
      <c r="I620" s="89"/>
      <c r="J620" s="204"/>
      <c r="K620" s="87"/>
      <c r="L620" s="87" t="str" cm="1">
        <f t="array" ref="L620">IF($A620="","",_xlfn.LET(_xlpm.stat,CHOOSE({1,2,3,4,5},$P620,$T620,$X620,$AB620,$AF620),_xlpm.rate,CHOOSE({1,2,3,4,5},$R620,$V620,$Z620,$AD620,$AH620),_xlpm.trn,CHOOSE({1,2,3,4,5},$S620,$W620,$AA620,$AE620,$AI620),_xlpm.nsC,SUMPRODUCT(--(_xlpm.stat="Ready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DLR",IF(AND(_xlpm.actRS&gt;0,_xlpm.actDone&lt;_xlpm.actRS),"Training",IF(_xlpm.actRS&gt;0,"Active",IF(AND(_xlpm.decC&gt;0,_xlpm.inPlay+_xlpm.actC=0),"Dead",IF(AND($AJ620&lt;&gt;"",$AK620=FALSE),"Waiting on Dealer",IF(_xlpm.subC&gt;0,"Waiting on Lender",IF(AND(_xlpm.appC+_xlpm.actC&gt;0,_xlpm.nsC+_xlpm.wdC=0),"Rate Sheet","Application Submitted")))))))))</f>
        <v/>
      </c>
      <c r="M620" s="87"/>
      <c r="N620" s="87"/>
      <c r="O620" s="197"/>
      <c r="P620" s="87" t="str">
        <f>IF($A620="","",IF($AK620=TRUE,"Ready 2 Submit","Waiting on Dealer"))</f>
        <v/>
      </c>
      <c r="Q620" s="148"/>
      <c r="R620" s="87"/>
      <c r="S620" s="87"/>
      <c r="T620" s="87" t="str">
        <f>IF($A620="","",IF($AK620=TRUE,"Ready 2 Submit","Waiting on Dealer"))</f>
        <v/>
      </c>
      <c r="U620" s="148"/>
      <c r="V620" s="87"/>
      <c r="W620" s="87"/>
      <c r="X620" s="87" t="str">
        <f>IF($A620="","",IF($AK620=TRUE,"Ready 2 Submit","Waiting on Dealer"))</f>
        <v/>
      </c>
      <c r="Y620" s="148"/>
      <c r="Z620" s="87"/>
      <c r="AA620" s="87"/>
      <c r="AB620" s="87" t="str">
        <f>IF($A620="","",IF($AK620=TRUE,"Ready 2 Submit","Waiting on Dealer"))</f>
        <v/>
      </c>
      <c r="AC620" s="148"/>
      <c r="AD620" s="87"/>
      <c r="AE620" s="87"/>
      <c r="AF620" s="87" t="str">
        <f>IF($A620="","",IF($AK620=TRUE,"Ready 2 Submit","Waiting on Dealer"))</f>
        <v/>
      </c>
      <c r="AG620" s="148"/>
      <c r="AH620" s="87"/>
      <c r="AI620" s="87"/>
      <c r="AJ620" s="197"/>
      <c r="AK620" s="110" t="b">
        <v>0</v>
      </c>
      <c r="AL620" s="87" t="str" cm="1">
        <f t="array" ref="AL620">IF($A620="","",SUMPRODUCT((CHOOSE({1,2,3,4,5},$R620,$V620,$Z620,$AD620,$AH620)="Yes")*(((CHOOSE({1,2,3,4,5},$S620,$W620,$AA620,$AE620,$AI620)="Yes")+(CHOOSE({1,2,3,4,5},$S620,$W620,$AA620,$AE620,$AI620)=TRUE))&gt;0)))</f>
        <v/>
      </c>
      <c r="AM620" s="87"/>
      <c r="AN620" s="87" t="str">
        <f ca="1">IF(OR($A620="",$AM620=""),"",TODAY()-$AM620)</f>
        <v/>
      </c>
      <c r="AO620" s="87"/>
      <c r="AP620" s="106"/>
      <c r="AQ620" s="106"/>
      <c r="AR620" s="106"/>
      <c r="AS620" s="106"/>
      <c r="AT620" s="106"/>
      <c r="AU620" s="106"/>
      <c r="AV620" s="106"/>
      <c r="AW620" s="106"/>
      <c r="AX620" s="106"/>
      <c r="AY620" s="106"/>
    </row>
    <row r="621" spans="1:51" s="20" customFormat="1" ht="21" customHeight="1">
      <c r="A621" s="197"/>
      <c r="B621" s="87"/>
      <c r="C621" s="87"/>
      <c r="D621" s="196"/>
      <c r="E621" s="108"/>
      <c r="F621" s="196"/>
      <c r="G621" s="87"/>
      <c r="H621" s="197"/>
      <c r="I621" s="89"/>
      <c r="J621" s="204"/>
      <c r="K621" s="87"/>
      <c r="L621" s="87" t="str" cm="1">
        <f t="array" ref="L621">IF($A621="","",_xlfn.LET(_xlpm.stat,CHOOSE({1,2,3,4,5},$P621,$T621,$X621,$AB621,$AF621),_xlpm.rate,CHOOSE({1,2,3,4,5},$R621,$V621,$Z621,$AD621,$AH621),_xlpm.trn,CHOOSE({1,2,3,4,5},$S621,$W621,$AA621,$AE621,$AI621),_xlpm.nsC,SUMPRODUCT(--(_xlpm.stat="Ready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DLR",IF(AND(_xlpm.actRS&gt;0,_xlpm.actDone&lt;_xlpm.actRS),"Training",IF(_xlpm.actRS&gt;0,"Active",IF(AND(_xlpm.decC&gt;0,_xlpm.inPlay+_xlpm.actC=0),"Dead",IF(AND($AJ621&lt;&gt;"",$AK621=FALSE),"Waiting on Dealer",IF(_xlpm.subC&gt;0,"Waiting on Lender",IF(AND(_xlpm.appC+_xlpm.actC&gt;0,_xlpm.nsC+_xlpm.wdC=0),"Rate Sheet","Application Submitted")))))))))</f>
        <v/>
      </c>
      <c r="M621" s="87"/>
      <c r="N621" s="87"/>
      <c r="O621" s="197"/>
      <c r="P621" s="87" t="str">
        <f>IF($A621="","",IF($AK621=TRUE,"Ready 2 Submit","Waiting on Dealer"))</f>
        <v/>
      </c>
      <c r="Q621" s="148"/>
      <c r="R621" s="87"/>
      <c r="S621" s="87"/>
      <c r="T621" s="87" t="str">
        <f>IF($A621="","",IF($AK621=TRUE,"Ready 2 Submit","Waiting on Dealer"))</f>
        <v/>
      </c>
      <c r="U621" s="148"/>
      <c r="V621" s="87"/>
      <c r="W621" s="87"/>
      <c r="X621" s="87" t="str">
        <f>IF($A621="","",IF($AK621=TRUE,"Ready 2 Submit","Waiting on Dealer"))</f>
        <v/>
      </c>
      <c r="Y621" s="148"/>
      <c r="Z621" s="87"/>
      <c r="AA621" s="87"/>
      <c r="AB621" s="87" t="str">
        <f>IF($A621="","",IF($AK621=TRUE,"Ready 2 Submit","Waiting on Dealer"))</f>
        <v/>
      </c>
      <c r="AC621" s="148"/>
      <c r="AD621" s="87"/>
      <c r="AE621" s="87"/>
      <c r="AF621" s="87" t="str">
        <f>IF($A621="","",IF($AK621=TRUE,"Ready 2 Submit","Waiting on Dealer"))</f>
        <v/>
      </c>
      <c r="AG621" s="148"/>
      <c r="AH621" s="87"/>
      <c r="AI621" s="87"/>
      <c r="AJ621" s="197"/>
      <c r="AK621" s="110" t="b">
        <v>0</v>
      </c>
      <c r="AL621" s="87" t="str" cm="1">
        <f t="array" ref="AL621">IF($A621="","",SUMPRODUCT((CHOOSE({1,2,3,4,5},$R621,$V621,$Z621,$AD621,$AH621)="Yes")*(((CHOOSE({1,2,3,4,5},$S621,$W621,$AA621,$AE621,$AI621)="Yes")+(CHOOSE({1,2,3,4,5},$S621,$W621,$AA621,$AE621,$AI621)=TRUE))&gt;0)))</f>
        <v/>
      </c>
      <c r="AM621" s="87"/>
      <c r="AN621" s="87" t="str">
        <f ca="1">IF(OR($A621="",$AM621=""),"",TODAY()-$AM621)</f>
        <v/>
      </c>
      <c r="AO621" s="87"/>
      <c r="AP621" s="106"/>
      <c r="AQ621" s="106"/>
      <c r="AR621" s="106"/>
      <c r="AS621" s="106"/>
      <c r="AT621" s="106"/>
      <c r="AU621" s="106"/>
      <c r="AV621" s="106"/>
      <c r="AW621" s="106"/>
      <c r="AX621" s="106"/>
      <c r="AY621" s="106"/>
    </row>
    <row r="622" spans="1:51" s="20" customFormat="1" ht="21" customHeight="1">
      <c r="A622" s="197"/>
      <c r="B622" s="87"/>
      <c r="C622" s="87"/>
      <c r="D622" s="196"/>
      <c r="E622" s="108"/>
      <c r="F622" s="196"/>
      <c r="G622" s="87"/>
      <c r="H622" s="197"/>
      <c r="I622" s="89"/>
      <c r="J622" s="204"/>
      <c r="K622" s="87"/>
      <c r="L622" s="87" t="str" cm="1">
        <f t="array" ref="L622">IF($A622="","",_xlfn.LET(_xlpm.stat,CHOOSE({1,2,3,4,5},$P622,$T622,$X622,$AB622,$AF622),_xlpm.rate,CHOOSE({1,2,3,4,5},$R622,$V622,$Z622,$AD622,$AH622),_xlpm.trn,CHOOSE({1,2,3,4,5},$S622,$W622,$AA622,$AE622,$AI622),_xlpm.nsC,SUMPRODUCT(--(_xlpm.stat="Ready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DLR",IF(AND(_xlpm.actRS&gt;0,_xlpm.actDone&lt;_xlpm.actRS),"Training",IF(_xlpm.actRS&gt;0,"Active",IF(AND(_xlpm.decC&gt;0,_xlpm.inPlay+_xlpm.actC=0),"Dead",IF(AND($AJ622&lt;&gt;"",$AK622=FALSE),"Waiting on Dealer",IF(_xlpm.subC&gt;0,"Waiting on Lender",IF(AND(_xlpm.appC+_xlpm.actC&gt;0,_xlpm.nsC+_xlpm.wdC=0),"Rate Sheet","Application Submitted")))))))))</f>
        <v/>
      </c>
      <c r="M622" s="87"/>
      <c r="N622" s="87"/>
      <c r="O622" s="197"/>
      <c r="P622" s="87" t="str">
        <f>IF($A622="","",IF($AK622=TRUE,"Ready 2 Submit","Waiting on Dealer"))</f>
        <v/>
      </c>
      <c r="Q622" s="148"/>
      <c r="R622" s="87"/>
      <c r="S622" s="87"/>
      <c r="T622" s="87" t="str">
        <f>IF($A622="","",IF($AK622=TRUE,"Ready 2 Submit","Waiting on Dealer"))</f>
        <v/>
      </c>
      <c r="U622" s="148"/>
      <c r="V622" s="87"/>
      <c r="W622" s="87"/>
      <c r="X622" s="87" t="str">
        <f>IF($A622="","",IF($AK622=TRUE,"Ready 2 Submit","Waiting on Dealer"))</f>
        <v/>
      </c>
      <c r="Y622" s="148"/>
      <c r="Z622" s="87"/>
      <c r="AA622" s="87"/>
      <c r="AB622" s="87" t="str">
        <f>IF($A622="","",IF($AK622=TRUE,"Ready 2 Submit","Waiting on Dealer"))</f>
        <v/>
      </c>
      <c r="AC622" s="148"/>
      <c r="AD622" s="87"/>
      <c r="AE622" s="87"/>
      <c r="AF622" s="87" t="str">
        <f>IF($A622="","",IF($AK622=TRUE,"Ready 2 Submit","Waiting on Dealer"))</f>
        <v/>
      </c>
      <c r="AG622" s="148"/>
      <c r="AH622" s="87"/>
      <c r="AI622" s="87"/>
      <c r="AJ622" s="197"/>
      <c r="AK622" s="110" t="b">
        <v>0</v>
      </c>
      <c r="AL622" s="87" t="str" cm="1">
        <f t="array" ref="AL622">IF($A622="","",SUMPRODUCT((CHOOSE({1,2,3,4,5},$R622,$V622,$Z622,$AD622,$AH622)="Yes")*(((CHOOSE({1,2,3,4,5},$S622,$W622,$AA622,$AE622,$AI622)="Yes")+(CHOOSE({1,2,3,4,5},$S622,$W622,$AA622,$AE622,$AI622)=TRUE))&gt;0)))</f>
        <v/>
      </c>
      <c r="AM622" s="87"/>
      <c r="AN622" s="87" t="str">
        <f ca="1">IF(OR($A622="",$AM622=""),"",TODAY()-$AM622)</f>
        <v/>
      </c>
      <c r="AO622" s="87"/>
      <c r="AP622" s="106"/>
      <c r="AQ622" s="106"/>
      <c r="AR622" s="106"/>
      <c r="AS622" s="106"/>
      <c r="AT622" s="106"/>
      <c r="AU622" s="106"/>
      <c r="AV622" s="106"/>
      <c r="AW622" s="106"/>
      <c r="AX622" s="106"/>
      <c r="AY622" s="106"/>
    </row>
    <row r="623" spans="1:51" s="20" customFormat="1" ht="21" customHeight="1">
      <c r="A623" s="197"/>
      <c r="B623" s="87"/>
      <c r="C623" s="87"/>
      <c r="D623" s="196"/>
      <c r="E623" s="108"/>
      <c r="F623" s="196"/>
      <c r="G623" s="87"/>
      <c r="H623" s="197"/>
      <c r="I623" s="89"/>
      <c r="J623" s="204"/>
      <c r="K623" s="87"/>
      <c r="L623" s="87" t="str" cm="1">
        <f t="array" ref="L623">IF($A623="","",_xlfn.LET(_xlpm.stat,CHOOSE({1,2,3,4,5},$P623,$T623,$X623,$AB623,$AF623),_xlpm.rate,CHOOSE({1,2,3,4,5},$R623,$V623,$Z623,$AD623,$AH623),_xlpm.trn,CHOOSE({1,2,3,4,5},$S623,$W623,$AA623,$AE623,$AI623),_xlpm.nsC,SUMPRODUCT(--(_xlpm.stat="Ready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DLR",IF(AND(_xlpm.actRS&gt;0,_xlpm.actDone&lt;_xlpm.actRS),"Training",IF(_xlpm.actRS&gt;0,"Active",IF(AND(_xlpm.decC&gt;0,_xlpm.inPlay+_xlpm.actC=0),"Dead",IF(AND($AJ623&lt;&gt;"",$AK623=FALSE),"Waiting on Dealer",IF(_xlpm.subC&gt;0,"Waiting on Lender",IF(AND(_xlpm.appC+_xlpm.actC&gt;0,_xlpm.nsC+_xlpm.wdC=0),"Rate Sheet","Application Submitted")))))))))</f>
        <v/>
      </c>
      <c r="M623" s="87"/>
      <c r="N623" s="87"/>
      <c r="O623" s="197"/>
      <c r="P623" s="87" t="str">
        <f>IF($A623="","",IF($AK623=TRUE,"Ready 2 Submit","Waiting on Dealer"))</f>
        <v/>
      </c>
      <c r="Q623" s="148"/>
      <c r="R623" s="87"/>
      <c r="S623" s="87"/>
      <c r="T623" s="87" t="str">
        <f>IF($A623="","",IF($AK623=TRUE,"Ready 2 Submit","Waiting on Dealer"))</f>
        <v/>
      </c>
      <c r="U623" s="148"/>
      <c r="V623" s="87"/>
      <c r="W623" s="87"/>
      <c r="X623" s="87" t="str">
        <f>IF($A623="","",IF($AK623=TRUE,"Ready 2 Submit","Waiting on Dealer"))</f>
        <v/>
      </c>
      <c r="Y623" s="148"/>
      <c r="Z623" s="87"/>
      <c r="AA623" s="87"/>
      <c r="AB623" s="87" t="str">
        <f>IF($A623="","",IF($AK623=TRUE,"Ready 2 Submit","Waiting on Dealer"))</f>
        <v/>
      </c>
      <c r="AC623" s="148"/>
      <c r="AD623" s="87"/>
      <c r="AE623" s="87"/>
      <c r="AF623" s="87" t="str">
        <f>IF($A623="","",IF($AK623=TRUE,"Ready 2 Submit","Waiting on Dealer"))</f>
        <v/>
      </c>
      <c r="AG623" s="148"/>
      <c r="AH623" s="87"/>
      <c r="AI623" s="87"/>
      <c r="AJ623" s="197"/>
      <c r="AK623" s="110" t="b">
        <v>0</v>
      </c>
      <c r="AL623" s="87" t="str" cm="1">
        <f t="array" ref="AL623">IF($A623="","",SUMPRODUCT((CHOOSE({1,2,3,4,5},$R623,$V623,$Z623,$AD623,$AH623)="Yes")*(((CHOOSE({1,2,3,4,5},$S623,$W623,$AA623,$AE623,$AI623)="Yes")+(CHOOSE({1,2,3,4,5},$S623,$W623,$AA623,$AE623,$AI623)=TRUE))&gt;0)))</f>
        <v/>
      </c>
      <c r="AM623" s="87"/>
      <c r="AN623" s="87" t="str">
        <f ca="1">IF(OR($A623="",$AM623=""),"",TODAY()-$AM623)</f>
        <v/>
      </c>
      <c r="AO623" s="87"/>
      <c r="AP623" s="106"/>
      <c r="AQ623" s="106"/>
      <c r="AR623" s="106"/>
      <c r="AS623" s="106"/>
      <c r="AT623" s="106"/>
      <c r="AU623" s="106"/>
      <c r="AV623" s="106"/>
      <c r="AW623" s="106"/>
      <c r="AX623" s="106"/>
      <c r="AY623" s="106"/>
    </row>
    <row r="624" spans="1:51" s="20" customFormat="1" ht="21" customHeight="1">
      <c r="A624" s="197"/>
      <c r="B624" s="87"/>
      <c r="C624" s="87"/>
      <c r="D624" s="196"/>
      <c r="E624" s="108"/>
      <c r="F624" s="196"/>
      <c r="G624" s="87"/>
      <c r="H624" s="197"/>
      <c r="I624" s="89"/>
      <c r="J624" s="204"/>
      <c r="K624" s="87"/>
      <c r="L624" s="87" t="str" cm="1">
        <f t="array" ref="L624">IF($A624="","",_xlfn.LET(_xlpm.stat,CHOOSE({1,2,3,4,5},$P624,$T624,$X624,$AB624,$AF624),_xlpm.rate,CHOOSE({1,2,3,4,5},$R624,$V624,$Z624,$AD624,$AH624),_xlpm.trn,CHOOSE({1,2,3,4,5},$S624,$W624,$AA624,$AE624,$AI624),_xlpm.nsC,SUMPRODUCT(--(_xlpm.stat="Ready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DLR",IF(AND(_xlpm.actRS&gt;0,_xlpm.actDone&lt;_xlpm.actRS),"Training",IF(_xlpm.actRS&gt;0,"Active",IF(AND(_xlpm.decC&gt;0,_xlpm.inPlay+_xlpm.actC=0),"Dead",IF(AND($AJ624&lt;&gt;"",$AK624=FALSE),"Waiting on Dealer",IF(_xlpm.subC&gt;0,"Waiting on Lender",IF(AND(_xlpm.appC+_xlpm.actC&gt;0,_xlpm.nsC+_xlpm.wdC=0),"Rate Sheet","Application Submitted")))))))))</f>
        <v/>
      </c>
      <c r="M624" s="87"/>
      <c r="N624" s="87"/>
      <c r="O624" s="197"/>
      <c r="P624" s="87" t="str">
        <f>IF($A624="","",IF($AK624=TRUE,"Ready 2 Submit","Waiting on Dealer"))</f>
        <v/>
      </c>
      <c r="Q624" s="148"/>
      <c r="R624" s="87"/>
      <c r="S624" s="87"/>
      <c r="T624" s="87" t="str">
        <f>IF($A624="","",IF($AK624=TRUE,"Ready 2 Submit","Waiting on Dealer"))</f>
        <v/>
      </c>
      <c r="U624" s="148"/>
      <c r="V624" s="87"/>
      <c r="W624" s="87"/>
      <c r="X624" s="87" t="str">
        <f>IF($A624="","",IF($AK624=TRUE,"Ready 2 Submit","Waiting on Dealer"))</f>
        <v/>
      </c>
      <c r="Y624" s="148"/>
      <c r="Z624" s="87"/>
      <c r="AA624" s="87"/>
      <c r="AB624" s="87" t="str">
        <f>IF($A624="","",IF($AK624=TRUE,"Ready 2 Submit","Waiting on Dealer"))</f>
        <v/>
      </c>
      <c r="AC624" s="148"/>
      <c r="AD624" s="87"/>
      <c r="AE624" s="87"/>
      <c r="AF624" s="87" t="str">
        <f>IF($A624="","",IF($AK624=TRUE,"Ready 2 Submit","Waiting on Dealer"))</f>
        <v/>
      </c>
      <c r="AG624" s="148"/>
      <c r="AH624" s="87"/>
      <c r="AI624" s="87"/>
      <c r="AJ624" s="197"/>
      <c r="AK624" s="110" t="b">
        <v>0</v>
      </c>
      <c r="AL624" s="87" t="str" cm="1">
        <f t="array" ref="AL624">IF($A624="","",SUMPRODUCT((CHOOSE({1,2,3,4,5},$R624,$V624,$Z624,$AD624,$AH624)="Yes")*(((CHOOSE({1,2,3,4,5},$S624,$W624,$AA624,$AE624,$AI624)="Yes")+(CHOOSE({1,2,3,4,5},$S624,$W624,$AA624,$AE624,$AI624)=TRUE))&gt;0)))</f>
        <v/>
      </c>
      <c r="AM624" s="87"/>
      <c r="AN624" s="87" t="str">
        <f ca="1">IF(OR($A624="",$AM624=""),"",TODAY()-$AM624)</f>
        <v/>
      </c>
      <c r="AO624" s="87"/>
      <c r="AP624" s="106"/>
      <c r="AQ624" s="106"/>
      <c r="AR624" s="106"/>
      <c r="AS624" s="106"/>
      <c r="AT624" s="106"/>
      <c r="AU624" s="106"/>
      <c r="AV624" s="106"/>
      <c r="AW624" s="106"/>
      <c r="AX624" s="106"/>
      <c r="AY624" s="106"/>
    </row>
    <row r="625" spans="1:51" s="20" customFormat="1" ht="21" customHeight="1">
      <c r="A625" s="197"/>
      <c r="B625" s="87"/>
      <c r="C625" s="87"/>
      <c r="D625" s="196"/>
      <c r="E625" s="108"/>
      <c r="F625" s="196"/>
      <c r="G625" s="87"/>
      <c r="H625" s="197"/>
      <c r="I625" s="89"/>
      <c r="J625" s="204"/>
      <c r="K625" s="87"/>
      <c r="L625" s="87" t="str" cm="1">
        <f t="array" ref="L625">IF($A625="","",_xlfn.LET(_xlpm.stat,CHOOSE({1,2,3,4,5},$P625,$T625,$X625,$AB625,$AF625),_xlpm.rate,CHOOSE({1,2,3,4,5},$R625,$V625,$Z625,$AD625,$AH625),_xlpm.trn,CHOOSE({1,2,3,4,5},$S625,$W625,$AA625,$AE625,$AI625),_xlpm.nsC,SUMPRODUCT(--(_xlpm.stat="Ready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DLR",IF(AND(_xlpm.actRS&gt;0,_xlpm.actDone&lt;_xlpm.actRS),"Training",IF(_xlpm.actRS&gt;0,"Active",IF(AND(_xlpm.decC&gt;0,_xlpm.inPlay+_xlpm.actC=0),"Dead",IF(AND($AJ625&lt;&gt;"",$AK625=FALSE),"Waiting on Dealer",IF(_xlpm.subC&gt;0,"Waiting on Lender",IF(AND(_xlpm.appC+_xlpm.actC&gt;0,_xlpm.nsC+_xlpm.wdC=0),"Rate Sheet","Application Submitted")))))))))</f>
        <v/>
      </c>
      <c r="M625" s="87"/>
      <c r="N625" s="87"/>
      <c r="O625" s="197"/>
      <c r="P625" s="87" t="str">
        <f>IF($A625="","",IF($AK625=TRUE,"Ready 2 Submit","Waiting on Dealer"))</f>
        <v/>
      </c>
      <c r="Q625" s="148"/>
      <c r="R625" s="87"/>
      <c r="S625" s="87"/>
      <c r="T625" s="87" t="str">
        <f>IF($A625="","",IF($AK625=TRUE,"Ready 2 Submit","Waiting on Dealer"))</f>
        <v/>
      </c>
      <c r="U625" s="148"/>
      <c r="V625" s="87"/>
      <c r="W625" s="87"/>
      <c r="X625" s="87" t="str">
        <f>IF($A625="","",IF($AK625=TRUE,"Ready 2 Submit","Waiting on Dealer"))</f>
        <v/>
      </c>
      <c r="Y625" s="148"/>
      <c r="Z625" s="87"/>
      <c r="AA625" s="87"/>
      <c r="AB625" s="87" t="str">
        <f>IF($A625="","",IF($AK625=TRUE,"Ready 2 Submit","Waiting on Dealer"))</f>
        <v/>
      </c>
      <c r="AC625" s="148"/>
      <c r="AD625" s="87"/>
      <c r="AE625" s="87"/>
      <c r="AF625" s="87" t="str">
        <f>IF($A625="","",IF($AK625=TRUE,"Ready 2 Submit","Waiting on Dealer"))</f>
        <v/>
      </c>
      <c r="AG625" s="148"/>
      <c r="AH625" s="87"/>
      <c r="AI625" s="87"/>
      <c r="AJ625" s="197"/>
      <c r="AK625" s="110" t="b">
        <v>0</v>
      </c>
      <c r="AL625" s="87" t="str" cm="1">
        <f t="array" ref="AL625">IF($A625="","",SUMPRODUCT((CHOOSE({1,2,3,4,5},$R625,$V625,$Z625,$AD625,$AH625)="Yes")*(((CHOOSE({1,2,3,4,5},$S625,$W625,$AA625,$AE625,$AI625)="Yes")+(CHOOSE({1,2,3,4,5},$S625,$W625,$AA625,$AE625,$AI625)=TRUE))&gt;0)))</f>
        <v/>
      </c>
      <c r="AM625" s="87"/>
      <c r="AN625" s="87" t="str">
        <f ca="1">IF(OR($A625="",$AM625=""),"",TODAY()-$AM625)</f>
        <v/>
      </c>
      <c r="AO625" s="87"/>
      <c r="AP625" s="106"/>
      <c r="AQ625" s="106"/>
      <c r="AR625" s="106"/>
      <c r="AS625" s="106"/>
      <c r="AT625" s="106"/>
      <c r="AU625" s="106"/>
      <c r="AV625" s="106"/>
      <c r="AW625" s="106"/>
      <c r="AX625" s="106"/>
      <c r="AY625" s="106"/>
    </row>
    <row r="626" spans="1:51" s="20" customFormat="1" ht="21" customHeight="1">
      <c r="A626" s="197"/>
      <c r="B626" s="87"/>
      <c r="C626" s="87"/>
      <c r="D626" s="196"/>
      <c r="E626" s="108"/>
      <c r="F626" s="196"/>
      <c r="G626" s="87"/>
      <c r="H626" s="197"/>
      <c r="I626" s="89"/>
      <c r="J626" s="204"/>
      <c r="K626" s="87"/>
      <c r="L626" s="87" t="str" cm="1">
        <f t="array" ref="L626">IF($A626="","",_xlfn.LET(_xlpm.stat,CHOOSE({1,2,3,4,5},$P626,$T626,$X626,$AB626,$AF626),_xlpm.rate,CHOOSE({1,2,3,4,5},$R626,$V626,$Z626,$AD626,$AH626),_xlpm.trn,CHOOSE({1,2,3,4,5},$S626,$W626,$AA626,$AE626,$AI626),_xlpm.nsC,SUMPRODUCT(--(_xlpm.stat="Ready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DLR",IF(AND(_xlpm.actRS&gt;0,_xlpm.actDone&lt;_xlpm.actRS),"Training",IF(_xlpm.actRS&gt;0,"Active",IF(AND(_xlpm.decC&gt;0,_xlpm.inPlay+_xlpm.actC=0),"Dead",IF(AND($AJ626&lt;&gt;"",$AK626=FALSE),"Waiting on Dealer",IF(_xlpm.subC&gt;0,"Waiting on Lender",IF(AND(_xlpm.appC+_xlpm.actC&gt;0,_xlpm.nsC+_xlpm.wdC=0),"Rate Sheet","Application Submitted")))))))))</f>
        <v/>
      </c>
      <c r="M626" s="87"/>
      <c r="N626" s="87"/>
      <c r="O626" s="197"/>
      <c r="P626" s="87" t="str">
        <f>IF($A626="","",IF($AK626=TRUE,"Ready 2 Submit","Waiting on Dealer"))</f>
        <v/>
      </c>
      <c r="Q626" s="148"/>
      <c r="R626" s="87"/>
      <c r="S626" s="87"/>
      <c r="T626" s="87" t="str">
        <f>IF($A626="","",IF($AK626=TRUE,"Ready 2 Submit","Waiting on Dealer"))</f>
        <v/>
      </c>
      <c r="U626" s="148"/>
      <c r="V626" s="87"/>
      <c r="W626" s="87"/>
      <c r="X626" s="87" t="str">
        <f>IF($A626="","",IF($AK626=TRUE,"Ready 2 Submit","Waiting on Dealer"))</f>
        <v/>
      </c>
      <c r="Y626" s="148"/>
      <c r="Z626" s="87"/>
      <c r="AA626" s="87"/>
      <c r="AB626" s="87" t="str">
        <f>IF($A626="","",IF($AK626=TRUE,"Ready 2 Submit","Waiting on Dealer"))</f>
        <v/>
      </c>
      <c r="AC626" s="148"/>
      <c r="AD626" s="87"/>
      <c r="AE626" s="87"/>
      <c r="AF626" s="87" t="str">
        <f>IF($A626="","",IF($AK626=TRUE,"Ready 2 Submit","Waiting on Dealer"))</f>
        <v/>
      </c>
      <c r="AG626" s="148"/>
      <c r="AH626" s="87"/>
      <c r="AI626" s="87"/>
      <c r="AJ626" s="197"/>
      <c r="AK626" s="110" t="b">
        <v>0</v>
      </c>
      <c r="AL626" s="87" t="str" cm="1">
        <f t="array" ref="AL626">IF($A626="","",SUMPRODUCT((CHOOSE({1,2,3,4,5},$R626,$V626,$Z626,$AD626,$AH626)="Yes")*(((CHOOSE({1,2,3,4,5},$S626,$W626,$AA626,$AE626,$AI626)="Yes")+(CHOOSE({1,2,3,4,5},$S626,$W626,$AA626,$AE626,$AI626)=TRUE))&gt;0)))</f>
        <v/>
      </c>
      <c r="AM626" s="87"/>
      <c r="AN626" s="87" t="str">
        <f ca="1">IF(OR($A626="",$AM626=""),"",TODAY()-$AM626)</f>
        <v/>
      </c>
      <c r="AO626" s="87"/>
      <c r="AP626" s="106"/>
      <c r="AQ626" s="106"/>
      <c r="AR626" s="106"/>
      <c r="AS626" s="106"/>
      <c r="AT626" s="106"/>
      <c r="AU626" s="106"/>
      <c r="AV626" s="106"/>
      <c r="AW626" s="106"/>
      <c r="AX626" s="106"/>
      <c r="AY626" s="106"/>
    </row>
    <row r="627" spans="1:51" s="20" customFormat="1" ht="21" customHeight="1">
      <c r="A627" s="197"/>
      <c r="B627" s="87"/>
      <c r="C627" s="87"/>
      <c r="D627" s="196"/>
      <c r="E627" s="108"/>
      <c r="F627" s="196"/>
      <c r="G627" s="87"/>
      <c r="H627" s="197"/>
      <c r="I627" s="89"/>
      <c r="J627" s="204"/>
      <c r="K627" s="87"/>
      <c r="L627" s="87" t="str" cm="1">
        <f t="array" ref="L627">IF($A627="","",_xlfn.LET(_xlpm.stat,CHOOSE({1,2,3,4,5},$P627,$T627,$X627,$AB627,$AF627),_xlpm.rate,CHOOSE({1,2,3,4,5},$R627,$V627,$Z627,$AD627,$AH627),_xlpm.trn,CHOOSE({1,2,3,4,5},$S627,$W627,$AA627,$AE627,$AI627),_xlpm.nsC,SUMPRODUCT(--(_xlpm.stat="Ready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DLR",IF(AND(_xlpm.actRS&gt;0,_xlpm.actDone&lt;_xlpm.actRS),"Training",IF(_xlpm.actRS&gt;0,"Active",IF(AND(_xlpm.decC&gt;0,_xlpm.inPlay+_xlpm.actC=0),"Dead",IF(AND($AJ627&lt;&gt;"",$AK627=FALSE),"Waiting on Dealer",IF(_xlpm.subC&gt;0,"Waiting on Lender",IF(AND(_xlpm.appC+_xlpm.actC&gt;0,_xlpm.nsC+_xlpm.wdC=0),"Rate Sheet","Application Submitted")))))))))</f>
        <v/>
      </c>
      <c r="M627" s="87"/>
      <c r="N627" s="87"/>
      <c r="O627" s="197"/>
      <c r="P627" s="87" t="str">
        <f>IF($A627="","",IF($AK627=TRUE,"Ready 2 Submit","Waiting on Dealer"))</f>
        <v/>
      </c>
      <c r="Q627" s="148"/>
      <c r="R627" s="87"/>
      <c r="S627" s="87"/>
      <c r="T627" s="87" t="str">
        <f>IF($A627="","",IF($AK627=TRUE,"Ready 2 Submit","Waiting on Dealer"))</f>
        <v/>
      </c>
      <c r="U627" s="148"/>
      <c r="V627" s="87"/>
      <c r="W627" s="87"/>
      <c r="X627" s="87" t="str">
        <f>IF($A627="","",IF($AK627=TRUE,"Ready 2 Submit","Waiting on Dealer"))</f>
        <v/>
      </c>
      <c r="Y627" s="148"/>
      <c r="Z627" s="87"/>
      <c r="AA627" s="87"/>
      <c r="AB627" s="87" t="str">
        <f>IF($A627="","",IF($AK627=TRUE,"Ready 2 Submit","Waiting on Dealer"))</f>
        <v/>
      </c>
      <c r="AC627" s="148"/>
      <c r="AD627" s="87"/>
      <c r="AE627" s="87"/>
      <c r="AF627" s="87" t="str">
        <f>IF($A627="","",IF($AK627=TRUE,"Ready 2 Submit","Waiting on Dealer"))</f>
        <v/>
      </c>
      <c r="AG627" s="148"/>
      <c r="AH627" s="87"/>
      <c r="AI627" s="87"/>
      <c r="AJ627" s="197"/>
      <c r="AK627" s="110" t="b">
        <v>0</v>
      </c>
      <c r="AL627" s="87" t="str" cm="1">
        <f t="array" ref="AL627">IF($A627="","",SUMPRODUCT((CHOOSE({1,2,3,4,5},$R627,$V627,$Z627,$AD627,$AH627)="Yes")*(((CHOOSE({1,2,3,4,5},$S627,$W627,$AA627,$AE627,$AI627)="Yes")+(CHOOSE({1,2,3,4,5},$S627,$W627,$AA627,$AE627,$AI627)=TRUE))&gt;0)))</f>
        <v/>
      </c>
      <c r="AM627" s="87"/>
      <c r="AN627" s="87" t="str">
        <f ca="1">IF(OR($A627="",$AM627=""),"",TODAY()-$AM627)</f>
        <v/>
      </c>
      <c r="AO627" s="87"/>
      <c r="AP627" s="106"/>
      <c r="AQ627" s="106"/>
      <c r="AR627" s="106"/>
      <c r="AS627" s="106"/>
      <c r="AT627" s="106"/>
      <c r="AU627" s="106"/>
      <c r="AV627" s="106"/>
      <c r="AW627" s="106"/>
      <c r="AX627" s="106"/>
      <c r="AY627" s="106"/>
    </row>
    <row r="628" spans="1:51" s="20" customFormat="1" ht="21" customHeight="1">
      <c r="A628" s="197"/>
      <c r="B628" s="87"/>
      <c r="C628" s="87"/>
      <c r="D628" s="196"/>
      <c r="E628" s="108"/>
      <c r="F628" s="196"/>
      <c r="G628" s="87"/>
      <c r="H628" s="197"/>
      <c r="I628" s="89"/>
      <c r="J628" s="204"/>
      <c r="K628" s="87"/>
      <c r="L628" s="87" t="str" cm="1">
        <f t="array" ref="L628">IF($A628="","",_xlfn.LET(_xlpm.stat,CHOOSE({1,2,3,4,5},$P628,$T628,$X628,$AB628,$AF628),_xlpm.rate,CHOOSE({1,2,3,4,5},$R628,$V628,$Z628,$AD628,$AH628),_xlpm.trn,CHOOSE({1,2,3,4,5},$S628,$W628,$AA628,$AE628,$AI628),_xlpm.nsC,SUMPRODUCT(--(_xlpm.stat="Ready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DLR",IF(AND(_xlpm.actRS&gt;0,_xlpm.actDone&lt;_xlpm.actRS),"Training",IF(_xlpm.actRS&gt;0,"Active",IF(AND(_xlpm.decC&gt;0,_xlpm.inPlay+_xlpm.actC=0),"Dead",IF(AND($AJ628&lt;&gt;"",$AK628=FALSE),"Waiting on Dealer",IF(_xlpm.subC&gt;0,"Waiting on Lender",IF(AND(_xlpm.appC+_xlpm.actC&gt;0,_xlpm.nsC+_xlpm.wdC=0),"Rate Sheet","Application Submitted")))))))))</f>
        <v/>
      </c>
      <c r="M628" s="87"/>
      <c r="N628" s="87"/>
      <c r="O628" s="197"/>
      <c r="P628" s="87" t="str">
        <f>IF($A628="","",IF($AK628=TRUE,"Ready 2 Submit","Waiting on Dealer"))</f>
        <v/>
      </c>
      <c r="Q628" s="148"/>
      <c r="R628" s="87"/>
      <c r="S628" s="87"/>
      <c r="T628" s="87" t="str">
        <f>IF($A628="","",IF($AK628=TRUE,"Ready 2 Submit","Waiting on Dealer"))</f>
        <v/>
      </c>
      <c r="U628" s="148"/>
      <c r="V628" s="87"/>
      <c r="W628" s="87"/>
      <c r="X628" s="87" t="str">
        <f>IF($A628="","",IF($AK628=TRUE,"Ready 2 Submit","Waiting on Dealer"))</f>
        <v/>
      </c>
      <c r="Y628" s="148"/>
      <c r="Z628" s="87"/>
      <c r="AA628" s="87"/>
      <c r="AB628" s="87" t="str">
        <f>IF($A628="","",IF($AK628=TRUE,"Ready 2 Submit","Waiting on Dealer"))</f>
        <v/>
      </c>
      <c r="AC628" s="148"/>
      <c r="AD628" s="87"/>
      <c r="AE628" s="87"/>
      <c r="AF628" s="87" t="str">
        <f>IF($A628="","",IF($AK628=TRUE,"Ready 2 Submit","Waiting on Dealer"))</f>
        <v/>
      </c>
      <c r="AG628" s="148"/>
      <c r="AH628" s="87"/>
      <c r="AI628" s="87"/>
      <c r="AJ628" s="197"/>
      <c r="AK628" s="110" t="b">
        <v>0</v>
      </c>
      <c r="AL628" s="87" t="str" cm="1">
        <f t="array" ref="AL628">IF($A628="","",SUMPRODUCT((CHOOSE({1,2,3,4,5},$R628,$V628,$Z628,$AD628,$AH628)="Yes")*(((CHOOSE({1,2,3,4,5},$S628,$W628,$AA628,$AE628,$AI628)="Yes")+(CHOOSE({1,2,3,4,5},$S628,$W628,$AA628,$AE628,$AI628)=TRUE))&gt;0)))</f>
        <v/>
      </c>
      <c r="AM628" s="87"/>
      <c r="AN628" s="87" t="str">
        <f ca="1">IF(OR($A628="",$AM628=""),"",TODAY()-$AM628)</f>
        <v/>
      </c>
      <c r="AO628" s="87"/>
      <c r="AP628" s="106"/>
      <c r="AQ628" s="106"/>
      <c r="AR628" s="106"/>
      <c r="AS628" s="106"/>
      <c r="AT628" s="106"/>
      <c r="AU628" s="106"/>
      <c r="AV628" s="106"/>
      <c r="AW628" s="106"/>
      <c r="AX628" s="106"/>
      <c r="AY628" s="106"/>
    </row>
    <row r="629" spans="1:51" s="20" customFormat="1" ht="21" customHeight="1">
      <c r="A629" s="197"/>
      <c r="B629" s="87"/>
      <c r="C629" s="87"/>
      <c r="D629" s="196"/>
      <c r="E629" s="108"/>
      <c r="F629" s="196"/>
      <c r="G629" s="87"/>
      <c r="H629" s="197"/>
      <c r="I629" s="89"/>
      <c r="J629" s="204"/>
      <c r="K629" s="87"/>
      <c r="L629" s="87" t="str" cm="1">
        <f t="array" ref="L629">IF($A629="","",_xlfn.LET(_xlpm.stat,CHOOSE({1,2,3,4,5},$P629,$T629,$X629,$AB629,$AF629),_xlpm.rate,CHOOSE({1,2,3,4,5},$R629,$V629,$Z629,$AD629,$AH629),_xlpm.trn,CHOOSE({1,2,3,4,5},$S629,$W629,$AA629,$AE629,$AI629),_xlpm.nsC,SUMPRODUCT(--(_xlpm.stat="Ready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DLR",IF(AND(_xlpm.actRS&gt;0,_xlpm.actDone&lt;_xlpm.actRS),"Training",IF(_xlpm.actRS&gt;0,"Active",IF(AND(_xlpm.decC&gt;0,_xlpm.inPlay+_xlpm.actC=0),"Dead",IF(AND($AJ629&lt;&gt;"",$AK629=FALSE),"Waiting on Dealer",IF(_xlpm.subC&gt;0,"Waiting on Lender",IF(AND(_xlpm.appC+_xlpm.actC&gt;0,_xlpm.nsC+_xlpm.wdC=0),"Rate Sheet","Application Submitted")))))))))</f>
        <v/>
      </c>
      <c r="M629" s="87"/>
      <c r="N629" s="87"/>
      <c r="O629" s="197"/>
      <c r="P629" s="87" t="str">
        <f>IF($A629="","",IF($AK629=TRUE,"Ready 2 Submit","Waiting on Dealer"))</f>
        <v/>
      </c>
      <c r="Q629" s="148"/>
      <c r="R629" s="87"/>
      <c r="S629" s="87"/>
      <c r="T629" s="87" t="str">
        <f>IF($A629="","",IF($AK629=TRUE,"Ready 2 Submit","Waiting on Dealer"))</f>
        <v/>
      </c>
      <c r="U629" s="148"/>
      <c r="V629" s="87"/>
      <c r="W629" s="87"/>
      <c r="X629" s="87" t="str">
        <f>IF($A629="","",IF($AK629=TRUE,"Ready 2 Submit","Waiting on Dealer"))</f>
        <v/>
      </c>
      <c r="Y629" s="148"/>
      <c r="Z629" s="87"/>
      <c r="AA629" s="87"/>
      <c r="AB629" s="87" t="str">
        <f>IF($A629="","",IF($AK629=TRUE,"Ready 2 Submit","Waiting on Dealer"))</f>
        <v/>
      </c>
      <c r="AC629" s="148"/>
      <c r="AD629" s="87"/>
      <c r="AE629" s="87"/>
      <c r="AF629" s="87" t="str">
        <f>IF($A629="","",IF($AK629=TRUE,"Ready 2 Submit","Waiting on Dealer"))</f>
        <v/>
      </c>
      <c r="AG629" s="148"/>
      <c r="AH629" s="87"/>
      <c r="AI629" s="87"/>
      <c r="AJ629" s="197"/>
      <c r="AK629" s="110" t="b">
        <v>0</v>
      </c>
      <c r="AL629" s="87" t="str" cm="1">
        <f t="array" ref="AL629">IF($A629="","",SUMPRODUCT((CHOOSE({1,2,3,4,5},$R629,$V629,$Z629,$AD629,$AH629)="Yes")*(((CHOOSE({1,2,3,4,5},$S629,$W629,$AA629,$AE629,$AI629)="Yes")+(CHOOSE({1,2,3,4,5},$S629,$W629,$AA629,$AE629,$AI629)=TRUE))&gt;0)))</f>
        <v/>
      </c>
      <c r="AM629" s="87"/>
      <c r="AN629" s="87" t="str">
        <f ca="1">IF(OR($A629="",$AM629=""),"",TODAY()-$AM629)</f>
        <v/>
      </c>
      <c r="AO629" s="87"/>
      <c r="AP629" s="106"/>
      <c r="AQ629" s="106"/>
      <c r="AR629" s="106"/>
      <c r="AS629" s="106"/>
      <c r="AT629" s="106"/>
      <c r="AU629" s="106"/>
      <c r="AV629" s="106"/>
      <c r="AW629" s="106"/>
      <c r="AX629" s="106"/>
      <c r="AY629" s="106"/>
    </row>
    <row r="630" spans="1:51" s="20" customFormat="1" ht="21" customHeight="1">
      <c r="A630" s="197"/>
      <c r="B630" s="87"/>
      <c r="C630" s="87"/>
      <c r="D630" s="196"/>
      <c r="E630" s="108"/>
      <c r="F630" s="196"/>
      <c r="G630" s="87"/>
      <c r="H630" s="197"/>
      <c r="I630" s="89"/>
      <c r="J630" s="204"/>
      <c r="K630" s="87"/>
      <c r="L630" s="87" t="str" cm="1">
        <f t="array" ref="L630">IF($A630="","",_xlfn.LET(_xlpm.stat,CHOOSE({1,2,3,4,5},$P630,$T630,$X630,$AB630,$AF630),_xlpm.rate,CHOOSE({1,2,3,4,5},$R630,$V630,$Z630,$AD630,$AH630),_xlpm.trn,CHOOSE({1,2,3,4,5},$S630,$W630,$AA630,$AE630,$AI630),_xlpm.nsC,SUMPRODUCT(--(_xlpm.stat="Ready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DLR",IF(AND(_xlpm.actRS&gt;0,_xlpm.actDone&lt;_xlpm.actRS),"Training",IF(_xlpm.actRS&gt;0,"Active",IF(AND(_xlpm.decC&gt;0,_xlpm.inPlay+_xlpm.actC=0),"Dead",IF(AND($AJ630&lt;&gt;"",$AK630=FALSE),"Waiting on Dealer",IF(_xlpm.subC&gt;0,"Waiting on Lender",IF(AND(_xlpm.appC+_xlpm.actC&gt;0,_xlpm.nsC+_xlpm.wdC=0),"Rate Sheet","Application Submitted")))))))))</f>
        <v/>
      </c>
      <c r="M630" s="87"/>
      <c r="N630" s="87"/>
      <c r="O630" s="197"/>
      <c r="P630" s="87" t="str">
        <f>IF($A630="","",IF($AK630=TRUE,"Ready 2 Submit","Waiting on Dealer"))</f>
        <v/>
      </c>
      <c r="Q630" s="148"/>
      <c r="R630" s="87"/>
      <c r="S630" s="87"/>
      <c r="T630" s="87" t="str">
        <f>IF($A630="","",IF($AK630=TRUE,"Ready 2 Submit","Waiting on Dealer"))</f>
        <v/>
      </c>
      <c r="U630" s="148"/>
      <c r="V630" s="87"/>
      <c r="W630" s="87"/>
      <c r="X630" s="87" t="str">
        <f>IF($A630="","",IF($AK630=TRUE,"Ready 2 Submit","Waiting on Dealer"))</f>
        <v/>
      </c>
      <c r="Y630" s="148"/>
      <c r="Z630" s="87"/>
      <c r="AA630" s="87"/>
      <c r="AB630" s="87" t="str">
        <f>IF($A630="","",IF($AK630=TRUE,"Ready 2 Submit","Waiting on Dealer"))</f>
        <v/>
      </c>
      <c r="AC630" s="148"/>
      <c r="AD630" s="87"/>
      <c r="AE630" s="87"/>
      <c r="AF630" s="87" t="str">
        <f>IF($A630="","",IF($AK630=TRUE,"Ready 2 Submit","Waiting on Dealer"))</f>
        <v/>
      </c>
      <c r="AG630" s="148"/>
      <c r="AH630" s="87"/>
      <c r="AI630" s="87"/>
      <c r="AJ630" s="197"/>
      <c r="AK630" s="110" t="b">
        <v>0</v>
      </c>
      <c r="AL630" s="87" t="str" cm="1">
        <f t="array" ref="AL630">IF($A630="","",SUMPRODUCT((CHOOSE({1,2,3,4,5},$R630,$V630,$Z630,$AD630,$AH630)="Yes")*(((CHOOSE({1,2,3,4,5},$S630,$W630,$AA630,$AE630,$AI630)="Yes")+(CHOOSE({1,2,3,4,5},$S630,$W630,$AA630,$AE630,$AI630)=TRUE))&gt;0)))</f>
        <v/>
      </c>
      <c r="AM630" s="87"/>
      <c r="AN630" s="87" t="str">
        <f ca="1">IF(OR($A630="",$AM630=""),"",TODAY()-$AM630)</f>
        <v/>
      </c>
      <c r="AO630" s="87"/>
      <c r="AP630" s="106"/>
      <c r="AQ630" s="106"/>
      <c r="AR630" s="106"/>
      <c r="AS630" s="106"/>
      <c r="AT630" s="106"/>
      <c r="AU630" s="106"/>
      <c r="AV630" s="106"/>
      <c r="AW630" s="106"/>
      <c r="AX630" s="106"/>
      <c r="AY630" s="106"/>
    </row>
    <row r="631" spans="1:51" s="20" customFormat="1" ht="21" customHeight="1">
      <c r="A631" s="197"/>
      <c r="B631" s="87"/>
      <c r="C631" s="87"/>
      <c r="D631" s="196"/>
      <c r="E631" s="108"/>
      <c r="F631" s="196"/>
      <c r="G631" s="87"/>
      <c r="H631" s="197"/>
      <c r="I631" s="89"/>
      <c r="J631" s="204"/>
      <c r="K631" s="87"/>
      <c r="L631" s="87" t="str" cm="1">
        <f t="array" ref="L631">IF($A631="","",_xlfn.LET(_xlpm.stat,CHOOSE({1,2,3,4,5},$P631,$T631,$X631,$AB631,$AF631),_xlpm.rate,CHOOSE({1,2,3,4,5},$R631,$V631,$Z631,$AD631,$AH631),_xlpm.trn,CHOOSE({1,2,3,4,5},$S631,$W631,$AA631,$AE631,$AI631),_xlpm.nsC,SUMPRODUCT(--(_xlpm.stat="Ready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DLR",IF(AND(_xlpm.actRS&gt;0,_xlpm.actDone&lt;_xlpm.actRS),"Training",IF(_xlpm.actRS&gt;0,"Active",IF(AND(_xlpm.decC&gt;0,_xlpm.inPlay+_xlpm.actC=0),"Dead",IF(AND($AJ631&lt;&gt;"",$AK631=FALSE),"Waiting on Dealer",IF(_xlpm.subC&gt;0,"Waiting on Lender",IF(AND(_xlpm.appC+_xlpm.actC&gt;0,_xlpm.nsC+_xlpm.wdC=0),"Rate Sheet","Application Submitted")))))))))</f>
        <v/>
      </c>
      <c r="M631" s="87"/>
      <c r="N631" s="87"/>
      <c r="O631" s="197"/>
      <c r="P631" s="87" t="str">
        <f>IF($A631="","",IF($AK631=TRUE,"Ready 2 Submit","Waiting on Dealer"))</f>
        <v/>
      </c>
      <c r="Q631" s="148"/>
      <c r="R631" s="87"/>
      <c r="S631" s="87"/>
      <c r="T631" s="87" t="str">
        <f>IF($A631="","",IF($AK631=TRUE,"Ready 2 Submit","Waiting on Dealer"))</f>
        <v/>
      </c>
      <c r="U631" s="148"/>
      <c r="V631" s="87"/>
      <c r="W631" s="87"/>
      <c r="X631" s="87" t="str">
        <f>IF($A631="","",IF($AK631=TRUE,"Ready 2 Submit","Waiting on Dealer"))</f>
        <v/>
      </c>
      <c r="Y631" s="148"/>
      <c r="Z631" s="87"/>
      <c r="AA631" s="87"/>
      <c r="AB631" s="87" t="str">
        <f>IF($A631="","",IF($AK631=TRUE,"Ready 2 Submit","Waiting on Dealer"))</f>
        <v/>
      </c>
      <c r="AC631" s="148"/>
      <c r="AD631" s="87"/>
      <c r="AE631" s="87"/>
      <c r="AF631" s="87" t="str">
        <f>IF($A631="","",IF($AK631=TRUE,"Ready 2 Submit","Waiting on Dealer"))</f>
        <v/>
      </c>
      <c r="AG631" s="148"/>
      <c r="AH631" s="87"/>
      <c r="AI631" s="87"/>
      <c r="AJ631" s="197"/>
      <c r="AK631" s="110" t="b">
        <v>0</v>
      </c>
      <c r="AL631" s="87" t="str" cm="1">
        <f t="array" ref="AL631">IF($A631="","",SUMPRODUCT((CHOOSE({1,2,3,4,5},$R631,$V631,$Z631,$AD631,$AH631)="Yes")*(((CHOOSE({1,2,3,4,5},$S631,$W631,$AA631,$AE631,$AI631)="Yes")+(CHOOSE({1,2,3,4,5},$S631,$W631,$AA631,$AE631,$AI631)=TRUE))&gt;0)))</f>
        <v/>
      </c>
      <c r="AM631" s="87"/>
      <c r="AN631" s="87" t="str">
        <f ca="1">IF(OR($A631="",$AM631=""),"",TODAY()-$AM631)</f>
        <v/>
      </c>
      <c r="AO631" s="87"/>
      <c r="AP631" s="106"/>
      <c r="AQ631" s="106"/>
      <c r="AR631" s="106"/>
      <c r="AS631" s="106"/>
      <c r="AT631" s="106"/>
      <c r="AU631" s="106"/>
      <c r="AV631" s="106"/>
      <c r="AW631" s="106"/>
      <c r="AX631" s="106"/>
      <c r="AY631" s="106"/>
    </row>
    <row r="632" spans="1:51" s="20" customFormat="1" ht="21" customHeight="1">
      <c r="A632" s="197"/>
      <c r="B632" s="87"/>
      <c r="C632" s="87"/>
      <c r="D632" s="196"/>
      <c r="E632" s="108"/>
      <c r="F632" s="196"/>
      <c r="G632" s="87"/>
      <c r="H632" s="197"/>
      <c r="I632" s="89"/>
      <c r="J632" s="204"/>
      <c r="K632" s="87"/>
      <c r="L632" s="87" t="str" cm="1">
        <f t="array" ref="L632">IF($A632="","",_xlfn.LET(_xlpm.stat,CHOOSE({1,2,3,4,5},$P632,$T632,$X632,$AB632,$AF632),_xlpm.rate,CHOOSE({1,2,3,4,5},$R632,$V632,$Z632,$AD632,$AH632),_xlpm.trn,CHOOSE({1,2,3,4,5},$S632,$W632,$AA632,$AE632,$AI632),_xlpm.nsC,SUMPRODUCT(--(_xlpm.stat="Ready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DLR",IF(AND(_xlpm.actRS&gt;0,_xlpm.actDone&lt;_xlpm.actRS),"Training",IF(_xlpm.actRS&gt;0,"Active",IF(AND(_xlpm.decC&gt;0,_xlpm.inPlay+_xlpm.actC=0),"Dead",IF(AND($AJ632&lt;&gt;"",$AK632=FALSE),"Waiting on Dealer",IF(_xlpm.subC&gt;0,"Waiting on Lender",IF(AND(_xlpm.appC+_xlpm.actC&gt;0,_xlpm.nsC+_xlpm.wdC=0),"Rate Sheet","Application Submitted")))))))))</f>
        <v/>
      </c>
      <c r="M632" s="87"/>
      <c r="N632" s="87"/>
      <c r="O632" s="197"/>
      <c r="P632" s="87" t="str">
        <f>IF($A632="","",IF($AK632=TRUE,"Ready 2 Submit","Waiting on Dealer"))</f>
        <v/>
      </c>
      <c r="Q632" s="148"/>
      <c r="R632" s="87"/>
      <c r="S632" s="87"/>
      <c r="T632" s="87" t="str">
        <f>IF($A632="","",IF($AK632=TRUE,"Ready 2 Submit","Waiting on Dealer"))</f>
        <v/>
      </c>
      <c r="U632" s="148"/>
      <c r="V632" s="87"/>
      <c r="W632" s="87"/>
      <c r="X632" s="87" t="str">
        <f>IF($A632="","",IF($AK632=TRUE,"Ready 2 Submit","Waiting on Dealer"))</f>
        <v/>
      </c>
      <c r="Y632" s="148"/>
      <c r="Z632" s="87"/>
      <c r="AA632" s="87"/>
      <c r="AB632" s="87" t="str">
        <f>IF($A632="","",IF($AK632=TRUE,"Ready 2 Submit","Waiting on Dealer"))</f>
        <v/>
      </c>
      <c r="AC632" s="148"/>
      <c r="AD632" s="87"/>
      <c r="AE632" s="87"/>
      <c r="AF632" s="87" t="str">
        <f>IF($A632="","",IF($AK632=TRUE,"Ready 2 Submit","Waiting on Dealer"))</f>
        <v/>
      </c>
      <c r="AG632" s="148"/>
      <c r="AH632" s="87"/>
      <c r="AI632" s="87"/>
      <c r="AJ632" s="197"/>
      <c r="AK632" s="110" t="b">
        <v>0</v>
      </c>
      <c r="AL632" s="87" t="str" cm="1">
        <f t="array" ref="AL632">IF($A632="","",SUMPRODUCT((CHOOSE({1,2,3,4,5},$R632,$V632,$Z632,$AD632,$AH632)="Yes")*(((CHOOSE({1,2,3,4,5},$S632,$W632,$AA632,$AE632,$AI632)="Yes")+(CHOOSE({1,2,3,4,5},$S632,$W632,$AA632,$AE632,$AI632)=TRUE))&gt;0)))</f>
        <v/>
      </c>
      <c r="AM632" s="87"/>
      <c r="AN632" s="87" t="str">
        <f ca="1">IF(OR($A632="",$AM632=""),"",TODAY()-$AM632)</f>
        <v/>
      </c>
      <c r="AO632" s="87"/>
      <c r="AP632" s="106"/>
      <c r="AQ632" s="106"/>
      <c r="AR632" s="106"/>
      <c r="AS632" s="106"/>
      <c r="AT632" s="106"/>
      <c r="AU632" s="106"/>
      <c r="AV632" s="106"/>
      <c r="AW632" s="106"/>
      <c r="AX632" s="106"/>
      <c r="AY632" s="106"/>
    </row>
    <row r="633" spans="1:51" s="20" customFormat="1" ht="21" customHeight="1">
      <c r="A633" s="197"/>
      <c r="B633" s="87"/>
      <c r="C633" s="87"/>
      <c r="D633" s="196"/>
      <c r="E633" s="108"/>
      <c r="F633" s="196"/>
      <c r="G633" s="87"/>
      <c r="H633" s="197"/>
      <c r="I633" s="89"/>
      <c r="J633" s="204"/>
      <c r="K633" s="87"/>
      <c r="L633" s="87" t="str" cm="1">
        <f t="array" ref="L633">IF($A633="","",_xlfn.LET(_xlpm.stat,CHOOSE({1,2,3,4,5},$P633,$T633,$X633,$AB633,$AF633),_xlpm.rate,CHOOSE({1,2,3,4,5},$R633,$V633,$Z633,$AD633,$AH633),_xlpm.trn,CHOOSE({1,2,3,4,5},$S633,$W633,$AA633,$AE633,$AI633),_xlpm.nsC,SUMPRODUCT(--(_xlpm.stat="Ready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DLR",IF(AND(_xlpm.actRS&gt;0,_xlpm.actDone&lt;_xlpm.actRS),"Training",IF(_xlpm.actRS&gt;0,"Active",IF(AND(_xlpm.decC&gt;0,_xlpm.inPlay+_xlpm.actC=0),"Dead",IF(AND($AJ633&lt;&gt;"",$AK633=FALSE),"Waiting on Dealer",IF(_xlpm.subC&gt;0,"Waiting on Lender",IF(AND(_xlpm.appC+_xlpm.actC&gt;0,_xlpm.nsC+_xlpm.wdC=0),"Rate Sheet","Application Submitted")))))))))</f>
        <v/>
      </c>
      <c r="M633" s="87"/>
      <c r="N633" s="87"/>
      <c r="O633" s="197"/>
      <c r="P633" s="87" t="str">
        <f>IF($A633="","",IF($AK633=TRUE,"Ready 2 Submit","Waiting on Dealer"))</f>
        <v/>
      </c>
      <c r="Q633" s="148"/>
      <c r="R633" s="87"/>
      <c r="S633" s="87"/>
      <c r="T633" s="87" t="str">
        <f>IF($A633="","",IF($AK633=TRUE,"Ready 2 Submit","Waiting on Dealer"))</f>
        <v/>
      </c>
      <c r="U633" s="148"/>
      <c r="V633" s="87"/>
      <c r="W633" s="87"/>
      <c r="X633" s="87" t="str">
        <f>IF($A633="","",IF($AK633=TRUE,"Ready 2 Submit","Waiting on Dealer"))</f>
        <v/>
      </c>
      <c r="Y633" s="148"/>
      <c r="Z633" s="87"/>
      <c r="AA633" s="87"/>
      <c r="AB633" s="87" t="str">
        <f>IF($A633="","",IF($AK633=TRUE,"Ready 2 Submit","Waiting on Dealer"))</f>
        <v/>
      </c>
      <c r="AC633" s="148"/>
      <c r="AD633" s="87"/>
      <c r="AE633" s="87"/>
      <c r="AF633" s="87" t="str">
        <f>IF($A633="","",IF($AK633=TRUE,"Ready 2 Submit","Waiting on Dealer"))</f>
        <v/>
      </c>
      <c r="AG633" s="148"/>
      <c r="AH633" s="87"/>
      <c r="AI633" s="87"/>
      <c r="AJ633" s="197"/>
      <c r="AK633" s="110" t="b">
        <v>0</v>
      </c>
      <c r="AL633" s="87" t="str" cm="1">
        <f t="array" ref="AL633">IF($A633="","",SUMPRODUCT((CHOOSE({1,2,3,4,5},$R633,$V633,$Z633,$AD633,$AH633)="Yes")*(((CHOOSE({1,2,3,4,5},$S633,$W633,$AA633,$AE633,$AI633)="Yes")+(CHOOSE({1,2,3,4,5},$S633,$W633,$AA633,$AE633,$AI633)=TRUE))&gt;0)))</f>
        <v/>
      </c>
      <c r="AM633" s="87"/>
      <c r="AN633" s="87" t="str">
        <f ca="1">IF(OR($A633="",$AM633=""),"",TODAY()-$AM633)</f>
        <v/>
      </c>
      <c r="AO633" s="87"/>
      <c r="AP633" s="106"/>
      <c r="AQ633" s="106"/>
      <c r="AR633" s="106"/>
      <c r="AS633" s="106"/>
      <c r="AT633" s="106"/>
      <c r="AU633" s="106"/>
      <c r="AV633" s="106"/>
      <c r="AW633" s="106"/>
      <c r="AX633" s="106"/>
      <c r="AY633" s="106"/>
    </row>
    <row r="634" spans="1:51" s="20" customFormat="1" ht="21" customHeight="1">
      <c r="A634" s="197"/>
      <c r="B634" s="87"/>
      <c r="C634" s="87"/>
      <c r="D634" s="196"/>
      <c r="E634" s="108"/>
      <c r="F634" s="196"/>
      <c r="G634" s="87"/>
      <c r="H634" s="197"/>
      <c r="I634" s="89"/>
      <c r="J634" s="204"/>
      <c r="K634" s="87"/>
      <c r="L634" s="87" t="str" cm="1">
        <f t="array" ref="L634">IF($A634="","",_xlfn.LET(_xlpm.stat,CHOOSE({1,2,3,4,5},$P634,$T634,$X634,$AB634,$AF634),_xlpm.rate,CHOOSE({1,2,3,4,5},$R634,$V634,$Z634,$AD634,$AH634),_xlpm.trn,CHOOSE({1,2,3,4,5},$S634,$W634,$AA634,$AE634,$AI634),_xlpm.nsC,SUMPRODUCT(--(_xlpm.stat="Ready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DLR",IF(AND(_xlpm.actRS&gt;0,_xlpm.actDone&lt;_xlpm.actRS),"Training",IF(_xlpm.actRS&gt;0,"Active",IF(AND(_xlpm.decC&gt;0,_xlpm.inPlay+_xlpm.actC=0),"Dead",IF(AND($AJ634&lt;&gt;"",$AK634=FALSE),"Waiting on Dealer",IF(_xlpm.subC&gt;0,"Waiting on Lender",IF(AND(_xlpm.appC+_xlpm.actC&gt;0,_xlpm.nsC+_xlpm.wdC=0),"Rate Sheet","Application Submitted")))))))))</f>
        <v/>
      </c>
      <c r="M634" s="87"/>
      <c r="N634" s="87"/>
      <c r="O634" s="197"/>
      <c r="P634" s="87" t="str">
        <f>IF($A634="","",IF($AK634=TRUE,"Ready 2 Submit","Waiting on Dealer"))</f>
        <v/>
      </c>
      <c r="Q634" s="148"/>
      <c r="R634" s="87"/>
      <c r="S634" s="87"/>
      <c r="T634" s="87" t="str">
        <f>IF($A634="","",IF($AK634=TRUE,"Ready 2 Submit","Waiting on Dealer"))</f>
        <v/>
      </c>
      <c r="U634" s="148"/>
      <c r="V634" s="87"/>
      <c r="W634" s="87"/>
      <c r="X634" s="87" t="str">
        <f>IF($A634="","",IF($AK634=TRUE,"Ready 2 Submit","Waiting on Dealer"))</f>
        <v/>
      </c>
      <c r="Y634" s="148"/>
      <c r="Z634" s="87"/>
      <c r="AA634" s="87"/>
      <c r="AB634" s="87" t="str">
        <f>IF($A634="","",IF($AK634=TRUE,"Ready 2 Submit","Waiting on Dealer"))</f>
        <v/>
      </c>
      <c r="AC634" s="148"/>
      <c r="AD634" s="87"/>
      <c r="AE634" s="87"/>
      <c r="AF634" s="87" t="str">
        <f>IF($A634="","",IF($AK634=TRUE,"Ready 2 Submit","Waiting on Dealer"))</f>
        <v/>
      </c>
      <c r="AG634" s="148"/>
      <c r="AH634" s="87"/>
      <c r="AI634" s="87"/>
      <c r="AJ634" s="197"/>
      <c r="AK634" s="110" t="b">
        <v>0</v>
      </c>
      <c r="AL634" s="87" t="str" cm="1">
        <f t="array" ref="AL634">IF($A634="","",SUMPRODUCT((CHOOSE({1,2,3,4,5},$R634,$V634,$Z634,$AD634,$AH634)="Yes")*(((CHOOSE({1,2,3,4,5},$S634,$W634,$AA634,$AE634,$AI634)="Yes")+(CHOOSE({1,2,3,4,5},$S634,$W634,$AA634,$AE634,$AI634)=TRUE))&gt;0)))</f>
        <v/>
      </c>
      <c r="AM634" s="87"/>
      <c r="AN634" s="87" t="str">
        <f ca="1">IF(OR($A634="",$AM634=""),"",TODAY()-$AM634)</f>
        <v/>
      </c>
      <c r="AO634" s="87"/>
      <c r="AP634" s="106"/>
      <c r="AQ634" s="106"/>
      <c r="AR634" s="106"/>
      <c r="AS634" s="106"/>
      <c r="AT634" s="106"/>
      <c r="AU634" s="106"/>
      <c r="AV634" s="106"/>
      <c r="AW634" s="106"/>
      <c r="AX634" s="106"/>
      <c r="AY634" s="106"/>
    </row>
    <row r="635" spans="1:51" s="20" customFormat="1" ht="21" customHeight="1">
      <c r="A635" s="197"/>
      <c r="B635" s="87"/>
      <c r="C635" s="87"/>
      <c r="D635" s="196"/>
      <c r="E635" s="108"/>
      <c r="F635" s="196"/>
      <c r="G635" s="87"/>
      <c r="H635" s="197"/>
      <c r="I635" s="89"/>
      <c r="J635" s="204"/>
      <c r="K635" s="87"/>
      <c r="L635" s="87" t="str" cm="1">
        <f t="array" ref="L635">IF($A635="","",_xlfn.LET(_xlpm.stat,CHOOSE({1,2,3,4,5},$P635,$T635,$X635,$AB635,$AF635),_xlpm.rate,CHOOSE({1,2,3,4,5},$R635,$V635,$Z635,$AD635,$AH635),_xlpm.trn,CHOOSE({1,2,3,4,5},$S635,$W635,$AA635,$AE635,$AI635),_xlpm.nsC,SUMPRODUCT(--(_xlpm.stat="Ready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DLR",IF(AND(_xlpm.actRS&gt;0,_xlpm.actDone&lt;_xlpm.actRS),"Training",IF(_xlpm.actRS&gt;0,"Active",IF(AND(_xlpm.decC&gt;0,_xlpm.inPlay+_xlpm.actC=0),"Dead",IF(AND($AJ635&lt;&gt;"",$AK635=FALSE),"Waiting on Dealer",IF(_xlpm.subC&gt;0,"Waiting on Lender",IF(AND(_xlpm.appC+_xlpm.actC&gt;0,_xlpm.nsC+_xlpm.wdC=0),"Rate Sheet","Application Submitted")))))))))</f>
        <v/>
      </c>
      <c r="M635" s="87"/>
      <c r="N635" s="87"/>
      <c r="O635" s="197"/>
      <c r="P635" s="87" t="str">
        <f>IF($A635="","",IF($AK635=TRUE,"Ready 2 Submit","Waiting on Dealer"))</f>
        <v/>
      </c>
      <c r="Q635" s="148"/>
      <c r="R635" s="87"/>
      <c r="S635" s="87"/>
      <c r="T635" s="87" t="str">
        <f>IF($A635="","",IF($AK635=TRUE,"Ready 2 Submit","Waiting on Dealer"))</f>
        <v/>
      </c>
      <c r="U635" s="148"/>
      <c r="V635" s="87"/>
      <c r="W635" s="87"/>
      <c r="X635" s="87" t="str">
        <f>IF($A635="","",IF($AK635=TRUE,"Ready 2 Submit","Waiting on Dealer"))</f>
        <v/>
      </c>
      <c r="Y635" s="148"/>
      <c r="Z635" s="87"/>
      <c r="AA635" s="87"/>
      <c r="AB635" s="87" t="str">
        <f>IF($A635="","",IF($AK635=TRUE,"Ready 2 Submit","Waiting on Dealer"))</f>
        <v/>
      </c>
      <c r="AC635" s="148"/>
      <c r="AD635" s="87"/>
      <c r="AE635" s="87"/>
      <c r="AF635" s="87" t="str">
        <f>IF($A635="","",IF($AK635=TRUE,"Ready 2 Submit","Waiting on Dealer"))</f>
        <v/>
      </c>
      <c r="AG635" s="148"/>
      <c r="AH635" s="87"/>
      <c r="AI635" s="87"/>
      <c r="AJ635" s="197"/>
      <c r="AK635" s="110" t="b">
        <v>0</v>
      </c>
      <c r="AL635" s="87" t="str" cm="1">
        <f t="array" ref="AL635">IF($A635="","",SUMPRODUCT((CHOOSE({1,2,3,4,5},$R635,$V635,$Z635,$AD635,$AH635)="Yes")*(((CHOOSE({1,2,3,4,5},$S635,$W635,$AA635,$AE635,$AI635)="Yes")+(CHOOSE({1,2,3,4,5},$S635,$W635,$AA635,$AE635,$AI635)=TRUE))&gt;0)))</f>
        <v/>
      </c>
      <c r="AM635" s="87"/>
      <c r="AN635" s="87" t="str">
        <f ca="1">IF(OR($A635="",$AM635=""),"",TODAY()-$AM635)</f>
        <v/>
      </c>
      <c r="AO635" s="87"/>
      <c r="AP635" s="106"/>
      <c r="AQ635" s="106"/>
      <c r="AR635" s="106"/>
      <c r="AS635" s="106"/>
      <c r="AT635" s="106"/>
      <c r="AU635" s="106"/>
      <c r="AV635" s="106"/>
      <c r="AW635" s="106"/>
      <c r="AX635" s="106"/>
      <c r="AY635" s="106"/>
    </row>
    <row r="636" spans="1:51" s="20" customFormat="1" ht="21" customHeight="1">
      <c r="A636" s="197"/>
      <c r="B636" s="87"/>
      <c r="C636" s="87"/>
      <c r="D636" s="196"/>
      <c r="E636" s="108"/>
      <c r="F636" s="196"/>
      <c r="G636" s="87"/>
      <c r="H636" s="197"/>
      <c r="I636" s="89"/>
      <c r="J636" s="204"/>
      <c r="K636" s="87"/>
      <c r="L636" s="87" t="str" cm="1">
        <f t="array" ref="L636">IF($A636="","",_xlfn.LET(_xlpm.stat,CHOOSE({1,2,3,4,5},$P636,$T636,$X636,$AB636,$AF636),_xlpm.rate,CHOOSE({1,2,3,4,5},$R636,$V636,$Z636,$AD636,$AH636),_xlpm.trn,CHOOSE({1,2,3,4,5},$S636,$W636,$AA636,$AE636,$AI636),_xlpm.nsC,SUMPRODUCT(--(_xlpm.stat="Ready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DLR",IF(AND(_xlpm.actRS&gt;0,_xlpm.actDone&lt;_xlpm.actRS),"Training",IF(_xlpm.actRS&gt;0,"Active",IF(AND(_xlpm.decC&gt;0,_xlpm.inPlay+_xlpm.actC=0),"Dead",IF(AND($AJ636&lt;&gt;"",$AK636=FALSE),"Waiting on Dealer",IF(_xlpm.subC&gt;0,"Waiting on Lender",IF(AND(_xlpm.appC+_xlpm.actC&gt;0,_xlpm.nsC+_xlpm.wdC=0),"Rate Sheet","Application Submitted")))))))))</f>
        <v/>
      </c>
      <c r="M636" s="87"/>
      <c r="N636" s="87"/>
      <c r="O636" s="197"/>
      <c r="P636" s="87" t="str">
        <f>IF($A636="","",IF($AK636=TRUE,"Ready 2 Submit","Waiting on Dealer"))</f>
        <v/>
      </c>
      <c r="Q636" s="148"/>
      <c r="R636" s="87"/>
      <c r="S636" s="87"/>
      <c r="T636" s="87" t="str">
        <f>IF($A636="","",IF($AK636=TRUE,"Ready 2 Submit","Waiting on Dealer"))</f>
        <v/>
      </c>
      <c r="U636" s="148"/>
      <c r="V636" s="87"/>
      <c r="W636" s="87"/>
      <c r="X636" s="87" t="str">
        <f>IF($A636="","",IF($AK636=TRUE,"Ready 2 Submit","Waiting on Dealer"))</f>
        <v/>
      </c>
      <c r="Y636" s="148"/>
      <c r="Z636" s="87"/>
      <c r="AA636" s="87"/>
      <c r="AB636" s="87" t="str">
        <f>IF($A636="","",IF($AK636=TRUE,"Ready 2 Submit","Waiting on Dealer"))</f>
        <v/>
      </c>
      <c r="AC636" s="148"/>
      <c r="AD636" s="87"/>
      <c r="AE636" s="87"/>
      <c r="AF636" s="87" t="str">
        <f>IF($A636="","",IF($AK636=TRUE,"Ready 2 Submit","Waiting on Dealer"))</f>
        <v/>
      </c>
      <c r="AG636" s="148"/>
      <c r="AH636" s="87"/>
      <c r="AI636" s="87"/>
      <c r="AJ636" s="197"/>
      <c r="AK636" s="110" t="b">
        <v>0</v>
      </c>
      <c r="AL636" s="87" t="str" cm="1">
        <f t="array" ref="AL636">IF($A636="","",SUMPRODUCT((CHOOSE({1,2,3,4,5},$R636,$V636,$Z636,$AD636,$AH636)="Yes")*(((CHOOSE({1,2,3,4,5},$S636,$W636,$AA636,$AE636,$AI636)="Yes")+(CHOOSE({1,2,3,4,5},$S636,$W636,$AA636,$AE636,$AI636)=TRUE))&gt;0)))</f>
        <v/>
      </c>
      <c r="AM636" s="87"/>
      <c r="AN636" s="87" t="str">
        <f ca="1">IF(OR($A636="",$AM636=""),"",TODAY()-$AM636)</f>
        <v/>
      </c>
      <c r="AO636" s="87"/>
      <c r="AP636" s="106"/>
      <c r="AQ636" s="106"/>
      <c r="AR636" s="106"/>
      <c r="AS636" s="106"/>
      <c r="AT636" s="106"/>
      <c r="AU636" s="106"/>
      <c r="AV636" s="106"/>
      <c r="AW636" s="106"/>
      <c r="AX636" s="106"/>
      <c r="AY636" s="106"/>
    </row>
    <row r="637" spans="1:51" s="20" customFormat="1" ht="21" customHeight="1">
      <c r="A637" s="197"/>
      <c r="B637" s="87"/>
      <c r="C637" s="87"/>
      <c r="D637" s="196"/>
      <c r="E637" s="108"/>
      <c r="F637" s="196"/>
      <c r="G637" s="87"/>
      <c r="H637" s="197"/>
      <c r="I637" s="89"/>
      <c r="J637" s="204"/>
      <c r="K637" s="87"/>
      <c r="L637" s="87" t="str" cm="1">
        <f t="array" ref="L637">IF($A637="","",_xlfn.LET(_xlpm.stat,CHOOSE({1,2,3,4,5},$P637,$T637,$X637,$AB637,$AF637),_xlpm.rate,CHOOSE({1,2,3,4,5},$R637,$V637,$Z637,$AD637,$AH637),_xlpm.trn,CHOOSE({1,2,3,4,5},$S637,$W637,$AA637,$AE637,$AI637),_xlpm.nsC,SUMPRODUCT(--(_xlpm.stat="Ready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DLR",IF(AND(_xlpm.actRS&gt;0,_xlpm.actDone&lt;_xlpm.actRS),"Training",IF(_xlpm.actRS&gt;0,"Active",IF(AND(_xlpm.decC&gt;0,_xlpm.inPlay+_xlpm.actC=0),"Dead",IF(AND($AJ637&lt;&gt;"",$AK637=FALSE),"Waiting on Dealer",IF(_xlpm.subC&gt;0,"Waiting on Lender",IF(AND(_xlpm.appC+_xlpm.actC&gt;0,_xlpm.nsC+_xlpm.wdC=0),"Rate Sheet","Application Submitted")))))))))</f>
        <v/>
      </c>
      <c r="M637" s="87"/>
      <c r="N637" s="87"/>
      <c r="O637" s="197"/>
      <c r="P637" s="87" t="str">
        <f>IF($A637="","",IF($AK637=TRUE,"Ready 2 Submit","Waiting on Dealer"))</f>
        <v/>
      </c>
      <c r="Q637" s="148"/>
      <c r="R637" s="87"/>
      <c r="S637" s="87"/>
      <c r="T637" s="87" t="str">
        <f>IF($A637="","",IF($AK637=TRUE,"Ready 2 Submit","Waiting on Dealer"))</f>
        <v/>
      </c>
      <c r="U637" s="148"/>
      <c r="V637" s="87"/>
      <c r="W637" s="87"/>
      <c r="X637" s="87" t="str">
        <f>IF($A637="","",IF($AK637=TRUE,"Ready 2 Submit","Waiting on Dealer"))</f>
        <v/>
      </c>
      <c r="Y637" s="148"/>
      <c r="Z637" s="87"/>
      <c r="AA637" s="87"/>
      <c r="AB637" s="87" t="str">
        <f>IF($A637="","",IF($AK637=TRUE,"Ready 2 Submit","Waiting on Dealer"))</f>
        <v/>
      </c>
      <c r="AC637" s="148"/>
      <c r="AD637" s="87"/>
      <c r="AE637" s="87"/>
      <c r="AF637" s="87" t="str">
        <f>IF($A637="","",IF($AK637=TRUE,"Ready 2 Submit","Waiting on Dealer"))</f>
        <v/>
      </c>
      <c r="AG637" s="148"/>
      <c r="AH637" s="87"/>
      <c r="AI637" s="87"/>
      <c r="AJ637" s="197"/>
      <c r="AK637" s="110" t="b">
        <v>0</v>
      </c>
      <c r="AL637" s="87" t="str" cm="1">
        <f t="array" ref="AL637">IF($A637="","",SUMPRODUCT((CHOOSE({1,2,3,4,5},$R637,$V637,$Z637,$AD637,$AH637)="Yes")*(((CHOOSE({1,2,3,4,5},$S637,$W637,$AA637,$AE637,$AI637)="Yes")+(CHOOSE({1,2,3,4,5},$S637,$W637,$AA637,$AE637,$AI637)=TRUE))&gt;0)))</f>
        <v/>
      </c>
      <c r="AM637" s="87"/>
      <c r="AN637" s="87" t="str">
        <f ca="1">IF(OR($A637="",$AM637=""),"",TODAY()-$AM637)</f>
        <v/>
      </c>
      <c r="AO637" s="87"/>
      <c r="AP637" s="106"/>
      <c r="AQ637" s="106"/>
      <c r="AR637" s="106"/>
      <c r="AS637" s="106"/>
      <c r="AT637" s="106"/>
      <c r="AU637" s="106"/>
      <c r="AV637" s="106"/>
      <c r="AW637" s="106"/>
      <c r="AX637" s="106"/>
      <c r="AY637" s="106"/>
    </row>
    <row r="638" spans="1:51" s="20" customFormat="1" ht="21" customHeight="1">
      <c r="A638" s="197"/>
      <c r="B638" s="87"/>
      <c r="C638" s="87"/>
      <c r="D638" s="196"/>
      <c r="E638" s="108"/>
      <c r="F638" s="196"/>
      <c r="G638" s="87"/>
      <c r="H638" s="197"/>
      <c r="I638" s="89"/>
      <c r="J638" s="204"/>
      <c r="K638" s="87"/>
      <c r="L638" s="87" t="str" cm="1">
        <f t="array" ref="L638">IF($A638="","",_xlfn.LET(_xlpm.stat,CHOOSE({1,2,3,4,5},$P638,$T638,$X638,$AB638,$AF638),_xlpm.rate,CHOOSE({1,2,3,4,5},$R638,$V638,$Z638,$AD638,$AH638),_xlpm.trn,CHOOSE({1,2,3,4,5},$S638,$W638,$AA638,$AE638,$AI638),_xlpm.nsC,SUMPRODUCT(--(_xlpm.stat="Ready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DLR",IF(AND(_xlpm.actRS&gt;0,_xlpm.actDone&lt;_xlpm.actRS),"Training",IF(_xlpm.actRS&gt;0,"Active",IF(AND(_xlpm.decC&gt;0,_xlpm.inPlay+_xlpm.actC=0),"Dead",IF(AND($AJ638&lt;&gt;"",$AK638=FALSE),"Waiting on Dealer",IF(_xlpm.subC&gt;0,"Waiting on Lender",IF(AND(_xlpm.appC+_xlpm.actC&gt;0,_xlpm.nsC+_xlpm.wdC=0),"Rate Sheet","Application Submitted")))))))))</f>
        <v/>
      </c>
      <c r="M638" s="87"/>
      <c r="N638" s="87"/>
      <c r="O638" s="197"/>
      <c r="P638" s="87" t="str">
        <f>IF($A638="","",IF($AK638=TRUE,"Ready 2 Submit","Waiting on Dealer"))</f>
        <v/>
      </c>
      <c r="Q638" s="148"/>
      <c r="R638" s="87"/>
      <c r="S638" s="87"/>
      <c r="T638" s="87" t="str">
        <f>IF($A638="","",IF($AK638=TRUE,"Ready 2 Submit","Waiting on Dealer"))</f>
        <v/>
      </c>
      <c r="U638" s="148"/>
      <c r="V638" s="87"/>
      <c r="W638" s="87"/>
      <c r="X638" s="87" t="str">
        <f>IF($A638="","",IF($AK638=TRUE,"Ready 2 Submit","Waiting on Dealer"))</f>
        <v/>
      </c>
      <c r="Y638" s="148"/>
      <c r="Z638" s="87"/>
      <c r="AA638" s="87"/>
      <c r="AB638" s="87" t="str">
        <f>IF($A638="","",IF($AK638=TRUE,"Ready 2 Submit","Waiting on Dealer"))</f>
        <v/>
      </c>
      <c r="AC638" s="148"/>
      <c r="AD638" s="87"/>
      <c r="AE638" s="87"/>
      <c r="AF638" s="87" t="str">
        <f>IF($A638="","",IF($AK638=TRUE,"Ready 2 Submit","Waiting on Dealer"))</f>
        <v/>
      </c>
      <c r="AG638" s="148"/>
      <c r="AH638" s="87"/>
      <c r="AI638" s="87"/>
      <c r="AJ638" s="197"/>
      <c r="AK638" s="110" t="b">
        <v>0</v>
      </c>
      <c r="AL638" s="87" t="str" cm="1">
        <f t="array" ref="AL638">IF($A638="","",SUMPRODUCT((CHOOSE({1,2,3,4,5},$R638,$V638,$Z638,$AD638,$AH638)="Yes")*(((CHOOSE({1,2,3,4,5},$S638,$W638,$AA638,$AE638,$AI638)="Yes")+(CHOOSE({1,2,3,4,5},$S638,$W638,$AA638,$AE638,$AI638)=TRUE))&gt;0)))</f>
        <v/>
      </c>
      <c r="AM638" s="87"/>
      <c r="AN638" s="87" t="str">
        <f ca="1">IF(OR($A638="",$AM638=""),"",TODAY()-$AM638)</f>
        <v/>
      </c>
      <c r="AO638" s="87"/>
      <c r="AP638" s="106"/>
      <c r="AQ638" s="106"/>
      <c r="AR638" s="106"/>
      <c r="AS638" s="106"/>
      <c r="AT638" s="106"/>
      <c r="AU638" s="106"/>
      <c r="AV638" s="106"/>
      <c r="AW638" s="106"/>
      <c r="AX638" s="106"/>
      <c r="AY638" s="106"/>
    </row>
    <row r="639" spans="1:51" s="20" customFormat="1" ht="21" customHeight="1">
      <c r="A639" s="197"/>
      <c r="B639" s="87"/>
      <c r="C639" s="87"/>
      <c r="D639" s="196"/>
      <c r="E639" s="108"/>
      <c r="F639" s="196"/>
      <c r="G639" s="87"/>
      <c r="H639" s="197"/>
      <c r="I639" s="89"/>
      <c r="J639" s="204"/>
      <c r="K639" s="87"/>
      <c r="L639" s="87" t="str" cm="1">
        <f t="array" ref="L639">IF($A639="","",_xlfn.LET(_xlpm.stat,CHOOSE({1,2,3,4,5},$P639,$T639,$X639,$AB639,$AF639),_xlpm.rate,CHOOSE({1,2,3,4,5},$R639,$V639,$Z639,$AD639,$AH639),_xlpm.trn,CHOOSE({1,2,3,4,5},$S639,$W639,$AA639,$AE639,$AI639),_xlpm.nsC,SUMPRODUCT(--(_xlpm.stat="Ready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DLR",IF(AND(_xlpm.actRS&gt;0,_xlpm.actDone&lt;_xlpm.actRS),"Training",IF(_xlpm.actRS&gt;0,"Active",IF(AND(_xlpm.decC&gt;0,_xlpm.inPlay+_xlpm.actC=0),"Dead",IF(AND($AJ639&lt;&gt;"",$AK639=FALSE),"Waiting on Dealer",IF(_xlpm.subC&gt;0,"Waiting on Lender",IF(AND(_xlpm.appC+_xlpm.actC&gt;0,_xlpm.nsC+_xlpm.wdC=0),"Rate Sheet","Application Submitted")))))))))</f>
        <v/>
      </c>
      <c r="M639" s="87"/>
      <c r="N639" s="87"/>
      <c r="O639" s="197"/>
      <c r="P639" s="87" t="str">
        <f>IF($A639="","",IF($AK639=TRUE,"Ready 2 Submit","Waiting on Dealer"))</f>
        <v/>
      </c>
      <c r="Q639" s="148"/>
      <c r="R639" s="87"/>
      <c r="S639" s="87"/>
      <c r="T639" s="87" t="str">
        <f>IF($A639="","",IF($AK639=TRUE,"Ready 2 Submit","Waiting on Dealer"))</f>
        <v/>
      </c>
      <c r="U639" s="148"/>
      <c r="V639" s="87"/>
      <c r="W639" s="87"/>
      <c r="X639" s="87" t="str">
        <f>IF($A639="","",IF($AK639=TRUE,"Ready 2 Submit","Waiting on Dealer"))</f>
        <v/>
      </c>
      <c r="Y639" s="148"/>
      <c r="Z639" s="87"/>
      <c r="AA639" s="87"/>
      <c r="AB639" s="87" t="str">
        <f>IF($A639="","",IF($AK639=TRUE,"Ready 2 Submit","Waiting on Dealer"))</f>
        <v/>
      </c>
      <c r="AC639" s="148"/>
      <c r="AD639" s="87"/>
      <c r="AE639" s="87"/>
      <c r="AF639" s="87" t="str">
        <f>IF($A639="","",IF($AK639=TRUE,"Ready 2 Submit","Waiting on Dealer"))</f>
        <v/>
      </c>
      <c r="AG639" s="148"/>
      <c r="AH639" s="87"/>
      <c r="AI639" s="87"/>
      <c r="AJ639" s="197"/>
      <c r="AK639" s="110" t="b">
        <v>0</v>
      </c>
      <c r="AL639" s="87" t="str" cm="1">
        <f t="array" ref="AL639">IF($A639="","",SUMPRODUCT((CHOOSE({1,2,3,4,5},$R639,$V639,$Z639,$AD639,$AH639)="Yes")*(((CHOOSE({1,2,3,4,5},$S639,$W639,$AA639,$AE639,$AI639)="Yes")+(CHOOSE({1,2,3,4,5},$S639,$W639,$AA639,$AE639,$AI639)=TRUE))&gt;0)))</f>
        <v/>
      </c>
      <c r="AM639" s="87"/>
      <c r="AN639" s="87" t="str">
        <f ca="1">IF(OR($A639="",$AM639=""),"",TODAY()-$AM639)</f>
        <v/>
      </c>
      <c r="AO639" s="87"/>
      <c r="AP639" s="106"/>
      <c r="AQ639" s="106"/>
      <c r="AR639" s="106"/>
      <c r="AS639" s="106"/>
      <c r="AT639" s="106"/>
      <c r="AU639" s="106"/>
      <c r="AV639" s="106"/>
      <c r="AW639" s="106"/>
      <c r="AX639" s="106"/>
      <c r="AY639" s="106"/>
    </row>
    <row r="640" spans="1:51" s="20" customFormat="1" ht="21" customHeight="1">
      <c r="A640" s="197"/>
      <c r="B640" s="87"/>
      <c r="C640" s="87"/>
      <c r="D640" s="196"/>
      <c r="E640" s="108"/>
      <c r="F640" s="196"/>
      <c r="G640" s="87"/>
      <c r="H640" s="197"/>
      <c r="I640" s="89"/>
      <c r="J640" s="204"/>
      <c r="K640" s="87"/>
      <c r="L640" s="87" t="str" cm="1">
        <f t="array" ref="L640">IF($A640="","",_xlfn.LET(_xlpm.stat,CHOOSE({1,2,3,4,5},$P640,$T640,$X640,$AB640,$AF640),_xlpm.rate,CHOOSE({1,2,3,4,5},$R640,$V640,$Z640,$AD640,$AH640),_xlpm.trn,CHOOSE({1,2,3,4,5},$S640,$W640,$AA640,$AE640,$AI640),_xlpm.nsC,SUMPRODUCT(--(_xlpm.stat="Ready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DLR",IF(AND(_xlpm.actRS&gt;0,_xlpm.actDone&lt;_xlpm.actRS),"Training",IF(_xlpm.actRS&gt;0,"Active",IF(AND(_xlpm.decC&gt;0,_xlpm.inPlay+_xlpm.actC=0),"Dead",IF(AND($AJ640&lt;&gt;"",$AK640=FALSE),"Waiting on Dealer",IF(_xlpm.subC&gt;0,"Waiting on Lender",IF(AND(_xlpm.appC+_xlpm.actC&gt;0,_xlpm.nsC+_xlpm.wdC=0),"Rate Sheet","Application Submitted")))))))))</f>
        <v/>
      </c>
      <c r="M640" s="87"/>
      <c r="N640" s="87"/>
      <c r="O640" s="197"/>
      <c r="P640" s="87" t="str">
        <f>IF($A640="","",IF($AK640=TRUE,"Ready 2 Submit","Waiting on Dealer"))</f>
        <v/>
      </c>
      <c r="Q640" s="148"/>
      <c r="R640" s="87"/>
      <c r="S640" s="87"/>
      <c r="T640" s="87" t="str">
        <f>IF($A640="","",IF($AK640=TRUE,"Ready 2 Submit","Waiting on Dealer"))</f>
        <v/>
      </c>
      <c r="U640" s="148"/>
      <c r="V640" s="87"/>
      <c r="W640" s="87"/>
      <c r="X640" s="87" t="str">
        <f>IF($A640="","",IF($AK640=TRUE,"Ready 2 Submit","Waiting on Dealer"))</f>
        <v/>
      </c>
      <c r="Y640" s="148"/>
      <c r="Z640" s="87"/>
      <c r="AA640" s="87"/>
      <c r="AB640" s="87" t="str">
        <f>IF($A640="","",IF($AK640=TRUE,"Ready 2 Submit","Waiting on Dealer"))</f>
        <v/>
      </c>
      <c r="AC640" s="148"/>
      <c r="AD640" s="87"/>
      <c r="AE640" s="87"/>
      <c r="AF640" s="87" t="str">
        <f>IF($A640="","",IF($AK640=TRUE,"Ready 2 Submit","Waiting on Dealer"))</f>
        <v/>
      </c>
      <c r="AG640" s="148"/>
      <c r="AH640" s="87"/>
      <c r="AI640" s="87"/>
      <c r="AJ640" s="197"/>
      <c r="AK640" s="110" t="b">
        <v>0</v>
      </c>
      <c r="AL640" s="87" t="str" cm="1">
        <f t="array" ref="AL640">IF($A640="","",SUMPRODUCT((CHOOSE({1,2,3,4,5},$R640,$V640,$Z640,$AD640,$AH640)="Yes")*(((CHOOSE({1,2,3,4,5},$S640,$W640,$AA640,$AE640,$AI640)="Yes")+(CHOOSE({1,2,3,4,5},$S640,$W640,$AA640,$AE640,$AI640)=TRUE))&gt;0)))</f>
        <v/>
      </c>
      <c r="AM640" s="87"/>
      <c r="AN640" s="87" t="str">
        <f ca="1">IF(OR($A640="",$AM640=""),"",TODAY()-$AM640)</f>
        <v/>
      </c>
      <c r="AO640" s="87"/>
      <c r="AP640" s="106"/>
      <c r="AQ640" s="106"/>
      <c r="AR640" s="106"/>
      <c r="AS640" s="106"/>
      <c r="AT640" s="106"/>
      <c r="AU640" s="106"/>
      <c r="AV640" s="106"/>
      <c r="AW640" s="106"/>
      <c r="AX640" s="106"/>
      <c r="AY640" s="106"/>
    </row>
    <row r="641" spans="1:51" s="20" customFormat="1" ht="21" customHeight="1">
      <c r="A641" s="197"/>
      <c r="B641" s="87"/>
      <c r="C641" s="87"/>
      <c r="D641" s="196"/>
      <c r="E641" s="108"/>
      <c r="F641" s="196"/>
      <c r="G641" s="87"/>
      <c r="H641" s="197"/>
      <c r="I641" s="89"/>
      <c r="J641" s="204"/>
      <c r="K641" s="87"/>
      <c r="L641" s="87" t="str" cm="1">
        <f t="array" ref="L641">IF($A641="","",_xlfn.LET(_xlpm.stat,CHOOSE({1,2,3,4,5},$P641,$T641,$X641,$AB641,$AF641),_xlpm.rate,CHOOSE({1,2,3,4,5},$R641,$V641,$Z641,$AD641,$AH641),_xlpm.trn,CHOOSE({1,2,3,4,5},$S641,$W641,$AA641,$AE641,$AI641),_xlpm.nsC,SUMPRODUCT(--(_xlpm.stat="Ready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DLR",IF(AND(_xlpm.actRS&gt;0,_xlpm.actDone&lt;_xlpm.actRS),"Training",IF(_xlpm.actRS&gt;0,"Active",IF(AND(_xlpm.decC&gt;0,_xlpm.inPlay+_xlpm.actC=0),"Dead",IF(AND($AJ641&lt;&gt;"",$AK641=FALSE),"Waiting on Dealer",IF(_xlpm.subC&gt;0,"Waiting on Lender",IF(AND(_xlpm.appC+_xlpm.actC&gt;0,_xlpm.nsC+_xlpm.wdC=0),"Rate Sheet","Application Submitted")))))))))</f>
        <v/>
      </c>
      <c r="M641" s="87"/>
      <c r="N641" s="87"/>
      <c r="O641" s="197"/>
      <c r="P641" s="87" t="str">
        <f>IF($A641="","",IF($AK641=TRUE,"Ready 2 Submit","Waiting on Dealer"))</f>
        <v/>
      </c>
      <c r="Q641" s="148"/>
      <c r="R641" s="87"/>
      <c r="S641" s="87"/>
      <c r="T641" s="87" t="str">
        <f>IF($A641="","",IF($AK641=TRUE,"Ready 2 Submit","Waiting on Dealer"))</f>
        <v/>
      </c>
      <c r="U641" s="148"/>
      <c r="V641" s="87"/>
      <c r="W641" s="87"/>
      <c r="X641" s="87" t="str">
        <f>IF($A641="","",IF($AK641=TRUE,"Ready 2 Submit","Waiting on Dealer"))</f>
        <v/>
      </c>
      <c r="Y641" s="148"/>
      <c r="Z641" s="87"/>
      <c r="AA641" s="87"/>
      <c r="AB641" s="87" t="str">
        <f>IF($A641="","",IF($AK641=TRUE,"Ready 2 Submit","Waiting on Dealer"))</f>
        <v/>
      </c>
      <c r="AC641" s="148"/>
      <c r="AD641" s="87"/>
      <c r="AE641" s="87"/>
      <c r="AF641" s="87" t="str">
        <f>IF($A641="","",IF($AK641=TRUE,"Ready 2 Submit","Waiting on Dealer"))</f>
        <v/>
      </c>
      <c r="AG641" s="148"/>
      <c r="AH641" s="87"/>
      <c r="AI641" s="87"/>
      <c r="AJ641" s="197"/>
      <c r="AK641" s="110" t="b">
        <v>0</v>
      </c>
      <c r="AL641" s="87" t="str" cm="1">
        <f t="array" ref="AL641">IF($A641="","",SUMPRODUCT((CHOOSE({1,2,3,4,5},$R641,$V641,$Z641,$AD641,$AH641)="Yes")*(((CHOOSE({1,2,3,4,5},$S641,$W641,$AA641,$AE641,$AI641)="Yes")+(CHOOSE({1,2,3,4,5},$S641,$W641,$AA641,$AE641,$AI641)=TRUE))&gt;0)))</f>
        <v/>
      </c>
      <c r="AM641" s="87"/>
      <c r="AN641" s="87" t="str">
        <f ca="1">IF(OR($A641="",$AM641=""),"",TODAY()-$AM641)</f>
        <v/>
      </c>
      <c r="AO641" s="87"/>
      <c r="AP641" s="106"/>
      <c r="AQ641" s="106"/>
      <c r="AR641" s="106"/>
      <c r="AS641" s="106"/>
      <c r="AT641" s="106"/>
      <c r="AU641" s="106"/>
      <c r="AV641" s="106"/>
      <c r="AW641" s="106"/>
      <c r="AX641" s="106"/>
      <c r="AY641" s="106"/>
    </row>
    <row r="642" spans="1:51" s="20" customFormat="1" ht="21" customHeight="1">
      <c r="A642" s="197"/>
      <c r="B642" s="87"/>
      <c r="C642" s="87"/>
      <c r="D642" s="196"/>
      <c r="E642" s="108"/>
      <c r="F642" s="196"/>
      <c r="G642" s="87"/>
      <c r="H642" s="197"/>
      <c r="I642" s="89"/>
      <c r="J642" s="204"/>
      <c r="K642" s="87"/>
      <c r="L642" s="87" t="str" cm="1">
        <f t="array" ref="L642">IF($A642="","",_xlfn.LET(_xlpm.stat,CHOOSE({1,2,3,4,5},$P642,$T642,$X642,$AB642,$AF642),_xlpm.rate,CHOOSE({1,2,3,4,5},$R642,$V642,$Z642,$AD642,$AH642),_xlpm.trn,CHOOSE({1,2,3,4,5},$S642,$W642,$AA642,$AE642,$AI642),_xlpm.nsC,SUMPRODUCT(--(_xlpm.stat="Ready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DLR",IF(AND(_xlpm.actRS&gt;0,_xlpm.actDone&lt;_xlpm.actRS),"Training",IF(_xlpm.actRS&gt;0,"Active",IF(AND(_xlpm.decC&gt;0,_xlpm.inPlay+_xlpm.actC=0),"Dead",IF(AND($AJ642&lt;&gt;"",$AK642=FALSE),"Waiting on Dealer",IF(_xlpm.subC&gt;0,"Waiting on Lender",IF(AND(_xlpm.appC+_xlpm.actC&gt;0,_xlpm.nsC+_xlpm.wdC=0),"Rate Sheet","Application Submitted")))))))))</f>
        <v/>
      </c>
      <c r="M642" s="87"/>
      <c r="N642" s="87"/>
      <c r="O642" s="197"/>
      <c r="P642" s="87" t="str">
        <f>IF($A642="","",IF($AK642=TRUE,"Ready 2 Submit","Waiting on Dealer"))</f>
        <v/>
      </c>
      <c r="Q642" s="148"/>
      <c r="R642" s="87"/>
      <c r="S642" s="87"/>
      <c r="T642" s="87" t="str">
        <f>IF($A642="","",IF($AK642=TRUE,"Ready 2 Submit","Waiting on Dealer"))</f>
        <v/>
      </c>
      <c r="U642" s="148"/>
      <c r="V642" s="87"/>
      <c r="W642" s="87"/>
      <c r="X642" s="87" t="str">
        <f>IF($A642="","",IF($AK642=TRUE,"Ready 2 Submit","Waiting on Dealer"))</f>
        <v/>
      </c>
      <c r="Y642" s="148"/>
      <c r="Z642" s="87"/>
      <c r="AA642" s="87"/>
      <c r="AB642" s="87" t="str">
        <f>IF($A642="","",IF($AK642=TRUE,"Ready 2 Submit","Waiting on Dealer"))</f>
        <v/>
      </c>
      <c r="AC642" s="148"/>
      <c r="AD642" s="87"/>
      <c r="AE642" s="87"/>
      <c r="AF642" s="87" t="str">
        <f>IF($A642="","",IF($AK642=TRUE,"Ready 2 Submit","Waiting on Dealer"))</f>
        <v/>
      </c>
      <c r="AG642" s="148"/>
      <c r="AH642" s="87"/>
      <c r="AI642" s="87"/>
      <c r="AJ642" s="197"/>
      <c r="AK642" s="110" t="b">
        <v>0</v>
      </c>
      <c r="AL642" s="87" t="str" cm="1">
        <f t="array" ref="AL642">IF($A642="","",SUMPRODUCT((CHOOSE({1,2,3,4,5},$R642,$V642,$Z642,$AD642,$AH642)="Yes")*(((CHOOSE({1,2,3,4,5},$S642,$W642,$AA642,$AE642,$AI642)="Yes")+(CHOOSE({1,2,3,4,5},$S642,$W642,$AA642,$AE642,$AI642)=TRUE))&gt;0)))</f>
        <v/>
      </c>
      <c r="AM642" s="87"/>
      <c r="AN642" s="87" t="str">
        <f ca="1">IF(OR($A642="",$AM642=""),"",TODAY()-$AM642)</f>
        <v/>
      </c>
      <c r="AO642" s="87"/>
      <c r="AP642" s="106"/>
      <c r="AQ642" s="106"/>
      <c r="AR642" s="106"/>
      <c r="AS642" s="106"/>
      <c r="AT642" s="106"/>
      <c r="AU642" s="106"/>
      <c r="AV642" s="106"/>
      <c r="AW642" s="106"/>
      <c r="AX642" s="106"/>
      <c r="AY642" s="106"/>
    </row>
    <row r="643" spans="1:51" s="20" customFormat="1" ht="21" customHeight="1">
      <c r="A643" s="197"/>
      <c r="B643" s="87"/>
      <c r="C643" s="87"/>
      <c r="D643" s="196"/>
      <c r="E643" s="108"/>
      <c r="F643" s="196"/>
      <c r="G643" s="87"/>
      <c r="H643" s="197"/>
      <c r="I643" s="89"/>
      <c r="J643" s="204"/>
      <c r="K643" s="87"/>
      <c r="L643" s="87" t="str" cm="1">
        <f t="array" ref="L643">IF($A643="","",_xlfn.LET(_xlpm.stat,CHOOSE({1,2,3,4,5},$P643,$T643,$X643,$AB643,$AF643),_xlpm.rate,CHOOSE({1,2,3,4,5},$R643,$V643,$Z643,$AD643,$AH643),_xlpm.trn,CHOOSE({1,2,3,4,5},$S643,$W643,$AA643,$AE643,$AI643),_xlpm.nsC,SUMPRODUCT(--(_xlpm.stat="Ready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DLR",IF(AND(_xlpm.actRS&gt;0,_xlpm.actDone&lt;_xlpm.actRS),"Training",IF(_xlpm.actRS&gt;0,"Active",IF(AND(_xlpm.decC&gt;0,_xlpm.inPlay+_xlpm.actC=0),"Dead",IF(AND($AJ643&lt;&gt;"",$AK643=FALSE),"Waiting on Dealer",IF(_xlpm.subC&gt;0,"Waiting on Lender",IF(AND(_xlpm.appC+_xlpm.actC&gt;0,_xlpm.nsC+_xlpm.wdC=0),"Rate Sheet","Application Submitted")))))))))</f>
        <v/>
      </c>
      <c r="M643" s="87"/>
      <c r="N643" s="87"/>
      <c r="O643" s="197"/>
      <c r="P643" s="87" t="str">
        <f>IF($A643="","",IF($AK643=TRUE,"Ready 2 Submit","Waiting on Dealer"))</f>
        <v/>
      </c>
      <c r="Q643" s="148"/>
      <c r="R643" s="87"/>
      <c r="S643" s="87"/>
      <c r="T643" s="87" t="str">
        <f>IF($A643="","",IF($AK643=TRUE,"Ready 2 Submit","Waiting on Dealer"))</f>
        <v/>
      </c>
      <c r="U643" s="148"/>
      <c r="V643" s="87"/>
      <c r="W643" s="87"/>
      <c r="X643" s="87" t="str">
        <f>IF($A643="","",IF($AK643=TRUE,"Ready 2 Submit","Waiting on Dealer"))</f>
        <v/>
      </c>
      <c r="Y643" s="148"/>
      <c r="Z643" s="87"/>
      <c r="AA643" s="87"/>
      <c r="AB643" s="87" t="str">
        <f>IF($A643="","",IF($AK643=TRUE,"Ready 2 Submit","Waiting on Dealer"))</f>
        <v/>
      </c>
      <c r="AC643" s="148"/>
      <c r="AD643" s="87"/>
      <c r="AE643" s="87"/>
      <c r="AF643" s="87" t="str">
        <f>IF($A643="","",IF($AK643=TRUE,"Ready 2 Submit","Waiting on Dealer"))</f>
        <v/>
      </c>
      <c r="AG643" s="148"/>
      <c r="AH643" s="87"/>
      <c r="AI643" s="87"/>
      <c r="AJ643" s="197"/>
      <c r="AK643" s="110" t="b">
        <v>0</v>
      </c>
      <c r="AL643" s="87" t="str" cm="1">
        <f t="array" ref="AL643">IF($A643="","",SUMPRODUCT((CHOOSE({1,2,3,4,5},$R643,$V643,$Z643,$AD643,$AH643)="Yes")*(((CHOOSE({1,2,3,4,5},$S643,$W643,$AA643,$AE643,$AI643)="Yes")+(CHOOSE({1,2,3,4,5},$S643,$W643,$AA643,$AE643,$AI643)=TRUE))&gt;0)))</f>
        <v/>
      </c>
      <c r="AM643" s="87"/>
      <c r="AN643" s="87" t="str">
        <f ca="1">IF(OR($A643="",$AM643=""),"",TODAY()-$AM643)</f>
        <v/>
      </c>
      <c r="AO643" s="87"/>
      <c r="AP643" s="106"/>
      <c r="AQ643" s="106"/>
      <c r="AR643" s="106"/>
      <c r="AS643" s="106"/>
      <c r="AT643" s="106"/>
      <c r="AU643" s="106"/>
      <c r="AV643" s="106"/>
      <c r="AW643" s="106"/>
      <c r="AX643" s="106"/>
      <c r="AY643" s="106"/>
    </row>
    <row r="644" spans="1:51" s="20" customFormat="1" ht="21" customHeight="1">
      <c r="A644" s="197"/>
      <c r="B644" s="87"/>
      <c r="C644" s="87"/>
      <c r="D644" s="196"/>
      <c r="E644" s="108"/>
      <c r="F644" s="196"/>
      <c r="G644" s="87"/>
      <c r="H644" s="197"/>
      <c r="I644" s="89"/>
      <c r="J644" s="204"/>
      <c r="K644" s="87"/>
      <c r="L644" s="87" t="str" cm="1">
        <f t="array" ref="L644">IF($A644="","",_xlfn.LET(_xlpm.stat,CHOOSE({1,2,3,4,5},$P644,$T644,$X644,$AB644,$AF644),_xlpm.rate,CHOOSE({1,2,3,4,5},$R644,$V644,$Z644,$AD644,$AH644),_xlpm.trn,CHOOSE({1,2,3,4,5},$S644,$W644,$AA644,$AE644,$AI644),_xlpm.nsC,SUMPRODUCT(--(_xlpm.stat="Ready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DLR",IF(AND(_xlpm.actRS&gt;0,_xlpm.actDone&lt;_xlpm.actRS),"Training",IF(_xlpm.actRS&gt;0,"Active",IF(AND(_xlpm.decC&gt;0,_xlpm.inPlay+_xlpm.actC=0),"Dead",IF(AND($AJ644&lt;&gt;"",$AK644=FALSE),"Waiting on Dealer",IF(_xlpm.subC&gt;0,"Waiting on Lender",IF(AND(_xlpm.appC+_xlpm.actC&gt;0,_xlpm.nsC+_xlpm.wdC=0),"Rate Sheet","Application Submitted")))))))))</f>
        <v/>
      </c>
      <c r="M644" s="87"/>
      <c r="N644" s="87"/>
      <c r="O644" s="197"/>
      <c r="P644" s="87" t="str">
        <f>IF($A644="","",IF($AK644=TRUE,"Ready 2 Submit","Waiting on Dealer"))</f>
        <v/>
      </c>
      <c r="Q644" s="148"/>
      <c r="R644" s="87"/>
      <c r="S644" s="87"/>
      <c r="T644" s="87" t="str">
        <f>IF($A644="","",IF($AK644=TRUE,"Ready 2 Submit","Waiting on Dealer"))</f>
        <v/>
      </c>
      <c r="U644" s="148"/>
      <c r="V644" s="87"/>
      <c r="W644" s="87"/>
      <c r="X644" s="87" t="str">
        <f>IF($A644="","",IF($AK644=TRUE,"Ready 2 Submit","Waiting on Dealer"))</f>
        <v/>
      </c>
      <c r="Y644" s="148"/>
      <c r="Z644" s="87"/>
      <c r="AA644" s="87"/>
      <c r="AB644" s="87" t="str">
        <f>IF($A644="","",IF($AK644=TRUE,"Ready 2 Submit","Waiting on Dealer"))</f>
        <v/>
      </c>
      <c r="AC644" s="148"/>
      <c r="AD644" s="87"/>
      <c r="AE644" s="87"/>
      <c r="AF644" s="87" t="str">
        <f>IF($A644="","",IF($AK644=TRUE,"Ready 2 Submit","Waiting on Dealer"))</f>
        <v/>
      </c>
      <c r="AG644" s="148"/>
      <c r="AH644" s="87"/>
      <c r="AI644" s="87"/>
      <c r="AJ644" s="197"/>
      <c r="AK644" s="110" t="b">
        <v>0</v>
      </c>
      <c r="AL644" s="87" t="str" cm="1">
        <f t="array" ref="AL644">IF($A644="","",SUMPRODUCT((CHOOSE({1,2,3,4,5},$R644,$V644,$Z644,$AD644,$AH644)="Yes")*(((CHOOSE({1,2,3,4,5},$S644,$W644,$AA644,$AE644,$AI644)="Yes")+(CHOOSE({1,2,3,4,5},$S644,$W644,$AA644,$AE644,$AI644)=TRUE))&gt;0)))</f>
        <v/>
      </c>
      <c r="AM644" s="87"/>
      <c r="AN644" s="87" t="str">
        <f ca="1">IF(OR($A644="",$AM644=""),"",TODAY()-$AM644)</f>
        <v/>
      </c>
      <c r="AO644" s="87"/>
      <c r="AP644" s="106"/>
      <c r="AQ644" s="106"/>
      <c r="AR644" s="106"/>
      <c r="AS644" s="106"/>
      <c r="AT644" s="106"/>
      <c r="AU644" s="106"/>
      <c r="AV644" s="106"/>
      <c r="AW644" s="106"/>
      <c r="AX644" s="106"/>
      <c r="AY644" s="106"/>
    </row>
    <row r="645" spans="1:51" s="20" customFormat="1" ht="21" customHeight="1">
      <c r="A645" s="197"/>
      <c r="B645" s="87"/>
      <c r="C645" s="87"/>
      <c r="D645" s="196"/>
      <c r="E645" s="108"/>
      <c r="F645" s="196"/>
      <c r="G645" s="87"/>
      <c r="H645" s="197"/>
      <c r="I645" s="89"/>
      <c r="J645" s="204"/>
      <c r="K645" s="87"/>
      <c r="L645" s="87" t="str" cm="1">
        <f t="array" ref="L645">IF($A645="","",_xlfn.LET(_xlpm.stat,CHOOSE({1,2,3,4,5},$P645,$T645,$X645,$AB645,$AF645),_xlpm.rate,CHOOSE({1,2,3,4,5},$R645,$V645,$Z645,$AD645,$AH645),_xlpm.trn,CHOOSE({1,2,3,4,5},$S645,$W645,$AA645,$AE645,$AI645),_xlpm.nsC,SUMPRODUCT(--(_xlpm.stat="Ready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DLR",IF(AND(_xlpm.actRS&gt;0,_xlpm.actDone&lt;_xlpm.actRS),"Training",IF(_xlpm.actRS&gt;0,"Active",IF(AND(_xlpm.decC&gt;0,_xlpm.inPlay+_xlpm.actC=0),"Dead",IF(AND($AJ645&lt;&gt;"",$AK645=FALSE),"Waiting on Dealer",IF(_xlpm.subC&gt;0,"Waiting on Lender",IF(AND(_xlpm.appC+_xlpm.actC&gt;0,_xlpm.nsC+_xlpm.wdC=0),"Rate Sheet","Application Submitted")))))))))</f>
        <v/>
      </c>
      <c r="M645" s="87"/>
      <c r="N645" s="87"/>
      <c r="O645" s="197"/>
      <c r="P645" s="87" t="str">
        <f>IF($A645="","",IF($AK645=TRUE,"Ready 2 Submit","Waiting on Dealer"))</f>
        <v/>
      </c>
      <c r="Q645" s="148"/>
      <c r="R645" s="87"/>
      <c r="S645" s="87"/>
      <c r="T645" s="87" t="str">
        <f>IF($A645="","",IF($AK645=TRUE,"Ready 2 Submit","Waiting on Dealer"))</f>
        <v/>
      </c>
      <c r="U645" s="148"/>
      <c r="V645" s="87"/>
      <c r="W645" s="87"/>
      <c r="X645" s="87" t="str">
        <f>IF($A645="","",IF($AK645=TRUE,"Ready 2 Submit","Waiting on Dealer"))</f>
        <v/>
      </c>
      <c r="Y645" s="148"/>
      <c r="Z645" s="87"/>
      <c r="AA645" s="87"/>
      <c r="AB645" s="87" t="str">
        <f>IF($A645="","",IF($AK645=TRUE,"Ready 2 Submit","Waiting on Dealer"))</f>
        <v/>
      </c>
      <c r="AC645" s="148"/>
      <c r="AD645" s="87"/>
      <c r="AE645" s="87"/>
      <c r="AF645" s="87" t="str">
        <f>IF($A645="","",IF($AK645=TRUE,"Ready 2 Submit","Waiting on Dealer"))</f>
        <v/>
      </c>
      <c r="AG645" s="148"/>
      <c r="AH645" s="87"/>
      <c r="AI645" s="87"/>
      <c r="AJ645" s="197"/>
      <c r="AK645" s="110" t="b">
        <v>0</v>
      </c>
      <c r="AL645" s="87" t="str" cm="1">
        <f t="array" ref="AL645">IF($A645="","",SUMPRODUCT((CHOOSE({1,2,3,4,5},$R645,$V645,$Z645,$AD645,$AH645)="Yes")*(((CHOOSE({1,2,3,4,5},$S645,$W645,$AA645,$AE645,$AI645)="Yes")+(CHOOSE({1,2,3,4,5},$S645,$W645,$AA645,$AE645,$AI645)=TRUE))&gt;0)))</f>
        <v/>
      </c>
      <c r="AM645" s="87"/>
      <c r="AN645" s="87" t="str">
        <f ca="1">IF(OR($A645="",$AM645=""),"",TODAY()-$AM645)</f>
        <v/>
      </c>
      <c r="AO645" s="87"/>
      <c r="AP645" s="106"/>
      <c r="AQ645" s="106"/>
      <c r="AR645" s="106"/>
      <c r="AS645" s="106"/>
      <c r="AT645" s="106"/>
      <c r="AU645" s="106"/>
      <c r="AV645" s="106"/>
      <c r="AW645" s="106"/>
      <c r="AX645" s="106"/>
      <c r="AY645" s="106"/>
    </row>
    <row r="646" spans="1:51" s="20" customFormat="1" ht="21" customHeight="1">
      <c r="A646" s="197"/>
      <c r="B646" s="87"/>
      <c r="C646" s="87"/>
      <c r="D646" s="196"/>
      <c r="E646" s="108"/>
      <c r="F646" s="196"/>
      <c r="G646" s="87"/>
      <c r="H646" s="197"/>
      <c r="I646" s="89"/>
      <c r="J646" s="204"/>
      <c r="K646" s="87"/>
      <c r="L646" s="87" t="str" cm="1">
        <f t="array" ref="L646">IF($A646="","",_xlfn.LET(_xlpm.stat,CHOOSE({1,2,3,4,5},$P646,$T646,$X646,$AB646,$AF646),_xlpm.rate,CHOOSE({1,2,3,4,5},$R646,$V646,$Z646,$AD646,$AH646),_xlpm.trn,CHOOSE({1,2,3,4,5},$S646,$W646,$AA646,$AE646,$AI646),_xlpm.nsC,SUMPRODUCT(--(_xlpm.stat="Ready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DLR",IF(AND(_xlpm.actRS&gt;0,_xlpm.actDone&lt;_xlpm.actRS),"Training",IF(_xlpm.actRS&gt;0,"Active",IF(AND(_xlpm.decC&gt;0,_xlpm.inPlay+_xlpm.actC=0),"Dead",IF(AND($AJ646&lt;&gt;"",$AK646=FALSE),"Waiting on Dealer",IF(_xlpm.subC&gt;0,"Waiting on Lender",IF(AND(_xlpm.appC+_xlpm.actC&gt;0,_xlpm.nsC+_xlpm.wdC=0),"Rate Sheet","Application Submitted")))))))))</f>
        <v/>
      </c>
      <c r="M646" s="87"/>
      <c r="N646" s="87"/>
      <c r="O646" s="197"/>
      <c r="P646" s="87" t="str">
        <f>IF($A646="","",IF($AK646=TRUE,"Ready 2 Submit","Waiting on Dealer"))</f>
        <v/>
      </c>
      <c r="Q646" s="148"/>
      <c r="R646" s="87"/>
      <c r="S646" s="87"/>
      <c r="T646" s="87" t="str">
        <f>IF($A646="","",IF($AK646=TRUE,"Ready 2 Submit","Waiting on Dealer"))</f>
        <v/>
      </c>
      <c r="U646" s="148"/>
      <c r="V646" s="87"/>
      <c r="W646" s="87"/>
      <c r="X646" s="87" t="str">
        <f>IF($A646="","",IF($AK646=TRUE,"Ready 2 Submit","Waiting on Dealer"))</f>
        <v/>
      </c>
      <c r="Y646" s="148"/>
      <c r="Z646" s="87"/>
      <c r="AA646" s="87"/>
      <c r="AB646" s="87" t="str">
        <f>IF($A646="","",IF($AK646=TRUE,"Ready 2 Submit","Waiting on Dealer"))</f>
        <v/>
      </c>
      <c r="AC646" s="148"/>
      <c r="AD646" s="87"/>
      <c r="AE646" s="87"/>
      <c r="AF646" s="87" t="str">
        <f>IF($A646="","",IF($AK646=TRUE,"Ready 2 Submit","Waiting on Dealer"))</f>
        <v/>
      </c>
      <c r="AG646" s="148"/>
      <c r="AH646" s="87"/>
      <c r="AI646" s="87"/>
      <c r="AJ646" s="197"/>
      <c r="AK646" s="110" t="b">
        <v>0</v>
      </c>
      <c r="AL646" s="87" t="str" cm="1">
        <f t="array" ref="AL646">IF($A646="","",SUMPRODUCT((CHOOSE({1,2,3,4,5},$R646,$V646,$Z646,$AD646,$AH646)="Yes")*(((CHOOSE({1,2,3,4,5},$S646,$W646,$AA646,$AE646,$AI646)="Yes")+(CHOOSE({1,2,3,4,5},$S646,$W646,$AA646,$AE646,$AI646)=TRUE))&gt;0)))</f>
        <v/>
      </c>
      <c r="AM646" s="87"/>
      <c r="AN646" s="87" t="str">
        <f ca="1">IF(OR($A646="",$AM646=""),"",TODAY()-$AM646)</f>
        <v/>
      </c>
      <c r="AO646" s="87"/>
      <c r="AP646" s="106"/>
      <c r="AQ646" s="106"/>
      <c r="AR646" s="106"/>
      <c r="AS646" s="106"/>
      <c r="AT646" s="106"/>
      <c r="AU646" s="106"/>
      <c r="AV646" s="106"/>
      <c r="AW646" s="106"/>
      <c r="AX646" s="106"/>
      <c r="AY646" s="106"/>
    </row>
    <row r="647" spans="1:51" s="20" customFormat="1" ht="21" customHeight="1">
      <c r="A647" s="197"/>
      <c r="B647" s="87"/>
      <c r="C647" s="87"/>
      <c r="D647" s="196"/>
      <c r="E647" s="108"/>
      <c r="F647" s="196"/>
      <c r="G647" s="87"/>
      <c r="H647" s="197"/>
      <c r="I647" s="89"/>
      <c r="J647" s="204"/>
      <c r="K647" s="87"/>
      <c r="L647" s="87" t="str" cm="1">
        <f t="array" ref="L647">IF($A647="","",_xlfn.LET(_xlpm.stat,CHOOSE({1,2,3,4,5},$P647,$T647,$X647,$AB647,$AF647),_xlpm.rate,CHOOSE({1,2,3,4,5},$R647,$V647,$Z647,$AD647,$AH647),_xlpm.trn,CHOOSE({1,2,3,4,5},$S647,$W647,$AA647,$AE647,$AI647),_xlpm.nsC,SUMPRODUCT(--(_xlpm.stat="Ready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DLR",IF(AND(_xlpm.actRS&gt;0,_xlpm.actDone&lt;_xlpm.actRS),"Training",IF(_xlpm.actRS&gt;0,"Active",IF(AND(_xlpm.decC&gt;0,_xlpm.inPlay+_xlpm.actC=0),"Dead",IF(AND($AJ647&lt;&gt;"",$AK647=FALSE),"Waiting on Dealer",IF(_xlpm.subC&gt;0,"Waiting on Lender",IF(AND(_xlpm.appC+_xlpm.actC&gt;0,_xlpm.nsC+_xlpm.wdC=0),"Rate Sheet","Application Submitted")))))))))</f>
        <v/>
      </c>
      <c r="M647" s="87"/>
      <c r="N647" s="87"/>
      <c r="O647" s="197"/>
      <c r="P647" s="87" t="str">
        <f>IF($A647="","",IF($AK647=TRUE,"Ready 2 Submit","Waiting on Dealer"))</f>
        <v/>
      </c>
      <c r="Q647" s="148"/>
      <c r="R647" s="87"/>
      <c r="S647" s="87"/>
      <c r="T647" s="87" t="str">
        <f>IF($A647="","",IF($AK647=TRUE,"Ready 2 Submit","Waiting on Dealer"))</f>
        <v/>
      </c>
      <c r="U647" s="148"/>
      <c r="V647" s="87"/>
      <c r="W647" s="87"/>
      <c r="X647" s="87" t="str">
        <f>IF($A647="","",IF($AK647=TRUE,"Ready 2 Submit","Waiting on Dealer"))</f>
        <v/>
      </c>
      <c r="Y647" s="148"/>
      <c r="Z647" s="87"/>
      <c r="AA647" s="87"/>
      <c r="AB647" s="87" t="str">
        <f>IF($A647="","",IF($AK647=TRUE,"Ready 2 Submit","Waiting on Dealer"))</f>
        <v/>
      </c>
      <c r="AC647" s="148"/>
      <c r="AD647" s="87"/>
      <c r="AE647" s="87"/>
      <c r="AF647" s="87" t="str">
        <f>IF($A647="","",IF($AK647=TRUE,"Ready 2 Submit","Waiting on Dealer"))</f>
        <v/>
      </c>
      <c r="AG647" s="148"/>
      <c r="AH647" s="87"/>
      <c r="AI647" s="87"/>
      <c r="AJ647" s="197"/>
      <c r="AK647" s="110" t="b">
        <v>0</v>
      </c>
      <c r="AL647" s="87" t="str" cm="1">
        <f t="array" ref="AL647">IF($A647="","",SUMPRODUCT((CHOOSE({1,2,3,4,5},$R647,$V647,$Z647,$AD647,$AH647)="Yes")*(((CHOOSE({1,2,3,4,5},$S647,$W647,$AA647,$AE647,$AI647)="Yes")+(CHOOSE({1,2,3,4,5},$S647,$W647,$AA647,$AE647,$AI647)=TRUE))&gt;0)))</f>
        <v/>
      </c>
      <c r="AM647" s="87"/>
      <c r="AN647" s="87" t="str">
        <f ca="1">IF(OR($A647="",$AM647=""),"",TODAY()-$AM647)</f>
        <v/>
      </c>
      <c r="AO647" s="87"/>
      <c r="AP647" s="106"/>
      <c r="AQ647" s="106"/>
      <c r="AR647" s="106"/>
      <c r="AS647" s="106"/>
      <c r="AT647" s="106"/>
      <c r="AU647" s="106"/>
      <c r="AV647" s="106"/>
      <c r="AW647" s="106"/>
      <c r="AX647" s="106"/>
      <c r="AY647" s="106"/>
    </row>
    <row r="648" spans="1:51" s="20" customFormat="1" ht="21" customHeight="1">
      <c r="A648" s="197"/>
      <c r="B648" s="87"/>
      <c r="C648" s="87"/>
      <c r="D648" s="196"/>
      <c r="E648" s="108"/>
      <c r="F648" s="196"/>
      <c r="G648" s="87"/>
      <c r="H648" s="197"/>
      <c r="I648" s="89"/>
      <c r="J648" s="204"/>
      <c r="K648" s="87"/>
      <c r="L648" s="87" t="str" cm="1">
        <f t="array" ref="L648">IF($A648="","",_xlfn.LET(_xlpm.stat,CHOOSE({1,2,3,4,5},$P648,$T648,$X648,$AB648,$AF648),_xlpm.rate,CHOOSE({1,2,3,4,5},$R648,$V648,$Z648,$AD648,$AH648),_xlpm.trn,CHOOSE({1,2,3,4,5},$S648,$W648,$AA648,$AE648,$AI648),_xlpm.nsC,SUMPRODUCT(--(_xlpm.stat="Ready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DLR",IF(AND(_xlpm.actRS&gt;0,_xlpm.actDone&lt;_xlpm.actRS),"Training",IF(_xlpm.actRS&gt;0,"Active",IF(AND(_xlpm.decC&gt;0,_xlpm.inPlay+_xlpm.actC=0),"Dead",IF(AND($AJ648&lt;&gt;"",$AK648=FALSE),"Waiting on Dealer",IF(_xlpm.subC&gt;0,"Waiting on Lender",IF(AND(_xlpm.appC+_xlpm.actC&gt;0,_xlpm.nsC+_xlpm.wdC=0),"Rate Sheet","Application Submitted")))))))))</f>
        <v/>
      </c>
      <c r="M648" s="87"/>
      <c r="N648" s="87"/>
      <c r="O648" s="197"/>
      <c r="P648" s="87" t="str">
        <f>IF($A648="","",IF($AK648=TRUE,"Ready 2 Submit","Waiting on Dealer"))</f>
        <v/>
      </c>
      <c r="Q648" s="148"/>
      <c r="R648" s="87"/>
      <c r="S648" s="87"/>
      <c r="T648" s="87" t="str">
        <f>IF($A648="","",IF($AK648=TRUE,"Ready 2 Submit","Waiting on Dealer"))</f>
        <v/>
      </c>
      <c r="U648" s="148"/>
      <c r="V648" s="87"/>
      <c r="W648" s="87"/>
      <c r="X648" s="87" t="str">
        <f>IF($A648="","",IF($AK648=TRUE,"Ready 2 Submit","Waiting on Dealer"))</f>
        <v/>
      </c>
      <c r="Y648" s="148"/>
      <c r="Z648" s="87"/>
      <c r="AA648" s="87"/>
      <c r="AB648" s="87" t="str">
        <f>IF($A648="","",IF($AK648=TRUE,"Ready 2 Submit","Waiting on Dealer"))</f>
        <v/>
      </c>
      <c r="AC648" s="148"/>
      <c r="AD648" s="87"/>
      <c r="AE648" s="87"/>
      <c r="AF648" s="87" t="str">
        <f>IF($A648="","",IF($AK648=TRUE,"Ready 2 Submit","Waiting on Dealer"))</f>
        <v/>
      </c>
      <c r="AG648" s="148"/>
      <c r="AH648" s="87"/>
      <c r="AI648" s="87"/>
      <c r="AJ648" s="197"/>
      <c r="AK648" s="110" t="b">
        <v>0</v>
      </c>
      <c r="AL648" s="87" t="str" cm="1">
        <f t="array" ref="AL648">IF($A648="","",SUMPRODUCT((CHOOSE({1,2,3,4,5},$R648,$V648,$Z648,$AD648,$AH648)="Yes")*(((CHOOSE({1,2,3,4,5},$S648,$W648,$AA648,$AE648,$AI648)="Yes")+(CHOOSE({1,2,3,4,5},$S648,$W648,$AA648,$AE648,$AI648)=TRUE))&gt;0)))</f>
        <v/>
      </c>
      <c r="AM648" s="87"/>
      <c r="AN648" s="87" t="str">
        <f ca="1">IF(OR($A648="",$AM648=""),"",TODAY()-$AM648)</f>
        <v/>
      </c>
      <c r="AO648" s="87"/>
      <c r="AP648" s="106"/>
      <c r="AQ648" s="106"/>
      <c r="AR648" s="106"/>
      <c r="AS648" s="106"/>
      <c r="AT648" s="106"/>
      <c r="AU648" s="106"/>
      <c r="AV648" s="106"/>
      <c r="AW648" s="106"/>
      <c r="AX648" s="106"/>
      <c r="AY648" s="106"/>
    </row>
    <row r="649" spans="1:51" s="20" customFormat="1" ht="21" customHeight="1">
      <c r="A649" s="197"/>
      <c r="B649" s="87"/>
      <c r="C649" s="87"/>
      <c r="D649" s="196"/>
      <c r="E649" s="108"/>
      <c r="F649" s="196"/>
      <c r="G649" s="87"/>
      <c r="H649" s="197"/>
      <c r="I649" s="89"/>
      <c r="J649" s="204"/>
      <c r="K649" s="87"/>
      <c r="L649" s="87" t="str" cm="1">
        <f t="array" ref="L649">IF($A649="","",_xlfn.LET(_xlpm.stat,CHOOSE({1,2,3,4,5},$P649,$T649,$X649,$AB649,$AF649),_xlpm.rate,CHOOSE({1,2,3,4,5},$R649,$V649,$Z649,$AD649,$AH649),_xlpm.trn,CHOOSE({1,2,3,4,5},$S649,$W649,$AA649,$AE649,$AI649),_xlpm.nsC,SUMPRODUCT(--(_xlpm.stat="Ready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DLR",IF(AND(_xlpm.actRS&gt;0,_xlpm.actDone&lt;_xlpm.actRS),"Training",IF(_xlpm.actRS&gt;0,"Active",IF(AND(_xlpm.decC&gt;0,_xlpm.inPlay+_xlpm.actC=0),"Dead",IF(AND($AJ649&lt;&gt;"",$AK649=FALSE),"Waiting on Dealer",IF(_xlpm.subC&gt;0,"Waiting on Lender",IF(AND(_xlpm.appC+_xlpm.actC&gt;0,_xlpm.nsC+_xlpm.wdC=0),"Rate Sheet","Application Submitted")))))))))</f>
        <v/>
      </c>
      <c r="M649" s="87"/>
      <c r="N649" s="87"/>
      <c r="O649" s="197"/>
      <c r="P649" s="87" t="str">
        <f>IF($A649="","",IF($AK649=TRUE,"Ready 2 Submit","Waiting on Dealer"))</f>
        <v/>
      </c>
      <c r="Q649" s="148"/>
      <c r="R649" s="87"/>
      <c r="S649" s="87"/>
      <c r="T649" s="87" t="str">
        <f>IF($A649="","",IF($AK649=TRUE,"Ready 2 Submit","Waiting on Dealer"))</f>
        <v/>
      </c>
      <c r="U649" s="148"/>
      <c r="V649" s="87"/>
      <c r="W649" s="87"/>
      <c r="X649" s="87" t="str">
        <f>IF($A649="","",IF($AK649=TRUE,"Ready 2 Submit","Waiting on Dealer"))</f>
        <v/>
      </c>
      <c r="Y649" s="148"/>
      <c r="Z649" s="87"/>
      <c r="AA649" s="87"/>
      <c r="AB649" s="87" t="str">
        <f>IF($A649="","",IF($AK649=TRUE,"Ready 2 Submit","Waiting on Dealer"))</f>
        <v/>
      </c>
      <c r="AC649" s="148"/>
      <c r="AD649" s="87"/>
      <c r="AE649" s="87"/>
      <c r="AF649" s="87" t="str">
        <f>IF($A649="","",IF($AK649=TRUE,"Ready 2 Submit","Waiting on Dealer"))</f>
        <v/>
      </c>
      <c r="AG649" s="148"/>
      <c r="AH649" s="87"/>
      <c r="AI649" s="87"/>
      <c r="AJ649" s="197"/>
      <c r="AK649" s="110" t="b">
        <v>0</v>
      </c>
      <c r="AL649" s="87" t="str" cm="1">
        <f t="array" ref="AL649">IF($A649="","",SUMPRODUCT((CHOOSE({1,2,3,4,5},$R649,$V649,$Z649,$AD649,$AH649)="Yes")*(((CHOOSE({1,2,3,4,5},$S649,$W649,$AA649,$AE649,$AI649)="Yes")+(CHOOSE({1,2,3,4,5},$S649,$W649,$AA649,$AE649,$AI649)=TRUE))&gt;0)))</f>
        <v/>
      </c>
      <c r="AM649" s="87"/>
      <c r="AN649" s="87" t="str">
        <f ca="1">IF(OR($A649="",$AM649=""),"",TODAY()-$AM649)</f>
        <v/>
      </c>
      <c r="AO649" s="87"/>
      <c r="AP649" s="106"/>
      <c r="AQ649" s="106"/>
      <c r="AR649" s="106"/>
      <c r="AS649" s="106"/>
      <c r="AT649" s="106"/>
      <c r="AU649" s="106"/>
      <c r="AV649" s="106"/>
      <c r="AW649" s="106"/>
      <c r="AX649" s="106"/>
      <c r="AY649" s="106"/>
    </row>
    <row r="650" spans="1:51" s="20" customFormat="1" ht="21" customHeight="1">
      <c r="A650" s="197"/>
      <c r="B650" s="87"/>
      <c r="C650" s="87"/>
      <c r="D650" s="196"/>
      <c r="E650" s="108"/>
      <c r="F650" s="196"/>
      <c r="G650" s="87"/>
      <c r="H650" s="197"/>
      <c r="I650" s="89"/>
      <c r="J650" s="204"/>
      <c r="K650" s="87"/>
      <c r="L650" s="87" t="str" cm="1">
        <f t="array" ref="L650">IF($A650="","",_xlfn.LET(_xlpm.stat,CHOOSE({1,2,3,4,5},$P650,$T650,$X650,$AB650,$AF650),_xlpm.rate,CHOOSE({1,2,3,4,5},$R650,$V650,$Z650,$AD650,$AH650),_xlpm.trn,CHOOSE({1,2,3,4,5},$S650,$W650,$AA650,$AE650,$AI650),_xlpm.nsC,SUMPRODUCT(--(_xlpm.stat="Ready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DLR",IF(AND(_xlpm.actRS&gt;0,_xlpm.actDone&lt;_xlpm.actRS),"Training",IF(_xlpm.actRS&gt;0,"Active",IF(AND(_xlpm.decC&gt;0,_xlpm.inPlay+_xlpm.actC=0),"Dead",IF(AND($AJ650&lt;&gt;"",$AK650=FALSE),"Waiting on Dealer",IF(_xlpm.subC&gt;0,"Waiting on Lender",IF(AND(_xlpm.appC+_xlpm.actC&gt;0,_xlpm.nsC+_xlpm.wdC=0),"Rate Sheet","Application Submitted")))))))))</f>
        <v/>
      </c>
      <c r="M650" s="87"/>
      <c r="N650" s="87"/>
      <c r="O650" s="197"/>
      <c r="P650" s="87" t="str">
        <f>IF($A650="","",IF($AK650=TRUE,"Ready 2 Submit","Waiting on Dealer"))</f>
        <v/>
      </c>
      <c r="Q650" s="148"/>
      <c r="R650" s="87"/>
      <c r="S650" s="87"/>
      <c r="T650" s="87" t="str">
        <f>IF($A650="","",IF($AK650=TRUE,"Ready 2 Submit","Waiting on Dealer"))</f>
        <v/>
      </c>
      <c r="U650" s="148"/>
      <c r="V650" s="87"/>
      <c r="W650" s="87"/>
      <c r="X650" s="87" t="str">
        <f>IF($A650="","",IF($AK650=TRUE,"Ready 2 Submit","Waiting on Dealer"))</f>
        <v/>
      </c>
      <c r="Y650" s="148"/>
      <c r="Z650" s="87"/>
      <c r="AA650" s="87"/>
      <c r="AB650" s="87" t="str">
        <f>IF($A650="","",IF($AK650=TRUE,"Ready 2 Submit","Waiting on Dealer"))</f>
        <v/>
      </c>
      <c r="AC650" s="148"/>
      <c r="AD650" s="87"/>
      <c r="AE650" s="87"/>
      <c r="AF650" s="87" t="str">
        <f>IF($A650="","",IF($AK650=TRUE,"Ready 2 Submit","Waiting on Dealer"))</f>
        <v/>
      </c>
      <c r="AG650" s="148"/>
      <c r="AH650" s="87"/>
      <c r="AI650" s="87"/>
      <c r="AJ650" s="197"/>
      <c r="AK650" s="110" t="b">
        <v>0</v>
      </c>
      <c r="AL650" s="87" t="str" cm="1">
        <f t="array" ref="AL650">IF($A650="","",SUMPRODUCT((CHOOSE({1,2,3,4,5},$R650,$V650,$Z650,$AD650,$AH650)="Yes")*(((CHOOSE({1,2,3,4,5},$S650,$W650,$AA650,$AE650,$AI650)="Yes")+(CHOOSE({1,2,3,4,5},$S650,$W650,$AA650,$AE650,$AI650)=TRUE))&gt;0)))</f>
        <v/>
      </c>
      <c r="AM650" s="87"/>
      <c r="AN650" s="87" t="str">
        <f ca="1">IF(OR($A650="",$AM650=""),"",TODAY()-$AM650)</f>
        <v/>
      </c>
      <c r="AO650" s="87"/>
      <c r="AP650" s="106"/>
      <c r="AQ650" s="106"/>
      <c r="AR650" s="106"/>
      <c r="AS650" s="106"/>
      <c r="AT650" s="106"/>
      <c r="AU650" s="106"/>
      <c r="AV650" s="106"/>
      <c r="AW650" s="106"/>
      <c r="AX650" s="106"/>
      <c r="AY650" s="106"/>
    </row>
    <row r="651" spans="1:51" s="20" customFormat="1" ht="21" customHeight="1">
      <c r="A651" s="197"/>
      <c r="B651" s="87"/>
      <c r="C651" s="87"/>
      <c r="D651" s="196"/>
      <c r="E651" s="108"/>
      <c r="F651" s="196"/>
      <c r="G651" s="87"/>
      <c r="H651" s="197"/>
      <c r="I651" s="89"/>
      <c r="J651" s="204"/>
      <c r="K651" s="87"/>
      <c r="L651" s="87" t="str" cm="1">
        <f t="array" ref="L651">IF($A651="","",_xlfn.LET(_xlpm.stat,CHOOSE({1,2,3,4,5},$P651,$T651,$X651,$AB651,$AF651),_xlpm.rate,CHOOSE({1,2,3,4,5},$R651,$V651,$Z651,$AD651,$AH651),_xlpm.trn,CHOOSE({1,2,3,4,5},$S651,$W651,$AA651,$AE651,$AI651),_xlpm.nsC,SUMPRODUCT(--(_xlpm.stat="Ready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DLR",IF(AND(_xlpm.actRS&gt;0,_xlpm.actDone&lt;_xlpm.actRS),"Training",IF(_xlpm.actRS&gt;0,"Active",IF(AND(_xlpm.decC&gt;0,_xlpm.inPlay+_xlpm.actC=0),"Dead",IF(AND($AJ651&lt;&gt;"",$AK651=FALSE),"Waiting on Dealer",IF(_xlpm.subC&gt;0,"Waiting on Lender",IF(AND(_xlpm.appC+_xlpm.actC&gt;0,_xlpm.nsC+_xlpm.wdC=0),"Rate Sheet","Application Submitted")))))))))</f>
        <v/>
      </c>
      <c r="M651" s="87"/>
      <c r="N651" s="87"/>
      <c r="O651" s="197"/>
      <c r="P651" s="87" t="str">
        <f>IF($A651="","",IF($AK651=TRUE,"Ready 2 Submit","Waiting on Dealer"))</f>
        <v/>
      </c>
      <c r="Q651" s="148"/>
      <c r="R651" s="87"/>
      <c r="S651" s="87"/>
      <c r="T651" s="87" t="str">
        <f>IF($A651="","",IF($AK651=TRUE,"Ready 2 Submit","Waiting on Dealer"))</f>
        <v/>
      </c>
      <c r="U651" s="148"/>
      <c r="V651" s="87"/>
      <c r="W651" s="87"/>
      <c r="X651" s="87" t="str">
        <f>IF($A651="","",IF($AK651=TRUE,"Ready 2 Submit","Waiting on Dealer"))</f>
        <v/>
      </c>
      <c r="Y651" s="148"/>
      <c r="Z651" s="87"/>
      <c r="AA651" s="87"/>
      <c r="AB651" s="87" t="str">
        <f>IF($A651="","",IF($AK651=TRUE,"Ready 2 Submit","Waiting on Dealer"))</f>
        <v/>
      </c>
      <c r="AC651" s="148"/>
      <c r="AD651" s="87"/>
      <c r="AE651" s="87"/>
      <c r="AF651" s="87" t="str">
        <f>IF($A651="","",IF($AK651=TRUE,"Ready 2 Submit","Waiting on Dealer"))</f>
        <v/>
      </c>
      <c r="AG651" s="148"/>
      <c r="AH651" s="87"/>
      <c r="AI651" s="87"/>
      <c r="AJ651" s="197"/>
      <c r="AK651" s="110" t="b">
        <v>0</v>
      </c>
      <c r="AL651" s="87" t="str" cm="1">
        <f t="array" ref="AL651">IF($A651="","",SUMPRODUCT((CHOOSE({1,2,3,4,5},$R651,$V651,$Z651,$AD651,$AH651)="Yes")*(((CHOOSE({1,2,3,4,5},$S651,$W651,$AA651,$AE651,$AI651)="Yes")+(CHOOSE({1,2,3,4,5},$S651,$W651,$AA651,$AE651,$AI651)=TRUE))&gt;0)))</f>
        <v/>
      </c>
      <c r="AM651" s="87"/>
      <c r="AN651" s="87" t="str">
        <f ca="1">IF(OR($A651="",$AM651=""),"",TODAY()-$AM651)</f>
        <v/>
      </c>
      <c r="AO651" s="87"/>
      <c r="AP651" s="106"/>
      <c r="AQ651" s="106"/>
      <c r="AR651" s="106"/>
      <c r="AS651" s="106"/>
      <c r="AT651" s="106"/>
      <c r="AU651" s="106"/>
      <c r="AV651" s="106"/>
      <c r="AW651" s="106"/>
      <c r="AX651" s="106"/>
      <c r="AY651" s="106"/>
    </row>
    <row r="652" spans="1:51" s="20" customFormat="1" ht="21" customHeight="1">
      <c r="A652" s="197"/>
      <c r="B652" s="87"/>
      <c r="C652" s="87"/>
      <c r="D652" s="196"/>
      <c r="E652" s="108"/>
      <c r="F652" s="196"/>
      <c r="G652" s="87"/>
      <c r="H652" s="197"/>
      <c r="I652" s="89"/>
      <c r="J652" s="204"/>
      <c r="K652" s="87"/>
      <c r="L652" s="87" t="str" cm="1">
        <f t="array" ref="L652">IF($A652="","",_xlfn.LET(_xlpm.stat,CHOOSE({1,2,3,4,5},$P652,$T652,$X652,$AB652,$AF652),_xlpm.rate,CHOOSE({1,2,3,4,5},$R652,$V652,$Z652,$AD652,$AH652),_xlpm.trn,CHOOSE({1,2,3,4,5},$S652,$W652,$AA652,$AE652,$AI652),_xlpm.nsC,SUMPRODUCT(--(_xlpm.stat="Ready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DLR",IF(AND(_xlpm.actRS&gt;0,_xlpm.actDone&lt;_xlpm.actRS),"Training",IF(_xlpm.actRS&gt;0,"Active",IF(AND(_xlpm.decC&gt;0,_xlpm.inPlay+_xlpm.actC=0),"Dead",IF(AND($AJ652&lt;&gt;"",$AK652=FALSE),"Waiting on Dealer",IF(_xlpm.subC&gt;0,"Waiting on Lender",IF(AND(_xlpm.appC+_xlpm.actC&gt;0,_xlpm.nsC+_xlpm.wdC=0),"Rate Sheet","Application Submitted")))))))))</f>
        <v/>
      </c>
      <c r="M652" s="87"/>
      <c r="N652" s="87"/>
      <c r="O652" s="197"/>
      <c r="P652" s="87" t="str">
        <f>IF($A652="","",IF($AK652=TRUE,"Ready 2 Submit","Waiting on Dealer"))</f>
        <v/>
      </c>
      <c r="Q652" s="148"/>
      <c r="R652" s="87"/>
      <c r="S652" s="87"/>
      <c r="T652" s="87" t="str">
        <f>IF($A652="","",IF($AK652=TRUE,"Ready 2 Submit","Waiting on Dealer"))</f>
        <v/>
      </c>
      <c r="U652" s="148"/>
      <c r="V652" s="87"/>
      <c r="W652" s="87"/>
      <c r="X652" s="87" t="str">
        <f>IF($A652="","",IF($AK652=TRUE,"Ready 2 Submit","Waiting on Dealer"))</f>
        <v/>
      </c>
      <c r="Y652" s="148"/>
      <c r="Z652" s="87"/>
      <c r="AA652" s="87"/>
      <c r="AB652" s="87" t="str">
        <f>IF($A652="","",IF($AK652=TRUE,"Ready 2 Submit","Waiting on Dealer"))</f>
        <v/>
      </c>
      <c r="AC652" s="148"/>
      <c r="AD652" s="87"/>
      <c r="AE652" s="87"/>
      <c r="AF652" s="87" t="str">
        <f>IF($A652="","",IF($AK652=TRUE,"Ready 2 Submit","Waiting on Dealer"))</f>
        <v/>
      </c>
      <c r="AG652" s="148"/>
      <c r="AH652" s="87"/>
      <c r="AI652" s="87"/>
      <c r="AJ652" s="197"/>
      <c r="AK652" s="110" t="b">
        <v>0</v>
      </c>
      <c r="AL652" s="87" t="str" cm="1">
        <f t="array" ref="AL652">IF($A652="","",SUMPRODUCT((CHOOSE({1,2,3,4,5},$R652,$V652,$Z652,$AD652,$AH652)="Yes")*(((CHOOSE({1,2,3,4,5},$S652,$W652,$AA652,$AE652,$AI652)="Yes")+(CHOOSE({1,2,3,4,5},$S652,$W652,$AA652,$AE652,$AI652)=TRUE))&gt;0)))</f>
        <v/>
      </c>
      <c r="AM652" s="87"/>
      <c r="AN652" s="87" t="str">
        <f ca="1">IF(OR($A652="",$AM652=""),"",TODAY()-$AM652)</f>
        <v/>
      </c>
      <c r="AO652" s="87"/>
      <c r="AP652" s="106"/>
      <c r="AQ652" s="106"/>
      <c r="AR652" s="106"/>
      <c r="AS652" s="106"/>
      <c r="AT652" s="106"/>
      <c r="AU652" s="106"/>
      <c r="AV652" s="106"/>
      <c r="AW652" s="106"/>
      <c r="AX652" s="106"/>
      <c r="AY652" s="106"/>
    </row>
    <row r="653" spans="1:51" s="20" customFormat="1" ht="21" customHeight="1">
      <c r="A653" s="197"/>
      <c r="B653" s="87"/>
      <c r="C653" s="87"/>
      <c r="D653" s="196"/>
      <c r="E653" s="108"/>
      <c r="F653" s="196"/>
      <c r="G653" s="87"/>
      <c r="H653" s="197"/>
      <c r="I653" s="89"/>
      <c r="J653" s="204"/>
      <c r="K653" s="87"/>
      <c r="L653" s="87" t="str" cm="1">
        <f t="array" ref="L653">IF($A653="","",_xlfn.LET(_xlpm.stat,CHOOSE({1,2,3,4,5},$P653,$T653,$X653,$AB653,$AF653),_xlpm.rate,CHOOSE({1,2,3,4,5},$R653,$V653,$Z653,$AD653,$AH653),_xlpm.trn,CHOOSE({1,2,3,4,5},$S653,$W653,$AA653,$AE653,$AI653),_xlpm.nsC,SUMPRODUCT(--(_xlpm.stat="Ready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DLR",IF(AND(_xlpm.actRS&gt;0,_xlpm.actDone&lt;_xlpm.actRS),"Training",IF(_xlpm.actRS&gt;0,"Active",IF(AND(_xlpm.decC&gt;0,_xlpm.inPlay+_xlpm.actC=0),"Dead",IF(AND($AJ653&lt;&gt;"",$AK653=FALSE),"Waiting on Dealer",IF(_xlpm.subC&gt;0,"Waiting on Lender",IF(AND(_xlpm.appC+_xlpm.actC&gt;0,_xlpm.nsC+_xlpm.wdC=0),"Rate Sheet","Application Submitted")))))))))</f>
        <v/>
      </c>
      <c r="M653" s="87"/>
      <c r="N653" s="87"/>
      <c r="O653" s="197"/>
      <c r="P653" s="87" t="str">
        <f>IF($A653="","",IF($AK653=TRUE,"Ready 2 Submit","Waiting on Dealer"))</f>
        <v/>
      </c>
      <c r="Q653" s="148"/>
      <c r="R653" s="87"/>
      <c r="S653" s="87"/>
      <c r="T653" s="87" t="str">
        <f>IF($A653="","",IF($AK653=TRUE,"Ready 2 Submit","Waiting on Dealer"))</f>
        <v/>
      </c>
      <c r="U653" s="148"/>
      <c r="V653" s="87"/>
      <c r="W653" s="87"/>
      <c r="X653" s="87" t="str">
        <f>IF($A653="","",IF($AK653=TRUE,"Ready 2 Submit","Waiting on Dealer"))</f>
        <v/>
      </c>
      <c r="Y653" s="148"/>
      <c r="Z653" s="87"/>
      <c r="AA653" s="87"/>
      <c r="AB653" s="87" t="str">
        <f>IF($A653="","",IF($AK653=TRUE,"Ready 2 Submit","Waiting on Dealer"))</f>
        <v/>
      </c>
      <c r="AC653" s="148"/>
      <c r="AD653" s="87"/>
      <c r="AE653" s="87"/>
      <c r="AF653" s="87" t="str">
        <f>IF($A653="","",IF($AK653=TRUE,"Ready 2 Submit","Waiting on Dealer"))</f>
        <v/>
      </c>
      <c r="AG653" s="148"/>
      <c r="AH653" s="87"/>
      <c r="AI653" s="87"/>
      <c r="AJ653" s="197"/>
      <c r="AK653" s="110" t="b">
        <v>0</v>
      </c>
      <c r="AL653" s="87" t="str" cm="1">
        <f t="array" ref="AL653">IF($A653="","",SUMPRODUCT((CHOOSE({1,2,3,4,5},$R653,$V653,$Z653,$AD653,$AH653)="Yes")*(((CHOOSE({1,2,3,4,5},$S653,$W653,$AA653,$AE653,$AI653)="Yes")+(CHOOSE({1,2,3,4,5},$S653,$W653,$AA653,$AE653,$AI653)=TRUE))&gt;0)))</f>
        <v/>
      </c>
      <c r="AM653" s="87"/>
      <c r="AN653" s="87" t="str">
        <f ca="1">IF(OR($A653="",$AM653=""),"",TODAY()-$AM653)</f>
        <v/>
      </c>
      <c r="AO653" s="87"/>
      <c r="AP653" s="106"/>
      <c r="AQ653" s="106"/>
      <c r="AR653" s="106"/>
      <c r="AS653" s="106"/>
      <c r="AT653" s="106"/>
      <c r="AU653" s="106"/>
      <c r="AV653" s="106"/>
      <c r="AW653" s="106"/>
      <c r="AX653" s="106"/>
      <c r="AY653" s="106"/>
    </row>
    <row r="654" spans="1:51" s="20" customFormat="1" ht="21" customHeight="1">
      <c r="A654" s="197"/>
      <c r="B654" s="87"/>
      <c r="C654" s="87"/>
      <c r="D654" s="196"/>
      <c r="E654" s="108"/>
      <c r="F654" s="196"/>
      <c r="G654" s="87"/>
      <c r="H654" s="197"/>
      <c r="I654" s="89"/>
      <c r="J654" s="204"/>
      <c r="K654" s="87"/>
      <c r="L654" s="87" t="str" cm="1">
        <f t="array" ref="L654">IF($A654="","",_xlfn.LET(_xlpm.stat,CHOOSE({1,2,3,4,5},$P654,$T654,$X654,$AB654,$AF654),_xlpm.rate,CHOOSE({1,2,3,4,5},$R654,$V654,$Z654,$AD654,$AH654),_xlpm.trn,CHOOSE({1,2,3,4,5},$S654,$W654,$AA654,$AE654,$AI654),_xlpm.nsC,SUMPRODUCT(--(_xlpm.stat="Ready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DLR",IF(AND(_xlpm.actRS&gt;0,_xlpm.actDone&lt;_xlpm.actRS),"Training",IF(_xlpm.actRS&gt;0,"Active",IF(AND(_xlpm.decC&gt;0,_xlpm.inPlay+_xlpm.actC=0),"Dead",IF(AND($AJ654&lt;&gt;"",$AK654=FALSE),"Waiting on Dealer",IF(_xlpm.subC&gt;0,"Waiting on Lender",IF(AND(_xlpm.appC+_xlpm.actC&gt;0,_xlpm.nsC+_xlpm.wdC=0),"Rate Sheet","Application Submitted")))))))))</f>
        <v/>
      </c>
      <c r="M654" s="87"/>
      <c r="N654" s="87"/>
      <c r="O654" s="197"/>
      <c r="P654" s="87" t="str">
        <f>IF($A654="","",IF($AK654=TRUE,"Ready 2 Submit","Waiting on Dealer"))</f>
        <v/>
      </c>
      <c r="Q654" s="148"/>
      <c r="R654" s="87"/>
      <c r="S654" s="87"/>
      <c r="T654" s="87" t="str">
        <f>IF($A654="","",IF($AK654=TRUE,"Ready 2 Submit","Waiting on Dealer"))</f>
        <v/>
      </c>
      <c r="U654" s="148"/>
      <c r="V654" s="87"/>
      <c r="W654" s="87"/>
      <c r="X654" s="87" t="str">
        <f>IF($A654="","",IF($AK654=TRUE,"Ready 2 Submit","Waiting on Dealer"))</f>
        <v/>
      </c>
      <c r="Y654" s="148"/>
      <c r="Z654" s="87"/>
      <c r="AA654" s="87"/>
      <c r="AB654" s="87" t="str">
        <f>IF($A654="","",IF($AK654=TRUE,"Ready 2 Submit","Waiting on Dealer"))</f>
        <v/>
      </c>
      <c r="AC654" s="148"/>
      <c r="AD654" s="87"/>
      <c r="AE654" s="87"/>
      <c r="AF654" s="87" t="str">
        <f>IF($A654="","",IF($AK654=TRUE,"Ready 2 Submit","Waiting on Dealer"))</f>
        <v/>
      </c>
      <c r="AG654" s="148"/>
      <c r="AH654" s="87"/>
      <c r="AI654" s="87"/>
      <c r="AJ654" s="197"/>
      <c r="AK654" s="110" t="b">
        <v>0</v>
      </c>
      <c r="AL654" s="87" t="str" cm="1">
        <f t="array" ref="AL654">IF($A654="","",SUMPRODUCT((CHOOSE({1,2,3,4,5},$R654,$V654,$Z654,$AD654,$AH654)="Yes")*(((CHOOSE({1,2,3,4,5},$S654,$W654,$AA654,$AE654,$AI654)="Yes")+(CHOOSE({1,2,3,4,5},$S654,$W654,$AA654,$AE654,$AI654)=TRUE))&gt;0)))</f>
        <v/>
      </c>
      <c r="AM654" s="87"/>
      <c r="AN654" s="87" t="str">
        <f ca="1">IF(OR($A654="",$AM654=""),"",TODAY()-$AM654)</f>
        <v/>
      </c>
      <c r="AO654" s="87"/>
      <c r="AP654" s="106"/>
      <c r="AQ654" s="106"/>
      <c r="AR654" s="106"/>
      <c r="AS654" s="106"/>
      <c r="AT654" s="106"/>
      <c r="AU654" s="106"/>
      <c r="AV654" s="106"/>
      <c r="AW654" s="106"/>
      <c r="AX654" s="106"/>
      <c r="AY654" s="106"/>
    </row>
    <row r="655" spans="1:51" s="20" customFormat="1" ht="21" customHeight="1">
      <c r="A655" s="197"/>
      <c r="B655" s="87"/>
      <c r="C655" s="87"/>
      <c r="D655" s="196"/>
      <c r="E655" s="108"/>
      <c r="F655" s="196"/>
      <c r="G655" s="87"/>
      <c r="H655" s="197"/>
      <c r="I655" s="89"/>
      <c r="J655" s="204"/>
      <c r="K655" s="87"/>
      <c r="L655" s="87" t="str" cm="1">
        <f t="array" ref="L655">IF($A655="","",_xlfn.LET(_xlpm.stat,CHOOSE({1,2,3,4,5},$P655,$T655,$X655,$AB655,$AF655),_xlpm.rate,CHOOSE({1,2,3,4,5},$R655,$V655,$Z655,$AD655,$AH655),_xlpm.trn,CHOOSE({1,2,3,4,5},$S655,$W655,$AA655,$AE655,$AI655),_xlpm.nsC,SUMPRODUCT(--(_xlpm.stat="Ready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DLR",IF(AND(_xlpm.actRS&gt;0,_xlpm.actDone&lt;_xlpm.actRS),"Training",IF(_xlpm.actRS&gt;0,"Active",IF(AND(_xlpm.decC&gt;0,_xlpm.inPlay+_xlpm.actC=0),"Dead",IF(AND($AJ655&lt;&gt;"",$AK655=FALSE),"Waiting on Dealer",IF(_xlpm.subC&gt;0,"Waiting on Lender",IF(AND(_xlpm.appC+_xlpm.actC&gt;0,_xlpm.nsC+_xlpm.wdC=0),"Rate Sheet","Application Submitted")))))))))</f>
        <v/>
      </c>
      <c r="M655" s="87"/>
      <c r="N655" s="87"/>
      <c r="O655" s="197"/>
      <c r="P655" s="87" t="str">
        <f>IF($A655="","",IF($AK655=TRUE,"Ready 2 Submit","Waiting on Dealer"))</f>
        <v/>
      </c>
      <c r="Q655" s="148"/>
      <c r="R655" s="87"/>
      <c r="S655" s="87"/>
      <c r="T655" s="87" t="str">
        <f>IF($A655="","",IF($AK655=TRUE,"Ready 2 Submit","Waiting on Dealer"))</f>
        <v/>
      </c>
      <c r="U655" s="148"/>
      <c r="V655" s="87"/>
      <c r="W655" s="87"/>
      <c r="X655" s="87" t="str">
        <f>IF($A655="","",IF($AK655=TRUE,"Ready 2 Submit","Waiting on Dealer"))</f>
        <v/>
      </c>
      <c r="Y655" s="148"/>
      <c r="Z655" s="87"/>
      <c r="AA655" s="87"/>
      <c r="AB655" s="87" t="str">
        <f>IF($A655="","",IF($AK655=TRUE,"Ready 2 Submit","Waiting on Dealer"))</f>
        <v/>
      </c>
      <c r="AC655" s="148"/>
      <c r="AD655" s="87"/>
      <c r="AE655" s="87"/>
      <c r="AF655" s="87" t="str">
        <f>IF($A655="","",IF($AK655=TRUE,"Ready 2 Submit","Waiting on Dealer"))</f>
        <v/>
      </c>
      <c r="AG655" s="148"/>
      <c r="AH655" s="87"/>
      <c r="AI655" s="87"/>
      <c r="AJ655" s="197"/>
      <c r="AK655" s="110" t="b">
        <v>0</v>
      </c>
      <c r="AL655" s="87" t="str" cm="1">
        <f t="array" ref="AL655">IF($A655="","",SUMPRODUCT((CHOOSE({1,2,3,4,5},$R655,$V655,$Z655,$AD655,$AH655)="Yes")*(((CHOOSE({1,2,3,4,5},$S655,$W655,$AA655,$AE655,$AI655)="Yes")+(CHOOSE({1,2,3,4,5},$S655,$W655,$AA655,$AE655,$AI655)=TRUE))&gt;0)))</f>
        <v/>
      </c>
      <c r="AM655" s="87"/>
      <c r="AN655" s="87" t="str">
        <f ca="1">IF(OR($A655="",$AM655=""),"",TODAY()-$AM655)</f>
        <v/>
      </c>
      <c r="AO655" s="87"/>
      <c r="AP655" s="106"/>
      <c r="AQ655" s="106"/>
      <c r="AR655" s="106"/>
      <c r="AS655" s="106"/>
      <c r="AT655" s="106"/>
      <c r="AU655" s="106"/>
      <c r="AV655" s="106"/>
      <c r="AW655" s="106"/>
      <c r="AX655" s="106"/>
      <c r="AY655" s="106"/>
    </row>
    <row r="656" spans="1:51" s="20" customFormat="1" ht="21" customHeight="1">
      <c r="A656" s="197"/>
      <c r="B656" s="87"/>
      <c r="C656" s="87"/>
      <c r="D656" s="196"/>
      <c r="E656" s="108"/>
      <c r="F656" s="196"/>
      <c r="G656" s="87"/>
      <c r="H656" s="197"/>
      <c r="I656" s="89"/>
      <c r="J656" s="204"/>
      <c r="K656" s="87"/>
      <c r="L656" s="87" t="str" cm="1">
        <f t="array" ref="L656">IF($A656="","",_xlfn.LET(_xlpm.stat,CHOOSE({1,2,3,4,5},$P656,$T656,$X656,$AB656,$AF656),_xlpm.rate,CHOOSE({1,2,3,4,5},$R656,$V656,$Z656,$AD656,$AH656),_xlpm.trn,CHOOSE({1,2,3,4,5},$S656,$W656,$AA656,$AE656,$AI656),_xlpm.nsC,SUMPRODUCT(--(_xlpm.stat="Ready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DLR",IF(AND(_xlpm.actRS&gt;0,_xlpm.actDone&lt;_xlpm.actRS),"Training",IF(_xlpm.actRS&gt;0,"Active",IF(AND(_xlpm.decC&gt;0,_xlpm.inPlay+_xlpm.actC=0),"Dead",IF(AND($AJ656&lt;&gt;"",$AK656=FALSE),"Waiting on Dealer",IF(_xlpm.subC&gt;0,"Waiting on Lender",IF(AND(_xlpm.appC+_xlpm.actC&gt;0,_xlpm.nsC+_xlpm.wdC=0),"Rate Sheet","Application Submitted")))))))))</f>
        <v/>
      </c>
      <c r="M656" s="87"/>
      <c r="N656" s="87"/>
      <c r="O656" s="197"/>
      <c r="P656" s="87" t="str">
        <f>IF($A656="","",IF($AK656=TRUE,"Ready 2 Submit","Waiting on Dealer"))</f>
        <v/>
      </c>
      <c r="Q656" s="148"/>
      <c r="R656" s="87"/>
      <c r="S656" s="87"/>
      <c r="T656" s="87" t="str">
        <f>IF($A656="","",IF($AK656=TRUE,"Ready 2 Submit","Waiting on Dealer"))</f>
        <v/>
      </c>
      <c r="U656" s="148"/>
      <c r="V656" s="87"/>
      <c r="W656" s="87"/>
      <c r="X656" s="87" t="str">
        <f>IF($A656="","",IF($AK656=TRUE,"Ready 2 Submit","Waiting on Dealer"))</f>
        <v/>
      </c>
      <c r="Y656" s="148"/>
      <c r="Z656" s="87"/>
      <c r="AA656" s="87"/>
      <c r="AB656" s="87" t="str">
        <f>IF($A656="","",IF($AK656=TRUE,"Ready 2 Submit","Waiting on Dealer"))</f>
        <v/>
      </c>
      <c r="AC656" s="148"/>
      <c r="AD656" s="87"/>
      <c r="AE656" s="87"/>
      <c r="AF656" s="87" t="str">
        <f>IF($A656="","",IF($AK656=TRUE,"Ready 2 Submit","Waiting on Dealer"))</f>
        <v/>
      </c>
      <c r="AG656" s="148"/>
      <c r="AH656" s="87"/>
      <c r="AI656" s="87"/>
      <c r="AJ656" s="197"/>
      <c r="AK656" s="110" t="b">
        <v>0</v>
      </c>
      <c r="AL656" s="87" t="str" cm="1">
        <f t="array" ref="AL656">IF($A656="","",SUMPRODUCT((CHOOSE({1,2,3,4,5},$R656,$V656,$Z656,$AD656,$AH656)="Yes")*(((CHOOSE({1,2,3,4,5},$S656,$W656,$AA656,$AE656,$AI656)="Yes")+(CHOOSE({1,2,3,4,5},$S656,$W656,$AA656,$AE656,$AI656)=TRUE))&gt;0)))</f>
        <v/>
      </c>
      <c r="AM656" s="87"/>
      <c r="AN656" s="87" t="str">
        <f ca="1">IF(OR($A656="",$AM656=""),"",TODAY()-$AM656)</f>
        <v/>
      </c>
      <c r="AO656" s="87"/>
      <c r="AP656" s="106"/>
      <c r="AQ656" s="106"/>
      <c r="AR656" s="106"/>
      <c r="AS656" s="106"/>
      <c r="AT656" s="106"/>
      <c r="AU656" s="106"/>
      <c r="AV656" s="106"/>
      <c r="AW656" s="106"/>
      <c r="AX656" s="106"/>
      <c r="AY656" s="106"/>
    </row>
    <row r="657" spans="1:51" s="20" customFormat="1" ht="21" customHeight="1">
      <c r="A657" s="197"/>
      <c r="B657" s="87"/>
      <c r="C657" s="87"/>
      <c r="D657" s="196"/>
      <c r="E657" s="108"/>
      <c r="F657" s="196"/>
      <c r="G657" s="87"/>
      <c r="H657" s="197"/>
      <c r="I657" s="89"/>
      <c r="J657" s="204"/>
      <c r="K657" s="87"/>
      <c r="L657" s="87" t="str" cm="1">
        <f t="array" ref="L657">IF($A657="","",_xlfn.LET(_xlpm.stat,CHOOSE({1,2,3,4,5},$P657,$T657,$X657,$AB657,$AF657),_xlpm.rate,CHOOSE({1,2,3,4,5},$R657,$V657,$Z657,$AD657,$AH657),_xlpm.trn,CHOOSE({1,2,3,4,5},$S657,$W657,$AA657,$AE657,$AI657),_xlpm.nsC,SUMPRODUCT(--(_xlpm.stat="Ready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DLR",IF(AND(_xlpm.actRS&gt;0,_xlpm.actDone&lt;_xlpm.actRS),"Training",IF(_xlpm.actRS&gt;0,"Active",IF(AND(_xlpm.decC&gt;0,_xlpm.inPlay+_xlpm.actC=0),"Dead",IF(AND($AJ657&lt;&gt;"",$AK657=FALSE),"Waiting on Dealer",IF(_xlpm.subC&gt;0,"Waiting on Lender",IF(AND(_xlpm.appC+_xlpm.actC&gt;0,_xlpm.nsC+_xlpm.wdC=0),"Rate Sheet","Application Submitted")))))))))</f>
        <v/>
      </c>
      <c r="M657" s="87"/>
      <c r="N657" s="87"/>
      <c r="O657" s="197"/>
      <c r="P657" s="87" t="str">
        <f>IF($A657="","",IF($AK657=TRUE,"Ready 2 Submit","Waiting on Dealer"))</f>
        <v/>
      </c>
      <c r="Q657" s="148"/>
      <c r="R657" s="87"/>
      <c r="S657" s="87"/>
      <c r="T657" s="87" t="str">
        <f>IF($A657="","",IF($AK657=TRUE,"Ready 2 Submit","Waiting on Dealer"))</f>
        <v/>
      </c>
      <c r="U657" s="148"/>
      <c r="V657" s="87"/>
      <c r="W657" s="87"/>
      <c r="X657" s="87" t="str">
        <f>IF($A657="","",IF($AK657=TRUE,"Ready 2 Submit","Waiting on Dealer"))</f>
        <v/>
      </c>
      <c r="Y657" s="148"/>
      <c r="Z657" s="87"/>
      <c r="AA657" s="87"/>
      <c r="AB657" s="87" t="str">
        <f>IF($A657="","",IF($AK657=TRUE,"Ready 2 Submit","Waiting on Dealer"))</f>
        <v/>
      </c>
      <c r="AC657" s="148"/>
      <c r="AD657" s="87"/>
      <c r="AE657" s="87"/>
      <c r="AF657" s="87" t="str">
        <f>IF($A657="","",IF($AK657=TRUE,"Ready 2 Submit","Waiting on Dealer"))</f>
        <v/>
      </c>
      <c r="AG657" s="148"/>
      <c r="AH657" s="87"/>
      <c r="AI657" s="87"/>
      <c r="AJ657" s="197"/>
      <c r="AK657" s="110" t="b">
        <v>0</v>
      </c>
      <c r="AL657" s="87" t="str" cm="1">
        <f t="array" ref="AL657">IF($A657="","",SUMPRODUCT((CHOOSE({1,2,3,4,5},$R657,$V657,$Z657,$AD657,$AH657)="Yes")*(((CHOOSE({1,2,3,4,5},$S657,$W657,$AA657,$AE657,$AI657)="Yes")+(CHOOSE({1,2,3,4,5},$S657,$W657,$AA657,$AE657,$AI657)=TRUE))&gt;0)))</f>
        <v/>
      </c>
      <c r="AM657" s="87"/>
      <c r="AN657" s="87" t="str">
        <f ca="1">IF(OR($A657="",$AM657=""),"",TODAY()-$AM657)</f>
        <v/>
      </c>
      <c r="AO657" s="87"/>
      <c r="AP657" s="106"/>
      <c r="AQ657" s="106"/>
      <c r="AR657" s="106"/>
      <c r="AS657" s="106"/>
      <c r="AT657" s="106"/>
      <c r="AU657" s="106"/>
      <c r="AV657" s="106"/>
      <c r="AW657" s="106"/>
      <c r="AX657" s="106"/>
      <c r="AY657" s="106"/>
    </row>
    <row r="658" spans="1:51" s="20" customFormat="1" ht="21" customHeight="1">
      <c r="A658" s="197"/>
      <c r="B658" s="87"/>
      <c r="C658" s="87"/>
      <c r="D658" s="196"/>
      <c r="E658" s="108"/>
      <c r="F658" s="196"/>
      <c r="G658" s="87"/>
      <c r="H658" s="197"/>
      <c r="I658" s="89"/>
      <c r="J658" s="204"/>
      <c r="K658" s="87"/>
      <c r="L658" s="87" t="str" cm="1">
        <f t="array" ref="L658">IF($A658="","",_xlfn.LET(_xlpm.stat,CHOOSE({1,2,3,4,5},$P658,$T658,$X658,$AB658,$AF658),_xlpm.rate,CHOOSE({1,2,3,4,5},$R658,$V658,$Z658,$AD658,$AH658),_xlpm.trn,CHOOSE({1,2,3,4,5},$S658,$W658,$AA658,$AE658,$AI658),_xlpm.nsC,SUMPRODUCT(--(_xlpm.stat="Ready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DLR",IF(AND(_xlpm.actRS&gt;0,_xlpm.actDone&lt;_xlpm.actRS),"Training",IF(_xlpm.actRS&gt;0,"Active",IF(AND(_xlpm.decC&gt;0,_xlpm.inPlay+_xlpm.actC=0),"Dead",IF(AND($AJ658&lt;&gt;"",$AK658=FALSE),"Waiting on Dealer",IF(_xlpm.subC&gt;0,"Waiting on Lender",IF(AND(_xlpm.appC+_xlpm.actC&gt;0,_xlpm.nsC+_xlpm.wdC=0),"Rate Sheet","Application Submitted")))))))))</f>
        <v/>
      </c>
      <c r="M658" s="87"/>
      <c r="N658" s="87"/>
      <c r="O658" s="197"/>
      <c r="P658" s="87" t="str">
        <f>IF($A658="","",IF($AK658=TRUE,"Ready 2 Submit","Waiting on Dealer"))</f>
        <v/>
      </c>
      <c r="Q658" s="148"/>
      <c r="R658" s="87"/>
      <c r="S658" s="87"/>
      <c r="T658" s="87" t="str">
        <f>IF($A658="","",IF($AK658=TRUE,"Ready 2 Submit","Waiting on Dealer"))</f>
        <v/>
      </c>
      <c r="U658" s="148"/>
      <c r="V658" s="87"/>
      <c r="W658" s="87"/>
      <c r="X658" s="87" t="str">
        <f>IF($A658="","",IF($AK658=TRUE,"Ready 2 Submit","Waiting on Dealer"))</f>
        <v/>
      </c>
      <c r="Y658" s="148"/>
      <c r="Z658" s="87"/>
      <c r="AA658" s="87"/>
      <c r="AB658" s="87" t="str">
        <f>IF($A658="","",IF($AK658=TRUE,"Ready 2 Submit","Waiting on Dealer"))</f>
        <v/>
      </c>
      <c r="AC658" s="148"/>
      <c r="AD658" s="87"/>
      <c r="AE658" s="87"/>
      <c r="AF658" s="87" t="str">
        <f>IF($A658="","",IF($AK658=TRUE,"Ready 2 Submit","Waiting on Dealer"))</f>
        <v/>
      </c>
      <c r="AG658" s="148"/>
      <c r="AH658" s="87"/>
      <c r="AI658" s="87"/>
      <c r="AJ658" s="197"/>
      <c r="AK658" s="110" t="b">
        <v>0</v>
      </c>
      <c r="AL658" s="87" t="str" cm="1">
        <f t="array" ref="AL658">IF($A658="","",SUMPRODUCT((CHOOSE({1,2,3,4,5},$R658,$V658,$Z658,$AD658,$AH658)="Yes")*(((CHOOSE({1,2,3,4,5},$S658,$W658,$AA658,$AE658,$AI658)="Yes")+(CHOOSE({1,2,3,4,5},$S658,$W658,$AA658,$AE658,$AI658)=TRUE))&gt;0)))</f>
        <v/>
      </c>
      <c r="AM658" s="87"/>
      <c r="AN658" s="87" t="str">
        <f ca="1">IF(OR($A658="",$AM658=""),"",TODAY()-$AM658)</f>
        <v/>
      </c>
      <c r="AO658" s="87"/>
      <c r="AP658" s="106"/>
      <c r="AQ658" s="106"/>
      <c r="AR658" s="106"/>
      <c r="AS658" s="106"/>
      <c r="AT658" s="106"/>
      <c r="AU658" s="106"/>
      <c r="AV658" s="106"/>
      <c r="AW658" s="106"/>
      <c r="AX658" s="106"/>
      <c r="AY658" s="106"/>
    </row>
    <row r="659" spans="1:51" s="20" customFormat="1" ht="21" customHeight="1">
      <c r="A659" s="197"/>
      <c r="B659" s="87"/>
      <c r="C659" s="87"/>
      <c r="D659" s="196"/>
      <c r="E659" s="108"/>
      <c r="F659" s="196"/>
      <c r="G659" s="87"/>
      <c r="H659" s="197"/>
      <c r="I659" s="89"/>
      <c r="J659" s="204"/>
      <c r="K659" s="87"/>
      <c r="L659" s="87" t="str" cm="1">
        <f t="array" ref="L659">IF($A659="","",_xlfn.LET(_xlpm.stat,CHOOSE({1,2,3,4,5},$P659,$T659,$X659,$AB659,$AF659),_xlpm.rate,CHOOSE({1,2,3,4,5},$R659,$V659,$Z659,$AD659,$AH659),_xlpm.trn,CHOOSE({1,2,3,4,5},$S659,$W659,$AA659,$AE659,$AI659),_xlpm.nsC,SUMPRODUCT(--(_xlpm.stat="Ready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DLR",IF(AND(_xlpm.actRS&gt;0,_xlpm.actDone&lt;_xlpm.actRS),"Training",IF(_xlpm.actRS&gt;0,"Active",IF(AND(_xlpm.decC&gt;0,_xlpm.inPlay+_xlpm.actC=0),"Dead",IF(AND($AJ659&lt;&gt;"",$AK659=FALSE),"Waiting on Dealer",IF(_xlpm.subC&gt;0,"Waiting on Lender",IF(AND(_xlpm.appC+_xlpm.actC&gt;0,_xlpm.nsC+_xlpm.wdC=0),"Rate Sheet","Application Submitted")))))))))</f>
        <v/>
      </c>
      <c r="M659" s="87"/>
      <c r="N659" s="87"/>
      <c r="O659" s="197"/>
      <c r="P659" s="87" t="str">
        <f>IF($A659="","",IF($AK659=TRUE,"Ready 2 Submit","Waiting on Dealer"))</f>
        <v/>
      </c>
      <c r="Q659" s="148"/>
      <c r="R659" s="87"/>
      <c r="S659" s="87"/>
      <c r="T659" s="87" t="str">
        <f>IF($A659="","",IF($AK659=TRUE,"Ready 2 Submit","Waiting on Dealer"))</f>
        <v/>
      </c>
      <c r="U659" s="148"/>
      <c r="V659" s="87"/>
      <c r="W659" s="87"/>
      <c r="X659" s="87" t="str">
        <f>IF($A659="","",IF($AK659=TRUE,"Ready 2 Submit","Waiting on Dealer"))</f>
        <v/>
      </c>
      <c r="Y659" s="148"/>
      <c r="Z659" s="87"/>
      <c r="AA659" s="87"/>
      <c r="AB659" s="87" t="str">
        <f>IF($A659="","",IF($AK659=TRUE,"Ready 2 Submit","Waiting on Dealer"))</f>
        <v/>
      </c>
      <c r="AC659" s="148"/>
      <c r="AD659" s="87"/>
      <c r="AE659" s="87"/>
      <c r="AF659" s="87" t="str">
        <f>IF($A659="","",IF($AK659=TRUE,"Ready 2 Submit","Waiting on Dealer"))</f>
        <v/>
      </c>
      <c r="AG659" s="148"/>
      <c r="AH659" s="87"/>
      <c r="AI659" s="87"/>
      <c r="AJ659" s="197"/>
      <c r="AK659" s="110" t="b">
        <v>0</v>
      </c>
      <c r="AL659" s="87" t="str" cm="1">
        <f t="array" ref="AL659">IF($A659="","",SUMPRODUCT((CHOOSE({1,2,3,4,5},$R659,$V659,$Z659,$AD659,$AH659)="Yes")*(((CHOOSE({1,2,3,4,5},$S659,$W659,$AA659,$AE659,$AI659)="Yes")+(CHOOSE({1,2,3,4,5},$S659,$W659,$AA659,$AE659,$AI659)=TRUE))&gt;0)))</f>
        <v/>
      </c>
      <c r="AM659" s="87"/>
      <c r="AN659" s="87" t="str">
        <f ca="1">IF(OR($A659="",$AM659=""),"",TODAY()-$AM659)</f>
        <v/>
      </c>
      <c r="AO659" s="87"/>
      <c r="AP659" s="106"/>
      <c r="AQ659" s="106"/>
      <c r="AR659" s="106"/>
      <c r="AS659" s="106"/>
      <c r="AT659" s="106"/>
      <c r="AU659" s="106"/>
      <c r="AV659" s="106"/>
      <c r="AW659" s="106"/>
      <c r="AX659" s="106"/>
      <c r="AY659" s="106"/>
    </row>
    <row r="660" spans="1:51" s="20" customFormat="1" ht="21" customHeight="1">
      <c r="A660" s="197"/>
      <c r="B660" s="87"/>
      <c r="C660" s="87"/>
      <c r="D660" s="196"/>
      <c r="E660" s="108"/>
      <c r="F660" s="196"/>
      <c r="G660" s="87"/>
      <c r="H660" s="197"/>
      <c r="I660" s="89"/>
      <c r="J660" s="204"/>
      <c r="K660" s="87"/>
      <c r="L660" s="87" t="str" cm="1">
        <f t="array" ref="L660">IF($A660="","",_xlfn.LET(_xlpm.stat,CHOOSE({1,2,3,4,5},$P660,$T660,$X660,$AB660,$AF660),_xlpm.rate,CHOOSE({1,2,3,4,5},$R660,$V660,$Z660,$AD660,$AH660),_xlpm.trn,CHOOSE({1,2,3,4,5},$S660,$W660,$AA660,$AE660,$AI660),_xlpm.nsC,SUMPRODUCT(--(_xlpm.stat="Ready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DLR",IF(AND(_xlpm.actRS&gt;0,_xlpm.actDone&lt;_xlpm.actRS),"Training",IF(_xlpm.actRS&gt;0,"Active",IF(AND(_xlpm.decC&gt;0,_xlpm.inPlay+_xlpm.actC=0),"Dead",IF(AND($AJ660&lt;&gt;"",$AK660=FALSE),"Waiting on Dealer",IF(_xlpm.subC&gt;0,"Waiting on Lender",IF(AND(_xlpm.appC+_xlpm.actC&gt;0,_xlpm.nsC+_xlpm.wdC=0),"Rate Sheet","Application Submitted")))))))))</f>
        <v/>
      </c>
      <c r="M660" s="87"/>
      <c r="N660" s="87"/>
      <c r="O660" s="197"/>
      <c r="P660" s="87" t="str">
        <f>IF($A660="","",IF($AK660=TRUE,"Ready 2 Submit","Waiting on Dealer"))</f>
        <v/>
      </c>
      <c r="Q660" s="148"/>
      <c r="R660" s="87"/>
      <c r="S660" s="87"/>
      <c r="T660" s="87" t="str">
        <f>IF($A660="","",IF($AK660=TRUE,"Ready 2 Submit","Waiting on Dealer"))</f>
        <v/>
      </c>
      <c r="U660" s="148"/>
      <c r="V660" s="87"/>
      <c r="W660" s="87"/>
      <c r="X660" s="87" t="str">
        <f>IF($A660="","",IF($AK660=TRUE,"Ready 2 Submit","Waiting on Dealer"))</f>
        <v/>
      </c>
      <c r="Y660" s="148"/>
      <c r="Z660" s="87"/>
      <c r="AA660" s="87"/>
      <c r="AB660" s="87" t="str">
        <f>IF($A660="","",IF($AK660=TRUE,"Ready 2 Submit","Waiting on Dealer"))</f>
        <v/>
      </c>
      <c r="AC660" s="148"/>
      <c r="AD660" s="87"/>
      <c r="AE660" s="87"/>
      <c r="AF660" s="87" t="str">
        <f>IF($A660="","",IF($AK660=TRUE,"Ready 2 Submit","Waiting on Dealer"))</f>
        <v/>
      </c>
      <c r="AG660" s="148"/>
      <c r="AH660" s="87"/>
      <c r="AI660" s="87"/>
      <c r="AJ660" s="197"/>
      <c r="AK660" s="110" t="b">
        <v>0</v>
      </c>
      <c r="AL660" s="87" t="str" cm="1">
        <f t="array" ref="AL660">IF($A660="","",SUMPRODUCT((CHOOSE({1,2,3,4,5},$R660,$V660,$Z660,$AD660,$AH660)="Yes")*(((CHOOSE({1,2,3,4,5},$S660,$W660,$AA660,$AE660,$AI660)="Yes")+(CHOOSE({1,2,3,4,5},$S660,$W660,$AA660,$AE660,$AI660)=TRUE))&gt;0)))</f>
        <v/>
      </c>
      <c r="AM660" s="87"/>
      <c r="AN660" s="87" t="str">
        <f ca="1">IF(OR($A660="",$AM660=""),"",TODAY()-$AM660)</f>
        <v/>
      </c>
      <c r="AO660" s="87"/>
      <c r="AP660" s="106"/>
      <c r="AQ660" s="106"/>
      <c r="AR660" s="106"/>
      <c r="AS660" s="106"/>
      <c r="AT660" s="106"/>
      <c r="AU660" s="106"/>
      <c r="AV660" s="106"/>
      <c r="AW660" s="106"/>
      <c r="AX660" s="106"/>
      <c r="AY660" s="106"/>
    </row>
    <row r="661" spans="1:51" s="20" customFormat="1" ht="21" customHeight="1">
      <c r="A661" s="197"/>
      <c r="B661" s="87"/>
      <c r="C661" s="87"/>
      <c r="D661" s="196"/>
      <c r="E661" s="108"/>
      <c r="F661" s="196"/>
      <c r="G661" s="87"/>
      <c r="H661" s="197"/>
      <c r="I661" s="89"/>
      <c r="J661" s="204"/>
      <c r="K661" s="87"/>
      <c r="L661" s="87" t="str" cm="1">
        <f t="array" ref="L661">IF($A661="","",_xlfn.LET(_xlpm.stat,CHOOSE({1,2,3,4,5},$P661,$T661,$X661,$AB661,$AF661),_xlpm.rate,CHOOSE({1,2,3,4,5},$R661,$V661,$Z661,$AD661,$AH661),_xlpm.trn,CHOOSE({1,2,3,4,5},$S661,$W661,$AA661,$AE661,$AI661),_xlpm.nsC,SUMPRODUCT(--(_xlpm.stat="Ready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DLR",IF(AND(_xlpm.actRS&gt;0,_xlpm.actDone&lt;_xlpm.actRS),"Training",IF(_xlpm.actRS&gt;0,"Active",IF(AND(_xlpm.decC&gt;0,_xlpm.inPlay+_xlpm.actC=0),"Dead",IF(AND($AJ661&lt;&gt;"",$AK661=FALSE),"Waiting on Dealer",IF(_xlpm.subC&gt;0,"Waiting on Lender",IF(AND(_xlpm.appC+_xlpm.actC&gt;0,_xlpm.nsC+_xlpm.wdC=0),"Rate Sheet","Application Submitted")))))))))</f>
        <v/>
      </c>
      <c r="M661" s="87"/>
      <c r="N661" s="87"/>
      <c r="O661" s="197"/>
      <c r="P661" s="87" t="str">
        <f>IF($A661="","",IF($AK661=TRUE,"Ready 2 Submit","Waiting on Dealer"))</f>
        <v/>
      </c>
      <c r="Q661" s="148"/>
      <c r="R661" s="87"/>
      <c r="S661" s="87"/>
      <c r="T661" s="87" t="str">
        <f>IF($A661="","",IF($AK661=TRUE,"Ready 2 Submit","Waiting on Dealer"))</f>
        <v/>
      </c>
      <c r="U661" s="148"/>
      <c r="V661" s="87"/>
      <c r="W661" s="87"/>
      <c r="X661" s="87" t="str">
        <f>IF($A661="","",IF($AK661=TRUE,"Ready 2 Submit","Waiting on Dealer"))</f>
        <v/>
      </c>
      <c r="Y661" s="148"/>
      <c r="Z661" s="87"/>
      <c r="AA661" s="87"/>
      <c r="AB661" s="87" t="str">
        <f>IF($A661="","",IF($AK661=TRUE,"Ready 2 Submit","Waiting on Dealer"))</f>
        <v/>
      </c>
      <c r="AC661" s="148"/>
      <c r="AD661" s="87"/>
      <c r="AE661" s="87"/>
      <c r="AF661" s="87" t="str">
        <f>IF($A661="","",IF($AK661=TRUE,"Ready 2 Submit","Waiting on Dealer"))</f>
        <v/>
      </c>
      <c r="AG661" s="148"/>
      <c r="AH661" s="87"/>
      <c r="AI661" s="87"/>
      <c r="AJ661" s="197"/>
      <c r="AK661" s="110" t="b">
        <v>0</v>
      </c>
      <c r="AL661" s="87" t="str" cm="1">
        <f t="array" ref="AL661">IF($A661="","",SUMPRODUCT((CHOOSE({1,2,3,4,5},$R661,$V661,$Z661,$AD661,$AH661)="Yes")*(((CHOOSE({1,2,3,4,5},$S661,$W661,$AA661,$AE661,$AI661)="Yes")+(CHOOSE({1,2,3,4,5},$S661,$W661,$AA661,$AE661,$AI661)=TRUE))&gt;0)))</f>
        <v/>
      </c>
      <c r="AM661" s="87"/>
      <c r="AN661" s="87" t="str">
        <f ca="1">IF(OR($A661="",$AM661=""),"",TODAY()-$AM661)</f>
        <v/>
      </c>
      <c r="AO661" s="87"/>
      <c r="AP661" s="106"/>
      <c r="AQ661" s="106"/>
      <c r="AR661" s="106"/>
      <c r="AS661" s="106"/>
      <c r="AT661" s="106"/>
      <c r="AU661" s="106"/>
      <c r="AV661" s="106"/>
      <c r="AW661" s="106"/>
      <c r="AX661" s="106"/>
      <c r="AY661" s="106"/>
    </row>
    <row r="662" spans="1:51" s="20" customFormat="1" ht="21" customHeight="1">
      <c r="A662" s="197"/>
      <c r="B662" s="87"/>
      <c r="C662" s="87"/>
      <c r="D662" s="196"/>
      <c r="E662" s="108"/>
      <c r="F662" s="196"/>
      <c r="G662" s="87"/>
      <c r="H662" s="197"/>
      <c r="I662" s="89"/>
      <c r="J662" s="204"/>
      <c r="K662" s="87"/>
      <c r="L662" s="87" t="str" cm="1">
        <f t="array" ref="L662">IF($A662="","",_xlfn.LET(_xlpm.stat,CHOOSE({1,2,3,4,5},$P662,$T662,$X662,$AB662,$AF662),_xlpm.rate,CHOOSE({1,2,3,4,5},$R662,$V662,$Z662,$AD662,$AH662),_xlpm.trn,CHOOSE({1,2,3,4,5},$S662,$W662,$AA662,$AE662,$AI662),_xlpm.nsC,SUMPRODUCT(--(_xlpm.stat="Ready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DLR",IF(AND(_xlpm.actRS&gt;0,_xlpm.actDone&lt;_xlpm.actRS),"Training",IF(_xlpm.actRS&gt;0,"Active",IF(AND(_xlpm.decC&gt;0,_xlpm.inPlay+_xlpm.actC=0),"Dead",IF(AND($AJ662&lt;&gt;"",$AK662=FALSE),"Waiting on Dealer",IF(_xlpm.subC&gt;0,"Waiting on Lender",IF(AND(_xlpm.appC+_xlpm.actC&gt;0,_xlpm.nsC+_xlpm.wdC=0),"Rate Sheet","Application Submitted")))))))))</f>
        <v/>
      </c>
      <c r="M662" s="87"/>
      <c r="N662" s="87"/>
      <c r="O662" s="197"/>
      <c r="P662" s="87" t="str">
        <f>IF($A662="","",IF($AK662=TRUE,"Ready 2 Submit","Waiting on Dealer"))</f>
        <v/>
      </c>
      <c r="Q662" s="148"/>
      <c r="R662" s="87"/>
      <c r="S662" s="87"/>
      <c r="T662" s="87" t="str">
        <f>IF($A662="","",IF($AK662=TRUE,"Ready 2 Submit","Waiting on Dealer"))</f>
        <v/>
      </c>
      <c r="U662" s="148"/>
      <c r="V662" s="87"/>
      <c r="W662" s="87"/>
      <c r="X662" s="87" t="str">
        <f>IF($A662="","",IF($AK662=TRUE,"Ready 2 Submit","Waiting on Dealer"))</f>
        <v/>
      </c>
      <c r="Y662" s="148"/>
      <c r="Z662" s="87"/>
      <c r="AA662" s="87"/>
      <c r="AB662" s="87" t="str">
        <f>IF($A662="","",IF($AK662=TRUE,"Ready 2 Submit","Waiting on Dealer"))</f>
        <v/>
      </c>
      <c r="AC662" s="148"/>
      <c r="AD662" s="87"/>
      <c r="AE662" s="87"/>
      <c r="AF662" s="87" t="str">
        <f>IF($A662="","",IF($AK662=TRUE,"Ready 2 Submit","Waiting on Dealer"))</f>
        <v/>
      </c>
      <c r="AG662" s="148"/>
      <c r="AH662" s="87"/>
      <c r="AI662" s="87"/>
      <c r="AJ662" s="197"/>
      <c r="AK662" s="110" t="b">
        <v>0</v>
      </c>
      <c r="AL662" s="87" t="str" cm="1">
        <f t="array" ref="AL662">IF($A662="","",SUMPRODUCT((CHOOSE({1,2,3,4,5},$R662,$V662,$Z662,$AD662,$AH662)="Yes")*(((CHOOSE({1,2,3,4,5},$S662,$W662,$AA662,$AE662,$AI662)="Yes")+(CHOOSE({1,2,3,4,5},$S662,$W662,$AA662,$AE662,$AI662)=TRUE))&gt;0)))</f>
        <v/>
      </c>
      <c r="AM662" s="87"/>
      <c r="AN662" s="87" t="str">
        <f ca="1">IF(OR($A662="",$AM662=""),"",TODAY()-$AM662)</f>
        <v/>
      </c>
      <c r="AO662" s="87"/>
      <c r="AP662" s="106"/>
      <c r="AQ662" s="106"/>
      <c r="AR662" s="106"/>
      <c r="AS662" s="106"/>
      <c r="AT662" s="106"/>
      <c r="AU662" s="106"/>
      <c r="AV662" s="106"/>
      <c r="AW662" s="106"/>
      <c r="AX662" s="106"/>
      <c r="AY662" s="106"/>
    </row>
    <row r="663" spans="1:51" s="20" customFormat="1" ht="21" customHeight="1">
      <c r="A663" s="197"/>
      <c r="B663" s="87"/>
      <c r="C663" s="87"/>
      <c r="D663" s="196"/>
      <c r="E663" s="108"/>
      <c r="F663" s="196"/>
      <c r="G663" s="87"/>
      <c r="H663" s="197"/>
      <c r="I663" s="89"/>
      <c r="J663" s="204"/>
      <c r="K663" s="87"/>
      <c r="L663" s="87" t="str" cm="1">
        <f t="array" ref="L663">IF($A663="","",_xlfn.LET(_xlpm.stat,CHOOSE({1,2,3,4,5},$P663,$T663,$X663,$AB663,$AF663),_xlpm.rate,CHOOSE({1,2,3,4,5},$R663,$V663,$Z663,$AD663,$AH663),_xlpm.trn,CHOOSE({1,2,3,4,5},$S663,$W663,$AA663,$AE663,$AI663),_xlpm.nsC,SUMPRODUCT(--(_xlpm.stat="Ready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DLR",IF(AND(_xlpm.actRS&gt;0,_xlpm.actDone&lt;_xlpm.actRS),"Training",IF(_xlpm.actRS&gt;0,"Active",IF(AND(_xlpm.decC&gt;0,_xlpm.inPlay+_xlpm.actC=0),"Dead",IF(AND($AJ663&lt;&gt;"",$AK663=FALSE),"Waiting on Dealer",IF(_xlpm.subC&gt;0,"Waiting on Lender",IF(AND(_xlpm.appC+_xlpm.actC&gt;0,_xlpm.nsC+_xlpm.wdC=0),"Rate Sheet","Application Submitted")))))))))</f>
        <v/>
      </c>
      <c r="M663" s="87"/>
      <c r="N663" s="87"/>
      <c r="O663" s="197"/>
      <c r="P663" s="87" t="str">
        <f>IF($A663="","",IF($AK663=TRUE,"Ready 2 Submit","Waiting on Dealer"))</f>
        <v/>
      </c>
      <c r="Q663" s="148"/>
      <c r="R663" s="87"/>
      <c r="S663" s="87"/>
      <c r="T663" s="87" t="str">
        <f>IF($A663="","",IF($AK663=TRUE,"Ready 2 Submit","Waiting on Dealer"))</f>
        <v/>
      </c>
      <c r="U663" s="148"/>
      <c r="V663" s="87"/>
      <c r="W663" s="87"/>
      <c r="X663" s="87" t="str">
        <f>IF($A663="","",IF($AK663=TRUE,"Ready 2 Submit","Waiting on Dealer"))</f>
        <v/>
      </c>
      <c r="Y663" s="148"/>
      <c r="Z663" s="87"/>
      <c r="AA663" s="87"/>
      <c r="AB663" s="87" t="str">
        <f>IF($A663="","",IF($AK663=TRUE,"Ready 2 Submit","Waiting on Dealer"))</f>
        <v/>
      </c>
      <c r="AC663" s="148"/>
      <c r="AD663" s="87"/>
      <c r="AE663" s="87"/>
      <c r="AF663" s="87" t="str">
        <f>IF($A663="","",IF($AK663=TRUE,"Ready 2 Submit","Waiting on Dealer"))</f>
        <v/>
      </c>
      <c r="AG663" s="148"/>
      <c r="AH663" s="87"/>
      <c r="AI663" s="87"/>
      <c r="AJ663" s="197"/>
      <c r="AK663" s="110" t="b">
        <v>0</v>
      </c>
      <c r="AL663" s="87" t="str" cm="1">
        <f t="array" ref="AL663">IF($A663="","",SUMPRODUCT((CHOOSE({1,2,3,4,5},$R663,$V663,$Z663,$AD663,$AH663)="Yes")*(((CHOOSE({1,2,3,4,5},$S663,$W663,$AA663,$AE663,$AI663)="Yes")+(CHOOSE({1,2,3,4,5},$S663,$W663,$AA663,$AE663,$AI663)=TRUE))&gt;0)))</f>
        <v/>
      </c>
      <c r="AM663" s="87"/>
      <c r="AN663" s="87" t="str">
        <f ca="1">IF(OR($A663="",$AM663=""),"",TODAY()-$AM663)</f>
        <v/>
      </c>
      <c r="AO663" s="87"/>
      <c r="AP663" s="106"/>
      <c r="AQ663" s="106"/>
      <c r="AR663" s="106"/>
      <c r="AS663" s="106"/>
      <c r="AT663" s="106"/>
      <c r="AU663" s="106"/>
      <c r="AV663" s="106"/>
      <c r="AW663" s="106"/>
      <c r="AX663" s="106"/>
      <c r="AY663" s="106"/>
    </row>
    <row r="664" spans="1:51" s="20" customFormat="1" ht="21" customHeight="1">
      <c r="A664" s="197"/>
      <c r="B664" s="87"/>
      <c r="C664" s="87"/>
      <c r="D664" s="196"/>
      <c r="E664" s="108"/>
      <c r="F664" s="196"/>
      <c r="G664" s="87"/>
      <c r="H664" s="197"/>
      <c r="I664" s="89"/>
      <c r="J664" s="204"/>
      <c r="K664" s="87"/>
      <c r="L664" s="87" t="str" cm="1">
        <f t="array" ref="L664">IF($A664="","",_xlfn.LET(_xlpm.stat,CHOOSE({1,2,3,4,5},$P664,$T664,$X664,$AB664,$AF664),_xlpm.rate,CHOOSE({1,2,3,4,5},$R664,$V664,$Z664,$AD664,$AH664),_xlpm.trn,CHOOSE({1,2,3,4,5},$S664,$W664,$AA664,$AE664,$AI664),_xlpm.nsC,SUMPRODUCT(--(_xlpm.stat="Ready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DLR",IF(AND(_xlpm.actRS&gt;0,_xlpm.actDone&lt;_xlpm.actRS),"Training",IF(_xlpm.actRS&gt;0,"Active",IF(AND(_xlpm.decC&gt;0,_xlpm.inPlay+_xlpm.actC=0),"Dead",IF(AND($AJ664&lt;&gt;"",$AK664=FALSE),"Waiting on Dealer",IF(_xlpm.subC&gt;0,"Waiting on Lender",IF(AND(_xlpm.appC+_xlpm.actC&gt;0,_xlpm.nsC+_xlpm.wdC=0),"Rate Sheet","Application Submitted")))))))))</f>
        <v/>
      </c>
      <c r="M664" s="87"/>
      <c r="N664" s="87"/>
      <c r="O664" s="197"/>
      <c r="P664" s="87" t="str">
        <f>IF($A664="","",IF($AK664=TRUE,"Ready 2 Submit","Waiting on Dealer"))</f>
        <v/>
      </c>
      <c r="Q664" s="148"/>
      <c r="R664" s="87"/>
      <c r="S664" s="87"/>
      <c r="T664" s="87" t="str">
        <f>IF($A664="","",IF($AK664=TRUE,"Ready 2 Submit","Waiting on Dealer"))</f>
        <v/>
      </c>
      <c r="U664" s="148"/>
      <c r="V664" s="87"/>
      <c r="W664" s="87"/>
      <c r="X664" s="87" t="str">
        <f>IF($A664="","",IF($AK664=TRUE,"Ready 2 Submit","Waiting on Dealer"))</f>
        <v/>
      </c>
      <c r="Y664" s="148"/>
      <c r="Z664" s="87"/>
      <c r="AA664" s="87"/>
      <c r="AB664" s="87" t="str">
        <f>IF($A664="","",IF($AK664=TRUE,"Ready 2 Submit","Waiting on Dealer"))</f>
        <v/>
      </c>
      <c r="AC664" s="148"/>
      <c r="AD664" s="87"/>
      <c r="AE664" s="87"/>
      <c r="AF664" s="87" t="str">
        <f>IF($A664="","",IF($AK664=TRUE,"Ready 2 Submit","Waiting on Dealer"))</f>
        <v/>
      </c>
      <c r="AG664" s="148"/>
      <c r="AH664" s="87"/>
      <c r="AI664" s="87"/>
      <c r="AJ664" s="197"/>
      <c r="AK664" s="110" t="b">
        <v>0</v>
      </c>
      <c r="AL664" s="87" t="str" cm="1">
        <f t="array" ref="AL664">IF($A664="","",SUMPRODUCT((CHOOSE({1,2,3,4,5},$R664,$V664,$Z664,$AD664,$AH664)="Yes")*(((CHOOSE({1,2,3,4,5},$S664,$W664,$AA664,$AE664,$AI664)="Yes")+(CHOOSE({1,2,3,4,5},$S664,$W664,$AA664,$AE664,$AI664)=TRUE))&gt;0)))</f>
        <v/>
      </c>
      <c r="AM664" s="87"/>
      <c r="AN664" s="87" t="str">
        <f ca="1">IF(OR($A664="",$AM664=""),"",TODAY()-$AM664)</f>
        <v/>
      </c>
      <c r="AO664" s="87"/>
      <c r="AP664" s="106"/>
      <c r="AQ664" s="106"/>
      <c r="AR664" s="106"/>
      <c r="AS664" s="106"/>
      <c r="AT664" s="106"/>
      <c r="AU664" s="106"/>
      <c r="AV664" s="106"/>
      <c r="AW664" s="106"/>
      <c r="AX664" s="106"/>
      <c r="AY664" s="106"/>
    </row>
    <row r="665" spans="1:51" s="20" customFormat="1" ht="21" customHeight="1">
      <c r="A665" s="197"/>
      <c r="B665" s="87"/>
      <c r="C665" s="87"/>
      <c r="D665" s="196"/>
      <c r="E665" s="108"/>
      <c r="F665" s="196"/>
      <c r="G665" s="87"/>
      <c r="H665" s="197"/>
      <c r="I665" s="89"/>
      <c r="J665" s="204"/>
      <c r="K665" s="87"/>
      <c r="L665" s="87" t="str" cm="1">
        <f t="array" ref="L665">IF($A665="","",_xlfn.LET(_xlpm.stat,CHOOSE({1,2,3,4,5},$P665,$T665,$X665,$AB665,$AF665),_xlpm.rate,CHOOSE({1,2,3,4,5},$R665,$V665,$Z665,$AD665,$AH665),_xlpm.trn,CHOOSE({1,2,3,4,5},$S665,$W665,$AA665,$AE665,$AI665),_xlpm.nsC,SUMPRODUCT(--(_xlpm.stat="Ready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DLR",IF(AND(_xlpm.actRS&gt;0,_xlpm.actDone&lt;_xlpm.actRS),"Training",IF(_xlpm.actRS&gt;0,"Active",IF(AND(_xlpm.decC&gt;0,_xlpm.inPlay+_xlpm.actC=0),"Dead",IF(AND($AJ665&lt;&gt;"",$AK665=FALSE),"Waiting on Dealer",IF(_xlpm.subC&gt;0,"Waiting on Lender",IF(AND(_xlpm.appC+_xlpm.actC&gt;0,_xlpm.nsC+_xlpm.wdC=0),"Rate Sheet","Application Submitted")))))))))</f>
        <v/>
      </c>
      <c r="M665" s="87"/>
      <c r="N665" s="87"/>
      <c r="O665" s="197"/>
      <c r="P665" s="87" t="str">
        <f>IF($A665="","",IF($AK665=TRUE,"Ready 2 Submit","Waiting on Dealer"))</f>
        <v/>
      </c>
      <c r="Q665" s="148"/>
      <c r="R665" s="87"/>
      <c r="S665" s="87"/>
      <c r="T665" s="87" t="str">
        <f>IF($A665="","",IF($AK665=TRUE,"Ready 2 Submit","Waiting on Dealer"))</f>
        <v/>
      </c>
      <c r="U665" s="148"/>
      <c r="V665" s="87"/>
      <c r="W665" s="87"/>
      <c r="X665" s="87" t="str">
        <f>IF($A665="","",IF($AK665=TRUE,"Ready 2 Submit","Waiting on Dealer"))</f>
        <v/>
      </c>
      <c r="Y665" s="148"/>
      <c r="Z665" s="87"/>
      <c r="AA665" s="87"/>
      <c r="AB665" s="87" t="str">
        <f>IF($A665="","",IF($AK665=TRUE,"Ready 2 Submit","Waiting on Dealer"))</f>
        <v/>
      </c>
      <c r="AC665" s="148"/>
      <c r="AD665" s="87"/>
      <c r="AE665" s="87"/>
      <c r="AF665" s="87" t="str">
        <f>IF($A665="","",IF($AK665=TRUE,"Ready 2 Submit","Waiting on Dealer"))</f>
        <v/>
      </c>
      <c r="AG665" s="148"/>
      <c r="AH665" s="87"/>
      <c r="AI665" s="87"/>
      <c r="AJ665" s="197"/>
      <c r="AK665" s="110" t="b">
        <v>0</v>
      </c>
      <c r="AL665" s="87" t="str" cm="1">
        <f t="array" ref="AL665">IF($A665="","",SUMPRODUCT((CHOOSE({1,2,3,4,5},$R665,$V665,$Z665,$AD665,$AH665)="Yes")*(((CHOOSE({1,2,3,4,5},$S665,$W665,$AA665,$AE665,$AI665)="Yes")+(CHOOSE({1,2,3,4,5},$S665,$W665,$AA665,$AE665,$AI665)=TRUE))&gt;0)))</f>
        <v/>
      </c>
      <c r="AM665" s="87"/>
      <c r="AN665" s="87" t="str">
        <f ca="1">IF(OR($A665="",$AM665=""),"",TODAY()-$AM665)</f>
        <v/>
      </c>
      <c r="AO665" s="87"/>
      <c r="AP665" s="106"/>
      <c r="AQ665" s="106"/>
      <c r="AR665" s="106"/>
      <c r="AS665" s="106"/>
      <c r="AT665" s="106"/>
      <c r="AU665" s="106"/>
      <c r="AV665" s="106"/>
      <c r="AW665" s="106"/>
      <c r="AX665" s="106"/>
      <c r="AY665" s="106"/>
    </row>
    <row r="666" spans="1:51" s="20" customFormat="1" ht="21" customHeight="1">
      <c r="A666" s="197"/>
      <c r="B666" s="87"/>
      <c r="C666" s="87"/>
      <c r="D666" s="196"/>
      <c r="E666" s="108"/>
      <c r="F666" s="196"/>
      <c r="G666" s="87"/>
      <c r="H666" s="197"/>
      <c r="I666" s="89"/>
      <c r="J666" s="204"/>
      <c r="K666" s="87"/>
      <c r="L666" s="87" t="str" cm="1">
        <f t="array" ref="L666">IF($A666="","",_xlfn.LET(_xlpm.stat,CHOOSE({1,2,3,4,5},$P666,$T666,$X666,$AB666,$AF666),_xlpm.rate,CHOOSE({1,2,3,4,5},$R666,$V666,$Z666,$AD666,$AH666),_xlpm.trn,CHOOSE({1,2,3,4,5},$S666,$W666,$AA666,$AE666,$AI666),_xlpm.nsC,SUMPRODUCT(--(_xlpm.stat="Ready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DLR",IF(AND(_xlpm.actRS&gt;0,_xlpm.actDone&lt;_xlpm.actRS),"Training",IF(_xlpm.actRS&gt;0,"Active",IF(AND(_xlpm.decC&gt;0,_xlpm.inPlay+_xlpm.actC=0),"Dead",IF(AND($AJ666&lt;&gt;"",$AK666=FALSE),"Waiting on Dealer",IF(_xlpm.subC&gt;0,"Waiting on Lender",IF(AND(_xlpm.appC+_xlpm.actC&gt;0,_xlpm.nsC+_xlpm.wdC=0),"Rate Sheet","Application Submitted")))))))))</f>
        <v/>
      </c>
      <c r="M666" s="87"/>
      <c r="N666" s="87"/>
      <c r="O666" s="197"/>
      <c r="P666" s="87" t="str">
        <f>IF($A666="","",IF($AK666=TRUE,"Ready 2 Submit","Waiting on Dealer"))</f>
        <v/>
      </c>
      <c r="Q666" s="148"/>
      <c r="R666" s="87"/>
      <c r="S666" s="87"/>
      <c r="T666" s="87" t="str">
        <f>IF($A666="","",IF($AK666=TRUE,"Ready 2 Submit","Waiting on Dealer"))</f>
        <v/>
      </c>
      <c r="U666" s="148"/>
      <c r="V666" s="87"/>
      <c r="W666" s="87"/>
      <c r="X666" s="87" t="str">
        <f>IF($A666="","",IF($AK666=TRUE,"Ready 2 Submit","Waiting on Dealer"))</f>
        <v/>
      </c>
      <c r="Y666" s="148"/>
      <c r="Z666" s="87"/>
      <c r="AA666" s="87"/>
      <c r="AB666" s="87" t="str">
        <f>IF($A666="","",IF($AK666=TRUE,"Ready 2 Submit","Waiting on Dealer"))</f>
        <v/>
      </c>
      <c r="AC666" s="148"/>
      <c r="AD666" s="87"/>
      <c r="AE666" s="87"/>
      <c r="AF666" s="87" t="str">
        <f>IF($A666="","",IF($AK666=TRUE,"Ready 2 Submit","Waiting on Dealer"))</f>
        <v/>
      </c>
      <c r="AG666" s="148"/>
      <c r="AH666" s="87"/>
      <c r="AI666" s="87"/>
      <c r="AJ666" s="197"/>
      <c r="AK666" s="110" t="b">
        <v>0</v>
      </c>
      <c r="AL666" s="87" t="str" cm="1">
        <f t="array" ref="AL666">IF($A666="","",SUMPRODUCT((CHOOSE({1,2,3,4,5},$R666,$V666,$Z666,$AD666,$AH666)="Yes")*(((CHOOSE({1,2,3,4,5},$S666,$W666,$AA666,$AE666,$AI666)="Yes")+(CHOOSE({1,2,3,4,5},$S666,$W666,$AA666,$AE666,$AI666)=TRUE))&gt;0)))</f>
        <v/>
      </c>
      <c r="AM666" s="87"/>
      <c r="AN666" s="87" t="str">
        <f ca="1">IF(OR($A666="",$AM666=""),"",TODAY()-$AM666)</f>
        <v/>
      </c>
      <c r="AO666" s="87"/>
      <c r="AP666" s="106"/>
      <c r="AQ666" s="106"/>
      <c r="AR666" s="106"/>
      <c r="AS666" s="106"/>
      <c r="AT666" s="106"/>
      <c r="AU666" s="106"/>
      <c r="AV666" s="106"/>
      <c r="AW666" s="106"/>
      <c r="AX666" s="106"/>
      <c r="AY666" s="106"/>
    </row>
    <row r="667" spans="1:51" s="20" customFormat="1" ht="21" customHeight="1">
      <c r="A667" s="197"/>
      <c r="B667" s="87"/>
      <c r="C667" s="87"/>
      <c r="D667" s="196"/>
      <c r="E667" s="108"/>
      <c r="F667" s="196"/>
      <c r="G667" s="87"/>
      <c r="H667" s="197"/>
      <c r="I667" s="89"/>
      <c r="J667" s="204"/>
      <c r="K667" s="87"/>
      <c r="L667" s="87" t="str" cm="1">
        <f t="array" ref="L667">IF($A667="","",_xlfn.LET(_xlpm.stat,CHOOSE({1,2,3,4,5},$P667,$T667,$X667,$AB667,$AF667),_xlpm.rate,CHOOSE({1,2,3,4,5},$R667,$V667,$Z667,$AD667,$AH667),_xlpm.trn,CHOOSE({1,2,3,4,5},$S667,$W667,$AA667,$AE667,$AI667),_xlpm.nsC,SUMPRODUCT(--(_xlpm.stat="Ready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DLR",IF(AND(_xlpm.actRS&gt;0,_xlpm.actDone&lt;_xlpm.actRS),"Training",IF(_xlpm.actRS&gt;0,"Active",IF(AND(_xlpm.decC&gt;0,_xlpm.inPlay+_xlpm.actC=0),"Dead",IF(AND($AJ667&lt;&gt;"",$AK667=FALSE),"Waiting on Dealer",IF(_xlpm.subC&gt;0,"Waiting on Lender",IF(AND(_xlpm.appC+_xlpm.actC&gt;0,_xlpm.nsC+_xlpm.wdC=0),"Rate Sheet","Application Submitted")))))))))</f>
        <v/>
      </c>
      <c r="M667" s="87"/>
      <c r="N667" s="87"/>
      <c r="O667" s="197"/>
      <c r="P667" s="87" t="str">
        <f>IF($A667="","",IF($AK667=TRUE,"Ready 2 Submit","Waiting on Dealer"))</f>
        <v/>
      </c>
      <c r="Q667" s="148"/>
      <c r="R667" s="87"/>
      <c r="S667" s="87"/>
      <c r="T667" s="87" t="str">
        <f>IF($A667="","",IF($AK667=TRUE,"Ready 2 Submit","Waiting on Dealer"))</f>
        <v/>
      </c>
      <c r="U667" s="148"/>
      <c r="V667" s="87"/>
      <c r="W667" s="87"/>
      <c r="X667" s="87" t="str">
        <f>IF($A667="","",IF($AK667=TRUE,"Ready 2 Submit","Waiting on Dealer"))</f>
        <v/>
      </c>
      <c r="Y667" s="148"/>
      <c r="Z667" s="87"/>
      <c r="AA667" s="87"/>
      <c r="AB667" s="87" t="str">
        <f>IF($A667="","",IF($AK667=TRUE,"Ready 2 Submit","Waiting on Dealer"))</f>
        <v/>
      </c>
      <c r="AC667" s="148"/>
      <c r="AD667" s="87"/>
      <c r="AE667" s="87"/>
      <c r="AF667" s="87" t="str">
        <f>IF($A667="","",IF($AK667=TRUE,"Ready 2 Submit","Waiting on Dealer"))</f>
        <v/>
      </c>
      <c r="AG667" s="148"/>
      <c r="AH667" s="87"/>
      <c r="AI667" s="87"/>
      <c r="AJ667" s="197"/>
      <c r="AK667" s="110" t="b">
        <v>0</v>
      </c>
      <c r="AL667" s="87" t="str" cm="1">
        <f t="array" ref="AL667">IF($A667="","",SUMPRODUCT((CHOOSE({1,2,3,4,5},$R667,$V667,$Z667,$AD667,$AH667)="Yes")*(((CHOOSE({1,2,3,4,5},$S667,$W667,$AA667,$AE667,$AI667)="Yes")+(CHOOSE({1,2,3,4,5},$S667,$W667,$AA667,$AE667,$AI667)=TRUE))&gt;0)))</f>
        <v/>
      </c>
      <c r="AM667" s="87"/>
      <c r="AN667" s="87" t="str">
        <f ca="1">IF(OR($A667="",$AM667=""),"",TODAY()-$AM667)</f>
        <v/>
      </c>
      <c r="AO667" s="87"/>
      <c r="AP667" s="106"/>
      <c r="AQ667" s="106"/>
      <c r="AR667" s="106"/>
      <c r="AS667" s="106"/>
      <c r="AT667" s="106"/>
      <c r="AU667" s="106"/>
      <c r="AV667" s="106"/>
      <c r="AW667" s="106"/>
      <c r="AX667" s="106"/>
      <c r="AY667" s="106"/>
    </row>
    <row r="668" spans="1:51" s="20" customFormat="1" ht="21" customHeight="1">
      <c r="A668" s="197"/>
      <c r="B668" s="87"/>
      <c r="C668" s="87"/>
      <c r="D668" s="196"/>
      <c r="E668" s="108"/>
      <c r="F668" s="196"/>
      <c r="G668" s="87"/>
      <c r="H668" s="197"/>
      <c r="I668" s="89"/>
      <c r="J668" s="204"/>
      <c r="K668" s="87"/>
      <c r="L668" s="87" t="str" cm="1">
        <f t="array" ref="L668">IF($A668="","",_xlfn.LET(_xlpm.stat,CHOOSE({1,2,3,4,5},$P668,$T668,$X668,$AB668,$AF668),_xlpm.rate,CHOOSE({1,2,3,4,5},$R668,$V668,$Z668,$AD668,$AH668),_xlpm.trn,CHOOSE({1,2,3,4,5},$S668,$W668,$AA668,$AE668,$AI668),_xlpm.nsC,SUMPRODUCT(--(_xlpm.stat="Ready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DLR",IF(AND(_xlpm.actRS&gt;0,_xlpm.actDone&lt;_xlpm.actRS),"Training",IF(_xlpm.actRS&gt;0,"Active",IF(AND(_xlpm.decC&gt;0,_xlpm.inPlay+_xlpm.actC=0),"Dead",IF(AND($AJ668&lt;&gt;"",$AK668=FALSE),"Waiting on Dealer",IF(_xlpm.subC&gt;0,"Waiting on Lender",IF(AND(_xlpm.appC+_xlpm.actC&gt;0,_xlpm.nsC+_xlpm.wdC=0),"Rate Sheet","Application Submitted")))))))))</f>
        <v/>
      </c>
      <c r="M668" s="87"/>
      <c r="N668" s="87"/>
      <c r="O668" s="197"/>
      <c r="P668" s="87" t="str">
        <f>IF($A668="","",IF($AK668=TRUE,"Ready 2 Submit","Waiting on Dealer"))</f>
        <v/>
      </c>
      <c r="Q668" s="148"/>
      <c r="R668" s="87"/>
      <c r="S668" s="87"/>
      <c r="T668" s="87" t="str">
        <f>IF($A668="","",IF($AK668=TRUE,"Ready 2 Submit","Waiting on Dealer"))</f>
        <v/>
      </c>
      <c r="U668" s="148"/>
      <c r="V668" s="87"/>
      <c r="W668" s="87"/>
      <c r="X668" s="87" t="str">
        <f>IF($A668="","",IF($AK668=TRUE,"Ready 2 Submit","Waiting on Dealer"))</f>
        <v/>
      </c>
      <c r="Y668" s="148"/>
      <c r="Z668" s="87"/>
      <c r="AA668" s="87"/>
      <c r="AB668" s="87" t="str">
        <f>IF($A668="","",IF($AK668=TRUE,"Ready 2 Submit","Waiting on Dealer"))</f>
        <v/>
      </c>
      <c r="AC668" s="148"/>
      <c r="AD668" s="87"/>
      <c r="AE668" s="87"/>
      <c r="AF668" s="87" t="str">
        <f>IF($A668="","",IF($AK668=TRUE,"Ready 2 Submit","Waiting on Dealer"))</f>
        <v/>
      </c>
      <c r="AG668" s="148"/>
      <c r="AH668" s="87"/>
      <c r="AI668" s="87"/>
      <c r="AJ668" s="197"/>
      <c r="AK668" s="110" t="b">
        <v>0</v>
      </c>
      <c r="AL668" s="87" t="str" cm="1">
        <f t="array" ref="AL668">IF($A668="","",SUMPRODUCT((CHOOSE({1,2,3,4,5},$R668,$V668,$Z668,$AD668,$AH668)="Yes")*(((CHOOSE({1,2,3,4,5},$S668,$W668,$AA668,$AE668,$AI668)="Yes")+(CHOOSE({1,2,3,4,5},$S668,$W668,$AA668,$AE668,$AI668)=TRUE))&gt;0)))</f>
        <v/>
      </c>
      <c r="AM668" s="87"/>
      <c r="AN668" s="87" t="str">
        <f ca="1">IF(OR($A668="",$AM668=""),"",TODAY()-$AM668)</f>
        <v/>
      </c>
      <c r="AO668" s="87"/>
      <c r="AP668" s="106"/>
      <c r="AQ668" s="106"/>
      <c r="AR668" s="106"/>
      <c r="AS668" s="106"/>
      <c r="AT668" s="106"/>
      <c r="AU668" s="106"/>
      <c r="AV668" s="106"/>
      <c r="AW668" s="106"/>
      <c r="AX668" s="106"/>
      <c r="AY668" s="106"/>
    </row>
    <row r="669" spans="1:51" s="20" customFormat="1" ht="21" customHeight="1">
      <c r="A669" s="197"/>
      <c r="B669" s="87"/>
      <c r="C669" s="87"/>
      <c r="D669" s="196"/>
      <c r="E669" s="108"/>
      <c r="F669" s="196"/>
      <c r="G669" s="87"/>
      <c r="H669" s="197"/>
      <c r="I669" s="89"/>
      <c r="J669" s="204"/>
      <c r="K669" s="87"/>
      <c r="L669" s="87" t="str" cm="1">
        <f t="array" ref="L669">IF($A669="","",_xlfn.LET(_xlpm.stat,CHOOSE({1,2,3,4,5},$P669,$T669,$X669,$AB669,$AF669),_xlpm.rate,CHOOSE({1,2,3,4,5},$R669,$V669,$Z669,$AD669,$AH669),_xlpm.trn,CHOOSE({1,2,3,4,5},$S669,$W669,$AA669,$AE669,$AI669),_xlpm.nsC,SUMPRODUCT(--(_xlpm.stat="Ready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DLR",IF(AND(_xlpm.actRS&gt;0,_xlpm.actDone&lt;_xlpm.actRS),"Training",IF(_xlpm.actRS&gt;0,"Active",IF(AND(_xlpm.decC&gt;0,_xlpm.inPlay+_xlpm.actC=0),"Dead",IF(AND($AJ669&lt;&gt;"",$AK669=FALSE),"Waiting on Dealer",IF(_xlpm.subC&gt;0,"Waiting on Lender",IF(AND(_xlpm.appC+_xlpm.actC&gt;0,_xlpm.nsC+_xlpm.wdC=0),"Rate Sheet","Application Submitted")))))))))</f>
        <v/>
      </c>
      <c r="M669" s="87"/>
      <c r="N669" s="87"/>
      <c r="O669" s="197"/>
      <c r="P669" s="87" t="str">
        <f>IF($A669="","",IF($AK669=TRUE,"Ready 2 Submit","Waiting on Dealer"))</f>
        <v/>
      </c>
      <c r="Q669" s="148"/>
      <c r="R669" s="87"/>
      <c r="S669" s="87"/>
      <c r="T669" s="87" t="str">
        <f>IF($A669="","",IF($AK669=TRUE,"Ready 2 Submit","Waiting on Dealer"))</f>
        <v/>
      </c>
      <c r="U669" s="148"/>
      <c r="V669" s="87"/>
      <c r="W669" s="87"/>
      <c r="X669" s="87" t="str">
        <f>IF($A669="","",IF($AK669=TRUE,"Ready 2 Submit","Waiting on Dealer"))</f>
        <v/>
      </c>
      <c r="Y669" s="148"/>
      <c r="Z669" s="87"/>
      <c r="AA669" s="87"/>
      <c r="AB669" s="87" t="str">
        <f>IF($A669="","",IF($AK669=TRUE,"Ready 2 Submit","Waiting on Dealer"))</f>
        <v/>
      </c>
      <c r="AC669" s="148"/>
      <c r="AD669" s="87"/>
      <c r="AE669" s="87"/>
      <c r="AF669" s="87" t="str">
        <f>IF($A669="","",IF($AK669=TRUE,"Ready 2 Submit","Waiting on Dealer"))</f>
        <v/>
      </c>
      <c r="AG669" s="148"/>
      <c r="AH669" s="87"/>
      <c r="AI669" s="87"/>
      <c r="AJ669" s="197"/>
      <c r="AK669" s="110" t="b">
        <v>0</v>
      </c>
      <c r="AL669" s="87" t="str" cm="1">
        <f t="array" ref="AL669">IF($A669="","",SUMPRODUCT((CHOOSE({1,2,3,4,5},$R669,$V669,$Z669,$AD669,$AH669)="Yes")*(((CHOOSE({1,2,3,4,5},$S669,$W669,$AA669,$AE669,$AI669)="Yes")+(CHOOSE({1,2,3,4,5},$S669,$W669,$AA669,$AE669,$AI669)=TRUE))&gt;0)))</f>
        <v/>
      </c>
      <c r="AM669" s="87"/>
      <c r="AN669" s="87" t="str">
        <f ca="1">IF(OR($A669="",$AM669=""),"",TODAY()-$AM669)</f>
        <v/>
      </c>
      <c r="AO669" s="87"/>
      <c r="AP669" s="106"/>
      <c r="AQ669" s="106"/>
      <c r="AR669" s="106"/>
      <c r="AS669" s="106"/>
      <c r="AT669" s="106"/>
      <c r="AU669" s="106"/>
      <c r="AV669" s="106"/>
      <c r="AW669" s="106"/>
      <c r="AX669" s="106"/>
      <c r="AY669" s="106"/>
    </row>
    <row r="670" spans="1:51" s="20" customFormat="1" ht="21" customHeight="1">
      <c r="A670" s="197"/>
      <c r="B670" s="87"/>
      <c r="C670" s="87"/>
      <c r="D670" s="196"/>
      <c r="E670" s="108"/>
      <c r="F670" s="196"/>
      <c r="G670" s="87"/>
      <c r="H670" s="197"/>
      <c r="I670" s="89"/>
      <c r="J670" s="204"/>
      <c r="K670" s="87"/>
      <c r="L670" s="87" t="str" cm="1">
        <f t="array" ref="L670">IF($A670="","",_xlfn.LET(_xlpm.stat,CHOOSE({1,2,3,4,5},$P670,$T670,$X670,$AB670,$AF670),_xlpm.rate,CHOOSE({1,2,3,4,5},$R670,$V670,$Z670,$AD670,$AH670),_xlpm.trn,CHOOSE({1,2,3,4,5},$S670,$W670,$AA670,$AE670,$AI670),_xlpm.nsC,SUMPRODUCT(--(_xlpm.stat="Ready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DLR",IF(AND(_xlpm.actRS&gt;0,_xlpm.actDone&lt;_xlpm.actRS),"Training",IF(_xlpm.actRS&gt;0,"Active",IF(AND(_xlpm.decC&gt;0,_xlpm.inPlay+_xlpm.actC=0),"Dead",IF(AND($AJ670&lt;&gt;"",$AK670=FALSE),"Waiting on Dealer",IF(_xlpm.subC&gt;0,"Waiting on Lender",IF(AND(_xlpm.appC+_xlpm.actC&gt;0,_xlpm.nsC+_xlpm.wdC=0),"Rate Sheet","Application Submitted")))))))))</f>
        <v/>
      </c>
      <c r="M670" s="87"/>
      <c r="N670" s="87"/>
      <c r="O670" s="197"/>
      <c r="P670" s="87" t="str">
        <f>IF($A670="","",IF($AK670=TRUE,"Ready 2 Submit","Waiting on Dealer"))</f>
        <v/>
      </c>
      <c r="Q670" s="148"/>
      <c r="R670" s="87"/>
      <c r="S670" s="87"/>
      <c r="T670" s="87" t="str">
        <f>IF($A670="","",IF($AK670=TRUE,"Ready 2 Submit","Waiting on Dealer"))</f>
        <v/>
      </c>
      <c r="U670" s="148"/>
      <c r="V670" s="87"/>
      <c r="W670" s="87"/>
      <c r="X670" s="87" t="str">
        <f>IF($A670="","",IF($AK670=TRUE,"Ready 2 Submit","Waiting on Dealer"))</f>
        <v/>
      </c>
      <c r="Y670" s="148"/>
      <c r="Z670" s="87"/>
      <c r="AA670" s="87"/>
      <c r="AB670" s="87" t="str">
        <f>IF($A670="","",IF($AK670=TRUE,"Ready 2 Submit","Waiting on Dealer"))</f>
        <v/>
      </c>
      <c r="AC670" s="148"/>
      <c r="AD670" s="87"/>
      <c r="AE670" s="87"/>
      <c r="AF670" s="87" t="str">
        <f>IF($A670="","",IF($AK670=TRUE,"Ready 2 Submit","Waiting on Dealer"))</f>
        <v/>
      </c>
      <c r="AG670" s="148"/>
      <c r="AH670" s="87"/>
      <c r="AI670" s="87"/>
      <c r="AJ670" s="197"/>
      <c r="AK670" s="110" t="b">
        <v>0</v>
      </c>
      <c r="AL670" s="87" t="str" cm="1">
        <f t="array" ref="AL670">IF($A670="","",SUMPRODUCT((CHOOSE({1,2,3,4,5},$R670,$V670,$Z670,$AD670,$AH670)="Yes")*(((CHOOSE({1,2,3,4,5},$S670,$W670,$AA670,$AE670,$AI670)="Yes")+(CHOOSE({1,2,3,4,5},$S670,$W670,$AA670,$AE670,$AI670)=TRUE))&gt;0)))</f>
        <v/>
      </c>
      <c r="AM670" s="87"/>
      <c r="AN670" s="87" t="str">
        <f ca="1">IF(OR($A670="",$AM670=""),"",TODAY()-$AM670)</f>
        <v/>
      </c>
      <c r="AO670" s="87"/>
      <c r="AP670" s="106"/>
      <c r="AQ670" s="106"/>
      <c r="AR670" s="106"/>
      <c r="AS670" s="106"/>
      <c r="AT670" s="106"/>
      <c r="AU670" s="106"/>
      <c r="AV670" s="106"/>
      <c r="AW670" s="106"/>
      <c r="AX670" s="106"/>
      <c r="AY670" s="106"/>
    </row>
    <row r="671" spans="1:51" s="20" customFormat="1" ht="21" customHeight="1">
      <c r="A671" s="197"/>
      <c r="B671" s="87"/>
      <c r="C671" s="87"/>
      <c r="D671" s="196"/>
      <c r="E671" s="108"/>
      <c r="F671" s="196"/>
      <c r="G671" s="87"/>
      <c r="H671" s="197"/>
      <c r="I671" s="89"/>
      <c r="J671" s="204"/>
      <c r="K671" s="87"/>
      <c r="L671" s="87" t="str" cm="1">
        <f t="array" ref="L671">IF($A671="","",_xlfn.LET(_xlpm.stat,CHOOSE({1,2,3,4,5},$P671,$T671,$X671,$AB671,$AF671),_xlpm.rate,CHOOSE({1,2,3,4,5},$R671,$V671,$Z671,$AD671,$AH671),_xlpm.trn,CHOOSE({1,2,3,4,5},$S671,$W671,$AA671,$AE671,$AI671),_xlpm.nsC,SUMPRODUCT(--(_xlpm.stat="Ready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DLR",IF(AND(_xlpm.actRS&gt;0,_xlpm.actDone&lt;_xlpm.actRS),"Training",IF(_xlpm.actRS&gt;0,"Active",IF(AND(_xlpm.decC&gt;0,_xlpm.inPlay+_xlpm.actC=0),"Dead",IF(AND($AJ671&lt;&gt;"",$AK671=FALSE),"Waiting on Dealer",IF(_xlpm.subC&gt;0,"Waiting on Lender",IF(AND(_xlpm.appC+_xlpm.actC&gt;0,_xlpm.nsC+_xlpm.wdC=0),"Rate Sheet","Application Submitted")))))))))</f>
        <v/>
      </c>
      <c r="M671" s="87"/>
      <c r="N671" s="87"/>
      <c r="O671" s="197"/>
      <c r="P671" s="87" t="str">
        <f>IF($A671="","",IF($AK671=TRUE,"Ready 2 Submit","Waiting on Dealer"))</f>
        <v/>
      </c>
      <c r="Q671" s="148"/>
      <c r="R671" s="87"/>
      <c r="S671" s="87"/>
      <c r="T671" s="87" t="str">
        <f>IF($A671="","",IF($AK671=TRUE,"Ready 2 Submit","Waiting on Dealer"))</f>
        <v/>
      </c>
      <c r="U671" s="148"/>
      <c r="V671" s="87"/>
      <c r="W671" s="87"/>
      <c r="X671" s="87" t="str">
        <f>IF($A671="","",IF($AK671=TRUE,"Ready 2 Submit","Waiting on Dealer"))</f>
        <v/>
      </c>
      <c r="Y671" s="148"/>
      <c r="Z671" s="87"/>
      <c r="AA671" s="87"/>
      <c r="AB671" s="87" t="str">
        <f>IF($A671="","",IF($AK671=TRUE,"Ready 2 Submit","Waiting on Dealer"))</f>
        <v/>
      </c>
      <c r="AC671" s="148"/>
      <c r="AD671" s="87"/>
      <c r="AE671" s="87"/>
      <c r="AF671" s="87" t="str">
        <f>IF($A671="","",IF($AK671=TRUE,"Ready 2 Submit","Waiting on Dealer"))</f>
        <v/>
      </c>
      <c r="AG671" s="148"/>
      <c r="AH671" s="87"/>
      <c r="AI671" s="87"/>
      <c r="AJ671" s="197"/>
      <c r="AK671" s="110" t="b">
        <v>0</v>
      </c>
      <c r="AL671" s="87" t="str" cm="1">
        <f t="array" ref="AL671">IF($A671="","",SUMPRODUCT((CHOOSE({1,2,3,4,5},$R671,$V671,$Z671,$AD671,$AH671)="Yes")*(((CHOOSE({1,2,3,4,5},$S671,$W671,$AA671,$AE671,$AI671)="Yes")+(CHOOSE({1,2,3,4,5},$S671,$W671,$AA671,$AE671,$AI671)=TRUE))&gt;0)))</f>
        <v/>
      </c>
      <c r="AM671" s="87"/>
      <c r="AN671" s="87" t="str">
        <f ca="1">IF(OR($A671="",$AM671=""),"",TODAY()-$AM671)</f>
        <v/>
      </c>
      <c r="AO671" s="87"/>
      <c r="AP671" s="106"/>
      <c r="AQ671" s="106"/>
      <c r="AR671" s="106"/>
      <c r="AS671" s="106"/>
      <c r="AT671" s="106"/>
      <c r="AU671" s="106"/>
      <c r="AV671" s="106"/>
      <c r="AW671" s="106"/>
      <c r="AX671" s="106"/>
      <c r="AY671" s="106"/>
    </row>
    <row r="672" spans="1:51" s="20" customFormat="1" ht="21" customHeight="1">
      <c r="A672" s="197"/>
      <c r="B672" s="87"/>
      <c r="C672" s="87"/>
      <c r="D672" s="196"/>
      <c r="E672" s="108"/>
      <c r="F672" s="196"/>
      <c r="G672" s="87"/>
      <c r="H672" s="197"/>
      <c r="I672" s="89"/>
      <c r="J672" s="204"/>
      <c r="K672" s="87"/>
      <c r="L672" s="87" t="str" cm="1">
        <f t="array" ref="L672">IF($A672="","",_xlfn.LET(_xlpm.stat,CHOOSE({1,2,3,4,5},$P672,$T672,$X672,$AB672,$AF672),_xlpm.rate,CHOOSE({1,2,3,4,5},$R672,$V672,$Z672,$AD672,$AH672),_xlpm.trn,CHOOSE({1,2,3,4,5},$S672,$W672,$AA672,$AE672,$AI672),_xlpm.nsC,SUMPRODUCT(--(_xlpm.stat="Ready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DLR",IF(AND(_xlpm.actRS&gt;0,_xlpm.actDone&lt;_xlpm.actRS),"Training",IF(_xlpm.actRS&gt;0,"Active",IF(AND(_xlpm.decC&gt;0,_xlpm.inPlay+_xlpm.actC=0),"Dead",IF(AND($AJ672&lt;&gt;"",$AK672=FALSE),"Waiting on Dealer",IF(_xlpm.subC&gt;0,"Waiting on Lender",IF(AND(_xlpm.appC+_xlpm.actC&gt;0,_xlpm.nsC+_xlpm.wdC=0),"Rate Sheet","Application Submitted")))))))))</f>
        <v/>
      </c>
      <c r="M672" s="87"/>
      <c r="N672" s="87"/>
      <c r="O672" s="197"/>
      <c r="P672" s="87" t="str">
        <f>IF($A672="","",IF($AK672=TRUE,"Ready 2 Submit","Waiting on Dealer"))</f>
        <v/>
      </c>
      <c r="Q672" s="148"/>
      <c r="R672" s="87"/>
      <c r="S672" s="87"/>
      <c r="T672" s="87" t="str">
        <f>IF($A672="","",IF($AK672=TRUE,"Ready 2 Submit","Waiting on Dealer"))</f>
        <v/>
      </c>
      <c r="U672" s="148"/>
      <c r="V672" s="87"/>
      <c r="W672" s="87"/>
      <c r="X672" s="87" t="str">
        <f>IF($A672="","",IF($AK672=TRUE,"Ready 2 Submit","Waiting on Dealer"))</f>
        <v/>
      </c>
      <c r="Y672" s="148"/>
      <c r="Z672" s="87"/>
      <c r="AA672" s="87"/>
      <c r="AB672" s="87" t="str">
        <f>IF($A672="","",IF($AK672=TRUE,"Ready 2 Submit","Waiting on Dealer"))</f>
        <v/>
      </c>
      <c r="AC672" s="148"/>
      <c r="AD672" s="87"/>
      <c r="AE672" s="87"/>
      <c r="AF672" s="87" t="str">
        <f>IF($A672="","",IF($AK672=TRUE,"Ready 2 Submit","Waiting on Dealer"))</f>
        <v/>
      </c>
      <c r="AG672" s="148"/>
      <c r="AH672" s="87"/>
      <c r="AI672" s="87"/>
      <c r="AJ672" s="197"/>
      <c r="AK672" s="110" t="b">
        <v>0</v>
      </c>
      <c r="AL672" s="87" t="str" cm="1">
        <f t="array" ref="AL672">IF($A672="","",SUMPRODUCT((CHOOSE({1,2,3,4,5},$R672,$V672,$Z672,$AD672,$AH672)="Yes")*(((CHOOSE({1,2,3,4,5},$S672,$W672,$AA672,$AE672,$AI672)="Yes")+(CHOOSE({1,2,3,4,5},$S672,$W672,$AA672,$AE672,$AI672)=TRUE))&gt;0)))</f>
        <v/>
      </c>
      <c r="AM672" s="87"/>
      <c r="AN672" s="87" t="str">
        <f ca="1">IF(OR($A672="",$AM672=""),"",TODAY()-$AM672)</f>
        <v/>
      </c>
      <c r="AO672" s="87"/>
      <c r="AP672" s="106"/>
      <c r="AQ672" s="106"/>
      <c r="AR672" s="106"/>
      <c r="AS672" s="106"/>
      <c r="AT672" s="106"/>
      <c r="AU672" s="106"/>
      <c r="AV672" s="106"/>
      <c r="AW672" s="106"/>
      <c r="AX672" s="106"/>
      <c r="AY672" s="106"/>
    </row>
    <row r="673" spans="1:51" s="20" customFormat="1" ht="21" customHeight="1">
      <c r="A673" s="197"/>
      <c r="B673" s="87"/>
      <c r="C673" s="87"/>
      <c r="D673" s="196"/>
      <c r="E673" s="108"/>
      <c r="F673" s="196"/>
      <c r="G673" s="87"/>
      <c r="H673" s="197"/>
      <c r="I673" s="89"/>
      <c r="J673" s="204"/>
      <c r="K673" s="87"/>
      <c r="L673" s="87" t="str" cm="1">
        <f t="array" ref="L673">IF($A673="","",_xlfn.LET(_xlpm.stat,CHOOSE({1,2,3,4,5},$P673,$T673,$X673,$AB673,$AF673),_xlpm.rate,CHOOSE({1,2,3,4,5},$R673,$V673,$Z673,$AD673,$AH673),_xlpm.trn,CHOOSE({1,2,3,4,5},$S673,$W673,$AA673,$AE673,$AI673),_xlpm.nsC,SUMPRODUCT(--(_xlpm.stat="Ready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DLR",IF(AND(_xlpm.actRS&gt;0,_xlpm.actDone&lt;_xlpm.actRS),"Training",IF(_xlpm.actRS&gt;0,"Active",IF(AND(_xlpm.decC&gt;0,_xlpm.inPlay+_xlpm.actC=0),"Dead",IF(AND($AJ673&lt;&gt;"",$AK673=FALSE),"Waiting on Dealer",IF(_xlpm.subC&gt;0,"Waiting on Lender",IF(AND(_xlpm.appC+_xlpm.actC&gt;0,_xlpm.nsC+_xlpm.wdC=0),"Rate Sheet","Application Submitted")))))))))</f>
        <v/>
      </c>
      <c r="M673" s="87"/>
      <c r="N673" s="87"/>
      <c r="O673" s="197"/>
      <c r="P673" s="87" t="str">
        <f>IF($A673="","",IF($AK673=TRUE,"Ready 2 Submit","Waiting on Dealer"))</f>
        <v/>
      </c>
      <c r="Q673" s="148"/>
      <c r="R673" s="87"/>
      <c r="S673" s="87"/>
      <c r="T673" s="87" t="str">
        <f>IF($A673="","",IF($AK673=TRUE,"Ready 2 Submit","Waiting on Dealer"))</f>
        <v/>
      </c>
      <c r="U673" s="148"/>
      <c r="V673" s="87"/>
      <c r="W673" s="87"/>
      <c r="X673" s="87" t="str">
        <f>IF($A673="","",IF($AK673=TRUE,"Ready 2 Submit","Waiting on Dealer"))</f>
        <v/>
      </c>
      <c r="Y673" s="148"/>
      <c r="Z673" s="87"/>
      <c r="AA673" s="87"/>
      <c r="AB673" s="87" t="str">
        <f>IF($A673="","",IF($AK673=TRUE,"Ready 2 Submit","Waiting on Dealer"))</f>
        <v/>
      </c>
      <c r="AC673" s="148"/>
      <c r="AD673" s="87"/>
      <c r="AE673" s="87"/>
      <c r="AF673" s="87" t="str">
        <f>IF($A673="","",IF($AK673=TRUE,"Ready 2 Submit","Waiting on Dealer"))</f>
        <v/>
      </c>
      <c r="AG673" s="148"/>
      <c r="AH673" s="87"/>
      <c r="AI673" s="87"/>
      <c r="AJ673" s="197"/>
      <c r="AK673" s="110" t="b">
        <v>0</v>
      </c>
      <c r="AL673" s="87" t="str" cm="1">
        <f t="array" ref="AL673">IF($A673="","",SUMPRODUCT((CHOOSE({1,2,3,4,5},$R673,$V673,$Z673,$AD673,$AH673)="Yes")*(((CHOOSE({1,2,3,4,5},$S673,$W673,$AA673,$AE673,$AI673)="Yes")+(CHOOSE({1,2,3,4,5},$S673,$W673,$AA673,$AE673,$AI673)=TRUE))&gt;0)))</f>
        <v/>
      </c>
      <c r="AM673" s="87"/>
      <c r="AN673" s="87" t="str">
        <f ca="1">IF(OR($A673="",$AM673=""),"",TODAY()-$AM673)</f>
        <v/>
      </c>
      <c r="AO673" s="87"/>
      <c r="AP673" s="106"/>
      <c r="AQ673" s="106"/>
      <c r="AR673" s="106"/>
      <c r="AS673" s="106"/>
      <c r="AT673" s="106"/>
      <c r="AU673" s="106"/>
      <c r="AV673" s="106"/>
      <c r="AW673" s="106"/>
      <c r="AX673" s="106"/>
      <c r="AY673" s="106"/>
    </row>
    <row r="674" spans="1:51" s="20" customFormat="1" ht="21" customHeight="1">
      <c r="A674" s="197"/>
      <c r="B674" s="87"/>
      <c r="C674" s="87"/>
      <c r="D674" s="196"/>
      <c r="E674" s="108"/>
      <c r="F674" s="196"/>
      <c r="G674" s="87"/>
      <c r="H674" s="197"/>
      <c r="I674" s="89"/>
      <c r="J674" s="204"/>
      <c r="K674" s="87"/>
      <c r="L674" s="87" t="str" cm="1">
        <f t="array" ref="L674">IF($A674="","",_xlfn.LET(_xlpm.stat,CHOOSE({1,2,3,4,5},$P674,$T674,$X674,$AB674,$AF674),_xlpm.rate,CHOOSE({1,2,3,4,5},$R674,$V674,$Z674,$AD674,$AH674),_xlpm.trn,CHOOSE({1,2,3,4,5},$S674,$W674,$AA674,$AE674,$AI674),_xlpm.nsC,SUMPRODUCT(--(_xlpm.stat="Ready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DLR",IF(AND(_xlpm.actRS&gt;0,_xlpm.actDone&lt;_xlpm.actRS),"Training",IF(_xlpm.actRS&gt;0,"Active",IF(AND(_xlpm.decC&gt;0,_xlpm.inPlay+_xlpm.actC=0),"Dead",IF(AND($AJ674&lt;&gt;"",$AK674=FALSE),"Waiting on Dealer",IF(_xlpm.subC&gt;0,"Waiting on Lender",IF(AND(_xlpm.appC+_xlpm.actC&gt;0,_xlpm.nsC+_xlpm.wdC=0),"Rate Sheet","Application Submitted")))))))))</f>
        <v/>
      </c>
      <c r="M674" s="87"/>
      <c r="N674" s="87"/>
      <c r="O674" s="197"/>
      <c r="P674" s="87" t="str">
        <f>IF($A674="","",IF($AK674=TRUE,"Ready 2 Submit","Waiting on Dealer"))</f>
        <v/>
      </c>
      <c r="Q674" s="148"/>
      <c r="R674" s="87"/>
      <c r="S674" s="87"/>
      <c r="T674" s="87" t="str">
        <f>IF($A674="","",IF($AK674=TRUE,"Ready 2 Submit","Waiting on Dealer"))</f>
        <v/>
      </c>
      <c r="U674" s="148"/>
      <c r="V674" s="87"/>
      <c r="W674" s="87"/>
      <c r="X674" s="87" t="str">
        <f>IF($A674="","",IF($AK674=TRUE,"Ready 2 Submit","Waiting on Dealer"))</f>
        <v/>
      </c>
      <c r="Y674" s="148"/>
      <c r="Z674" s="87"/>
      <c r="AA674" s="87"/>
      <c r="AB674" s="87" t="str">
        <f>IF($A674="","",IF($AK674=TRUE,"Ready 2 Submit","Waiting on Dealer"))</f>
        <v/>
      </c>
      <c r="AC674" s="148"/>
      <c r="AD674" s="87"/>
      <c r="AE674" s="87"/>
      <c r="AF674" s="87" t="str">
        <f>IF($A674="","",IF($AK674=TRUE,"Ready 2 Submit","Waiting on Dealer"))</f>
        <v/>
      </c>
      <c r="AG674" s="148"/>
      <c r="AH674" s="87"/>
      <c r="AI674" s="87"/>
      <c r="AJ674" s="197"/>
      <c r="AK674" s="110" t="b">
        <v>0</v>
      </c>
      <c r="AL674" s="87" t="str" cm="1">
        <f t="array" ref="AL674">IF($A674="","",SUMPRODUCT((CHOOSE({1,2,3,4,5},$R674,$V674,$Z674,$AD674,$AH674)="Yes")*(((CHOOSE({1,2,3,4,5},$S674,$W674,$AA674,$AE674,$AI674)="Yes")+(CHOOSE({1,2,3,4,5},$S674,$W674,$AA674,$AE674,$AI674)=TRUE))&gt;0)))</f>
        <v/>
      </c>
      <c r="AM674" s="87"/>
      <c r="AN674" s="87" t="str">
        <f ca="1">IF(OR($A674="",$AM674=""),"",TODAY()-$AM674)</f>
        <v/>
      </c>
      <c r="AO674" s="87"/>
      <c r="AP674" s="106"/>
      <c r="AQ674" s="106"/>
      <c r="AR674" s="106"/>
      <c r="AS674" s="106"/>
      <c r="AT674" s="106"/>
      <c r="AU674" s="106"/>
      <c r="AV674" s="106"/>
      <c r="AW674" s="106"/>
      <c r="AX674" s="106"/>
      <c r="AY674" s="106"/>
    </row>
    <row r="675" spans="1:51" s="20" customFormat="1" ht="21" customHeight="1">
      <c r="A675" s="197"/>
      <c r="B675" s="87"/>
      <c r="C675" s="87"/>
      <c r="D675" s="196"/>
      <c r="E675" s="108"/>
      <c r="F675" s="196"/>
      <c r="G675" s="87"/>
      <c r="H675" s="197"/>
      <c r="I675" s="89"/>
      <c r="J675" s="204"/>
      <c r="K675" s="87"/>
      <c r="L675" s="87" t="str" cm="1">
        <f t="array" ref="L675">IF($A675="","",_xlfn.LET(_xlpm.stat,CHOOSE({1,2,3,4,5},$P675,$T675,$X675,$AB675,$AF675),_xlpm.rate,CHOOSE({1,2,3,4,5},$R675,$V675,$Z675,$AD675,$AH675),_xlpm.trn,CHOOSE({1,2,3,4,5},$S675,$W675,$AA675,$AE675,$AI675),_xlpm.nsC,SUMPRODUCT(--(_xlpm.stat="Ready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DLR",IF(AND(_xlpm.actRS&gt;0,_xlpm.actDone&lt;_xlpm.actRS),"Training",IF(_xlpm.actRS&gt;0,"Active",IF(AND(_xlpm.decC&gt;0,_xlpm.inPlay+_xlpm.actC=0),"Dead",IF(AND($AJ675&lt;&gt;"",$AK675=FALSE),"Waiting on Dealer",IF(_xlpm.subC&gt;0,"Waiting on Lender",IF(AND(_xlpm.appC+_xlpm.actC&gt;0,_xlpm.nsC+_xlpm.wdC=0),"Rate Sheet","Application Submitted")))))))))</f>
        <v/>
      </c>
      <c r="M675" s="87"/>
      <c r="N675" s="87"/>
      <c r="O675" s="197"/>
      <c r="P675" s="87" t="str">
        <f>IF($A675="","",IF($AK675=TRUE,"Ready 2 Submit","Waiting on Dealer"))</f>
        <v/>
      </c>
      <c r="Q675" s="148"/>
      <c r="R675" s="87"/>
      <c r="S675" s="87"/>
      <c r="T675" s="87" t="str">
        <f>IF($A675="","",IF($AK675=TRUE,"Ready 2 Submit","Waiting on Dealer"))</f>
        <v/>
      </c>
      <c r="U675" s="148"/>
      <c r="V675" s="87"/>
      <c r="W675" s="87"/>
      <c r="X675" s="87" t="str">
        <f>IF($A675="","",IF($AK675=TRUE,"Ready 2 Submit","Waiting on Dealer"))</f>
        <v/>
      </c>
      <c r="Y675" s="148"/>
      <c r="Z675" s="87"/>
      <c r="AA675" s="87"/>
      <c r="AB675" s="87" t="str">
        <f>IF($A675="","",IF($AK675=TRUE,"Ready 2 Submit","Waiting on Dealer"))</f>
        <v/>
      </c>
      <c r="AC675" s="148"/>
      <c r="AD675" s="87"/>
      <c r="AE675" s="87"/>
      <c r="AF675" s="87" t="str">
        <f>IF($A675="","",IF($AK675=TRUE,"Ready 2 Submit","Waiting on Dealer"))</f>
        <v/>
      </c>
      <c r="AG675" s="148"/>
      <c r="AH675" s="87"/>
      <c r="AI675" s="87"/>
      <c r="AJ675" s="197"/>
      <c r="AK675" s="110" t="b">
        <v>0</v>
      </c>
      <c r="AL675" s="87" t="str" cm="1">
        <f t="array" ref="AL675">IF($A675="","",SUMPRODUCT((CHOOSE({1,2,3,4,5},$R675,$V675,$Z675,$AD675,$AH675)="Yes")*(((CHOOSE({1,2,3,4,5},$S675,$W675,$AA675,$AE675,$AI675)="Yes")+(CHOOSE({1,2,3,4,5},$S675,$W675,$AA675,$AE675,$AI675)=TRUE))&gt;0)))</f>
        <v/>
      </c>
      <c r="AM675" s="87"/>
      <c r="AN675" s="87" t="str">
        <f ca="1">IF(OR($A675="",$AM675=""),"",TODAY()-$AM675)</f>
        <v/>
      </c>
      <c r="AO675" s="87"/>
      <c r="AP675" s="106"/>
      <c r="AQ675" s="106"/>
      <c r="AR675" s="106"/>
      <c r="AS675" s="106"/>
      <c r="AT675" s="106"/>
      <c r="AU675" s="106"/>
      <c r="AV675" s="106"/>
      <c r="AW675" s="106"/>
      <c r="AX675" s="106"/>
      <c r="AY675" s="106"/>
    </row>
    <row r="676" spans="1:51" s="20" customFormat="1" ht="21" customHeight="1">
      <c r="A676" s="197"/>
      <c r="B676" s="87"/>
      <c r="C676" s="87"/>
      <c r="D676" s="196"/>
      <c r="E676" s="108"/>
      <c r="F676" s="196"/>
      <c r="G676" s="87"/>
      <c r="H676" s="197"/>
      <c r="I676" s="89"/>
      <c r="J676" s="204"/>
      <c r="K676" s="87"/>
      <c r="L676" s="87" t="str" cm="1">
        <f t="array" ref="L676">IF($A676="","",_xlfn.LET(_xlpm.stat,CHOOSE({1,2,3,4,5},$P676,$T676,$X676,$AB676,$AF676),_xlpm.rate,CHOOSE({1,2,3,4,5},$R676,$V676,$Z676,$AD676,$AH676),_xlpm.trn,CHOOSE({1,2,3,4,5},$S676,$W676,$AA676,$AE676,$AI676),_xlpm.nsC,SUMPRODUCT(--(_xlpm.stat="Ready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DLR",IF(AND(_xlpm.actRS&gt;0,_xlpm.actDone&lt;_xlpm.actRS),"Training",IF(_xlpm.actRS&gt;0,"Active",IF(AND(_xlpm.decC&gt;0,_xlpm.inPlay+_xlpm.actC=0),"Dead",IF(AND($AJ676&lt;&gt;"",$AK676=FALSE),"Waiting on Dealer",IF(_xlpm.subC&gt;0,"Waiting on Lender",IF(AND(_xlpm.appC+_xlpm.actC&gt;0,_xlpm.nsC+_xlpm.wdC=0),"Rate Sheet","Application Submitted")))))))))</f>
        <v/>
      </c>
      <c r="M676" s="87"/>
      <c r="N676" s="87"/>
      <c r="O676" s="197"/>
      <c r="P676" s="87" t="str">
        <f>IF($A676="","",IF($AK676=TRUE,"Ready 2 Submit","Waiting on Dealer"))</f>
        <v/>
      </c>
      <c r="Q676" s="148"/>
      <c r="R676" s="87"/>
      <c r="S676" s="87"/>
      <c r="T676" s="87" t="str">
        <f>IF($A676="","",IF($AK676=TRUE,"Ready 2 Submit","Waiting on Dealer"))</f>
        <v/>
      </c>
      <c r="U676" s="148"/>
      <c r="V676" s="87"/>
      <c r="W676" s="87"/>
      <c r="X676" s="87" t="str">
        <f>IF($A676="","",IF($AK676=TRUE,"Ready 2 Submit","Waiting on Dealer"))</f>
        <v/>
      </c>
      <c r="Y676" s="148"/>
      <c r="Z676" s="87"/>
      <c r="AA676" s="87"/>
      <c r="AB676" s="87" t="str">
        <f>IF($A676="","",IF($AK676=TRUE,"Ready 2 Submit","Waiting on Dealer"))</f>
        <v/>
      </c>
      <c r="AC676" s="148"/>
      <c r="AD676" s="87"/>
      <c r="AE676" s="87"/>
      <c r="AF676" s="87" t="str">
        <f>IF($A676="","",IF($AK676=TRUE,"Ready 2 Submit","Waiting on Dealer"))</f>
        <v/>
      </c>
      <c r="AG676" s="148"/>
      <c r="AH676" s="87"/>
      <c r="AI676" s="87"/>
      <c r="AJ676" s="197"/>
      <c r="AK676" s="110" t="b">
        <v>0</v>
      </c>
      <c r="AL676" s="87" t="str" cm="1">
        <f t="array" ref="AL676">IF($A676="","",SUMPRODUCT((CHOOSE({1,2,3,4,5},$R676,$V676,$Z676,$AD676,$AH676)="Yes")*(((CHOOSE({1,2,3,4,5},$S676,$W676,$AA676,$AE676,$AI676)="Yes")+(CHOOSE({1,2,3,4,5},$S676,$W676,$AA676,$AE676,$AI676)=TRUE))&gt;0)))</f>
        <v/>
      </c>
      <c r="AM676" s="87"/>
      <c r="AN676" s="87" t="str">
        <f ca="1">IF(OR($A676="",$AM676=""),"",TODAY()-$AM676)</f>
        <v/>
      </c>
      <c r="AO676" s="87"/>
      <c r="AP676" s="106"/>
      <c r="AQ676" s="106"/>
      <c r="AR676" s="106"/>
      <c r="AS676" s="106"/>
      <c r="AT676" s="106"/>
      <c r="AU676" s="106"/>
      <c r="AV676" s="106"/>
      <c r="AW676" s="106"/>
      <c r="AX676" s="106"/>
      <c r="AY676" s="106"/>
    </row>
    <row r="677" spans="1:51" s="20" customFormat="1" ht="21" customHeight="1">
      <c r="A677" s="197"/>
      <c r="B677" s="87"/>
      <c r="C677" s="87"/>
      <c r="D677" s="196"/>
      <c r="E677" s="108"/>
      <c r="F677" s="196"/>
      <c r="G677" s="87"/>
      <c r="H677" s="197"/>
      <c r="I677" s="89"/>
      <c r="J677" s="204"/>
      <c r="K677" s="87"/>
      <c r="L677" s="87" t="str" cm="1">
        <f t="array" ref="L677">IF($A677="","",_xlfn.LET(_xlpm.stat,CHOOSE({1,2,3,4,5},$P677,$T677,$X677,$AB677,$AF677),_xlpm.rate,CHOOSE({1,2,3,4,5},$R677,$V677,$Z677,$AD677,$AH677),_xlpm.trn,CHOOSE({1,2,3,4,5},$S677,$W677,$AA677,$AE677,$AI677),_xlpm.nsC,SUMPRODUCT(--(_xlpm.stat="Ready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DLR",IF(AND(_xlpm.actRS&gt;0,_xlpm.actDone&lt;_xlpm.actRS),"Training",IF(_xlpm.actRS&gt;0,"Active",IF(AND(_xlpm.decC&gt;0,_xlpm.inPlay+_xlpm.actC=0),"Dead",IF(AND($AJ677&lt;&gt;"",$AK677=FALSE),"Waiting on Dealer",IF(_xlpm.subC&gt;0,"Waiting on Lender",IF(AND(_xlpm.appC+_xlpm.actC&gt;0,_xlpm.nsC+_xlpm.wdC=0),"Rate Sheet","Application Submitted")))))))))</f>
        <v/>
      </c>
      <c r="M677" s="87"/>
      <c r="N677" s="87"/>
      <c r="O677" s="197"/>
      <c r="P677" s="87" t="str">
        <f>IF($A677="","",IF($AK677=TRUE,"Ready 2 Submit","Waiting on Dealer"))</f>
        <v/>
      </c>
      <c r="Q677" s="148"/>
      <c r="R677" s="87"/>
      <c r="S677" s="87"/>
      <c r="T677" s="87" t="str">
        <f>IF($A677="","",IF($AK677=TRUE,"Ready 2 Submit","Waiting on Dealer"))</f>
        <v/>
      </c>
      <c r="U677" s="148"/>
      <c r="V677" s="87"/>
      <c r="W677" s="87"/>
      <c r="X677" s="87" t="str">
        <f>IF($A677="","",IF($AK677=TRUE,"Ready 2 Submit","Waiting on Dealer"))</f>
        <v/>
      </c>
      <c r="Y677" s="148"/>
      <c r="Z677" s="87"/>
      <c r="AA677" s="87"/>
      <c r="AB677" s="87" t="str">
        <f>IF($A677="","",IF($AK677=TRUE,"Ready 2 Submit","Waiting on Dealer"))</f>
        <v/>
      </c>
      <c r="AC677" s="148"/>
      <c r="AD677" s="87"/>
      <c r="AE677" s="87"/>
      <c r="AF677" s="87" t="str">
        <f>IF($A677="","",IF($AK677=TRUE,"Ready 2 Submit","Waiting on Dealer"))</f>
        <v/>
      </c>
      <c r="AG677" s="148"/>
      <c r="AH677" s="87"/>
      <c r="AI677" s="87"/>
      <c r="AJ677" s="197"/>
      <c r="AK677" s="110" t="b">
        <v>0</v>
      </c>
      <c r="AL677" s="87" t="str" cm="1">
        <f t="array" ref="AL677">IF($A677="","",SUMPRODUCT((CHOOSE({1,2,3,4,5},$R677,$V677,$Z677,$AD677,$AH677)="Yes")*(((CHOOSE({1,2,3,4,5},$S677,$W677,$AA677,$AE677,$AI677)="Yes")+(CHOOSE({1,2,3,4,5},$S677,$W677,$AA677,$AE677,$AI677)=TRUE))&gt;0)))</f>
        <v/>
      </c>
      <c r="AM677" s="87"/>
      <c r="AN677" s="87" t="str">
        <f ca="1">IF(OR($A677="",$AM677=""),"",TODAY()-$AM677)</f>
        <v/>
      </c>
      <c r="AO677" s="87"/>
      <c r="AP677" s="106"/>
      <c r="AQ677" s="106"/>
      <c r="AR677" s="106"/>
      <c r="AS677" s="106"/>
      <c r="AT677" s="106"/>
      <c r="AU677" s="106"/>
      <c r="AV677" s="106"/>
      <c r="AW677" s="106"/>
      <c r="AX677" s="106"/>
      <c r="AY677" s="106"/>
    </row>
    <row r="678" spans="1:51" s="20" customFormat="1" ht="21" customHeight="1">
      <c r="A678" s="197"/>
      <c r="B678" s="87"/>
      <c r="C678" s="87"/>
      <c r="D678" s="196"/>
      <c r="E678" s="108"/>
      <c r="F678" s="196"/>
      <c r="G678" s="87"/>
      <c r="H678" s="197"/>
      <c r="I678" s="89"/>
      <c r="J678" s="204"/>
      <c r="K678" s="87"/>
      <c r="L678" s="87" t="str" cm="1">
        <f t="array" ref="L678">IF($A678="","",_xlfn.LET(_xlpm.stat,CHOOSE({1,2,3,4,5},$P678,$T678,$X678,$AB678,$AF678),_xlpm.rate,CHOOSE({1,2,3,4,5},$R678,$V678,$Z678,$AD678,$AH678),_xlpm.trn,CHOOSE({1,2,3,4,5},$S678,$W678,$AA678,$AE678,$AI678),_xlpm.nsC,SUMPRODUCT(--(_xlpm.stat="Ready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DLR",IF(AND(_xlpm.actRS&gt;0,_xlpm.actDone&lt;_xlpm.actRS),"Training",IF(_xlpm.actRS&gt;0,"Active",IF(AND(_xlpm.decC&gt;0,_xlpm.inPlay+_xlpm.actC=0),"Dead",IF(AND($AJ678&lt;&gt;"",$AK678=FALSE),"Waiting on Dealer",IF(_xlpm.subC&gt;0,"Waiting on Lender",IF(AND(_xlpm.appC+_xlpm.actC&gt;0,_xlpm.nsC+_xlpm.wdC=0),"Rate Sheet","Application Submitted")))))))))</f>
        <v/>
      </c>
      <c r="M678" s="87"/>
      <c r="N678" s="87"/>
      <c r="O678" s="197"/>
      <c r="P678" s="87" t="str">
        <f>IF($A678="","",IF($AK678=TRUE,"Ready 2 Submit","Waiting on Dealer"))</f>
        <v/>
      </c>
      <c r="Q678" s="148"/>
      <c r="R678" s="87"/>
      <c r="S678" s="87"/>
      <c r="T678" s="87" t="str">
        <f>IF($A678="","",IF($AK678=TRUE,"Ready 2 Submit","Waiting on Dealer"))</f>
        <v/>
      </c>
      <c r="U678" s="148"/>
      <c r="V678" s="87"/>
      <c r="W678" s="87"/>
      <c r="X678" s="87" t="str">
        <f>IF($A678="","",IF($AK678=TRUE,"Ready 2 Submit","Waiting on Dealer"))</f>
        <v/>
      </c>
      <c r="Y678" s="148"/>
      <c r="Z678" s="87"/>
      <c r="AA678" s="87"/>
      <c r="AB678" s="87" t="str">
        <f>IF($A678="","",IF($AK678=TRUE,"Ready 2 Submit","Waiting on Dealer"))</f>
        <v/>
      </c>
      <c r="AC678" s="148"/>
      <c r="AD678" s="87"/>
      <c r="AE678" s="87"/>
      <c r="AF678" s="87" t="str">
        <f>IF($A678="","",IF($AK678=TRUE,"Ready 2 Submit","Waiting on Dealer"))</f>
        <v/>
      </c>
      <c r="AG678" s="148"/>
      <c r="AH678" s="87"/>
      <c r="AI678" s="87"/>
      <c r="AJ678" s="197"/>
      <c r="AK678" s="110" t="b">
        <v>0</v>
      </c>
      <c r="AL678" s="87" t="str" cm="1">
        <f t="array" ref="AL678">IF($A678="","",SUMPRODUCT((CHOOSE({1,2,3,4,5},$R678,$V678,$Z678,$AD678,$AH678)="Yes")*(((CHOOSE({1,2,3,4,5},$S678,$W678,$AA678,$AE678,$AI678)="Yes")+(CHOOSE({1,2,3,4,5},$S678,$W678,$AA678,$AE678,$AI678)=TRUE))&gt;0)))</f>
        <v/>
      </c>
      <c r="AM678" s="87"/>
      <c r="AN678" s="87" t="str">
        <f ca="1">IF(OR($A678="",$AM678=""),"",TODAY()-$AM678)</f>
        <v/>
      </c>
      <c r="AO678" s="87"/>
      <c r="AP678" s="106"/>
      <c r="AQ678" s="106"/>
      <c r="AR678" s="106"/>
      <c r="AS678" s="106"/>
      <c r="AT678" s="106"/>
      <c r="AU678" s="106"/>
      <c r="AV678" s="106"/>
      <c r="AW678" s="106"/>
      <c r="AX678" s="106"/>
      <c r="AY678" s="106"/>
    </row>
    <row r="679" spans="1:51" s="20" customFormat="1" ht="21" customHeight="1">
      <c r="A679" s="197"/>
      <c r="B679" s="87"/>
      <c r="C679" s="87"/>
      <c r="D679" s="196"/>
      <c r="E679" s="108"/>
      <c r="F679" s="196"/>
      <c r="G679" s="87"/>
      <c r="H679" s="197"/>
      <c r="I679" s="89"/>
      <c r="J679" s="204"/>
      <c r="K679" s="87"/>
      <c r="L679" s="87" t="str" cm="1">
        <f t="array" ref="L679">IF($A679="","",_xlfn.LET(_xlpm.stat,CHOOSE({1,2,3,4,5},$P679,$T679,$X679,$AB679,$AF679),_xlpm.rate,CHOOSE({1,2,3,4,5},$R679,$V679,$Z679,$AD679,$AH679),_xlpm.trn,CHOOSE({1,2,3,4,5},$S679,$W679,$AA679,$AE679,$AI679),_xlpm.nsC,SUMPRODUCT(--(_xlpm.stat="Ready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DLR",IF(AND(_xlpm.actRS&gt;0,_xlpm.actDone&lt;_xlpm.actRS),"Training",IF(_xlpm.actRS&gt;0,"Active",IF(AND(_xlpm.decC&gt;0,_xlpm.inPlay+_xlpm.actC=0),"Dead",IF(AND($AJ679&lt;&gt;"",$AK679=FALSE),"Waiting on Dealer",IF(_xlpm.subC&gt;0,"Waiting on Lender",IF(AND(_xlpm.appC+_xlpm.actC&gt;0,_xlpm.nsC+_xlpm.wdC=0),"Rate Sheet","Application Submitted")))))))))</f>
        <v/>
      </c>
      <c r="M679" s="87"/>
      <c r="N679" s="87"/>
      <c r="O679" s="197"/>
      <c r="P679" s="87" t="str">
        <f>IF($A679="","",IF($AK679=TRUE,"Ready 2 Submit","Waiting on Dealer"))</f>
        <v/>
      </c>
      <c r="Q679" s="148"/>
      <c r="R679" s="87"/>
      <c r="S679" s="87"/>
      <c r="T679" s="87" t="str">
        <f>IF($A679="","",IF($AK679=TRUE,"Ready 2 Submit","Waiting on Dealer"))</f>
        <v/>
      </c>
      <c r="U679" s="148"/>
      <c r="V679" s="87"/>
      <c r="W679" s="87"/>
      <c r="X679" s="87" t="str">
        <f>IF($A679="","",IF($AK679=TRUE,"Ready 2 Submit","Waiting on Dealer"))</f>
        <v/>
      </c>
      <c r="Y679" s="148"/>
      <c r="Z679" s="87"/>
      <c r="AA679" s="87"/>
      <c r="AB679" s="87" t="str">
        <f>IF($A679="","",IF($AK679=TRUE,"Ready 2 Submit","Waiting on Dealer"))</f>
        <v/>
      </c>
      <c r="AC679" s="148"/>
      <c r="AD679" s="87"/>
      <c r="AE679" s="87"/>
      <c r="AF679" s="87" t="str">
        <f>IF($A679="","",IF($AK679=TRUE,"Ready 2 Submit","Waiting on Dealer"))</f>
        <v/>
      </c>
      <c r="AG679" s="148"/>
      <c r="AH679" s="87"/>
      <c r="AI679" s="87"/>
      <c r="AJ679" s="197"/>
      <c r="AK679" s="110" t="b">
        <v>0</v>
      </c>
      <c r="AL679" s="87" t="str" cm="1">
        <f t="array" ref="AL679">IF($A679="","",SUMPRODUCT((CHOOSE({1,2,3,4,5},$R679,$V679,$Z679,$AD679,$AH679)="Yes")*(((CHOOSE({1,2,3,4,5},$S679,$W679,$AA679,$AE679,$AI679)="Yes")+(CHOOSE({1,2,3,4,5},$S679,$W679,$AA679,$AE679,$AI679)=TRUE))&gt;0)))</f>
        <v/>
      </c>
      <c r="AM679" s="87"/>
      <c r="AN679" s="87" t="str">
        <f ca="1">IF(OR($A679="",$AM679=""),"",TODAY()-$AM679)</f>
        <v/>
      </c>
      <c r="AO679" s="87"/>
      <c r="AP679" s="106"/>
      <c r="AQ679" s="106"/>
      <c r="AR679" s="106"/>
      <c r="AS679" s="106"/>
      <c r="AT679" s="106"/>
      <c r="AU679" s="106"/>
      <c r="AV679" s="106"/>
      <c r="AW679" s="106"/>
      <c r="AX679" s="106"/>
      <c r="AY679" s="106"/>
    </row>
    <row r="680" spans="1:51" s="20" customFormat="1" ht="21" customHeight="1">
      <c r="A680" s="197"/>
      <c r="B680" s="87"/>
      <c r="C680" s="87"/>
      <c r="D680" s="196"/>
      <c r="E680" s="108"/>
      <c r="F680" s="196"/>
      <c r="G680" s="87"/>
      <c r="H680" s="197"/>
      <c r="I680" s="89"/>
      <c r="J680" s="204"/>
      <c r="K680" s="87"/>
      <c r="L680" s="87" t="str" cm="1">
        <f t="array" ref="L680">IF($A680="","",_xlfn.LET(_xlpm.stat,CHOOSE({1,2,3,4,5},$P680,$T680,$X680,$AB680,$AF680),_xlpm.rate,CHOOSE({1,2,3,4,5},$R680,$V680,$Z680,$AD680,$AH680),_xlpm.trn,CHOOSE({1,2,3,4,5},$S680,$W680,$AA680,$AE680,$AI680),_xlpm.nsC,SUMPRODUCT(--(_xlpm.stat="Ready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DLR",IF(AND(_xlpm.actRS&gt;0,_xlpm.actDone&lt;_xlpm.actRS),"Training",IF(_xlpm.actRS&gt;0,"Active",IF(AND(_xlpm.decC&gt;0,_xlpm.inPlay+_xlpm.actC=0),"Dead",IF(AND($AJ680&lt;&gt;"",$AK680=FALSE),"Waiting on Dealer",IF(_xlpm.subC&gt;0,"Waiting on Lender",IF(AND(_xlpm.appC+_xlpm.actC&gt;0,_xlpm.nsC+_xlpm.wdC=0),"Rate Sheet","Application Submitted")))))))))</f>
        <v/>
      </c>
      <c r="M680" s="87"/>
      <c r="N680" s="87"/>
      <c r="O680" s="197"/>
      <c r="P680" s="87" t="str">
        <f>IF($A680="","",IF($AK680=TRUE,"Ready 2 Submit","Waiting on Dealer"))</f>
        <v/>
      </c>
      <c r="Q680" s="148"/>
      <c r="R680" s="87"/>
      <c r="S680" s="87"/>
      <c r="T680" s="87" t="str">
        <f>IF($A680="","",IF($AK680=TRUE,"Ready 2 Submit","Waiting on Dealer"))</f>
        <v/>
      </c>
      <c r="U680" s="148"/>
      <c r="V680" s="87"/>
      <c r="W680" s="87"/>
      <c r="X680" s="87" t="str">
        <f>IF($A680="","",IF($AK680=TRUE,"Ready 2 Submit","Waiting on Dealer"))</f>
        <v/>
      </c>
      <c r="Y680" s="148"/>
      <c r="Z680" s="87"/>
      <c r="AA680" s="87"/>
      <c r="AB680" s="87" t="str">
        <f>IF($A680="","",IF($AK680=TRUE,"Ready 2 Submit","Waiting on Dealer"))</f>
        <v/>
      </c>
      <c r="AC680" s="148"/>
      <c r="AD680" s="87"/>
      <c r="AE680" s="87"/>
      <c r="AF680" s="87" t="str">
        <f>IF($A680="","",IF($AK680=TRUE,"Ready 2 Submit","Waiting on Dealer"))</f>
        <v/>
      </c>
      <c r="AG680" s="148"/>
      <c r="AH680" s="87"/>
      <c r="AI680" s="87"/>
      <c r="AJ680" s="197"/>
      <c r="AK680" s="110" t="b">
        <v>0</v>
      </c>
      <c r="AL680" s="87" t="str" cm="1">
        <f t="array" ref="AL680">IF($A680="","",SUMPRODUCT((CHOOSE({1,2,3,4,5},$R680,$V680,$Z680,$AD680,$AH680)="Yes")*(((CHOOSE({1,2,3,4,5},$S680,$W680,$AA680,$AE680,$AI680)="Yes")+(CHOOSE({1,2,3,4,5},$S680,$W680,$AA680,$AE680,$AI680)=TRUE))&gt;0)))</f>
        <v/>
      </c>
      <c r="AM680" s="87"/>
      <c r="AN680" s="87" t="str">
        <f ca="1">IF(OR($A680="",$AM680=""),"",TODAY()-$AM680)</f>
        <v/>
      </c>
      <c r="AO680" s="87"/>
      <c r="AP680" s="106"/>
      <c r="AQ680" s="106"/>
      <c r="AR680" s="106"/>
      <c r="AS680" s="106"/>
      <c r="AT680" s="106"/>
      <c r="AU680" s="106"/>
      <c r="AV680" s="106"/>
      <c r="AW680" s="106"/>
      <c r="AX680" s="106"/>
      <c r="AY680" s="106"/>
    </row>
    <row r="681" spans="1:51" s="20" customFormat="1" ht="21" customHeight="1">
      <c r="A681" s="197"/>
      <c r="B681" s="87"/>
      <c r="C681" s="87"/>
      <c r="D681" s="196"/>
      <c r="E681" s="108"/>
      <c r="F681" s="196"/>
      <c r="G681" s="87"/>
      <c r="H681" s="197"/>
      <c r="I681" s="89"/>
      <c r="J681" s="204"/>
      <c r="K681" s="87"/>
      <c r="L681" s="87" t="str" cm="1">
        <f t="array" ref="L681">IF($A681="","",_xlfn.LET(_xlpm.stat,CHOOSE({1,2,3,4,5},$P681,$T681,$X681,$AB681,$AF681),_xlpm.rate,CHOOSE({1,2,3,4,5},$R681,$V681,$Z681,$AD681,$AH681),_xlpm.trn,CHOOSE({1,2,3,4,5},$S681,$W681,$AA681,$AE681,$AI681),_xlpm.nsC,SUMPRODUCT(--(_xlpm.stat="Ready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DLR",IF(AND(_xlpm.actRS&gt;0,_xlpm.actDone&lt;_xlpm.actRS),"Training",IF(_xlpm.actRS&gt;0,"Active",IF(AND(_xlpm.decC&gt;0,_xlpm.inPlay+_xlpm.actC=0),"Dead",IF(AND($AJ681&lt;&gt;"",$AK681=FALSE),"Waiting on Dealer",IF(_xlpm.subC&gt;0,"Waiting on Lender",IF(AND(_xlpm.appC+_xlpm.actC&gt;0,_xlpm.nsC+_xlpm.wdC=0),"Rate Sheet","Application Submitted")))))))))</f>
        <v/>
      </c>
      <c r="M681" s="87"/>
      <c r="N681" s="87"/>
      <c r="O681" s="197"/>
      <c r="P681" s="87" t="str">
        <f>IF($A681="","",IF($AK681=TRUE,"Ready 2 Submit","Waiting on Dealer"))</f>
        <v/>
      </c>
      <c r="Q681" s="148"/>
      <c r="R681" s="87"/>
      <c r="S681" s="87"/>
      <c r="T681" s="87" t="str">
        <f>IF($A681="","",IF($AK681=TRUE,"Ready 2 Submit","Waiting on Dealer"))</f>
        <v/>
      </c>
      <c r="U681" s="148"/>
      <c r="V681" s="87"/>
      <c r="W681" s="87"/>
      <c r="X681" s="87" t="str">
        <f>IF($A681="","",IF($AK681=TRUE,"Ready 2 Submit","Waiting on Dealer"))</f>
        <v/>
      </c>
      <c r="Y681" s="148"/>
      <c r="Z681" s="87"/>
      <c r="AA681" s="87"/>
      <c r="AB681" s="87" t="str">
        <f>IF($A681="","",IF($AK681=TRUE,"Ready 2 Submit","Waiting on Dealer"))</f>
        <v/>
      </c>
      <c r="AC681" s="148"/>
      <c r="AD681" s="87"/>
      <c r="AE681" s="87"/>
      <c r="AF681" s="87" t="str">
        <f>IF($A681="","",IF($AK681=TRUE,"Ready 2 Submit","Waiting on Dealer"))</f>
        <v/>
      </c>
      <c r="AG681" s="148"/>
      <c r="AH681" s="87"/>
      <c r="AI681" s="87"/>
      <c r="AJ681" s="197"/>
      <c r="AK681" s="110" t="b">
        <v>0</v>
      </c>
      <c r="AL681" s="87" t="str" cm="1">
        <f t="array" ref="AL681">IF($A681="","",SUMPRODUCT((CHOOSE({1,2,3,4,5},$R681,$V681,$Z681,$AD681,$AH681)="Yes")*(((CHOOSE({1,2,3,4,5},$S681,$W681,$AA681,$AE681,$AI681)="Yes")+(CHOOSE({1,2,3,4,5},$S681,$W681,$AA681,$AE681,$AI681)=TRUE))&gt;0)))</f>
        <v/>
      </c>
      <c r="AM681" s="87"/>
      <c r="AN681" s="87" t="str">
        <f ca="1">IF(OR($A681="",$AM681=""),"",TODAY()-$AM681)</f>
        <v/>
      </c>
      <c r="AO681" s="87"/>
      <c r="AP681" s="106"/>
      <c r="AQ681" s="106"/>
      <c r="AR681" s="106"/>
      <c r="AS681" s="106"/>
      <c r="AT681" s="106"/>
      <c r="AU681" s="106"/>
      <c r="AV681" s="106"/>
      <c r="AW681" s="106"/>
      <c r="AX681" s="106"/>
      <c r="AY681" s="106"/>
    </row>
    <row r="682" spans="1:51" s="20" customFormat="1" ht="21" customHeight="1">
      <c r="A682" s="197"/>
      <c r="B682" s="87"/>
      <c r="C682" s="87"/>
      <c r="D682" s="196"/>
      <c r="E682" s="108"/>
      <c r="F682" s="196"/>
      <c r="G682" s="87"/>
      <c r="H682" s="197"/>
      <c r="I682" s="89"/>
      <c r="J682" s="204"/>
      <c r="K682" s="87"/>
      <c r="L682" s="87" t="str" cm="1">
        <f t="array" ref="L682">IF($A682="","",_xlfn.LET(_xlpm.stat,CHOOSE({1,2,3,4,5},$P682,$T682,$X682,$AB682,$AF682),_xlpm.rate,CHOOSE({1,2,3,4,5},$R682,$V682,$Z682,$AD682,$AH682),_xlpm.trn,CHOOSE({1,2,3,4,5},$S682,$W682,$AA682,$AE682,$AI682),_xlpm.nsC,SUMPRODUCT(--(_xlpm.stat="Ready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DLR",IF(AND(_xlpm.actRS&gt;0,_xlpm.actDone&lt;_xlpm.actRS),"Training",IF(_xlpm.actRS&gt;0,"Active",IF(AND(_xlpm.decC&gt;0,_xlpm.inPlay+_xlpm.actC=0),"Dead",IF(AND($AJ682&lt;&gt;"",$AK682=FALSE),"Waiting on Dealer",IF(_xlpm.subC&gt;0,"Waiting on Lender",IF(AND(_xlpm.appC+_xlpm.actC&gt;0,_xlpm.nsC+_xlpm.wdC=0),"Rate Sheet","Application Submitted")))))))))</f>
        <v/>
      </c>
      <c r="M682" s="87"/>
      <c r="N682" s="87"/>
      <c r="O682" s="197"/>
      <c r="P682" s="87" t="str">
        <f>IF($A682="","",IF($AK682=TRUE,"Ready 2 Submit","Waiting on Dealer"))</f>
        <v/>
      </c>
      <c r="Q682" s="148"/>
      <c r="R682" s="87"/>
      <c r="S682" s="87"/>
      <c r="T682" s="87" t="str">
        <f>IF($A682="","",IF($AK682=TRUE,"Ready 2 Submit","Waiting on Dealer"))</f>
        <v/>
      </c>
      <c r="U682" s="148"/>
      <c r="V682" s="87"/>
      <c r="W682" s="87"/>
      <c r="X682" s="87" t="str">
        <f>IF($A682="","",IF($AK682=TRUE,"Ready 2 Submit","Waiting on Dealer"))</f>
        <v/>
      </c>
      <c r="Y682" s="148"/>
      <c r="Z682" s="87"/>
      <c r="AA682" s="87"/>
      <c r="AB682" s="87" t="str">
        <f>IF($A682="","",IF($AK682=TRUE,"Ready 2 Submit","Waiting on Dealer"))</f>
        <v/>
      </c>
      <c r="AC682" s="148"/>
      <c r="AD682" s="87"/>
      <c r="AE682" s="87"/>
      <c r="AF682" s="87" t="str">
        <f>IF($A682="","",IF($AK682=TRUE,"Ready 2 Submit","Waiting on Dealer"))</f>
        <v/>
      </c>
      <c r="AG682" s="148"/>
      <c r="AH682" s="87"/>
      <c r="AI682" s="87"/>
      <c r="AJ682" s="197"/>
      <c r="AK682" s="110" t="b">
        <v>0</v>
      </c>
      <c r="AL682" s="87" t="str" cm="1">
        <f t="array" ref="AL682">IF($A682="","",SUMPRODUCT((CHOOSE({1,2,3,4,5},$R682,$V682,$Z682,$AD682,$AH682)="Yes")*(((CHOOSE({1,2,3,4,5},$S682,$W682,$AA682,$AE682,$AI682)="Yes")+(CHOOSE({1,2,3,4,5},$S682,$W682,$AA682,$AE682,$AI682)=TRUE))&gt;0)))</f>
        <v/>
      </c>
      <c r="AM682" s="87"/>
      <c r="AN682" s="87" t="str">
        <f ca="1">IF(OR($A682="",$AM682=""),"",TODAY()-$AM682)</f>
        <v/>
      </c>
      <c r="AO682" s="87"/>
      <c r="AP682" s="106"/>
      <c r="AQ682" s="106"/>
      <c r="AR682" s="106"/>
      <c r="AS682" s="106"/>
      <c r="AT682" s="106"/>
      <c r="AU682" s="106"/>
      <c r="AV682" s="106"/>
      <c r="AW682" s="106"/>
      <c r="AX682" s="106"/>
      <c r="AY682" s="106"/>
    </row>
    <row r="683" spans="1:51" s="20" customFormat="1" ht="21" customHeight="1">
      <c r="A683" s="197"/>
      <c r="B683" s="87"/>
      <c r="C683" s="87"/>
      <c r="D683" s="196"/>
      <c r="E683" s="108"/>
      <c r="F683" s="196"/>
      <c r="G683" s="87"/>
      <c r="H683" s="197"/>
      <c r="I683" s="89"/>
      <c r="J683" s="204"/>
      <c r="K683" s="87"/>
      <c r="L683" s="87" t="str" cm="1">
        <f t="array" ref="L683">IF($A683="","",_xlfn.LET(_xlpm.stat,CHOOSE({1,2,3,4,5},$P683,$T683,$X683,$AB683,$AF683),_xlpm.rate,CHOOSE({1,2,3,4,5},$R683,$V683,$Z683,$AD683,$AH683),_xlpm.trn,CHOOSE({1,2,3,4,5},$S683,$W683,$AA683,$AE683,$AI683),_xlpm.nsC,SUMPRODUCT(--(_xlpm.stat="Ready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DLR",IF(AND(_xlpm.actRS&gt;0,_xlpm.actDone&lt;_xlpm.actRS),"Training",IF(_xlpm.actRS&gt;0,"Active",IF(AND(_xlpm.decC&gt;0,_xlpm.inPlay+_xlpm.actC=0),"Dead",IF(AND($AJ683&lt;&gt;"",$AK683=FALSE),"Waiting on Dealer",IF(_xlpm.subC&gt;0,"Waiting on Lender",IF(AND(_xlpm.appC+_xlpm.actC&gt;0,_xlpm.nsC+_xlpm.wdC=0),"Rate Sheet","Application Submitted")))))))))</f>
        <v/>
      </c>
      <c r="M683" s="87"/>
      <c r="N683" s="87"/>
      <c r="O683" s="197"/>
      <c r="P683" s="87" t="str">
        <f>IF($A683="","",IF($AK683=TRUE,"Ready 2 Submit","Waiting on Dealer"))</f>
        <v/>
      </c>
      <c r="Q683" s="148"/>
      <c r="R683" s="87"/>
      <c r="S683" s="87"/>
      <c r="T683" s="87" t="str">
        <f>IF($A683="","",IF($AK683=TRUE,"Ready 2 Submit","Waiting on Dealer"))</f>
        <v/>
      </c>
      <c r="U683" s="148"/>
      <c r="V683" s="87"/>
      <c r="W683" s="87"/>
      <c r="X683" s="87" t="str">
        <f>IF($A683="","",IF($AK683=TRUE,"Ready 2 Submit","Waiting on Dealer"))</f>
        <v/>
      </c>
      <c r="Y683" s="148"/>
      <c r="Z683" s="87"/>
      <c r="AA683" s="87"/>
      <c r="AB683" s="87" t="str">
        <f>IF($A683="","",IF($AK683=TRUE,"Ready 2 Submit","Waiting on Dealer"))</f>
        <v/>
      </c>
      <c r="AC683" s="148"/>
      <c r="AD683" s="87"/>
      <c r="AE683" s="87"/>
      <c r="AF683" s="87" t="str">
        <f>IF($A683="","",IF($AK683=TRUE,"Ready 2 Submit","Waiting on Dealer"))</f>
        <v/>
      </c>
      <c r="AG683" s="148"/>
      <c r="AH683" s="87"/>
      <c r="AI683" s="87"/>
      <c r="AJ683" s="197"/>
      <c r="AK683" s="110" t="b">
        <v>0</v>
      </c>
      <c r="AL683" s="87" t="str" cm="1">
        <f t="array" ref="AL683">IF($A683="","",SUMPRODUCT((CHOOSE({1,2,3,4,5},$R683,$V683,$Z683,$AD683,$AH683)="Yes")*(((CHOOSE({1,2,3,4,5},$S683,$W683,$AA683,$AE683,$AI683)="Yes")+(CHOOSE({1,2,3,4,5},$S683,$W683,$AA683,$AE683,$AI683)=TRUE))&gt;0)))</f>
        <v/>
      </c>
      <c r="AM683" s="87"/>
      <c r="AN683" s="87" t="str">
        <f ca="1">IF(OR($A683="",$AM683=""),"",TODAY()-$AM683)</f>
        <v/>
      </c>
      <c r="AO683" s="87"/>
      <c r="AP683" s="106"/>
      <c r="AQ683" s="106"/>
      <c r="AR683" s="106"/>
      <c r="AS683" s="106"/>
      <c r="AT683" s="106"/>
      <c r="AU683" s="106"/>
      <c r="AV683" s="106"/>
      <c r="AW683" s="106"/>
      <c r="AX683" s="106"/>
      <c r="AY683" s="106"/>
    </row>
    <row r="684" spans="1:51" s="20" customFormat="1" ht="21" customHeight="1">
      <c r="A684" s="197"/>
      <c r="B684" s="87"/>
      <c r="C684" s="87"/>
      <c r="D684" s="196"/>
      <c r="E684" s="108"/>
      <c r="F684" s="196"/>
      <c r="G684" s="87"/>
      <c r="H684" s="197"/>
      <c r="I684" s="89"/>
      <c r="J684" s="204"/>
      <c r="K684" s="87"/>
      <c r="L684" s="87" t="str" cm="1">
        <f t="array" ref="L684">IF($A684="","",_xlfn.LET(_xlpm.stat,CHOOSE({1,2,3,4,5},$P684,$T684,$X684,$AB684,$AF684),_xlpm.rate,CHOOSE({1,2,3,4,5},$R684,$V684,$Z684,$AD684,$AH684),_xlpm.trn,CHOOSE({1,2,3,4,5},$S684,$W684,$AA684,$AE684,$AI684),_xlpm.nsC,SUMPRODUCT(--(_xlpm.stat="Ready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DLR",IF(AND(_xlpm.actRS&gt;0,_xlpm.actDone&lt;_xlpm.actRS),"Training",IF(_xlpm.actRS&gt;0,"Active",IF(AND(_xlpm.decC&gt;0,_xlpm.inPlay+_xlpm.actC=0),"Dead",IF(AND($AJ684&lt;&gt;"",$AK684=FALSE),"Waiting on Dealer",IF(_xlpm.subC&gt;0,"Waiting on Lender",IF(AND(_xlpm.appC+_xlpm.actC&gt;0,_xlpm.nsC+_xlpm.wdC=0),"Rate Sheet","Application Submitted")))))))))</f>
        <v/>
      </c>
      <c r="M684" s="87"/>
      <c r="N684" s="87"/>
      <c r="O684" s="197"/>
      <c r="P684" s="87" t="str">
        <f>IF($A684="","",IF($AK684=TRUE,"Ready 2 Submit","Waiting on Dealer"))</f>
        <v/>
      </c>
      <c r="Q684" s="148"/>
      <c r="R684" s="87"/>
      <c r="S684" s="87"/>
      <c r="T684" s="87" t="str">
        <f>IF($A684="","",IF($AK684=TRUE,"Ready 2 Submit","Waiting on Dealer"))</f>
        <v/>
      </c>
      <c r="U684" s="148"/>
      <c r="V684" s="87"/>
      <c r="W684" s="87"/>
      <c r="X684" s="87" t="str">
        <f>IF($A684="","",IF($AK684=TRUE,"Ready 2 Submit","Waiting on Dealer"))</f>
        <v/>
      </c>
      <c r="Y684" s="148"/>
      <c r="Z684" s="87"/>
      <c r="AA684" s="87"/>
      <c r="AB684" s="87" t="str">
        <f>IF($A684="","",IF($AK684=TRUE,"Ready 2 Submit","Waiting on Dealer"))</f>
        <v/>
      </c>
      <c r="AC684" s="148"/>
      <c r="AD684" s="87"/>
      <c r="AE684" s="87"/>
      <c r="AF684" s="87" t="str">
        <f>IF($A684="","",IF($AK684=TRUE,"Ready 2 Submit","Waiting on Dealer"))</f>
        <v/>
      </c>
      <c r="AG684" s="148"/>
      <c r="AH684" s="87"/>
      <c r="AI684" s="87"/>
      <c r="AJ684" s="197"/>
      <c r="AK684" s="110" t="b">
        <v>0</v>
      </c>
      <c r="AL684" s="87" t="str" cm="1">
        <f t="array" ref="AL684">IF($A684="","",SUMPRODUCT((CHOOSE({1,2,3,4,5},$R684,$V684,$Z684,$AD684,$AH684)="Yes")*(((CHOOSE({1,2,3,4,5},$S684,$W684,$AA684,$AE684,$AI684)="Yes")+(CHOOSE({1,2,3,4,5},$S684,$W684,$AA684,$AE684,$AI684)=TRUE))&gt;0)))</f>
        <v/>
      </c>
      <c r="AM684" s="87"/>
      <c r="AN684" s="87" t="str">
        <f ca="1">IF(OR($A684="",$AM684=""),"",TODAY()-$AM684)</f>
        <v/>
      </c>
      <c r="AO684" s="87"/>
      <c r="AP684" s="106"/>
      <c r="AQ684" s="106"/>
      <c r="AR684" s="106"/>
      <c r="AS684" s="106"/>
      <c r="AT684" s="106"/>
      <c r="AU684" s="106"/>
      <c r="AV684" s="106"/>
      <c r="AW684" s="106"/>
      <c r="AX684" s="106"/>
      <c r="AY684" s="106"/>
    </row>
    <row r="685" spans="1:51" s="20" customFormat="1" ht="21" customHeight="1">
      <c r="A685" s="197"/>
      <c r="B685" s="87"/>
      <c r="C685" s="87"/>
      <c r="D685" s="196"/>
      <c r="E685" s="108"/>
      <c r="F685" s="196"/>
      <c r="G685" s="87"/>
      <c r="H685" s="197"/>
      <c r="I685" s="89"/>
      <c r="J685" s="204"/>
      <c r="K685" s="87"/>
      <c r="L685" s="87" t="str" cm="1">
        <f t="array" ref="L685">IF($A685="","",_xlfn.LET(_xlpm.stat,CHOOSE({1,2,3,4,5},$P685,$T685,$X685,$AB685,$AF685),_xlpm.rate,CHOOSE({1,2,3,4,5},$R685,$V685,$Z685,$AD685,$AH685),_xlpm.trn,CHOOSE({1,2,3,4,5},$S685,$W685,$AA685,$AE685,$AI685),_xlpm.nsC,SUMPRODUCT(--(_xlpm.stat="Ready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DLR",IF(AND(_xlpm.actRS&gt;0,_xlpm.actDone&lt;_xlpm.actRS),"Training",IF(_xlpm.actRS&gt;0,"Active",IF(AND(_xlpm.decC&gt;0,_xlpm.inPlay+_xlpm.actC=0),"Dead",IF(AND($AJ685&lt;&gt;"",$AK685=FALSE),"Waiting on Dealer",IF(_xlpm.subC&gt;0,"Waiting on Lender",IF(AND(_xlpm.appC+_xlpm.actC&gt;0,_xlpm.nsC+_xlpm.wdC=0),"Rate Sheet","Application Submitted")))))))))</f>
        <v/>
      </c>
      <c r="M685" s="87"/>
      <c r="N685" s="87"/>
      <c r="O685" s="197"/>
      <c r="P685" s="87" t="str">
        <f>IF($A685="","",IF($AK685=TRUE,"Ready 2 Submit","Waiting on Dealer"))</f>
        <v/>
      </c>
      <c r="Q685" s="148"/>
      <c r="R685" s="87"/>
      <c r="S685" s="87"/>
      <c r="T685" s="87" t="str">
        <f>IF($A685="","",IF($AK685=TRUE,"Ready 2 Submit","Waiting on Dealer"))</f>
        <v/>
      </c>
      <c r="U685" s="148"/>
      <c r="V685" s="87"/>
      <c r="W685" s="87"/>
      <c r="X685" s="87" t="str">
        <f>IF($A685="","",IF($AK685=TRUE,"Ready 2 Submit","Waiting on Dealer"))</f>
        <v/>
      </c>
      <c r="Y685" s="148"/>
      <c r="Z685" s="87"/>
      <c r="AA685" s="87"/>
      <c r="AB685" s="87" t="str">
        <f>IF($A685="","",IF($AK685=TRUE,"Ready 2 Submit","Waiting on Dealer"))</f>
        <v/>
      </c>
      <c r="AC685" s="148"/>
      <c r="AD685" s="87"/>
      <c r="AE685" s="87"/>
      <c r="AF685" s="87" t="str">
        <f>IF($A685="","",IF($AK685=TRUE,"Ready 2 Submit","Waiting on Dealer"))</f>
        <v/>
      </c>
      <c r="AG685" s="148"/>
      <c r="AH685" s="87"/>
      <c r="AI685" s="87"/>
      <c r="AJ685" s="197"/>
      <c r="AK685" s="110" t="b">
        <v>0</v>
      </c>
      <c r="AL685" s="87" t="str" cm="1">
        <f t="array" ref="AL685">IF($A685="","",SUMPRODUCT((CHOOSE({1,2,3,4,5},$R685,$V685,$Z685,$AD685,$AH685)="Yes")*(((CHOOSE({1,2,3,4,5},$S685,$W685,$AA685,$AE685,$AI685)="Yes")+(CHOOSE({1,2,3,4,5},$S685,$W685,$AA685,$AE685,$AI685)=TRUE))&gt;0)))</f>
        <v/>
      </c>
      <c r="AM685" s="87"/>
      <c r="AN685" s="87" t="str">
        <f ca="1">IF(OR($A685="",$AM685=""),"",TODAY()-$AM685)</f>
        <v/>
      </c>
      <c r="AO685" s="87"/>
      <c r="AP685" s="106"/>
      <c r="AQ685" s="106"/>
      <c r="AR685" s="106"/>
      <c r="AS685" s="106"/>
      <c r="AT685" s="106"/>
      <c r="AU685" s="106"/>
      <c r="AV685" s="106"/>
      <c r="AW685" s="106"/>
      <c r="AX685" s="106"/>
      <c r="AY685" s="106"/>
    </row>
    <row r="686" spans="1:51" s="20" customFormat="1" ht="21" customHeight="1">
      <c r="A686" s="197"/>
      <c r="B686" s="87"/>
      <c r="C686" s="87"/>
      <c r="D686" s="196"/>
      <c r="E686" s="108"/>
      <c r="F686" s="196"/>
      <c r="G686" s="87"/>
      <c r="H686" s="197"/>
      <c r="I686" s="89"/>
      <c r="J686" s="204"/>
      <c r="K686" s="87"/>
      <c r="L686" s="87" t="str" cm="1">
        <f t="array" ref="L686">IF($A686="","",_xlfn.LET(_xlpm.stat,CHOOSE({1,2,3,4,5},$P686,$T686,$X686,$AB686,$AF686),_xlpm.rate,CHOOSE({1,2,3,4,5},$R686,$V686,$Z686,$AD686,$AH686),_xlpm.trn,CHOOSE({1,2,3,4,5},$S686,$W686,$AA686,$AE686,$AI686),_xlpm.nsC,SUMPRODUCT(--(_xlpm.stat="Ready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DLR",IF(AND(_xlpm.actRS&gt;0,_xlpm.actDone&lt;_xlpm.actRS),"Training",IF(_xlpm.actRS&gt;0,"Active",IF(AND(_xlpm.decC&gt;0,_xlpm.inPlay+_xlpm.actC=0),"Dead",IF(AND($AJ686&lt;&gt;"",$AK686=FALSE),"Waiting on Dealer",IF(_xlpm.subC&gt;0,"Waiting on Lender",IF(AND(_xlpm.appC+_xlpm.actC&gt;0,_xlpm.nsC+_xlpm.wdC=0),"Rate Sheet","Application Submitted")))))))))</f>
        <v/>
      </c>
      <c r="M686" s="87"/>
      <c r="N686" s="87"/>
      <c r="O686" s="197"/>
      <c r="P686" s="87" t="str">
        <f>IF($A686="","",IF($AK686=TRUE,"Ready 2 Submit","Waiting on Dealer"))</f>
        <v/>
      </c>
      <c r="Q686" s="148"/>
      <c r="R686" s="87"/>
      <c r="S686" s="87"/>
      <c r="T686" s="87" t="str">
        <f>IF($A686="","",IF($AK686=TRUE,"Ready 2 Submit","Waiting on Dealer"))</f>
        <v/>
      </c>
      <c r="U686" s="148"/>
      <c r="V686" s="87"/>
      <c r="W686" s="87"/>
      <c r="X686" s="87" t="str">
        <f>IF($A686="","",IF($AK686=TRUE,"Ready 2 Submit","Waiting on Dealer"))</f>
        <v/>
      </c>
      <c r="Y686" s="148"/>
      <c r="Z686" s="87"/>
      <c r="AA686" s="87"/>
      <c r="AB686" s="87" t="str">
        <f>IF($A686="","",IF($AK686=TRUE,"Ready 2 Submit","Waiting on Dealer"))</f>
        <v/>
      </c>
      <c r="AC686" s="148"/>
      <c r="AD686" s="87"/>
      <c r="AE686" s="87"/>
      <c r="AF686" s="87" t="str">
        <f>IF($A686="","",IF($AK686=TRUE,"Ready 2 Submit","Waiting on Dealer"))</f>
        <v/>
      </c>
      <c r="AG686" s="148"/>
      <c r="AH686" s="87"/>
      <c r="AI686" s="87"/>
      <c r="AJ686" s="197"/>
      <c r="AK686" s="110" t="b">
        <v>0</v>
      </c>
      <c r="AL686" s="87" t="str" cm="1">
        <f t="array" ref="AL686">IF($A686="","",SUMPRODUCT((CHOOSE({1,2,3,4,5},$R686,$V686,$Z686,$AD686,$AH686)="Yes")*(((CHOOSE({1,2,3,4,5},$S686,$W686,$AA686,$AE686,$AI686)="Yes")+(CHOOSE({1,2,3,4,5},$S686,$W686,$AA686,$AE686,$AI686)=TRUE))&gt;0)))</f>
        <v/>
      </c>
      <c r="AM686" s="87"/>
      <c r="AN686" s="87" t="str">
        <f ca="1">IF(OR($A686="",$AM686=""),"",TODAY()-$AM686)</f>
        <v/>
      </c>
      <c r="AO686" s="87"/>
      <c r="AP686" s="106"/>
      <c r="AQ686" s="106"/>
      <c r="AR686" s="106"/>
      <c r="AS686" s="106"/>
      <c r="AT686" s="106"/>
      <c r="AU686" s="106"/>
      <c r="AV686" s="106"/>
      <c r="AW686" s="106"/>
      <c r="AX686" s="106"/>
      <c r="AY686" s="106"/>
    </row>
    <row r="687" spans="1:51" s="20" customFormat="1" ht="21" customHeight="1">
      <c r="A687" s="197"/>
      <c r="B687" s="87"/>
      <c r="C687" s="87"/>
      <c r="D687" s="196"/>
      <c r="E687" s="108"/>
      <c r="F687" s="196"/>
      <c r="G687" s="87"/>
      <c r="H687" s="197"/>
      <c r="I687" s="89"/>
      <c r="J687" s="204"/>
      <c r="K687" s="87"/>
      <c r="L687" s="87" t="str" cm="1">
        <f t="array" ref="L687">IF($A687="","",_xlfn.LET(_xlpm.stat,CHOOSE({1,2,3,4,5},$P687,$T687,$X687,$AB687,$AF687),_xlpm.rate,CHOOSE({1,2,3,4,5},$R687,$V687,$Z687,$AD687,$AH687),_xlpm.trn,CHOOSE({1,2,3,4,5},$S687,$W687,$AA687,$AE687,$AI687),_xlpm.nsC,SUMPRODUCT(--(_xlpm.stat="Ready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DLR",IF(AND(_xlpm.actRS&gt;0,_xlpm.actDone&lt;_xlpm.actRS),"Training",IF(_xlpm.actRS&gt;0,"Active",IF(AND(_xlpm.decC&gt;0,_xlpm.inPlay+_xlpm.actC=0),"Dead",IF(AND($AJ687&lt;&gt;"",$AK687=FALSE),"Waiting on Dealer",IF(_xlpm.subC&gt;0,"Waiting on Lender",IF(AND(_xlpm.appC+_xlpm.actC&gt;0,_xlpm.nsC+_xlpm.wdC=0),"Rate Sheet","Application Submitted")))))))))</f>
        <v/>
      </c>
      <c r="M687" s="87"/>
      <c r="N687" s="87"/>
      <c r="O687" s="197"/>
      <c r="P687" s="87" t="str">
        <f>IF($A687="","",IF($AK687=TRUE,"Ready 2 Submit","Waiting on Dealer"))</f>
        <v/>
      </c>
      <c r="Q687" s="148"/>
      <c r="R687" s="87"/>
      <c r="S687" s="87"/>
      <c r="T687" s="87" t="str">
        <f>IF($A687="","",IF($AK687=TRUE,"Ready 2 Submit","Waiting on Dealer"))</f>
        <v/>
      </c>
      <c r="U687" s="148"/>
      <c r="V687" s="87"/>
      <c r="W687" s="87"/>
      <c r="X687" s="87" t="str">
        <f>IF($A687="","",IF($AK687=TRUE,"Ready 2 Submit","Waiting on Dealer"))</f>
        <v/>
      </c>
      <c r="Y687" s="148"/>
      <c r="Z687" s="87"/>
      <c r="AA687" s="87"/>
      <c r="AB687" s="87" t="str">
        <f>IF($A687="","",IF($AK687=TRUE,"Ready 2 Submit","Waiting on Dealer"))</f>
        <v/>
      </c>
      <c r="AC687" s="148"/>
      <c r="AD687" s="87"/>
      <c r="AE687" s="87"/>
      <c r="AF687" s="87" t="str">
        <f>IF($A687="","",IF($AK687=TRUE,"Ready 2 Submit","Waiting on Dealer"))</f>
        <v/>
      </c>
      <c r="AG687" s="148"/>
      <c r="AH687" s="87"/>
      <c r="AI687" s="87"/>
      <c r="AJ687" s="197"/>
      <c r="AK687" s="110" t="b">
        <v>0</v>
      </c>
      <c r="AL687" s="87" t="str" cm="1">
        <f t="array" ref="AL687">IF($A687="","",SUMPRODUCT((CHOOSE({1,2,3,4,5},$R687,$V687,$Z687,$AD687,$AH687)="Yes")*(((CHOOSE({1,2,3,4,5},$S687,$W687,$AA687,$AE687,$AI687)="Yes")+(CHOOSE({1,2,3,4,5},$S687,$W687,$AA687,$AE687,$AI687)=TRUE))&gt;0)))</f>
        <v/>
      </c>
      <c r="AM687" s="87"/>
      <c r="AN687" s="87" t="str">
        <f ca="1">IF(OR($A687="",$AM687=""),"",TODAY()-$AM687)</f>
        <v/>
      </c>
      <c r="AO687" s="87"/>
      <c r="AP687" s="106"/>
      <c r="AQ687" s="106"/>
      <c r="AR687" s="106"/>
      <c r="AS687" s="106"/>
      <c r="AT687" s="106"/>
      <c r="AU687" s="106"/>
      <c r="AV687" s="106"/>
      <c r="AW687" s="106"/>
      <c r="AX687" s="106"/>
      <c r="AY687" s="106"/>
    </row>
    <row r="688" spans="1:51" s="20" customFormat="1" ht="21" customHeight="1">
      <c r="A688" s="197"/>
      <c r="B688" s="87"/>
      <c r="C688" s="87"/>
      <c r="D688" s="196"/>
      <c r="E688" s="108"/>
      <c r="F688" s="196"/>
      <c r="G688" s="87"/>
      <c r="H688" s="197"/>
      <c r="I688" s="89"/>
      <c r="J688" s="204"/>
      <c r="K688" s="87"/>
      <c r="L688" s="87" t="str" cm="1">
        <f t="array" ref="L688">IF($A688="","",_xlfn.LET(_xlpm.stat,CHOOSE({1,2,3,4,5},$P688,$T688,$X688,$AB688,$AF688),_xlpm.rate,CHOOSE({1,2,3,4,5},$R688,$V688,$Z688,$AD688,$AH688),_xlpm.trn,CHOOSE({1,2,3,4,5},$S688,$W688,$AA688,$AE688,$AI688),_xlpm.nsC,SUMPRODUCT(--(_xlpm.stat="Ready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DLR",IF(AND(_xlpm.actRS&gt;0,_xlpm.actDone&lt;_xlpm.actRS),"Training",IF(_xlpm.actRS&gt;0,"Active",IF(AND(_xlpm.decC&gt;0,_xlpm.inPlay+_xlpm.actC=0),"Dead",IF(AND($AJ688&lt;&gt;"",$AK688=FALSE),"Waiting on Dealer",IF(_xlpm.subC&gt;0,"Waiting on Lender",IF(AND(_xlpm.appC+_xlpm.actC&gt;0,_xlpm.nsC+_xlpm.wdC=0),"Rate Sheet","Application Submitted")))))))))</f>
        <v/>
      </c>
      <c r="M688" s="87"/>
      <c r="N688" s="87"/>
      <c r="O688" s="197"/>
      <c r="P688" s="87" t="str">
        <f>IF($A688="","",IF($AK688=TRUE,"Ready 2 Submit","Waiting on Dealer"))</f>
        <v/>
      </c>
      <c r="Q688" s="148"/>
      <c r="R688" s="87"/>
      <c r="S688" s="87"/>
      <c r="T688" s="87" t="str">
        <f>IF($A688="","",IF($AK688=TRUE,"Ready 2 Submit","Waiting on Dealer"))</f>
        <v/>
      </c>
      <c r="U688" s="148"/>
      <c r="V688" s="87"/>
      <c r="W688" s="87"/>
      <c r="X688" s="87" t="str">
        <f>IF($A688="","",IF($AK688=TRUE,"Ready 2 Submit","Waiting on Dealer"))</f>
        <v/>
      </c>
      <c r="Y688" s="148"/>
      <c r="Z688" s="87"/>
      <c r="AA688" s="87"/>
      <c r="AB688" s="87" t="str">
        <f>IF($A688="","",IF($AK688=TRUE,"Ready 2 Submit","Waiting on Dealer"))</f>
        <v/>
      </c>
      <c r="AC688" s="148"/>
      <c r="AD688" s="87"/>
      <c r="AE688" s="87"/>
      <c r="AF688" s="87" t="str">
        <f>IF($A688="","",IF($AK688=TRUE,"Ready 2 Submit","Waiting on Dealer"))</f>
        <v/>
      </c>
      <c r="AG688" s="148"/>
      <c r="AH688" s="87"/>
      <c r="AI688" s="87"/>
      <c r="AJ688" s="197"/>
      <c r="AK688" s="110" t="b">
        <v>0</v>
      </c>
      <c r="AL688" s="87" t="str" cm="1">
        <f t="array" ref="AL688">IF($A688="","",SUMPRODUCT((CHOOSE({1,2,3,4,5},$R688,$V688,$Z688,$AD688,$AH688)="Yes")*(((CHOOSE({1,2,3,4,5},$S688,$W688,$AA688,$AE688,$AI688)="Yes")+(CHOOSE({1,2,3,4,5},$S688,$W688,$AA688,$AE688,$AI688)=TRUE))&gt;0)))</f>
        <v/>
      </c>
      <c r="AM688" s="87"/>
      <c r="AN688" s="87" t="str">
        <f ca="1">IF(OR($A688="",$AM688=""),"",TODAY()-$AM688)</f>
        <v/>
      </c>
      <c r="AO688" s="87"/>
      <c r="AP688" s="106"/>
      <c r="AQ688" s="106"/>
      <c r="AR688" s="106"/>
      <c r="AS688" s="106"/>
      <c r="AT688" s="106"/>
      <c r="AU688" s="106"/>
      <c r="AV688" s="106"/>
      <c r="AW688" s="106"/>
      <c r="AX688" s="106"/>
      <c r="AY688" s="106"/>
    </row>
    <row r="689" spans="1:51" s="20" customFormat="1" ht="21" customHeight="1">
      <c r="A689" s="197"/>
      <c r="B689" s="87"/>
      <c r="C689" s="87"/>
      <c r="D689" s="196"/>
      <c r="E689" s="108"/>
      <c r="F689" s="196"/>
      <c r="G689" s="87"/>
      <c r="H689" s="197"/>
      <c r="I689" s="89"/>
      <c r="J689" s="204"/>
      <c r="K689" s="87"/>
      <c r="L689" s="87" t="str" cm="1">
        <f t="array" ref="L689">IF($A689="","",_xlfn.LET(_xlpm.stat,CHOOSE({1,2,3,4,5},$P689,$T689,$X689,$AB689,$AF689),_xlpm.rate,CHOOSE({1,2,3,4,5},$R689,$V689,$Z689,$AD689,$AH689),_xlpm.trn,CHOOSE({1,2,3,4,5},$S689,$W689,$AA689,$AE689,$AI689),_xlpm.nsC,SUMPRODUCT(--(_xlpm.stat="Ready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DLR",IF(AND(_xlpm.actRS&gt;0,_xlpm.actDone&lt;_xlpm.actRS),"Training",IF(_xlpm.actRS&gt;0,"Active",IF(AND(_xlpm.decC&gt;0,_xlpm.inPlay+_xlpm.actC=0),"Dead",IF(AND($AJ689&lt;&gt;"",$AK689=FALSE),"Waiting on Dealer",IF(_xlpm.subC&gt;0,"Waiting on Lender",IF(AND(_xlpm.appC+_xlpm.actC&gt;0,_xlpm.nsC+_xlpm.wdC=0),"Rate Sheet","Application Submitted")))))))))</f>
        <v/>
      </c>
      <c r="M689" s="87"/>
      <c r="N689" s="87"/>
      <c r="O689" s="197"/>
      <c r="P689" s="87" t="str">
        <f>IF($A689="","",IF($AK689=TRUE,"Ready 2 Submit","Waiting on Dealer"))</f>
        <v/>
      </c>
      <c r="Q689" s="148"/>
      <c r="R689" s="87"/>
      <c r="S689" s="87"/>
      <c r="T689" s="87" t="str">
        <f>IF($A689="","",IF($AK689=TRUE,"Ready 2 Submit","Waiting on Dealer"))</f>
        <v/>
      </c>
      <c r="U689" s="148"/>
      <c r="V689" s="87"/>
      <c r="W689" s="87"/>
      <c r="X689" s="87" t="str">
        <f>IF($A689="","",IF($AK689=TRUE,"Ready 2 Submit","Waiting on Dealer"))</f>
        <v/>
      </c>
      <c r="Y689" s="148"/>
      <c r="Z689" s="87"/>
      <c r="AA689" s="87"/>
      <c r="AB689" s="87" t="str">
        <f>IF($A689="","",IF($AK689=TRUE,"Ready 2 Submit","Waiting on Dealer"))</f>
        <v/>
      </c>
      <c r="AC689" s="148"/>
      <c r="AD689" s="87"/>
      <c r="AE689" s="87"/>
      <c r="AF689" s="87" t="str">
        <f>IF($A689="","",IF($AK689=TRUE,"Ready 2 Submit","Waiting on Dealer"))</f>
        <v/>
      </c>
      <c r="AG689" s="148"/>
      <c r="AH689" s="87"/>
      <c r="AI689" s="87"/>
      <c r="AJ689" s="197"/>
      <c r="AK689" s="110" t="b">
        <v>0</v>
      </c>
      <c r="AL689" s="87" t="str" cm="1">
        <f t="array" ref="AL689">IF($A689="","",SUMPRODUCT((CHOOSE({1,2,3,4,5},$R689,$V689,$Z689,$AD689,$AH689)="Yes")*(((CHOOSE({1,2,3,4,5},$S689,$W689,$AA689,$AE689,$AI689)="Yes")+(CHOOSE({1,2,3,4,5},$S689,$W689,$AA689,$AE689,$AI689)=TRUE))&gt;0)))</f>
        <v/>
      </c>
      <c r="AM689" s="87"/>
      <c r="AN689" s="87" t="str">
        <f ca="1">IF(OR($A689="",$AM689=""),"",TODAY()-$AM689)</f>
        <v/>
      </c>
      <c r="AO689" s="87"/>
      <c r="AP689" s="106"/>
      <c r="AQ689" s="106"/>
      <c r="AR689" s="106"/>
      <c r="AS689" s="106"/>
      <c r="AT689" s="106"/>
      <c r="AU689" s="106"/>
      <c r="AV689" s="106"/>
      <c r="AW689" s="106"/>
      <c r="AX689" s="106"/>
      <c r="AY689" s="106"/>
    </row>
    <row r="690" spans="1:51" s="20" customFormat="1" ht="21" customHeight="1">
      <c r="A690" s="197"/>
      <c r="B690" s="87"/>
      <c r="C690" s="87"/>
      <c r="D690" s="196"/>
      <c r="E690" s="108"/>
      <c r="F690" s="196"/>
      <c r="G690" s="87"/>
      <c r="H690" s="197"/>
      <c r="I690" s="89"/>
      <c r="J690" s="204"/>
      <c r="K690" s="87"/>
      <c r="L690" s="87" t="str" cm="1">
        <f t="array" ref="L690">IF($A690="","",_xlfn.LET(_xlpm.stat,CHOOSE({1,2,3,4,5},$P690,$T690,$X690,$AB690,$AF690),_xlpm.rate,CHOOSE({1,2,3,4,5},$R690,$V690,$Z690,$AD690,$AH690),_xlpm.trn,CHOOSE({1,2,3,4,5},$S690,$W690,$AA690,$AE690,$AI690),_xlpm.nsC,SUMPRODUCT(--(_xlpm.stat="Ready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DLR",IF(AND(_xlpm.actRS&gt;0,_xlpm.actDone&lt;_xlpm.actRS),"Training",IF(_xlpm.actRS&gt;0,"Active",IF(AND(_xlpm.decC&gt;0,_xlpm.inPlay+_xlpm.actC=0),"Dead",IF(AND($AJ690&lt;&gt;"",$AK690=FALSE),"Waiting on Dealer",IF(_xlpm.subC&gt;0,"Waiting on Lender",IF(AND(_xlpm.appC+_xlpm.actC&gt;0,_xlpm.nsC+_xlpm.wdC=0),"Rate Sheet","Application Submitted")))))))))</f>
        <v/>
      </c>
      <c r="M690" s="87"/>
      <c r="N690" s="87"/>
      <c r="O690" s="197"/>
      <c r="P690" s="87" t="str">
        <f>IF($A690="","",IF($AK690=TRUE,"Ready 2 Submit","Waiting on Dealer"))</f>
        <v/>
      </c>
      <c r="Q690" s="148"/>
      <c r="R690" s="87"/>
      <c r="S690" s="87"/>
      <c r="T690" s="87" t="str">
        <f>IF($A690="","",IF($AK690=TRUE,"Ready 2 Submit","Waiting on Dealer"))</f>
        <v/>
      </c>
      <c r="U690" s="148"/>
      <c r="V690" s="87"/>
      <c r="W690" s="87"/>
      <c r="X690" s="87" t="str">
        <f>IF($A690="","",IF($AK690=TRUE,"Ready 2 Submit","Waiting on Dealer"))</f>
        <v/>
      </c>
      <c r="Y690" s="148"/>
      <c r="Z690" s="87"/>
      <c r="AA690" s="87"/>
      <c r="AB690" s="87" t="str">
        <f>IF($A690="","",IF($AK690=TRUE,"Ready 2 Submit","Waiting on Dealer"))</f>
        <v/>
      </c>
      <c r="AC690" s="148"/>
      <c r="AD690" s="87"/>
      <c r="AE690" s="87"/>
      <c r="AF690" s="87" t="str">
        <f>IF($A690="","",IF($AK690=TRUE,"Ready 2 Submit","Waiting on Dealer"))</f>
        <v/>
      </c>
      <c r="AG690" s="148"/>
      <c r="AH690" s="87"/>
      <c r="AI690" s="87"/>
      <c r="AJ690" s="197"/>
      <c r="AK690" s="110" t="b">
        <v>0</v>
      </c>
      <c r="AL690" s="87" t="str" cm="1">
        <f t="array" ref="AL690">IF($A690="","",SUMPRODUCT((CHOOSE({1,2,3,4,5},$R690,$V690,$Z690,$AD690,$AH690)="Yes")*(((CHOOSE({1,2,3,4,5},$S690,$W690,$AA690,$AE690,$AI690)="Yes")+(CHOOSE({1,2,3,4,5},$S690,$W690,$AA690,$AE690,$AI690)=TRUE))&gt;0)))</f>
        <v/>
      </c>
      <c r="AM690" s="87"/>
      <c r="AN690" s="87" t="str">
        <f ca="1">IF(OR($A690="",$AM690=""),"",TODAY()-$AM690)</f>
        <v/>
      </c>
      <c r="AO690" s="87"/>
      <c r="AP690" s="106"/>
      <c r="AQ690" s="106"/>
      <c r="AR690" s="106"/>
      <c r="AS690" s="106"/>
      <c r="AT690" s="106"/>
      <c r="AU690" s="106"/>
      <c r="AV690" s="106"/>
      <c r="AW690" s="106"/>
      <c r="AX690" s="106"/>
      <c r="AY690" s="106"/>
    </row>
    <row r="691" spans="1:51" s="20" customFormat="1" ht="21" customHeight="1">
      <c r="A691" s="197"/>
      <c r="B691" s="87"/>
      <c r="C691" s="87"/>
      <c r="D691" s="196"/>
      <c r="E691" s="108"/>
      <c r="F691" s="196"/>
      <c r="G691" s="87"/>
      <c r="H691" s="197"/>
      <c r="I691" s="89"/>
      <c r="J691" s="204"/>
      <c r="K691" s="87"/>
      <c r="L691" s="87" t="str" cm="1">
        <f t="array" ref="L691">IF($A691="","",_xlfn.LET(_xlpm.stat,CHOOSE({1,2,3,4,5},$P691,$T691,$X691,$AB691,$AF691),_xlpm.rate,CHOOSE({1,2,3,4,5},$R691,$V691,$Z691,$AD691,$AH691),_xlpm.trn,CHOOSE({1,2,3,4,5},$S691,$W691,$AA691,$AE691,$AI691),_xlpm.nsC,SUMPRODUCT(--(_xlpm.stat="Ready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DLR",IF(AND(_xlpm.actRS&gt;0,_xlpm.actDone&lt;_xlpm.actRS),"Training",IF(_xlpm.actRS&gt;0,"Active",IF(AND(_xlpm.decC&gt;0,_xlpm.inPlay+_xlpm.actC=0),"Dead",IF(AND($AJ691&lt;&gt;"",$AK691=FALSE),"Waiting on Dealer",IF(_xlpm.subC&gt;0,"Waiting on Lender",IF(AND(_xlpm.appC+_xlpm.actC&gt;0,_xlpm.nsC+_xlpm.wdC=0),"Rate Sheet","Application Submitted")))))))))</f>
        <v/>
      </c>
      <c r="M691" s="87"/>
      <c r="N691" s="87"/>
      <c r="O691" s="197"/>
      <c r="P691" s="87" t="str">
        <f>IF($A691="","",IF($AK691=TRUE,"Ready 2 Submit","Waiting on Dealer"))</f>
        <v/>
      </c>
      <c r="Q691" s="148"/>
      <c r="R691" s="87"/>
      <c r="S691" s="87"/>
      <c r="T691" s="87" t="str">
        <f>IF($A691="","",IF($AK691=TRUE,"Ready 2 Submit","Waiting on Dealer"))</f>
        <v/>
      </c>
      <c r="U691" s="148"/>
      <c r="V691" s="87"/>
      <c r="W691" s="87"/>
      <c r="X691" s="87" t="str">
        <f>IF($A691="","",IF($AK691=TRUE,"Ready 2 Submit","Waiting on Dealer"))</f>
        <v/>
      </c>
      <c r="Y691" s="148"/>
      <c r="Z691" s="87"/>
      <c r="AA691" s="87"/>
      <c r="AB691" s="87" t="str">
        <f>IF($A691="","",IF($AK691=TRUE,"Ready 2 Submit","Waiting on Dealer"))</f>
        <v/>
      </c>
      <c r="AC691" s="148"/>
      <c r="AD691" s="87"/>
      <c r="AE691" s="87"/>
      <c r="AF691" s="87" t="str">
        <f>IF($A691="","",IF($AK691=TRUE,"Ready 2 Submit","Waiting on Dealer"))</f>
        <v/>
      </c>
      <c r="AG691" s="148"/>
      <c r="AH691" s="87"/>
      <c r="AI691" s="87"/>
      <c r="AJ691" s="197"/>
      <c r="AK691" s="110" t="b">
        <v>0</v>
      </c>
      <c r="AL691" s="87" t="str" cm="1">
        <f t="array" ref="AL691">IF($A691="","",SUMPRODUCT((CHOOSE({1,2,3,4,5},$R691,$V691,$Z691,$AD691,$AH691)="Yes")*(((CHOOSE({1,2,3,4,5},$S691,$W691,$AA691,$AE691,$AI691)="Yes")+(CHOOSE({1,2,3,4,5},$S691,$W691,$AA691,$AE691,$AI691)=TRUE))&gt;0)))</f>
        <v/>
      </c>
      <c r="AM691" s="87"/>
      <c r="AN691" s="87" t="str">
        <f ca="1">IF(OR($A691="",$AM691=""),"",TODAY()-$AM691)</f>
        <v/>
      </c>
      <c r="AO691" s="87"/>
      <c r="AP691" s="106"/>
      <c r="AQ691" s="106"/>
      <c r="AR691" s="106"/>
      <c r="AS691" s="106"/>
      <c r="AT691" s="106"/>
      <c r="AU691" s="106"/>
      <c r="AV691" s="106"/>
      <c r="AW691" s="106"/>
      <c r="AX691" s="106"/>
      <c r="AY691" s="106"/>
    </row>
    <row r="692" spans="1:51" s="20" customFormat="1" ht="21" customHeight="1">
      <c r="A692" s="197"/>
      <c r="B692" s="87"/>
      <c r="C692" s="87"/>
      <c r="D692" s="196"/>
      <c r="E692" s="108"/>
      <c r="F692" s="196"/>
      <c r="G692" s="87"/>
      <c r="H692" s="197"/>
      <c r="I692" s="89"/>
      <c r="J692" s="204"/>
      <c r="K692" s="87"/>
      <c r="L692" s="87" t="str" cm="1">
        <f t="array" ref="L692">IF($A692="","",_xlfn.LET(_xlpm.stat,CHOOSE({1,2,3,4,5},$P692,$T692,$X692,$AB692,$AF692),_xlpm.rate,CHOOSE({1,2,3,4,5},$R692,$V692,$Z692,$AD692,$AH692),_xlpm.trn,CHOOSE({1,2,3,4,5},$S692,$W692,$AA692,$AE692,$AI692),_xlpm.nsC,SUMPRODUCT(--(_xlpm.stat="Ready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DLR",IF(AND(_xlpm.actRS&gt;0,_xlpm.actDone&lt;_xlpm.actRS),"Training",IF(_xlpm.actRS&gt;0,"Active",IF(AND(_xlpm.decC&gt;0,_xlpm.inPlay+_xlpm.actC=0),"Dead",IF(AND($AJ692&lt;&gt;"",$AK692=FALSE),"Waiting on Dealer",IF(_xlpm.subC&gt;0,"Waiting on Lender",IF(AND(_xlpm.appC+_xlpm.actC&gt;0,_xlpm.nsC+_xlpm.wdC=0),"Rate Sheet","Application Submitted")))))))))</f>
        <v/>
      </c>
      <c r="M692" s="87"/>
      <c r="N692" s="87"/>
      <c r="O692" s="197"/>
      <c r="P692" s="87" t="str">
        <f>IF($A692="","",IF($AK692=TRUE,"Ready 2 Submit","Waiting on Dealer"))</f>
        <v/>
      </c>
      <c r="Q692" s="148"/>
      <c r="R692" s="87"/>
      <c r="S692" s="87"/>
      <c r="T692" s="87" t="str">
        <f>IF($A692="","",IF($AK692=TRUE,"Ready 2 Submit","Waiting on Dealer"))</f>
        <v/>
      </c>
      <c r="U692" s="148"/>
      <c r="V692" s="87"/>
      <c r="W692" s="87"/>
      <c r="X692" s="87" t="str">
        <f>IF($A692="","",IF($AK692=TRUE,"Ready 2 Submit","Waiting on Dealer"))</f>
        <v/>
      </c>
      <c r="Y692" s="148"/>
      <c r="Z692" s="87"/>
      <c r="AA692" s="87"/>
      <c r="AB692" s="87" t="str">
        <f>IF($A692="","",IF($AK692=TRUE,"Ready 2 Submit","Waiting on Dealer"))</f>
        <v/>
      </c>
      <c r="AC692" s="148"/>
      <c r="AD692" s="87"/>
      <c r="AE692" s="87"/>
      <c r="AF692" s="87" t="str">
        <f>IF($A692="","",IF($AK692=TRUE,"Ready 2 Submit","Waiting on Dealer"))</f>
        <v/>
      </c>
      <c r="AG692" s="148"/>
      <c r="AH692" s="87"/>
      <c r="AI692" s="87"/>
      <c r="AJ692" s="197"/>
      <c r="AK692" s="110" t="b">
        <v>0</v>
      </c>
      <c r="AL692" s="87" t="str" cm="1">
        <f t="array" ref="AL692">IF($A692="","",SUMPRODUCT((CHOOSE({1,2,3,4,5},$R692,$V692,$Z692,$AD692,$AH692)="Yes")*(((CHOOSE({1,2,3,4,5},$S692,$W692,$AA692,$AE692,$AI692)="Yes")+(CHOOSE({1,2,3,4,5},$S692,$W692,$AA692,$AE692,$AI692)=TRUE))&gt;0)))</f>
        <v/>
      </c>
      <c r="AM692" s="87"/>
      <c r="AN692" s="87" t="str">
        <f ca="1">IF(OR($A692="",$AM692=""),"",TODAY()-$AM692)</f>
        <v/>
      </c>
      <c r="AO692" s="87"/>
      <c r="AP692" s="106"/>
      <c r="AQ692" s="106"/>
      <c r="AR692" s="106"/>
      <c r="AS692" s="106"/>
      <c r="AT692" s="106"/>
      <c r="AU692" s="106"/>
      <c r="AV692" s="106"/>
      <c r="AW692" s="106"/>
      <c r="AX692" s="106"/>
      <c r="AY692" s="106"/>
    </row>
    <row r="693" spans="1:51" s="20" customFormat="1" ht="21" customHeight="1">
      <c r="A693" s="197"/>
      <c r="B693" s="87"/>
      <c r="C693" s="87"/>
      <c r="D693" s="196"/>
      <c r="E693" s="108"/>
      <c r="F693" s="196"/>
      <c r="G693" s="87"/>
      <c r="H693" s="197"/>
      <c r="I693" s="89"/>
      <c r="J693" s="204"/>
      <c r="K693" s="87"/>
      <c r="L693" s="87" t="str" cm="1">
        <f t="array" ref="L693">IF($A693="","",_xlfn.LET(_xlpm.stat,CHOOSE({1,2,3,4,5},$P693,$T693,$X693,$AB693,$AF693),_xlpm.rate,CHOOSE({1,2,3,4,5},$R693,$V693,$Z693,$AD693,$AH693),_xlpm.trn,CHOOSE({1,2,3,4,5},$S693,$W693,$AA693,$AE693,$AI693),_xlpm.nsC,SUMPRODUCT(--(_xlpm.stat="Ready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DLR",IF(AND(_xlpm.actRS&gt;0,_xlpm.actDone&lt;_xlpm.actRS),"Training",IF(_xlpm.actRS&gt;0,"Active",IF(AND(_xlpm.decC&gt;0,_xlpm.inPlay+_xlpm.actC=0),"Dead",IF(AND($AJ693&lt;&gt;"",$AK693=FALSE),"Waiting on Dealer",IF(_xlpm.subC&gt;0,"Waiting on Lender",IF(AND(_xlpm.appC+_xlpm.actC&gt;0,_xlpm.nsC+_xlpm.wdC=0),"Rate Sheet","Application Submitted")))))))))</f>
        <v/>
      </c>
      <c r="M693" s="87"/>
      <c r="N693" s="87"/>
      <c r="O693" s="197"/>
      <c r="P693" s="87" t="str">
        <f>IF($A693="","",IF($AK693=TRUE,"Ready 2 Submit","Waiting on Dealer"))</f>
        <v/>
      </c>
      <c r="Q693" s="148"/>
      <c r="R693" s="87"/>
      <c r="S693" s="87"/>
      <c r="T693" s="87" t="str">
        <f>IF($A693="","",IF($AK693=TRUE,"Ready 2 Submit","Waiting on Dealer"))</f>
        <v/>
      </c>
      <c r="U693" s="148"/>
      <c r="V693" s="87"/>
      <c r="W693" s="87"/>
      <c r="X693" s="87" t="str">
        <f>IF($A693="","",IF($AK693=TRUE,"Ready 2 Submit","Waiting on Dealer"))</f>
        <v/>
      </c>
      <c r="Y693" s="148"/>
      <c r="Z693" s="87"/>
      <c r="AA693" s="87"/>
      <c r="AB693" s="87" t="str">
        <f>IF($A693="","",IF($AK693=TRUE,"Ready 2 Submit","Waiting on Dealer"))</f>
        <v/>
      </c>
      <c r="AC693" s="148"/>
      <c r="AD693" s="87"/>
      <c r="AE693" s="87"/>
      <c r="AF693" s="87" t="str">
        <f>IF($A693="","",IF($AK693=TRUE,"Ready 2 Submit","Waiting on Dealer"))</f>
        <v/>
      </c>
      <c r="AG693" s="148"/>
      <c r="AH693" s="87"/>
      <c r="AI693" s="87"/>
      <c r="AJ693" s="197"/>
      <c r="AK693" s="110" t="b">
        <v>0</v>
      </c>
      <c r="AL693" s="87" t="str" cm="1">
        <f t="array" ref="AL693">IF($A693="","",SUMPRODUCT((CHOOSE({1,2,3,4,5},$R693,$V693,$Z693,$AD693,$AH693)="Yes")*(((CHOOSE({1,2,3,4,5},$S693,$W693,$AA693,$AE693,$AI693)="Yes")+(CHOOSE({1,2,3,4,5},$S693,$W693,$AA693,$AE693,$AI693)=TRUE))&gt;0)))</f>
        <v/>
      </c>
      <c r="AM693" s="87"/>
      <c r="AN693" s="87" t="str">
        <f ca="1">IF(OR($A693="",$AM693=""),"",TODAY()-$AM693)</f>
        <v/>
      </c>
      <c r="AO693" s="87"/>
      <c r="AP693" s="106"/>
      <c r="AQ693" s="106"/>
      <c r="AR693" s="106"/>
      <c r="AS693" s="106"/>
      <c r="AT693" s="106"/>
      <c r="AU693" s="106"/>
      <c r="AV693" s="106"/>
      <c r="AW693" s="106"/>
      <c r="AX693" s="106"/>
      <c r="AY693" s="106"/>
    </row>
    <row r="694" spans="1:51" s="20" customFormat="1" ht="21" customHeight="1">
      <c r="A694" s="197"/>
      <c r="B694" s="87"/>
      <c r="C694" s="87"/>
      <c r="D694" s="196"/>
      <c r="E694" s="108"/>
      <c r="F694" s="196"/>
      <c r="G694" s="87"/>
      <c r="H694" s="197"/>
      <c r="I694" s="89"/>
      <c r="J694" s="204"/>
      <c r="K694" s="87"/>
      <c r="L694" s="87" t="str" cm="1">
        <f t="array" ref="L694">IF($A694="","",_xlfn.LET(_xlpm.stat,CHOOSE({1,2,3,4,5},$P694,$T694,$X694,$AB694,$AF694),_xlpm.rate,CHOOSE({1,2,3,4,5},$R694,$V694,$Z694,$AD694,$AH694),_xlpm.trn,CHOOSE({1,2,3,4,5},$S694,$W694,$AA694,$AE694,$AI694),_xlpm.nsC,SUMPRODUCT(--(_xlpm.stat="Ready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DLR",IF(AND(_xlpm.actRS&gt;0,_xlpm.actDone&lt;_xlpm.actRS),"Training",IF(_xlpm.actRS&gt;0,"Active",IF(AND(_xlpm.decC&gt;0,_xlpm.inPlay+_xlpm.actC=0),"Dead",IF(AND($AJ694&lt;&gt;"",$AK694=FALSE),"Waiting on Dealer",IF(_xlpm.subC&gt;0,"Waiting on Lender",IF(AND(_xlpm.appC+_xlpm.actC&gt;0,_xlpm.nsC+_xlpm.wdC=0),"Rate Sheet","Application Submitted")))))))))</f>
        <v/>
      </c>
      <c r="M694" s="87"/>
      <c r="N694" s="87"/>
      <c r="O694" s="197"/>
      <c r="P694" s="87" t="str">
        <f>IF($A694="","",IF($AK694=TRUE,"Ready 2 Submit","Waiting on Dealer"))</f>
        <v/>
      </c>
      <c r="Q694" s="148"/>
      <c r="R694" s="87"/>
      <c r="S694" s="87"/>
      <c r="T694" s="87" t="str">
        <f>IF($A694="","",IF($AK694=TRUE,"Ready 2 Submit","Waiting on Dealer"))</f>
        <v/>
      </c>
      <c r="U694" s="148"/>
      <c r="V694" s="87"/>
      <c r="W694" s="87"/>
      <c r="X694" s="87" t="str">
        <f>IF($A694="","",IF($AK694=TRUE,"Ready 2 Submit","Waiting on Dealer"))</f>
        <v/>
      </c>
      <c r="Y694" s="148"/>
      <c r="Z694" s="87"/>
      <c r="AA694" s="87"/>
      <c r="AB694" s="87" t="str">
        <f>IF($A694="","",IF($AK694=TRUE,"Ready 2 Submit","Waiting on Dealer"))</f>
        <v/>
      </c>
      <c r="AC694" s="148"/>
      <c r="AD694" s="87"/>
      <c r="AE694" s="87"/>
      <c r="AF694" s="87" t="str">
        <f>IF($A694="","",IF($AK694=TRUE,"Ready 2 Submit","Waiting on Dealer"))</f>
        <v/>
      </c>
      <c r="AG694" s="148"/>
      <c r="AH694" s="87"/>
      <c r="AI694" s="87"/>
      <c r="AJ694" s="197"/>
      <c r="AK694" s="110" t="b">
        <v>0</v>
      </c>
      <c r="AL694" s="87" t="str" cm="1">
        <f t="array" ref="AL694">IF($A694="","",SUMPRODUCT((CHOOSE({1,2,3,4,5},$R694,$V694,$Z694,$AD694,$AH694)="Yes")*(((CHOOSE({1,2,3,4,5},$S694,$W694,$AA694,$AE694,$AI694)="Yes")+(CHOOSE({1,2,3,4,5},$S694,$W694,$AA694,$AE694,$AI694)=TRUE))&gt;0)))</f>
        <v/>
      </c>
      <c r="AM694" s="87"/>
      <c r="AN694" s="87" t="str">
        <f ca="1">IF(OR($A694="",$AM694=""),"",TODAY()-$AM694)</f>
        <v/>
      </c>
      <c r="AO694" s="87"/>
      <c r="AP694" s="106"/>
      <c r="AQ694" s="106"/>
      <c r="AR694" s="106"/>
      <c r="AS694" s="106"/>
      <c r="AT694" s="106"/>
      <c r="AU694" s="106"/>
      <c r="AV694" s="106"/>
      <c r="AW694" s="106"/>
      <c r="AX694" s="106"/>
      <c r="AY694" s="106"/>
    </row>
    <row r="695" spans="1:51" s="20" customFormat="1" ht="21" customHeight="1">
      <c r="A695" s="197"/>
      <c r="B695" s="87"/>
      <c r="C695" s="87"/>
      <c r="D695" s="196"/>
      <c r="E695" s="108"/>
      <c r="F695" s="196"/>
      <c r="G695" s="87"/>
      <c r="H695" s="197"/>
      <c r="I695" s="89"/>
      <c r="J695" s="204"/>
      <c r="K695" s="87"/>
      <c r="L695" s="87" t="str" cm="1">
        <f t="array" ref="L695">IF($A695="","",_xlfn.LET(_xlpm.stat,CHOOSE({1,2,3,4,5},$P695,$T695,$X695,$AB695,$AF695),_xlpm.rate,CHOOSE({1,2,3,4,5},$R695,$V695,$Z695,$AD695,$AH695),_xlpm.trn,CHOOSE({1,2,3,4,5},$S695,$W695,$AA695,$AE695,$AI695),_xlpm.nsC,SUMPRODUCT(--(_xlpm.stat="Ready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DLR",IF(AND(_xlpm.actRS&gt;0,_xlpm.actDone&lt;_xlpm.actRS),"Training",IF(_xlpm.actRS&gt;0,"Active",IF(AND(_xlpm.decC&gt;0,_xlpm.inPlay+_xlpm.actC=0),"Dead",IF(AND($AJ695&lt;&gt;"",$AK695=FALSE),"Waiting on Dealer",IF(_xlpm.subC&gt;0,"Waiting on Lender",IF(AND(_xlpm.appC+_xlpm.actC&gt;0,_xlpm.nsC+_xlpm.wdC=0),"Rate Sheet","Application Submitted")))))))))</f>
        <v/>
      </c>
      <c r="M695" s="87"/>
      <c r="N695" s="87"/>
      <c r="O695" s="197"/>
      <c r="P695" s="87" t="str">
        <f>IF($A695="","",IF($AK695=TRUE,"Ready 2 Submit","Waiting on Dealer"))</f>
        <v/>
      </c>
      <c r="Q695" s="148"/>
      <c r="R695" s="87"/>
      <c r="S695" s="87"/>
      <c r="T695" s="87" t="str">
        <f>IF($A695="","",IF($AK695=TRUE,"Ready 2 Submit","Waiting on Dealer"))</f>
        <v/>
      </c>
      <c r="U695" s="148"/>
      <c r="V695" s="87"/>
      <c r="W695" s="87"/>
      <c r="X695" s="87" t="str">
        <f>IF($A695="","",IF($AK695=TRUE,"Ready 2 Submit","Waiting on Dealer"))</f>
        <v/>
      </c>
      <c r="Y695" s="148"/>
      <c r="Z695" s="87"/>
      <c r="AA695" s="87"/>
      <c r="AB695" s="87" t="str">
        <f>IF($A695="","",IF($AK695=TRUE,"Ready 2 Submit","Waiting on Dealer"))</f>
        <v/>
      </c>
      <c r="AC695" s="148"/>
      <c r="AD695" s="87"/>
      <c r="AE695" s="87"/>
      <c r="AF695" s="87" t="str">
        <f>IF($A695="","",IF($AK695=TRUE,"Ready 2 Submit","Waiting on Dealer"))</f>
        <v/>
      </c>
      <c r="AG695" s="148"/>
      <c r="AH695" s="87"/>
      <c r="AI695" s="87"/>
      <c r="AJ695" s="197"/>
      <c r="AK695" s="110" t="b">
        <v>0</v>
      </c>
      <c r="AL695" s="87" t="str" cm="1">
        <f t="array" ref="AL695">IF($A695="","",SUMPRODUCT((CHOOSE({1,2,3,4,5},$R695,$V695,$Z695,$AD695,$AH695)="Yes")*(((CHOOSE({1,2,3,4,5},$S695,$W695,$AA695,$AE695,$AI695)="Yes")+(CHOOSE({1,2,3,4,5},$S695,$W695,$AA695,$AE695,$AI695)=TRUE))&gt;0)))</f>
        <v/>
      </c>
      <c r="AM695" s="87"/>
      <c r="AN695" s="87" t="str">
        <f ca="1">IF(OR($A695="",$AM695=""),"",TODAY()-$AM695)</f>
        <v/>
      </c>
      <c r="AO695" s="87"/>
      <c r="AP695" s="106"/>
      <c r="AQ695" s="106"/>
      <c r="AR695" s="106"/>
      <c r="AS695" s="106"/>
      <c r="AT695" s="106"/>
      <c r="AU695" s="106"/>
      <c r="AV695" s="106"/>
      <c r="AW695" s="106"/>
      <c r="AX695" s="106"/>
      <c r="AY695" s="106"/>
    </row>
    <row r="696" spans="1:51" s="20" customFormat="1" ht="21" customHeight="1">
      <c r="A696" s="197"/>
      <c r="B696" s="87"/>
      <c r="C696" s="87"/>
      <c r="D696" s="196"/>
      <c r="E696" s="108"/>
      <c r="F696" s="196"/>
      <c r="G696" s="87"/>
      <c r="H696" s="197"/>
      <c r="I696" s="89"/>
      <c r="J696" s="204"/>
      <c r="K696" s="87"/>
      <c r="L696" s="87" t="str" cm="1">
        <f t="array" ref="L696">IF($A696="","",_xlfn.LET(_xlpm.stat,CHOOSE({1,2,3,4,5},$P696,$T696,$X696,$AB696,$AF696),_xlpm.rate,CHOOSE({1,2,3,4,5},$R696,$V696,$Z696,$AD696,$AH696),_xlpm.trn,CHOOSE({1,2,3,4,5},$S696,$W696,$AA696,$AE696,$AI696),_xlpm.nsC,SUMPRODUCT(--(_xlpm.stat="Ready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DLR",IF(AND(_xlpm.actRS&gt;0,_xlpm.actDone&lt;_xlpm.actRS),"Training",IF(_xlpm.actRS&gt;0,"Active",IF(AND(_xlpm.decC&gt;0,_xlpm.inPlay+_xlpm.actC=0),"Dead",IF(AND($AJ696&lt;&gt;"",$AK696=FALSE),"Waiting on Dealer",IF(_xlpm.subC&gt;0,"Waiting on Lender",IF(AND(_xlpm.appC+_xlpm.actC&gt;0,_xlpm.nsC+_xlpm.wdC=0),"Rate Sheet","Application Submitted")))))))))</f>
        <v/>
      </c>
      <c r="M696" s="87"/>
      <c r="N696" s="87"/>
      <c r="O696" s="197"/>
      <c r="P696" s="87" t="str">
        <f>IF($A696="","",IF($AK696=TRUE,"Ready 2 Submit","Waiting on Dealer"))</f>
        <v/>
      </c>
      <c r="Q696" s="148"/>
      <c r="R696" s="87"/>
      <c r="S696" s="87"/>
      <c r="T696" s="87" t="str">
        <f>IF($A696="","",IF($AK696=TRUE,"Ready 2 Submit","Waiting on Dealer"))</f>
        <v/>
      </c>
      <c r="U696" s="148"/>
      <c r="V696" s="87"/>
      <c r="W696" s="87"/>
      <c r="X696" s="87" t="str">
        <f>IF($A696="","",IF($AK696=TRUE,"Ready 2 Submit","Waiting on Dealer"))</f>
        <v/>
      </c>
      <c r="Y696" s="148"/>
      <c r="Z696" s="87"/>
      <c r="AA696" s="87"/>
      <c r="AB696" s="87" t="str">
        <f>IF($A696="","",IF($AK696=TRUE,"Ready 2 Submit","Waiting on Dealer"))</f>
        <v/>
      </c>
      <c r="AC696" s="148"/>
      <c r="AD696" s="87"/>
      <c r="AE696" s="87"/>
      <c r="AF696" s="87" t="str">
        <f>IF($A696="","",IF($AK696=TRUE,"Ready 2 Submit","Waiting on Dealer"))</f>
        <v/>
      </c>
      <c r="AG696" s="148"/>
      <c r="AH696" s="87"/>
      <c r="AI696" s="87"/>
      <c r="AJ696" s="197"/>
      <c r="AK696" s="110" t="b">
        <v>0</v>
      </c>
      <c r="AL696" s="87" t="str" cm="1">
        <f t="array" ref="AL696">IF($A696="","",SUMPRODUCT((CHOOSE({1,2,3,4,5},$R696,$V696,$Z696,$AD696,$AH696)="Yes")*(((CHOOSE({1,2,3,4,5},$S696,$W696,$AA696,$AE696,$AI696)="Yes")+(CHOOSE({1,2,3,4,5},$S696,$W696,$AA696,$AE696,$AI696)=TRUE))&gt;0)))</f>
        <v/>
      </c>
      <c r="AM696" s="87"/>
      <c r="AN696" s="87" t="str">
        <f ca="1">IF(OR($A696="",$AM696=""),"",TODAY()-$AM696)</f>
        <v/>
      </c>
      <c r="AO696" s="87"/>
      <c r="AP696" s="106"/>
      <c r="AQ696" s="106"/>
      <c r="AR696" s="106"/>
      <c r="AS696" s="106"/>
      <c r="AT696" s="106"/>
      <c r="AU696" s="106"/>
      <c r="AV696" s="106"/>
      <c r="AW696" s="106"/>
      <c r="AX696" s="106"/>
      <c r="AY696" s="106"/>
    </row>
    <row r="697" spans="1:51" s="20" customFormat="1" ht="21" customHeight="1">
      <c r="A697" s="197"/>
      <c r="B697" s="87"/>
      <c r="C697" s="87"/>
      <c r="D697" s="196"/>
      <c r="E697" s="108"/>
      <c r="F697" s="196"/>
      <c r="G697" s="87"/>
      <c r="H697" s="197"/>
      <c r="I697" s="89"/>
      <c r="J697" s="204"/>
      <c r="K697" s="87"/>
      <c r="L697" s="87" t="str" cm="1">
        <f t="array" ref="L697">IF($A697="","",_xlfn.LET(_xlpm.stat,CHOOSE({1,2,3,4,5},$P697,$T697,$X697,$AB697,$AF697),_xlpm.rate,CHOOSE({1,2,3,4,5},$R697,$V697,$Z697,$AD697,$AH697),_xlpm.trn,CHOOSE({1,2,3,4,5},$S697,$W697,$AA697,$AE697,$AI697),_xlpm.nsC,SUMPRODUCT(--(_xlpm.stat="Ready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DLR",IF(AND(_xlpm.actRS&gt;0,_xlpm.actDone&lt;_xlpm.actRS),"Training",IF(_xlpm.actRS&gt;0,"Active",IF(AND(_xlpm.decC&gt;0,_xlpm.inPlay+_xlpm.actC=0),"Dead",IF(AND($AJ697&lt;&gt;"",$AK697=FALSE),"Waiting on Dealer",IF(_xlpm.subC&gt;0,"Waiting on Lender",IF(AND(_xlpm.appC+_xlpm.actC&gt;0,_xlpm.nsC+_xlpm.wdC=0),"Rate Sheet","Application Submitted")))))))))</f>
        <v/>
      </c>
      <c r="M697" s="87"/>
      <c r="N697" s="87"/>
      <c r="O697" s="197"/>
      <c r="P697" s="87" t="str">
        <f>IF($A697="","",IF($AK697=TRUE,"Ready 2 Submit","Waiting on Dealer"))</f>
        <v/>
      </c>
      <c r="Q697" s="148"/>
      <c r="R697" s="87"/>
      <c r="S697" s="87"/>
      <c r="T697" s="87" t="str">
        <f>IF($A697="","",IF($AK697=TRUE,"Ready 2 Submit","Waiting on Dealer"))</f>
        <v/>
      </c>
      <c r="U697" s="148"/>
      <c r="V697" s="87"/>
      <c r="W697" s="87"/>
      <c r="X697" s="87" t="str">
        <f>IF($A697="","",IF($AK697=TRUE,"Ready 2 Submit","Waiting on Dealer"))</f>
        <v/>
      </c>
      <c r="Y697" s="148"/>
      <c r="Z697" s="87"/>
      <c r="AA697" s="87"/>
      <c r="AB697" s="87" t="str">
        <f>IF($A697="","",IF($AK697=TRUE,"Ready 2 Submit","Waiting on Dealer"))</f>
        <v/>
      </c>
      <c r="AC697" s="148"/>
      <c r="AD697" s="87"/>
      <c r="AE697" s="87"/>
      <c r="AF697" s="87" t="str">
        <f>IF($A697="","",IF($AK697=TRUE,"Ready 2 Submit","Waiting on Dealer"))</f>
        <v/>
      </c>
      <c r="AG697" s="148"/>
      <c r="AH697" s="87"/>
      <c r="AI697" s="87"/>
      <c r="AJ697" s="197"/>
      <c r="AK697" s="110" t="b">
        <v>0</v>
      </c>
      <c r="AL697" s="87" t="str" cm="1">
        <f t="array" ref="AL697">IF($A697="","",SUMPRODUCT((CHOOSE({1,2,3,4,5},$R697,$V697,$Z697,$AD697,$AH697)="Yes")*(((CHOOSE({1,2,3,4,5},$S697,$W697,$AA697,$AE697,$AI697)="Yes")+(CHOOSE({1,2,3,4,5},$S697,$W697,$AA697,$AE697,$AI697)=TRUE))&gt;0)))</f>
        <v/>
      </c>
      <c r="AM697" s="87"/>
      <c r="AN697" s="87" t="str">
        <f ca="1">IF(OR($A697="",$AM697=""),"",TODAY()-$AM697)</f>
        <v/>
      </c>
      <c r="AO697" s="87"/>
      <c r="AP697" s="106"/>
      <c r="AQ697" s="106"/>
      <c r="AR697" s="106"/>
      <c r="AS697" s="106"/>
      <c r="AT697" s="106"/>
      <c r="AU697" s="106"/>
      <c r="AV697" s="106"/>
      <c r="AW697" s="106"/>
      <c r="AX697" s="106"/>
      <c r="AY697" s="106"/>
    </row>
    <row r="698" spans="1:51" s="20" customFormat="1" ht="21" customHeight="1">
      <c r="A698" s="197"/>
      <c r="B698" s="87"/>
      <c r="C698" s="87"/>
      <c r="D698" s="196"/>
      <c r="E698" s="108"/>
      <c r="F698" s="196"/>
      <c r="G698" s="87"/>
      <c r="H698" s="197"/>
      <c r="I698" s="89"/>
      <c r="J698" s="204"/>
      <c r="K698" s="87"/>
      <c r="L698" s="87" t="str" cm="1">
        <f t="array" ref="L698">IF($A698="","",_xlfn.LET(_xlpm.stat,CHOOSE({1,2,3,4,5},$P698,$T698,$X698,$AB698,$AF698),_xlpm.rate,CHOOSE({1,2,3,4,5},$R698,$V698,$Z698,$AD698,$AH698),_xlpm.trn,CHOOSE({1,2,3,4,5},$S698,$W698,$AA698,$AE698,$AI698),_xlpm.nsC,SUMPRODUCT(--(_xlpm.stat="Ready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DLR",IF(AND(_xlpm.actRS&gt;0,_xlpm.actDone&lt;_xlpm.actRS),"Training",IF(_xlpm.actRS&gt;0,"Active",IF(AND(_xlpm.decC&gt;0,_xlpm.inPlay+_xlpm.actC=0),"Dead",IF(AND($AJ698&lt;&gt;"",$AK698=FALSE),"Waiting on Dealer",IF(_xlpm.subC&gt;0,"Waiting on Lender",IF(AND(_xlpm.appC+_xlpm.actC&gt;0,_xlpm.nsC+_xlpm.wdC=0),"Rate Sheet","Application Submitted")))))))))</f>
        <v/>
      </c>
      <c r="M698" s="87"/>
      <c r="N698" s="87"/>
      <c r="O698" s="197"/>
      <c r="P698" s="87" t="str">
        <f>IF($A698="","",IF($AK698=TRUE,"Ready 2 Submit","Waiting on Dealer"))</f>
        <v/>
      </c>
      <c r="Q698" s="148"/>
      <c r="R698" s="87"/>
      <c r="S698" s="87"/>
      <c r="T698" s="87" t="str">
        <f>IF($A698="","",IF($AK698=TRUE,"Ready 2 Submit","Waiting on Dealer"))</f>
        <v/>
      </c>
      <c r="U698" s="148"/>
      <c r="V698" s="87"/>
      <c r="W698" s="87"/>
      <c r="X698" s="87" t="str">
        <f>IF($A698="","",IF($AK698=TRUE,"Ready 2 Submit","Waiting on Dealer"))</f>
        <v/>
      </c>
      <c r="Y698" s="148"/>
      <c r="Z698" s="87"/>
      <c r="AA698" s="87"/>
      <c r="AB698" s="87" t="str">
        <f>IF($A698="","",IF($AK698=TRUE,"Ready 2 Submit","Waiting on Dealer"))</f>
        <v/>
      </c>
      <c r="AC698" s="148"/>
      <c r="AD698" s="87"/>
      <c r="AE698" s="87"/>
      <c r="AF698" s="87" t="str">
        <f>IF($A698="","",IF($AK698=TRUE,"Ready 2 Submit","Waiting on Dealer"))</f>
        <v/>
      </c>
      <c r="AG698" s="148"/>
      <c r="AH698" s="87"/>
      <c r="AI698" s="87"/>
      <c r="AJ698" s="197"/>
      <c r="AK698" s="110" t="b">
        <v>0</v>
      </c>
      <c r="AL698" s="87" t="str" cm="1">
        <f t="array" ref="AL698">IF($A698="","",SUMPRODUCT((CHOOSE({1,2,3,4,5},$R698,$V698,$Z698,$AD698,$AH698)="Yes")*(((CHOOSE({1,2,3,4,5},$S698,$W698,$AA698,$AE698,$AI698)="Yes")+(CHOOSE({1,2,3,4,5},$S698,$W698,$AA698,$AE698,$AI698)=TRUE))&gt;0)))</f>
        <v/>
      </c>
      <c r="AM698" s="87"/>
      <c r="AN698" s="87" t="str">
        <f ca="1">IF(OR($A698="",$AM698=""),"",TODAY()-$AM698)</f>
        <v/>
      </c>
      <c r="AO698" s="87"/>
      <c r="AP698" s="106"/>
      <c r="AQ698" s="106"/>
      <c r="AR698" s="106"/>
      <c r="AS698" s="106"/>
      <c r="AT698" s="106"/>
      <c r="AU698" s="106"/>
      <c r="AV698" s="106"/>
      <c r="AW698" s="106"/>
      <c r="AX698" s="106"/>
      <c r="AY698" s="106"/>
    </row>
    <row r="699" spans="1:51" s="20" customFormat="1" ht="21" customHeight="1">
      <c r="A699" s="197"/>
      <c r="B699" s="87"/>
      <c r="C699" s="87"/>
      <c r="D699" s="196"/>
      <c r="E699" s="108"/>
      <c r="F699" s="196"/>
      <c r="G699" s="87"/>
      <c r="H699" s="197"/>
      <c r="I699" s="89"/>
      <c r="J699" s="204"/>
      <c r="K699" s="87"/>
      <c r="L699" s="87" t="str" cm="1">
        <f t="array" ref="L699">IF($A699="","",_xlfn.LET(_xlpm.stat,CHOOSE({1,2,3,4,5},$P699,$T699,$X699,$AB699,$AF699),_xlpm.rate,CHOOSE({1,2,3,4,5},$R699,$V699,$Z699,$AD699,$AH699),_xlpm.trn,CHOOSE({1,2,3,4,5},$S699,$W699,$AA699,$AE699,$AI699),_xlpm.nsC,SUMPRODUCT(--(_xlpm.stat="Ready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DLR",IF(AND(_xlpm.actRS&gt;0,_xlpm.actDone&lt;_xlpm.actRS),"Training",IF(_xlpm.actRS&gt;0,"Active",IF(AND(_xlpm.decC&gt;0,_xlpm.inPlay+_xlpm.actC=0),"Dead",IF(AND($AJ699&lt;&gt;"",$AK699=FALSE),"Waiting on Dealer",IF(_xlpm.subC&gt;0,"Waiting on Lender",IF(AND(_xlpm.appC+_xlpm.actC&gt;0,_xlpm.nsC+_xlpm.wdC=0),"Rate Sheet","Application Submitted")))))))))</f>
        <v/>
      </c>
      <c r="M699" s="87"/>
      <c r="N699" s="87"/>
      <c r="O699" s="197"/>
      <c r="P699" s="87" t="str">
        <f>IF($A699="","",IF($AK699=TRUE,"Ready 2 Submit","Waiting on Dealer"))</f>
        <v/>
      </c>
      <c r="Q699" s="148"/>
      <c r="R699" s="87"/>
      <c r="S699" s="87"/>
      <c r="T699" s="87" t="str">
        <f>IF($A699="","",IF($AK699=TRUE,"Ready 2 Submit","Waiting on Dealer"))</f>
        <v/>
      </c>
      <c r="U699" s="148"/>
      <c r="V699" s="87"/>
      <c r="W699" s="87"/>
      <c r="X699" s="87" t="str">
        <f>IF($A699="","",IF($AK699=TRUE,"Ready 2 Submit","Waiting on Dealer"))</f>
        <v/>
      </c>
      <c r="Y699" s="148"/>
      <c r="Z699" s="87"/>
      <c r="AA699" s="87"/>
      <c r="AB699" s="87" t="str">
        <f>IF($A699="","",IF($AK699=TRUE,"Ready 2 Submit","Waiting on Dealer"))</f>
        <v/>
      </c>
      <c r="AC699" s="148"/>
      <c r="AD699" s="87"/>
      <c r="AE699" s="87"/>
      <c r="AF699" s="87" t="str">
        <f>IF($A699="","",IF($AK699=TRUE,"Ready 2 Submit","Waiting on Dealer"))</f>
        <v/>
      </c>
      <c r="AG699" s="148"/>
      <c r="AH699" s="87"/>
      <c r="AI699" s="87"/>
      <c r="AJ699" s="197"/>
      <c r="AK699" s="110" t="b">
        <v>0</v>
      </c>
      <c r="AL699" s="87" t="str" cm="1">
        <f t="array" ref="AL699">IF($A699="","",SUMPRODUCT((CHOOSE({1,2,3,4,5},$R699,$V699,$Z699,$AD699,$AH699)="Yes")*(((CHOOSE({1,2,3,4,5},$S699,$W699,$AA699,$AE699,$AI699)="Yes")+(CHOOSE({1,2,3,4,5},$S699,$W699,$AA699,$AE699,$AI699)=TRUE))&gt;0)))</f>
        <v/>
      </c>
      <c r="AM699" s="87"/>
      <c r="AN699" s="87" t="str">
        <f ca="1">IF(OR($A699="",$AM699=""),"",TODAY()-$AM699)</f>
        <v/>
      </c>
      <c r="AO699" s="87"/>
      <c r="AP699" s="106"/>
      <c r="AQ699" s="106"/>
      <c r="AR699" s="106"/>
      <c r="AS699" s="106"/>
      <c r="AT699" s="106"/>
      <c r="AU699" s="106"/>
      <c r="AV699" s="106"/>
      <c r="AW699" s="106"/>
      <c r="AX699" s="106"/>
      <c r="AY699" s="106"/>
    </row>
    <row r="700" spans="1:51" s="20" customFormat="1" ht="21" customHeight="1">
      <c r="A700" s="197"/>
      <c r="B700" s="87"/>
      <c r="C700" s="87"/>
      <c r="D700" s="196"/>
      <c r="E700" s="108"/>
      <c r="F700" s="196"/>
      <c r="G700" s="87"/>
      <c r="H700" s="197"/>
      <c r="I700" s="89"/>
      <c r="J700" s="204"/>
      <c r="K700" s="87"/>
      <c r="L700" s="87" t="str" cm="1">
        <f t="array" ref="L700">IF($A700="","",_xlfn.LET(_xlpm.stat,CHOOSE({1,2,3,4,5},$P700,$T700,$X700,$AB700,$AF700),_xlpm.rate,CHOOSE({1,2,3,4,5},$R700,$V700,$Z700,$AD700,$AH700),_xlpm.trn,CHOOSE({1,2,3,4,5},$S700,$W700,$AA700,$AE700,$AI700),_xlpm.nsC,SUMPRODUCT(--(_xlpm.stat="Ready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DLR",IF(AND(_xlpm.actRS&gt;0,_xlpm.actDone&lt;_xlpm.actRS),"Training",IF(_xlpm.actRS&gt;0,"Active",IF(AND(_xlpm.decC&gt;0,_xlpm.inPlay+_xlpm.actC=0),"Dead",IF(AND($AJ700&lt;&gt;"",$AK700=FALSE),"Waiting on Dealer",IF(_xlpm.subC&gt;0,"Waiting on Lender",IF(AND(_xlpm.appC+_xlpm.actC&gt;0,_xlpm.nsC+_xlpm.wdC=0),"Rate Sheet","Application Submitted")))))))))</f>
        <v/>
      </c>
      <c r="M700" s="87"/>
      <c r="N700" s="87"/>
      <c r="O700" s="197"/>
      <c r="P700" s="87" t="str">
        <f>IF($A700="","",IF($AK700=TRUE,"Ready 2 Submit","Waiting on Dealer"))</f>
        <v/>
      </c>
      <c r="Q700" s="148"/>
      <c r="R700" s="87"/>
      <c r="S700" s="87"/>
      <c r="T700" s="87" t="str">
        <f>IF($A700="","",IF($AK700=TRUE,"Ready 2 Submit","Waiting on Dealer"))</f>
        <v/>
      </c>
      <c r="U700" s="148"/>
      <c r="V700" s="87"/>
      <c r="W700" s="87"/>
      <c r="X700" s="87" t="str">
        <f>IF($A700="","",IF($AK700=TRUE,"Ready 2 Submit","Waiting on Dealer"))</f>
        <v/>
      </c>
      <c r="Y700" s="148"/>
      <c r="Z700" s="87"/>
      <c r="AA700" s="87"/>
      <c r="AB700" s="87" t="str">
        <f>IF($A700="","",IF($AK700=TRUE,"Ready 2 Submit","Waiting on Dealer"))</f>
        <v/>
      </c>
      <c r="AC700" s="148"/>
      <c r="AD700" s="87"/>
      <c r="AE700" s="87"/>
      <c r="AF700" s="87" t="str">
        <f>IF($A700="","",IF($AK700=TRUE,"Ready 2 Submit","Waiting on Dealer"))</f>
        <v/>
      </c>
      <c r="AG700" s="148"/>
      <c r="AH700" s="87"/>
      <c r="AI700" s="87"/>
      <c r="AJ700" s="197"/>
      <c r="AK700" s="110" t="b">
        <v>0</v>
      </c>
      <c r="AL700" s="87" t="str" cm="1">
        <f t="array" ref="AL700">IF($A700="","",SUMPRODUCT((CHOOSE({1,2,3,4,5},$R700,$V700,$Z700,$AD700,$AH700)="Yes")*(((CHOOSE({1,2,3,4,5},$S700,$W700,$AA700,$AE700,$AI700)="Yes")+(CHOOSE({1,2,3,4,5},$S700,$W700,$AA700,$AE700,$AI700)=TRUE))&gt;0)))</f>
        <v/>
      </c>
      <c r="AM700" s="87"/>
      <c r="AN700" s="87" t="str">
        <f ca="1">IF(OR($A700="",$AM700=""),"",TODAY()-$AM700)</f>
        <v/>
      </c>
      <c r="AO700" s="87"/>
      <c r="AP700" s="106"/>
      <c r="AQ700" s="106"/>
      <c r="AR700" s="106"/>
      <c r="AS700" s="106"/>
      <c r="AT700" s="106"/>
      <c r="AU700" s="106"/>
      <c r="AV700" s="106"/>
      <c r="AW700" s="106"/>
      <c r="AX700" s="106"/>
      <c r="AY700" s="106"/>
    </row>
    <row r="701" spans="1:51" s="20" customFormat="1" ht="21" customHeight="1">
      <c r="A701" s="197"/>
      <c r="B701" s="87"/>
      <c r="C701" s="87"/>
      <c r="D701" s="196"/>
      <c r="E701" s="108"/>
      <c r="F701" s="196"/>
      <c r="G701" s="87"/>
      <c r="H701" s="197"/>
      <c r="I701" s="89"/>
      <c r="J701" s="204"/>
      <c r="K701" s="87"/>
      <c r="L701" s="87" t="str" cm="1">
        <f t="array" ref="L701">IF($A701="","",_xlfn.LET(_xlpm.stat,CHOOSE({1,2,3,4,5},$P701,$T701,$X701,$AB701,$AF701),_xlpm.rate,CHOOSE({1,2,3,4,5},$R701,$V701,$Z701,$AD701,$AH701),_xlpm.trn,CHOOSE({1,2,3,4,5},$S701,$W701,$AA701,$AE701,$AI701),_xlpm.nsC,SUMPRODUCT(--(_xlpm.stat="Ready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DLR",IF(AND(_xlpm.actRS&gt;0,_xlpm.actDone&lt;_xlpm.actRS),"Training",IF(_xlpm.actRS&gt;0,"Active",IF(AND(_xlpm.decC&gt;0,_xlpm.inPlay+_xlpm.actC=0),"Dead",IF(AND($AJ701&lt;&gt;"",$AK701=FALSE),"Waiting on Dealer",IF(_xlpm.subC&gt;0,"Waiting on Lender",IF(AND(_xlpm.appC+_xlpm.actC&gt;0,_xlpm.nsC+_xlpm.wdC=0),"Rate Sheet","Application Submitted")))))))))</f>
        <v/>
      </c>
      <c r="M701" s="87"/>
      <c r="N701" s="87"/>
      <c r="O701" s="197"/>
      <c r="P701" s="87" t="str">
        <f>IF($A701="","",IF($AK701=TRUE,"Ready 2 Submit","Waiting on Dealer"))</f>
        <v/>
      </c>
      <c r="Q701" s="148"/>
      <c r="R701" s="87"/>
      <c r="S701" s="87"/>
      <c r="T701" s="87" t="str">
        <f>IF($A701="","",IF($AK701=TRUE,"Ready 2 Submit","Waiting on Dealer"))</f>
        <v/>
      </c>
      <c r="U701" s="148"/>
      <c r="V701" s="87"/>
      <c r="W701" s="87"/>
      <c r="X701" s="87" t="str">
        <f>IF($A701="","",IF($AK701=TRUE,"Ready 2 Submit","Waiting on Dealer"))</f>
        <v/>
      </c>
      <c r="Y701" s="148"/>
      <c r="Z701" s="87"/>
      <c r="AA701" s="87"/>
      <c r="AB701" s="87" t="str">
        <f>IF($A701="","",IF($AK701=TRUE,"Ready 2 Submit","Waiting on Dealer"))</f>
        <v/>
      </c>
      <c r="AC701" s="148"/>
      <c r="AD701" s="87"/>
      <c r="AE701" s="87"/>
      <c r="AF701" s="87" t="str">
        <f>IF($A701="","",IF($AK701=TRUE,"Ready 2 Submit","Waiting on Dealer"))</f>
        <v/>
      </c>
      <c r="AG701" s="148"/>
      <c r="AH701" s="87"/>
      <c r="AI701" s="87"/>
      <c r="AJ701" s="197"/>
      <c r="AK701" s="110" t="b">
        <v>0</v>
      </c>
      <c r="AL701" s="87" t="str" cm="1">
        <f t="array" ref="AL701">IF($A701="","",SUMPRODUCT((CHOOSE({1,2,3,4,5},$R701,$V701,$Z701,$AD701,$AH701)="Yes")*(((CHOOSE({1,2,3,4,5},$S701,$W701,$AA701,$AE701,$AI701)="Yes")+(CHOOSE({1,2,3,4,5},$S701,$W701,$AA701,$AE701,$AI701)=TRUE))&gt;0)))</f>
        <v/>
      </c>
      <c r="AM701" s="87"/>
      <c r="AN701" s="87" t="str">
        <f ca="1">IF(OR($A701="",$AM701=""),"",TODAY()-$AM701)</f>
        <v/>
      </c>
      <c r="AO701" s="87"/>
      <c r="AP701" s="106"/>
      <c r="AQ701" s="106"/>
      <c r="AR701" s="106"/>
      <c r="AS701" s="106"/>
      <c r="AT701" s="106"/>
      <c r="AU701" s="106"/>
      <c r="AV701" s="106"/>
      <c r="AW701" s="106"/>
      <c r="AX701" s="106"/>
      <c r="AY701" s="106"/>
    </row>
    <row r="702" spans="1:51" s="20" customFormat="1" ht="21" customHeight="1">
      <c r="A702" s="197"/>
      <c r="B702" s="87"/>
      <c r="C702" s="87"/>
      <c r="D702" s="196"/>
      <c r="E702" s="108"/>
      <c r="F702" s="196"/>
      <c r="G702" s="87"/>
      <c r="H702" s="197"/>
      <c r="I702" s="89"/>
      <c r="J702" s="204"/>
      <c r="K702" s="87"/>
      <c r="L702" s="87" t="str" cm="1">
        <f t="array" ref="L702">IF($A702="","",_xlfn.LET(_xlpm.stat,CHOOSE({1,2,3,4,5},$P702,$T702,$X702,$AB702,$AF702),_xlpm.rate,CHOOSE({1,2,3,4,5},$R702,$V702,$Z702,$AD702,$AH702),_xlpm.trn,CHOOSE({1,2,3,4,5},$S702,$W702,$AA702,$AE702,$AI702),_xlpm.nsC,SUMPRODUCT(--(_xlpm.stat="Ready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DLR",IF(AND(_xlpm.actRS&gt;0,_xlpm.actDone&lt;_xlpm.actRS),"Training",IF(_xlpm.actRS&gt;0,"Active",IF(AND(_xlpm.decC&gt;0,_xlpm.inPlay+_xlpm.actC=0),"Dead",IF(AND($AJ702&lt;&gt;"",$AK702=FALSE),"Waiting on Dealer",IF(_xlpm.subC&gt;0,"Waiting on Lender",IF(AND(_xlpm.appC+_xlpm.actC&gt;0,_xlpm.nsC+_xlpm.wdC=0),"Rate Sheet","Application Submitted")))))))))</f>
        <v/>
      </c>
      <c r="M702" s="87"/>
      <c r="N702" s="87"/>
      <c r="O702" s="197"/>
      <c r="P702" s="87" t="str">
        <f>IF($A702="","",IF($AK702=TRUE,"Ready 2 Submit","Waiting on Dealer"))</f>
        <v/>
      </c>
      <c r="Q702" s="148"/>
      <c r="R702" s="87"/>
      <c r="S702" s="87"/>
      <c r="T702" s="87" t="str">
        <f>IF($A702="","",IF($AK702=TRUE,"Ready 2 Submit","Waiting on Dealer"))</f>
        <v/>
      </c>
      <c r="U702" s="148"/>
      <c r="V702" s="87"/>
      <c r="W702" s="87"/>
      <c r="X702" s="87" t="str">
        <f>IF($A702="","",IF($AK702=TRUE,"Ready 2 Submit","Waiting on Dealer"))</f>
        <v/>
      </c>
      <c r="Y702" s="148"/>
      <c r="Z702" s="87"/>
      <c r="AA702" s="87"/>
      <c r="AB702" s="87" t="str">
        <f>IF($A702="","",IF($AK702=TRUE,"Ready 2 Submit","Waiting on Dealer"))</f>
        <v/>
      </c>
      <c r="AC702" s="148"/>
      <c r="AD702" s="87"/>
      <c r="AE702" s="87"/>
      <c r="AF702" s="87" t="str">
        <f>IF($A702="","",IF($AK702=TRUE,"Ready 2 Submit","Waiting on Dealer"))</f>
        <v/>
      </c>
      <c r="AG702" s="148"/>
      <c r="AH702" s="87"/>
      <c r="AI702" s="87"/>
      <c r="AJ702" s="197"/>
      <c r="AK702" s="110" t="b">
        <v>0</v>
      </c>
      <c r="AL702" s="87" t="str" cm="1">
        <f t="array" ref="AL702">IF($A702="","",SUMPRODUCT((CHOOSE({1,2,3,4,5},$R702,$V702,$Z702,$AD702,$AH702)="Yes")*(((CHOOSE({1,2,3,4,5},$S702,$W702,$AA702,$AE702,$AI702)="Yes")+(CHOOSE({1,2,3,4,5},$S702,$W702,$AA702,$AE702,$AI702)=TRUE))&gt;0)))</f>
        <v/>
      </c>
      <c r="AM702" s="87"/>
      <c r="AN702" s="87" t="str">
        <f ca="1">IF(OR($A702="",$AM702=""),"",TODAY()-$AM702)</f>
        <v/>
      </c>
      <c r="AO702" s="87"/>
      <c r="AP702" s="106"/>
      <c r="AQ702" s="106"/>
      <c r="AR702" s="106"/>
      <c r="AS702" s="106"/>
      <c r="AT702" s="106"/>
      <c r="AU702" s="106"/>
      <c r="AV702" s="106"/>
      <c r="AW702" s="106"/>
      <c r="AX702" s="106"/>
      <c r="AY702" s="106"/>
    </row>
    <row r="703" spans="1:51" s="20" customFormat="1" ht="21" customHeight="1">
      <c r="A703" s="197"/>
      <c r="B703" s="87"/>
      <c r="C703" s="87"/>
      <c r="D703" s="196"/>
      <c r="E703" s="108"/>
      <c r="F703" s="196"/>
      <c r="G703" s="87"/>
      <c r="H703" s="197"/>
      <c r="I703" s="89"/>
      <c r="J703" s="204"/>
      <c r="K703" s="87"/>
      <c r="L703" s="87" t="str" cm="1">
        <f t="array" ref="L703">IF($A703="","",_xlfn.LET(_xlpm.stat,CHOOSE({1,2,3,4,5},$P703,$T703,$X703,$AB703,$AF703),_xlpm.rate,CHOOSE({1,2,3,4,5},$R703,$V703,$Z703,$AD703,$AH703),_xlpm.trn,CHOOSE({1,2,3,4,5},$S703,$W703,$AA703,$AE703,$AI703),_xlpm.nsC,SUMPRODUCT(--(_xlpm.stat="Ready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DLR",IF(AND(_xlpm.actRS&gt;0,_xlpm.actDone&lt;_xlpm.actRS),"Training",IF(_xlpm.actRS&gt;0,"Active",IF(AND(_xlpm.decC&gt;0,_xlpm.inPlay+_xlpm.actC=0),"Dead",IF(AND($AJ703&lt;&gt;"",$AK703=FALSE),"Waiting on Dealer",IF(_xlpm.subC&gt;0,"Waiting on Lender",IF(AND(_xlpm.appC+_xlpm.actC&gt;0,_xlpm.nsC+_xlpm.wdC=0),"Rate Sheet","Application Submitted")))))))))</f>
        <v/>
      </c>
      <c r="M703" s="87"/>
      <c r="N703" s="87"/>
      <c r="O703" s="197"/>
      <c r="P703" s="87" t="str">
        <f>IF($A703="","",IF($AK703=TRUE,"Ready 2 Submit","Waiting on Dealer"))</f>
        <v/>
      </c>
      <c r="Q703" s="148"/>
      <c r="R703" s="87"/>
      <c r="S703" s="87"/>
      <c r="T703" s="87" t="str">
        <f>IF($A703="","",IF($AK703=TRUE,"Ready 2 Submit","Waiting on Dealer"))</f>
        <v/>
      </c>
      <c r="U703" s="148"/>
      <c r="V703" s="87"/>
      <c r="W703" s="87"/>
      <c r="X703" s="87" t="str">
        <f>IF($A703="","",IF($AK703=TRUE,"Ready 2 Submit","Waiting on Dealer"))</f>
        <v/>
      </c>
      <c r="Y703" s="148"/>
      <c r="Z703" s="87"/>
      <c r="AA703" s="87"/>
      <c r="AB703" s="87" t="str">
        <f>IF($A703="","",IF($AK703=TRUE,"Ready 2 Submit","Waiting on Dealer"))</f>
        <v/>
      </c>
      <c r="AC703" s="148"/>
      <c r="AD703" s="87"/>
      <c r="AE703" s="87"/>
      <c r="AF703" s="87" t="str">
        <f>IF($A703="","",IF($AK703=TRUE,"Ready 2 Submit","Waiting on Dealer"))</f>
        <v/>
      </c>
      <c r="AG703" s="148"/>
      <c r="AH703" s="87"/>
      <c r="AI703" s="87"/>
      <c r="AJ703" s="197"/>
      <c r="AK703" s="110" t="b">
        <v>0</v>
      </c>
      <c r="AL703" s="87" t="str" cm="1">
        <f t="array" ref="AL703">IF($A703="","",SUMPRODUCT((CHOOSE({1,2,3,4,5},$R703,$V703,$Z703,$AD703,$AH703)="Yes")*(((CHOOSE({1,2,3,4,5},$S703,$W703,$AA703,$AE703,$AI703)="Yes")+(CHOOSE({1,2,3,4,5},$S703,$W703,$AA703,$AE703,$AI703)=TRUE))&gt;0)))</f>
        <v/>
      </c>
      <c r="AM703" s="87"/>
      <c r="AN703" s="87" t="str">
        <f ca="1">IF(OR($A703="",$AM703=""),"",TODAY()-$AM703)</f>
        <v/>
      </c>
      <c r="AO703" s="87"/>
      <c r="AP703" s="106"/>
      <c r="AQ703" s="106"/>
      <c r="AR703" s="106"/>
      <c r="AS703" s="106"/>
      <c r="AT703" s="106"/>
      <c r="AU703" s="106"/>
      <c r="AV703" s="106"/>
      <c r="AW703" s="106"/>
      <c r="AX703" s="106"/>
      <c r="AY703" s="106"/>
    </row>
    <row r="704" spans="1:51" s="20" customFormat="1" ht="21" customHeight="1">
      <c r="A704" s="197"/>
      <c r="B704" s="87"/>
      <c r="C704" s="87"/>
      <c r="D704" s="196"/>
      <c r="E704" s="108"/>
      <c r="F704" s="196"/>
      <c r="G704" s="87"/>
      <c r="H704" s="197"/>
      <c r="I704" s="89"/>
      <c r="J704" s="204"/>
      <c r="K704" s="87"/>
      <c r="L704" s="87" t="str" cm="1">
        <f t="array" ref="L704">IF($A704="","",_xlfn.LET(_xlpm.stat,CHOOSE({1,2,3,4,5},$P704,$T704,$X704,$AB704,$AF704),_xlpm.rate,CHOOSE({1,2,3,4,5},$R704,$V704,$Z704,$AD704,$AH704),_xlpm.trn,CHOOSE({1,2,3,4,5},$S704,$W704,$AA704,$AE704,$AI704),_xlpm.nsC,SUMPRODUCT(--(_xlpm.stat="Ready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DLR",IF(AND(_xlpm.actRS&gt;0,_xlpm.actDone&lt;_xlpm.actRS),"Training",IF(_xlpm.actRS&gt;0,"Active",IF(AND(_xlpm.decC&gt;0,_xlpm.inPlay+_xlpm.actC=0),"Dead",IF(AND($AJ704&lt;&gt;"",$AK704=FALSE),"Waiting on Dealer",IF(_xlpm.subC&gt;0,"Waiting on Lender",IF(AND(_xlpm.appC+_xlpm.actC&gt;0,_xlpm.nsC+_xlpm.wdC=0),"Rate Sheet","Application Submitted")))))))))</f>
        <v/>
      </c>
      <c r="M704" s="87"/>
      <c r="N704" s="87"/>
      <c r="O704" s="197"/>
      <c r="P704" s="87" t="str">
        <f>IF($A704="","",IF($AK704=TRUE,"Ready 2 Submit","Waiting on Dealer"))</f>
        <v/>
      </c>
      <c r="Q704" s="148"/>
      <c r="R704" s="87"/>
      <c r="S704" s="87"/>
      <c r="T704" s="87" t="str">
        <f>IF($A704="","",IF($AK704=TRUE,"Ready 2 Submit","Waiting on Dealer"))</f>
        <v/>
      </c>
      <c r="U704" s="148"/>
      <c r="V704" s="87"/>
      <c r="W704" s="87"/>
      <c r="X704" s="87" t="str">
        <f>IF($A704="","",IF($AK704=TRUE,"Ready 2 Submit","Waiting on Dealer"))</f>
        <v/>
      </c>
      <c r="Y704" s="148"/>
      <c r="Z704" s="87"/>
      <c r="AA704" s="87"/>
      <c r="AB704" s="87" t="str">
        <f>IF($A704="","",IF($AK704=TRUE,"Ready 2 Submit","Waiting on Dealer"))</f>
        <v/>
      </c>
      <c r="AC704" s="148"/>
      <c r="AD704" s="87"/>
      <c r="AE704" s="87"/>
      <c r="AF704" s="87" t="str">
        <f>IF($A704="","",IF($AK704=TRUE,"Ready 2 Submit","Waiting on Dealer"))</f>
        <v/>
      </c>
      <c r="AG704" s="148"/>
      <c r="AH704" s="87"/>
      <c r="AI704" s="87"/>
      <c r="AJ704" s="197"/>
      <c r="AK704" s="110" t="b">
        <v>0</v>
      </c>
      <c r="AL704" s="87" t="str" cm="1">
        <f t="array" ref="AL704">IF($A704="","",SUMPRODUCT((CHOOSE({1,2,3,4,5},$R704,$V704,$Z704,$AD704,$AH704)="Yes")*(((CHOOSE({1,2,3,4,5},$S704,$W704,$AA704,$AE704,$AI704)="Yes")+(CHOOSE({1,2,3,4,5},$S704,$W704,$AA704,$AE704,$AI704)=TRUE))&gt;0)))</f>
        <v/>
      </c>
      <c r="AM704" s="87"/>
      <c r="AN704" s="87" t="str">
        <f ca="1">IF(OR($A704="",$AM704=""),"",TODAY()-$AM704)</f>
        <v/>
      </c>
      <c r="AO704" s="87"/>
      <c r="AP704" s="106"/>
      <c r="AQ704" s="106"/>
      <c r="AR704" s="106"/>
      <c r="AS704" s="106"/>
      <c r="AT704" s="106"/>
      <c r="AU704" s="106"/>
      <c r="AV704" s="106"/>
      <c r="AW704" s="106"/>
      <c r="AX704" s="106"/>
      <c r="AY704" s="106"/>
    </row>
    <row r="705" spans="1:51" s="20" customFormat="1" ht="21" customHeight="1">
      <c r="A705" s="197"/>
      <c r="B705" s="87"/>
      <c r="C705" s="87"/>
      <c r="D705" s="196"/>
      <c r="E705" s="108"/>
      <c r="F705" s="196"/>
      <c r="G705" s="87"/>
      <c r="H705" s="197"/>
      <c r="I705" s="89"/>
      <c r="J705" s="204"/>
      <c r="K705" s="87"/>
      <c r="L705" s="87" t="str" cm="1">
        <f t="array" ref="L705">IF($A705="","",_xlfn.LET(_xlpm.stat,CHOOSE({1,2,3,4,5},$P705,$T705,$X705,$AB705,$AF705),_xlpm.rate,CHOOSE({1,2,3,4,5},$R705,$V705,$Z705,$AD705,$AH705),_xlpm.trn,CHOOSE({1,2,3,4,5},$S705,$W705,$AA705,$AE705,$AI705),_xlpm.nsC,SUMPRODUCT(--(_xlpm.stat="Ready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DLR",IF(AND(_xlpm.actRS&gt;0,_xlpm.actDone&lt;_xlpm.actRS),"Training",IF(_xlpm.actRS&gt;0,"Active",IF(AND(_xlpm.decC&gt;0,_xlpm.inPlay+_xlpm.actC=0),"Dead",IF(AND($AJ705&lt;&gt;"",$AK705=FALSE),"Waiting on Dealer",IF(_xlpm.subC&gt;0,"Waiting on Lender",IF(AND(_xlpm.appC+_xlpm.actC&gt;0,_xlpm.nsC+_xlpm.wdC=0),"Rate Sheet","Application Submitted")))))))))</f>
        <v/>
      </c>
      <c r="M705" s="87"/>
      <c r="N705" s="87"/>
      <c r="O705" s="197"/>
      <c r="P705" s="87" t="str">
        <f>IF($A705="","",IF($AK705=TRUE,"Ready 2 Submit","Waiting on Dealer"))</f>
        <v/>
      </c>
      <c r="Q705" s="148"/>
      <c r="R705" s="87"/>
      <c r="S705" s="87"/>
      <c r="T705" s="87" t="str">
        <f>IF($A705="","",IF($AK705=TRUE,"Ready 2 Submit","Waiting on Dealer"))</f>
        <v/>
      </c>
      <c r="U705" s="148"/>
      <c r="V705" s="87"/>
      <c r="W705" s="87"/>
      <c r="X705" s="87" t="str">
        <f>IF($A705="","",IF($AK705=TRUE,"Ready 2 Submit","Waiting on Dealer"))</f>
        <v/>
      </c>
      <c r="Y705" s="148"/>
      <c r="Z705" s="87"/>
      <c r="AA705" s="87"/>
      <c r="AB705" s="87" t="str">
        <f>IF($A705="","",IF($AK705=TRUE,"Ready 2 Submit","Waiting on Dealer"))</f>
        <v/>
      </c>
      <c r="AC705" s="148"/>
      <c r="AD705" s="87"/>
      <c r="AE705" s="87"/>
      <c r="AF705" s="87" t="str">
        <f>IF($A705="","",IF($AK705=TRUE,"Ready 2 Submit","Waiting on Dealer"))</f>
        <v/>
      </c>
      <c r="AG705" s="148"/>
      <c r="AH705" s="87"/>
      <c r="AI705" s="87"/>
      <c r="AJ705" s="197"/>
      <c r="AK705" s="110" t="b">
        <v>0</v>
      </c>
      <c r="AL705" s="87" t="str" cm="1">
        <f t="array" ref="AL705">IF($A705="","",SUMPRODUCT((CHOOSE({1,2,3,4,5},$R705,$V705,$Z705,$AD705,$AH705)="Yes")*(((CHOOSE({1,2,3,4,5},$S705,$W705,$AA705,$AE705,$AI705)="Yes")+(CHOOSE({1,2,3,4,5},$S705,$W705,$AA705,$AE705,$AI705)=TRUE))&gt;0)))</f>
        <v/>
      </c>
      <c r="AM705" s="87"/>
      <c r="AN705" s="87" t="str">
        <f ca="1">IF(OR($A705="",$AM705=""),"",TODAY()-$AM705)</f>
        <v/>
      </c>
      <c r="AO705" s="87"/>
      <c r="AP705" s="106"/>
      <c r="AQ705" s="106"/>
      <c r="AR705" s="106"/>
      <c r="AS705" s="106"/>
      <c r="AT705" s="106"/>
      <c r="AU705" s="106"/>
      <c r="AV705" s="106"/>
      <c r="AW705" s="106"/>
      <c r="AX705" s="106"/>
      <c r="AY705" s="106"/>
    </row>
    <row r="706" spans="1:51" s="20" customFormat="1" ht="21" customHeight="1">
      <c r="A706" s="197"/>
      <c r="B706" s="87"/>
      <c r="C706" s="87"/>
      <c r="D706" s="196"/>
      <c r="E706" s="108"/>
      <c r="F706" s="196"/>
      <c r="G706" s="87"/>
      <c r="H706" s="197"/>
      <c r="I706" s="89"/>
      <c r="J706" s="204"/>
      <c r="K706" s="87"/>
      <c r="L706" s="87" t="str" cm="1">
        <f t="array" ref="L706">IF($A706="","",_xlfn.LET(_xlpm.stat,CHOOSE({1,2,3,4,5},$P706,$T706,$X706,$AB706,$AF706),_xlpm.rate,CHOOSE({1,2,3,4,5},$R706,$V706,$Z706,$AD706,$AH706),_xlpm.trn,CHOOSE({1,2,3,4,5},$S706,$W706,$AA706,$AE706,$AI706),_xlpm.nsC,SUMPRODUCT(--(_xlpm.stat="Ready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DLR",IF(AND(_xlpm.actRS&gt;0,_xlpm.actDone&lt;_xlpm.actRS),"Training",IF(_xlpm.actRS&gt;0,"Active",IF(AND(_xlpm.decC&gt;0,_xlpm.inPlay+_xlpm.actC=0),"Dead",IF(AND($AJ706&lt;&gt;"",$AK706=FALSE),"Waiting on Dealer",IF(_xlpm.subC&gt;0,"Waiting on Lender",IF(AND(_xlpm.appC+_xlpm.actC&gt;0,_xlpm.nsC+_xlpm.wdC=0),"Rate Sheet","Application Submitted")))))))))</f>
        <v/>
      </c>
      <c r="M706" s="87"/>
      <c r="N706" s="87"/>
      <c r="O706" s="197"/>
      <c r="P706" s="87" t="str">
        <f>IF($A706="","",IF($AK706=TRUE,"Ready 2 Submit","Waiting on Dealer"))</f>
        <v/>
      </c>
      <c r="Q706" s="148"/>
      <c r="R706" s="87"/>
      <c r="S706" s="87"/>
      <c r="T706" s="87" t="str">
        <f>IF($A706="","",IF($AK706=TRUE,"Ready 2 Submit","Waiting on Dealer"))</f>
        <v/>
      </c>
      <c r="U706" s="148"/>
      <c r="V706" s="87"/>
      <c r="W706" s="87"/>
      <c r="X706" s="87" t="str">
        <f>IF($A706="","",IF($AK706=TRUE,"Ready 2 Submit","Waiting on Dealer"))</f>
        <v/>
      </c>
      <c r="Y706" s="148"/>
      <c r="Z706" s="87"/>
      <c r="AA706" s="87"/>
      <c r="AB706" s="87" t="str">
        <f>IF($A706="","",IF($AK706=TRUE,"Ready 2 Submit","Waiting on Dealer"))</f>
        <v/>
      </c>
      <c r="AC706" s="148"/>
      <c r="AD706" s="87"/>
      <c r="AE706" s="87"/>
      <c r="AF706" s="87" t="str">
        <f>IF($A706="","",IF($AK706=TRUE,"Ready 2 Submit","Waiting on Dealer"))</f>
        <v/>
      </c>
      <c r="AG706" s="148"/>
      <c r="AH706" s="87"/>
      <c r="AI706" s="87"/>
      <c r="AJ706" s="197"/>
      <c r="AK706" s="110" t="b">
        <v>0</v>
      </c>
      <c r="AL706" s="87" t="str" cm="1">
        <f t="array" ref="AL706">IF($A706="","",SUMPRODUCT((CHOOSE({1,2,3,4,5},$R706,$V706,$Z706,$AD706,$AH706)="Yes")*(((CHOOSE({1,2,3,4,5},$S706,$W706,$AA706,$AE706,$AI706)="Yes")+(CHOOSE({1,2,3,4,5},$S706,$W706,$AA706,$AE706,$AI706)=TRUE))&gt;0)))</f>
        <v/>
      </c>
      <c r="AM706" s="87"/>
      <c r="AN706" s="87" t="str">
        <f ca="1">IF(OR($A706="",$AM706=""),"",TODAY()-$AM706)</f>
        <v/>
      </c>
      <c r="AO706" s="87"/>
      <c r="AP706" s="106"/>
      <c r="AQ706" s="106"/>
      <c r="AR706" s="106"/>
      <c r="AS706" s="106"/>
      <c r="AT706" s="106"/>
      <c r="AU706" s="106"/>
      <c r="AV706" s="106"/>
      <c r="AW706" s="106"/>
      <c r="AX706" s="106"/>
      <c r="AY706" s="106"/>
    </row>
    <row r="707" spans="1:51" s="20" customFormat="1" ht="21" customHeight="1">
      <c r="A707" s="197"/>
      <c r="B707" s="87"/>
      <c r="C707" s="87"/>
      <c r="D707" s="196"/>
      <c r="E707" s="108"/>
      <c r="F707" s="196"/>
      <c r="G707" s="87"/>
      <c r="H707" s="197"/>
      <c r="I707" s="89"/>
      <c r="J707" s="204"/>
      <c r="K707" s="87"/>
      <c r="L707" s="87" t="str" cm="1">
        <f t="array" ref="L707">IF($A707="","",_xlfn.LET(_xlpm.stat,CHOOSE({1,2,3,4,5},$P707,$T707,$X707,$AB707,$AF707),_xlpm.rate,CHOOSE({1,2,3,4,5},$R707,$V707,$Z707,$AD707,$AH707),_xlpm.trn,CHOOSE({1,2,3,4,5},$S707,$W707,$AA707,$AE707,$AI707),_xlpm.nsC,SUMPRODUCT(--(_xlpm.stat="Ready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DLR",IF(AND(_xlpm.actRS&gt;0,_xlpm.actDone&lt;_xlpm.actRS),"Training",IF(_xlpm.actRS&gt;0,"Active",IF(AND(_xlpm.decC&gt;0,_xlpm.inPlay+_xlpm.actC=0),"Dead",IF(AND($AJ707&lt;&gt;"",$AK707=FALSE),"Waiting on Dealer",IF(_xlpm.subC&gt;0,"Waiting on Lender",IF(AND(_xlpm.appC+_xlpm.actC&gt;0,_xlpm.nsC+_xlpm.wdC=0),"Rate Sheet","Application Submitted")))))))))</f>
        <v/>
      </c>
      <c r="M707" s="87"/>
      <c r="N707" s="87"/>
      <c r="O707" s="197"/>
      <c r="P707" s="87" t="str">
        <f>IF($A707="","",IF($AK707=TRUE,"Ready 2 Submit","Waiting on Dealer"))</f>
        <v/>
      </c>
      <c r="Q707" s="148"/>
      <c r="R707" s="87"/>
      <c r="S707" s="87"/>
      <c r="T707" s="87" t="str">
        <f>IF($A707="","",IF($AK707=TRUE,"Ready 2 Submit","Waiting on Dealer"))</f>
        <v/>
      </c>
      <c r="U707" s="148"/>
      <c r="V707" s="87"/>
      <c r="W707" s="87"/>
      <c r="X707" s="87" t="str">
        <f>IF($A707="","",IF($AK707=TRUE,"Ready 2 Submit","Waiting on Dealer"))</f>
        <v/>
      </c>
      <c r="Y707" s="148"/>
      <c r="Z707" s="87"/>
      <c r="AA707" s="87"/>
      <c r="AB707" s="87" t="str">
        <f>IF($A707="","",IF($AK707=TRUE,"Ready 2 Submit","Waiting on Dealer"))</f>
        <v/>
      </c>
      <c r="AC707" s="148"/>
      <c r="AD707" s="87"/>
      <c r="AE707" s="87"/>
      <c r="AF707" s="87" t="str">
        <f>IF($A707="","",IF($AK707=TRUE,"Ready 2 Submit","Waiting on Dealer"))</f>
        <v/>
      </c>
      <c r="AG707" s="148"/>
      <c r="AH707" s="87"/>
      <c r="AI707" s="87"/>
      <c r="AJ707" s="197"/>
      <c r="AK707" s="110" t="b">
        <v>0</v>
      </c>
      <c r="AL707" s="87" t="str" cm="1">
        <f t="array" ref="AL707">IF($A707="","",SUMPRODUCT((CHOOSE({1,2,3,4,5},$R707,$V707,$Z707,$AD707,$AH707)="Yes")*(((CHOOSE({1,2,3,4,5},$S707,$W707,$AA707,$AE707,$AI707)="Yes")+(CHOOSE({1,2,3,4,5},$S707,$W707,$AA707,$AE707,$AI707)=TRUE))&gt;0)))</f>
        <v/>
      </c>
      <c r="AM707" s="87"/>
      <c r="AN707" s="87" t="str">
        <f ca="1">IF(OR($A707="",$AM707=""),"",TODAY()-$AM707)</f>
        <v/>
      </c>
      <c r="AO707" s="87"/>
      <c r="AP707" s="106"/>
      <c r="AQ707" s="106"/>
      <c r="AR707" s="106"/>
      <c r="AS707" s="106"/>
      <c r="AT707" s="106"/>
      <c r="AU707" s="106"/>
      <c r="AV707" s="106"/>
      <c r="AW707" s="106"/>
      <c r="AX707" s="106"/>
      <c r="AY707" s="106"/>
    </row>
    <row r="708" spans="1:51" s="20" customFormat="1" ht="21" customHeight="1">
      <c r="A708" s="197"/>
      <c r="B708" s="87"/>
      <c r="C708" s="87"/>
      <c r="D708" s="196"/>
      <c r="E708" s="108"/>
      <c r="F708" s="196"/>
      <c r="G708" s="87"/>
      <c r="H708" s="197"/>
      <c r="I708" s="89"/>
      <c r="J708" s="204"/>
      <c r="K708" s="87"/>
      <c r="L708" s="87" t="str" cm="1">
        <f t="array" ref="L708">IF($A708="","",_xlfn.LET(_xlpm.stat,CHOOSE({1,2,3,4,5},$P708,$T708,$X708,$AB708,$AF708),_xlpm.rate,CHOOSE({1,2,3,4,5},$R708,$V708,$Z708,$AD708,$AH708),_xlpm.trn,CHOOSE({1,2,3,4,5},$S708,$W708,$AA708,$AE708,$AI708),_xlpm.nsC,SUMPRODUCT(--(_xlpm.stat="Ready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DLR",IF(AND(_xlpm.actRS&gt;0,_xlpm.actDone&lt;_xlpm.actRS),"Training",IF(_xlpm.actRS&gt;0,"Active",IF(AND(_xlpm.decC&gt;0,_xlpm.inPlay+_xlpm.actC=0),"Dead",IF(AND($AJ708&lt;&gt;"",$AK708=FALSE),"Waiting on Dealer",IF(_xlpm.subC&gt;0,"Waiting on Lender",IF(AND(_xlpm.appC+_xlpm.actC&gt;0,_xlpm.nsC+_xlpm.wdC=0),"Rate Sheet","Application Submitted")))))))))</f>
        <v/>
      </c>
      <c r="M708" s="87"/>
      <c r="N708" s="87"/>
      <c r="O708" s="197"/>
      <c r="P708" s="87" t="str">
        <f>IF($A708="","",IF($AK708=TRUE,"Ready 2 Submit","Waiting on Dealer"))</f>
        <v/>
      </c>
      <c r="Q708" s="148"/>
      <c r="R708" s="87"/>
      <c r="S708" s="87"/>
      <c r="T708" s="87" t="str">
        <f>IF($A708="","",IF($AK708=TRUE,"Ready 2 Submit","Waiting on Dealer"))</f>
        <v/>
      </c>
      <c r="U708" s="148"/>
      <c r="V708" s="87"/>
      <c r="W708" s="87"/>
      <c r="X708" s="87" t="str">
        <f>IF($A708="","",IF($AK708=TRUE,"Ready 2 Submit","Waiting on Dealer"))</f>
        <v/>
      </c>
      <c r="Y708" s="148"/>
      <c r="Z708" s="87"/>
      <c r="AA708" s="87"/>
      <c r="AB708" s="87" t="str">
        <f>IF($A708="","",IF($AK708=TRUE,"Ready 2 Submit","Waiting on Dealer"))</f>
        <v/>
      </c>
      <c r="AC708" s="148"/>
      <c r="AD708" s="87"/>
      <c r="AE708" s="87"/>
      <c r="AF708" s="87" t="str">
        <f>IF($A708="","",IF($AK708=TRUE,"Ready 2 Submit","Waiting on Dealer"))</f>
        <v/>
      </c>
      <c r="AG708" s="148"/>
      <c r="AH708" s="87"/>
      <c r="AI708" s="87"/>
      <c r="AJ708" s="197"/>
      <c r="AK708" s="110" t="b">
        <v>0</v>
      </c>
      <c r="AL708" s="87" t="str" cm="1">
        <f t="array" ref="AL708">IF($A708="","",SUMPRODUCT((CHOOSE({1,2,3,4,5},$R708,$V708,$Z708,$AD708,$AH708)="Yes")*(((CHOOSE({1,2,3,4,5},$S708,$W708,$AA708,$AE708,$AI708)="Yes")+(CHOOSE({1,2,3,4,5},$S708,$W708,$AA708,$AE708,$AI708)=TRUE))&gt;0)))</f>
        <v/>
      </c>
      <c r="AM708" s="87"/>
      <c r="AN708" s="87" t="str">
        <f ca="1">IF(OR($A708="",$AM708=""),"",TODAY()-$AM708)</f>
        <v/>
      </c>
      <c r="AO708" s="87"/>
      <c r="AP708" s="106"/>
      <c r="AQ708" s="106"/>
      <c r="AR708" s="106"/>
      <c r="AS708" s="106"/>
      <c r="AT708" s="106"/>
      <c r="AU708" s="106"/>
      <c r="AV708" s="106"/>
      <c r="AW708" s="106"/>
      <c r="AX708" s="106"/>
      <c r="AY708" s="106"/>
    </row>
    <row r="709" spans="1:51" s="20" customFormat="1" ht="21" customHeight="1">
      <c r="A709" s="197"/>
      <c r="B709" s="87"/>
      <c r="C709" s="87"/>
      <c r="D709" s="196"/>
      <c r="E709" s="108"/>
      <c r="F709" s="196"/>
      <c r="G709" s="87"/>
      <c r="H709" s="197"/>
      <c r="I709" s="89"/>
      <c r="J709" s="204"/>
      <c r="K709" s="87"/>
      <c r="L709" s="87" t="str" cm="1">
        <f t="array" ref="L709">IF($A709="","",_xlfn.LET(_xlpm.stat,CHOOSE({1,2,3,4,5},$P709,$T709,$X709,$AB709,$AF709),_xlpm.rate,CHOOSE({1,2,3,4,5},$R709,$V709,$Z709,$AD709,$AH709),_xlpm.trn,CHOOSE({1,2,3,4,5},$S709,$W709,$AA709,$AE709,$AI709),_xlpm.nsC,SUMPRODUCT(--(_xlpm.stat="Ready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DLR",IF(AND(_xlpm.actRS&gt;0,_xlpm.actDone&lt;_xlpm.actRS),"Training",IF(_xlpm.actRS&gt;0,"Active",IF(AND(_xlpm.decC&gt;0,_xlpm.inPlay+_xlpm.actC=0),"Dead",IF(AND($AJ709&lt;&gt;"",$AK709=FALSE),"Waiting on Dealer",IF(_xlpm.subC&gt;0,"Waiting on Lender",IF(AND(_xlpm.appC+_xlpm.actC&gt;0,_xlpm.nsC+_xlpm.wdC=0),"Rate Sheet","Application Submitted")))))))))</f>
        <v/>
      </c>
      <c r="M709" s="87"/>
      <c r="N709" s="87"/>
      <c r="O709" s="197"/>
      <c r="P709" s="87" t="str">
        <f>IF($A709="","",IF($AK709=TRUE,"Ready 2 Submit","Waiting on Dealer"))</f>
        <v/>
      </c>
      <c r="Q709" s="148"/>
      <c r="R709" s="87"/>
      <c r="S709" s="87"/>
      <c r="T709" s="87" t="str">
        <f>IF($A709="","",IF($AK709=TRUE,"Ready 2 Submit","Waiting on Dealer"))</f>
        <v/>
      </c>
      <c r="U709" s="148"/>
      <c r="V709" s="87"/>
      <c r="W709" s="87"/>
      <c r="X709" s="87" t="str">
        <f>IF($A709="","",IF($AK709=TRUE,"Ready 2 Submit","Waiting on Dealer"))</f>
        <v/>
      </c>
      <c r="Y709" s="148"/>
      <c r="Z709" s="87"/>
      <c r="AA709" s="87"/>
      <c r="AB709" s="87" t="str">
        <f>IF($A709="","",IF($AK709=TRUE,"Ready 2 Submit","Waiting on Dealer"))</f>
        <v/>
      </c>
      <c r="AC709" s="148"/>
      <c r="AD709" s="87"/>
      <c r="AE709" s="87"/>
      <c r="AF709" s="87" t="str">
        <f>IF($A709="","",IF($AK709=TRUE,"Ready 2 Submit","Waiting on Dealer"))</f>
        <v/>
      </c>
      <c r="AG709" s="148"/>
      <c r="AH709" s="87"/>
      <c r="AI709" s="87"/>
      <c r="AJ709" s="197"/>
      <c r="AK709" s="110" t="b">
        <v>0</v>
      </c>
      <c r="AL709" s="87" t="str" cm="1">
        <f t="array" ref="AL709">IF($A709="","",SUMPRODUCT((CHOOSE({1,2,3,4,5},$R709,$V709,$Z709,$AD709,$AH709)="Yes")*(((CHOOSE({1,2,3,4,5},$S709,$W709,$AA709,$AE709,$AI709)="Yes")+(CHOOSE({1,2,3,4,5},$S709,$W709,$AA709,$AE709,$AI709)=TRUE))&gt;0)))</f>
        <v/>
      </c>
      <c r="AM709" s="87"/>
      <c r="AN709" s="87" t="str">
        <f ca="1">IF(OR($A709="",$AM709=""),"",TODAY()-$AM709)</f>
        <v/>
      </c>
      <c r="AO709" s="87"/>
      <c r="AP709" s="106"/>
      <c r="AQ709" s="106"/>
      <c r="AR709" s="106"/>
      <c r="AS709" s="106"/>
      <c r="AT709" s="106"/>
      <c r="AU709" s="106"/>
      <c r="AV709" s="106"/>
      <c r="AW709" s="106"/>
      <c r="AX709" s="106"/>
      <c r="AY709" s="106"/>
    </row>
    <row r="710" spans="1:51" s="20" customFormat="1" ht="21" customHeight="1">
      <c r="A710" s="197"/>
      <c r="B710" s="87"/>
      <c r="C710" s="87"/>
      <c r="D710" s="196"/>
      <c r="E710" s="108"/>
      <c r="F710" s="196"/>
      <c r="G710" s="87"/>
      <c r="H710" s="197"/>
      <c r="I710" s="89"/>
      <c r="J710" s="204"/>
      <c r="K710" s="87"/>
      <c r="L710" s="87" t="str" cm="1">
        <f t="array" ref="L710">IF($A710="","",_xlfn.LET(_xlpm.stat,CHOOSE({1,2,3,4,5},$P710,$T710,$X710,$AB710,$AF710),_xlpm.rate,CHOOSE({1,2,3,4,5},$R710,$V710,$Z710,$AD710,$AH710),_xlpm.trn,CHOOSE({1,2,3,4,5},$S710,$W710,$AA710,$AE710,$AI710),_xlpm.nsC,SUMPRODUCT(--(_xlpm.stat="Ready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DLR",IF(AND(_xlpm.actRS&gt;0,_xlpm.actDone&lt;_xlpm.actRS),"Training",IF(_xlpm.actRS&gt;0,"Active",IF(AND(_xlpm.decC&gt;0,_xlpm.inPlay+_xlpm.actC=0),"Dead",IF(AND($AJ710&lt;&gt;"",$AK710=FALSE),"Waiting on Dealer",IF(_xlpm.subC&gt;0,"Waiting on Lender",IF(AND(_xlpm.appC+_xlpm.actC&gt;0,_xlpm.nsC+_xlpm.wdC=0),"Rate Sheet","Application Submitted")))))))))</f>
        <v/>
      </c>
      <c r="M710" s="87"/>
      <c r="N710" s="87"/>
      <c r="O710" s="197"/>
      <c r="P710" s="87" t="str">
        <f>IF($A710="","",IF($AK710=TRUE,"Ready 2 Submit","Waiting on Dealer"))</f>
        <v/>
      </c>
      <c r="Q710" s="148"/>
      <c r="R710" s="87"/>
      <c r="S710" s="87"/>
      <c r="T710" s="87" t="str">
        <f>IF($A710="","",IF($AK710=TRUE,"Ready 2 Submit","Waiting on Dealer"))</f>
        <v/>
      </c>
      <c r="U710" s="148"/>
      <c r="V710" s="87"/>
      <c r="W710" s="87"/>
      <c r="X710" s="87" t="str">
        <f>IF($A710="","",IF($AK710=TRUE,"Ready 2 Submit","Waiting on Dealer"))</f>
        <v/>
      </c>
      <c r="Y710" s="148"/>
      <c r="Z710" s="87"/>
      <c r="AA710" s="87"/>
      <c r="AB710" s="87" t="str">
        <f>IF($A710="","",IF($AK710=TRUE,"Ready 2 Submit","Waiting on Dealer"))</f>
        <v/>
      </c>
      <c r="AC710" s="148"/>
      <c r="AD710" s="87"/>
      <c r="AE710" s="87"/>
      <c r="AF710" s="87" t="str">
        <f>IF($A710="","",IF($AK710=TRUE,"Ready 2 Submit","Waiting on Dealer"))</f>
        <v/>
      </c>
      <c r="AG710" s="148"/>
      <c r="AH710" s="87"/>
      <c r="AI710" s="87"/>
      <c r="AJ710" s="197"/>
      <c r="AK710" s="110" t="b">
        <v>0</v>
      </c>
      <c r="AL710" s="87" t="str" cm="1">
        <f t="array" ref="AL710">IF($A710="","",SUMPRODUCT((CHOOSE({1,2,3,4,5},$R710,$V710,$Z710,$AD710,$AH710)="Yes")*(((CHOOSE({1,2,3,4,5},$S710,$W710,$AA710,$AE710,$AI710)="Yes")+(CHOOSE({1,2,3,4,5},$S710,$W710,$AA710,$AE710,$AI710)=TRUE))&gt;0)))</f>
        <v/>
      </c>
      <c r="AM710" s="87"/>
      <c r="AN710" s="87" t="str">
        <f ca="1">IF(OR($A710="",$AM710=""),"",TODAY()-$AM710)</f>
        <v/>
      </c>
      <c r="AO710" s="87"/>
      <c r="AP710" s="106"/>
      <c r="AQ710" s="106"/>
      <c r="AR710" s="106"/>
      <c r="AS710" s="106"/>
      <c r="AT710" s="106"/>
      <c r="AU710" s="106"/>
      <c r="AV710" s="106"/>
      <c r="AW710" s="106"/>
      <c r="AX710" s="106"/>
      <c r="AY710" s="106"/>
    </row>
    <row r="711" spans="1:51" s="20" customFormat="1" ht="21" customHeight="1">
      <c r="A711" s="197"/>
      <c r="B711" s="87"/>
      <c r="C711" s="87"/>
      <c r="D711" s="196"/>
      <c r="E711" s="108"/>
      <c r="F711" s="196"/>
      <c r="G711" s="87"/>
      <c r="H711" s="197"/>
      <c r="I711" s="89"/>
      <c r="J711" s="204"/>
      <c r="K711" s="87"/>
      <c r="L711" s="87" t="str" cm="1">
        <f t="array" ref="L711">IF($A711="","",_xlfn.LET(_xlpm.stat,CHOOSE({1,2,3,4,5},$P711,$T711,$X711,$AB711,$AF711),_xlpm.rate,CHOOSE({1,2,3,4,5},$R711,$V711,$Z711,$AD711,$AH711),_xlpm.trn,CHOOSE({1,2,3,4,5},$S711,$W711,$AA711,$AE711,$AI711),_xlpm.nsC,SUMPRODUCT(--(_xlpm.stat="Ready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DLR",IF(AND(_xlpm.actRS&gt;0,_xlpm.actDone&lt;_xlpm.actRS),"Training",IF(_xlpm.actRS&gt;0,"Active",IF(AND(_xlpm.decC&gt;0,_xlpm.inPlay+_xlpm.actC=0),"Dead",IF(AND($AJ711&lt;&gt;"",$AK711=FALSE),"Waiting on Dealer",IF(_xlpm.subC&gt;0,"Waiting on Lender",IF(AND(_xlpm.appC+_xlpm.actC&gt;0,_xlpm.nsC+_xlpm.wdC=0),"Rate Sheet","Application Submitted")))))))))</f>
        <v/>
      </c>
      <c r="M711" s="87"/>
      <c r="N711" s="87"/>
      <c r="O711" s="197"/>
      <c r="P711" s="87" t="str">
        <f>IF($A711="","",IF($AK711=TRUE,"Ready 2 Submit","Waiting on Dealer"))</f>
        <v/>
      </c>
      <c r="Q711" s="148"/>
      <c r="R711" s="87"/>
      <c r="S711" s="87"/>
      <c r="T711" s="87" t="str">
        <f>IF($A711="","",IF($AK711=TRUE,"Ready 2 Submit","Waiting on Dealer"))</f>
        <v/>
      </c>
      <c r="U711" s="148"/>
      <c r="V711" s="87"/>
      <c r="W711" s="87"/>
      <c r="X711" s="87" t="str">
        <f>IF($A711="","",IF($AK711=TRUE,"Ready 2 Submit","Waiting on Dealer"))</f>
        <v/>
      </c>
      <c r="Y711" s="148"/>
      <c r="Z711" s="87"/>
      <c r="AA711" s="87"/>
      <c r="AB711" s="87" t="str">
        <f>IF($A711="","",IF($AK711=TRUE,"Ready 2 Submit","Waiting on Dealer"))</f>
        <v/>
      </c>
      <c r="AC711" s="148"/>
      <c r="AD711" s="87"/>
      <c r="AE711" s="87"/>
      <c r="AF711" s="87" t="str">
        <f>IF($A711="","",IF($AK711=TRUE,"Ready 2 Submit","Waiting on Dealer"))</f>
        <v/>
      </c>
      <c r="AG711" s="148"/>
      <c r="AH711" s="87"/>
      <c r="AI711" s="87"/>
      <c r="AJ711" s="197"/>
      <c r="AK711" s="110" t="b">
        <v>0</v>
      </c>
      <c r="AL711" s="87" t="str" cm="1">
        <f t="array" ref="AL711">IF($A711="","",SUMPRODUCT((CHOOSE({1,2,3,4,5},$R711,$V711,$Z711,$AD711,$AH711)="Yes")*(((CHOOSE({1,2,3,4,5},$S711,$W711,$AA711,$AE711,$AI711)="Yes")+(CHOOSE({1,2,3,4,5},$S711,$W711,$AA711,$AE711,$AI711)=TRUE))&gt;0)))</f>
        <v/>
      </c>
      <c r="AM711" s="87"/>
      <c r="AN711" s="87" t="str">
        <f ca="1">IF(OR($A711="",$AM711=""),"",TODAY()-$AM711)</f>
        <v/>
      </c>
      <c r="AO711" s="87"/>
      <c r="AP711" s="106"/>
      <c r="AQ711" s="106"/>
      <c r="AR711" s="106"/>
      <c r="AS711" s="106"/>
      <c r="AT711" s="106"/>
      <c r="AU711" s="106"/>
      <c r="AV711" s="106"/>
      <c r="AW711" s="106"/>
      <c r="AX711" s="106"/>
      <c r="AY711" s="106"/>
    </row>
    <row r="712" spans="1:51" s="20" customFormat="1" ht="21" customHeight="1">
      <c r="A712" s="197"/>
      <c r="B712" s="87"/>
      <c r="C712" s="87"/>
      <c r="D712" s="196"/>
      <c r="E712" s="108"/>
      <c r="F712" s="196"/>
      <c r="G712" s="87"/>
      <c r="H712" s="197"/>
      <c r="I712" s="89"/>
      <c r="J712" s="204"/>
      <c r="K712" s="87"/>
      <c r="L712" s="87" t="str" cm="1">
        <f t="array" ref="L712">IF($A712="","",_xlfn.LET(_xlpm.stat,CHOOSE({1,2,3,4,5},$P712,$T712,$X712,$AB712,$AF712),_xlpm.rate,CHOOSE({1,2,3,4,5},$R712,$V712,$Z712,$AD712,$AH712),_xlpm.trn,CHOOSE({1,2,3,4,5},$S712,$W712,$AA712,$AE712,$AI712),_xlpm.nsC,SUMPRODUCT(--(_xlpm.stat="Ready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DLR",IF(AND(_xlpm.actRS&gt;0,_xlpm.actDone&lt;_xlpm.actRS),"Training",IF(_xlpm.actRS&gt;0,"Active",IF(AND(_xlpm.decC&gt;0,_xlpm.inPlay+_xlpm.actC=0),"Dead",IF(AND($AJ712&lt;&gt;"",$AK712=FALSE),"Waiting on Dealer",IF(_xlpm.subC&gt;0,"Waiting on Lender",IF(AND(_xlpm.appC+_xlpm.actC&gt;0,_xlpm.nsC+_xlpm.wdC=0),"Rate Sheet","Application Submitted")))))))))</f>
        <v/>
      </c>
      <c r="M712" s="87"/>
      <c r="N712" s="87"/>
      <c r="O712" s="197"/>
      <c r="P712" s="87" t="str">
        <f>IF($A712="","",IF($AK712=TRUE,"Ready 2 Submit","Waiting on Dealer"))</f>
        <v/>
      </c>
      <c r="Q712" s="148"/>
      <c r="R712" s="87"/>
      <c r="S712" s="87"/>
      <c r="T712" s="87" t="str">
        <f>IF($A712="","",IF($AK712=TRUE,"Ready 2 Submit","Waiting on Dealer"))</f>
        <v/>
      </c>
      <c r="U712" s="148"/>
      <c r="V712" s="87"/>
      <c r="W712" s="87"/>
      <c r="X712" s="87" t="str">
        <f>IF($A712="","",IF($AK712=TRUE,"Ready 2 Submit","Waiting on Dealer"))</f>
        <v/>
      </c>
      <c r="Y712" s="148"/>
      <c r="Z712" s="87"/>
      <c r="AA712" s="87"/>
      <c r="AB712" s="87" t="str">
        <f>IF($A712="","",IF($AK712=TRUE,"Ready 2 Submit","Waiting on Dealer"))</f>
        <v/>
      </c>
      <c r="AC712" s="148"/>
      <c r="AD712" s="87"/>
      <c r="AE712" s="87"/>
      <c r="AF712" s="87" t="str">
        <f>IF($A712="","",IF($AK712=TRUE,"Ready 2 Submit","Waiting on Dealer"))</f>
        <v/>
      </c>
      <c r="AG712" s="148"/>
      <c r="AH712" s="87"/>
      <c r="AI712" s="87"/>
      <c r="AJ712" s="197"/>
      <c r="AK712" s="110" t="b">
        <v>0</v>
      </c>
      <c r="AL712" s="87" t="str" cm="1">
        <f t="array" ref="AL712">IF($A712="","",SUMPRODUCT((CHOOSE({1,2,3,4,5},$R712,$V712,$Z712,$AD712,$AH712)="Yes")*(((CHOOSE({1,2,3,4,5},$S712,$W712,$AA712,$AE712,$AI712)="Yes")+(CHOOSE({1,2,3,4,5},$S712,$W712,$AA712,$AE712,$AI712)=TRUE))&gt;0)))</f>
        <v/>
      </c>
      <c r="AM712" s="87"/>
      <c r="AN712" s="87" t="str">
        <f ca="1">IF(OR($A712="",$AM712=""),"",TODAY()-$AM712)</f>
        <v/>
      </c>
      <c r="AO712" s="87"/>
      <c r="AP712" s="106"/>
      <c r="AQ712" s="106"/>
      <c r="AR712" s="106"/>
      <c r="AS712" s="106"/>
      <c r="AT712" s="106"/>
      <c r="AU712" s="106"/>
      <c r="AV712" s="106"/>
      <c r="AW712" s="106"/>
      <c r="AX712" s="106"/>
      <c r="AY712" s="106"/>
    </row>
    <row r="713" spans="1:51" s="20" customFormat="1" ht="21" customHeight="1">
      <c r="A713" s="197"/>
      <c r="B713" s="87"/>
      <c r="C713" s="87"/>
      <c r="D713" s="196"/>
      <c r="E713" s="108"/>
      <c r="F713" s="196"/>
      <c r="G713" s="87"/>
      <c r="H713" s="197"/>
      <c r="I713" s="89"/>
      <c r="J713" s="204"/>
      <c r="K713" s="87"/>
      <c r="L713" s="87" t="str" cm="1">
        <f t="array" ref="L713">IF($A713="","",_xlfn.LET(_xlpm.stat,CHOOSE({1,2,3,4,5},$P713,$T713,$X713,$AB713,$AF713),_xlpm.rate,CHOOSE({1,2,3,4,5},$R713,$V713,$Z713,$AD713,$AH713),_xlpm.trn,CHOOSE({1,2,3,4,5},$S713,$W713,$AA713,$AE713,$AI713),_xlpm.nsC,SUMPRODUCT(--(_xlpm.stat="Ready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DLR",IF(AND(_xlpm.actRS&gt;0,_xlpm.actDone&lt;_xlpm.actRS),"Training",IF(_xlpm.actRS&gt;0,"Active",IF(AND(_xlpm.decC&gt;0,_xlpm.inPlay+_xlpm.actC=0),"Dead",IF(AND($AJ713&lt;&gt;"",$AK713=FALSE),"Waiting on Dealer",IF(_xlpm.subC&gt;0,"Waiting on Lender",IF(AND(_xlpm.appC+_xlpm.actC&gt;0,_xlpm.nsC+_xlpm.wdC=0),"Rate Sheet","Application Submitted")))))))))</f>
        <v/>
      </c>
      <c r="M713" s="87"/>
      <c r="N713" s="87"/>
      <c r="O713" s="197"/>
      <c r="P713" s="87" t="str">
        <f>IF($A713="","",IF($AK713=TRUE,"Ready 2 Submit","Waiting on Dealer"))</f>
        <v/>
      </c>
      <c r="Q713" s="148"/>
      <c r="R713" s="87"/>
      <c r="S713" s="87"/>
      <c r="T713" s="87" t="str">
        <f>IF($A713="","",IF($AK713=TRUE,"Ready 2 Submit","Waiting on Dealer"))</f>
        <v/>
      </c>
      <c r="U713" s="148"/>
      <c r="V713" s="87"/>
      <c r="W713" s="87"/>
      <c r="X713" s="87" t="str">
        <f>IF($A713="","",IF($AK713=TRUE,"Ready 2 Submit","Waiting on Dealer"))</f>
        <v/>
      </c>
      <c r="Y713" s="148"/>
      <c r="Z713" s="87"/>
      <c r="AA713" s="87"/>
      <c r="AB713" s="87" t="str">
        <f>IF($A713="","",IF($AK713=TRUE,"Ready 2 Submit","Waiting on Dealer"))</f>
        <v/>
      </c>
      <c r="AC713" s="148"/>
      <c r="AD713" s="87"/>
      <c r="AE713" s="87"/>
      <c r="AF713" s="87" t="str">
        <f>IF($A713="","",IF($AK713=TRUE,"Ready 2 Submit","Waiting on Dealer"))</f>
        <v/>
      </c>
      <c r="AG713" s="148"/>
      <c r="AH713" s="87"/>
      <c r="AI713" s="87"/>
      <c r="AJ713" s="197"/>
      <c r="AK713" s="110" t="b">
        <v>0</v>
      </c>
      <c r="AL713" s="87" t="str" cm="1">
        <f t="array" ref="AL713">IF($A713="","",SUMPRODUCT((CHOOSE({1,2,3,4,5},$R713,$V713,$Z713,$AD713,$AH713)="Yes")*(((CHOOSE({1,2,3,4,5},$S713,$W713,$AA713,$AE713,$AI713)="Yes")+(CHOOSE({1,2,3,4,5},$S713,$W713,$AA713,$AE713,$AI713)=TRUE))&gt;0)))</f>
        <v/>
      </c>
      <c r="AM713" s="87"/>
      <c r="AN713" s="87" t="str">
        <f ca="1">IF(OR($A713="",$AM713=""),"",TODAY()-$AM713)</f>
        <v/>
      </c>
      <c r="AO713" s="87"/>
      <c r="AP713" s="106"/>
      <c r="AQ713" s="106"/>
      <c r="AR713" s="106"/>
      <c r="AS713" s="106"/>
      <c r="AT713" s="106"/>
      <c r="AU713" s="106"/>
      <c r="AV713" s="106"/>
      <c r="AW713" s="106"/>
      <c r="AX713" s="106"/>
      <c r="AY713" s="106"/>
    </row>
    <row r="714" spans="1:51" s="20" customFormat="1" ht="21" customHeight="1">
      <c r="A714" s="197"/>
      <c r="B714" s="87"/>
      <c r="C714" s="87"/>
      <c r="D714" s="196"/>
      <c r="E714" s="108"/>
      <c r="F714" s="196"/>
      <c r="G714" s="87"/>
      <c r="H714" s="197"/>
      <c r="I714" s="89"/>
      <c r="J714" s="204"/>
      <c r="K714" s="87"/>
      <c r="L714" s="87" t="str" cm="1">
        <f t="array" ref="L714">IF($A714="","",_xlfn.LET(_xlpm.stat,CHOOSE({1,2,3,4,5},$P714,$T714,$X714,$AB714,$AF714),_xlpm.rate,CHOOSE({1,2,3,4,5},$R714,$V714,$Z714,$AD714,$AH714),_xlpm.trn,CHOOSE({1,2,3,4,5},$S714,$W714,$AA714,$AE714,$AI714),_xlpm.nsC,SUMPRODUCT(--(_xlpm.stat="Ready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DLR",IF(AND(_xlpm.actRS&gt;0,_xlpm.actDone&lt;_xlpm.actRS),"Training",IF(_xlpm.actRS&gt;0,"Active",IF(AND(_xlpm.decC&gt;0,_xlpm.inPlay+_xlpm.actC=0),"Dead",IF(AND($AJ714&lt;&gt;"",$AK714=FALSE),"Waiting on Dealer",IF(_xlpm.subC&gt;0,"Waiting on Lender",IF(AND(_xlpm.appC+_xlpm.actC&gt;0,_xlpm.nsC+_xlpm.wdC=0),"Rate Sheet","Application Submitted")))))))))</f>
        <v/>
      </c>
      <c r="M714" s="87"/>
      <c r="N714" s="87"/>
      <c r="O714" s="197"/>
      <c r="P714" s="87" t="str">
        <f>IF($A714="","",IF($AK714=TRUE,"Ready 2 Submit","Waiting on Dealer"))</f>
        <v/>
      </c>
      <c r="Q714" s="148"/>
      <c r="R714" s="87"/>
      <c r="S714" s="87"/>
      <c r="T714" s="87" t="str">
        <f>IF($A714="","",IF($AK714=TRUE,"Ready 2 Submit","Waiting on Dealer"))</f>
        <v/>
      </c>
      <c r="U714" s="148"/>
      <c r="V714" s="87"/>
      <c r="W714" s="87"/>
      <c r="X714" s="87" t="str">
        <f>IF($A714="","",IF($AK714=TRUE,"Ready 2 Submit","Waiting on Dealer"))</f>
        <v/>
      </c>
      <c r="Y714" s="148"/>
      <c r="Z714" s="87"/>
      <c r="AA714" s="87"/>
      <c r="AB714" s="87" t="str">
        <f>IF($A714="","",IF($AK714=TRUE,"Ready 2 Submit","Waiting on Dealer"))</f>
        <v/>
      </c>
      <c r="AC714" s="148"/>
      <c r="AD714" s="87"/>
      <c r="AE714" s="87"/>
      <c r="AF714" s="87" t="str">
        <f>IF($A714="","",IF($AK714=TRUE,"Ready 2 Submit","Waiting on Dealer"))</f>
        <v/>
      </c>
      <c r="AG714" s="148"/>
      <c r="AH714" s="87"/>
      <c r="AI714" s="87"/>
      <c r="AJ714" s="197"/>
      <c r="AK714" s="110" t="b">
        <v>0</v>
      </c>
      <c r="AL714" s="87" t="str" cm="1">
        <f t="array" ref="AL714">IF($A714="","",SUMPRODUCT((CHOOSE({1,2,3,4,5},$R714,$V714,$Z714,$AD714,$AH714)="Yes")*(((CHOOSE({1,2,3,4,5},$S714,$W714,$AA714,$AE714,$AI714)="Yes")+(CHOOSE({1,2,3,4,5},$S714,$W714,$AA714,$AE714,$AI714)=TRUE))&gt;0)))</f>
        <v/>
      </c>
      <c r="AM714" s="87"/>
      <c r="AN714" s="87" t="str">
        <f ca="1">IF(OR($A714="",$AM714=""),"",TODAY()-$AM714)</f>
        <v/>
      </c>
      <c r="AO714" s="87"/>
      <c r="AP714" s="106"/>
      <c r="AQ714" s="106"/>
      <c r="AR714" s="106"/>
      <c r="AS714" s="106"/>
      <c r="AT714" s="106"/>
      <c r="AU714" s="106"/>
      <c r="AV714" s="106"/>
      <c r="AW714" s="106"/>
      <c r="AX714" s="106"/>
      <c r="AY714" s="106"/>
    </row>
    <row r="715" spans="1:51" s="20" customFormat="1" ht="21" customHeight="1">
      <c r="A715" s="197"/>
      <c r="B715" s="87"/>
      <c r="C715" s="87"/>
      <c r="D715" s="196"/>
      <c r="E715" s="108"/>
      <c r="F715" s="196"/>
      <c r="G715" s="87"/>
      <c r="H715" s="197"/>
      <c r="I715" s="89"/>
      <c r="J715" s="204"/>
      <c r="K715" s="87"/>
      <c r="L715" s="87" t="str" cm="1">
        <f t="array" ref="L715">IF($A715="","",_xlfn.LET(_xlpm.stat,CHOOSE({1,2,3,4,5},$P715,$T715,$X715,$AB715,$AF715),_xlpm.rate,CHOOSE({1,2,3,4,5},$R715,$V715,$Z715,$AD715,$AH715),_xlpm.trn,CHOOSE({1,2,3,4,5},$S715,$W715,$AA715,$AE715,$AI715),_xlpm.nsC,SUMPRODUCT(--(_xlpm.stat="Ready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DLR",IF(AND(_xlpm.actRS&gt;0,_xlpm.actDone&lt;_xlpm.actRS),"Training",IF(_xlpm.actRS&gt;0,"Active",IF(AND(_xlpm.decC&gt;0,_xlpm.inPlay+_xlpm.actC=0),"Dead",IF(AND($AJ715&lt;&gt;"",$AK715=FALSE),"Waiting on Dealer",IF(_xlpm.subC&gt;0,"Waiting on Lender",IF(AND(_xlpm.appC+_xlpm.actC&gt;0,_xlpm.nsC+_xlpm.wdC=0),"Rate Sheet","Application Submitted")))))))))</f>
        <v/>
      </c>
      <c r="M715" s="87"/>
      <c r="N715" s="87"/>
      <c r="O715" s="197"/>
      <c r="P715" s="87" t="str">
        <f>IF($A715="","",IF($AK715=TRUE,"Ready 2 Submit","Waiting on Dealer"))</f>
        <v/>
      </c>
      <c r="Q715" s="148"/>
      <c r="R715" s="87"/>
      <c r="S715" s="87"/>
      <c r="T715" s="87" t="str">
        <f>IF($A715="","",IF($AK715=TRUE,"Ready 2 Submit","Waiting on Dealer"))</f>
        <v/>
      </c>
      <c r="U715" s="148"/>
      <c r="V715" s="87"/>
      <c r="W715" s="87"/>
      <c r="X715" s="87" t="str">
        <f>IF($A715="","",IF($AK715=TRUE,"Ready 2 Submit","Waiting on Dealer"))</f>
        <v/>
      </c>
      <c r="Y715" s="148"/>
      <c r="Z715" s="87"/>
      <c r="AA715" s="87"/>
      <c r="AB715" s="87" t="str">
        <f>IF($A715="","",IF($AK715=TRUE,"Ready 2 Submit","Waiting on Dealer"))</f>
        <v/>
      </c>
      <c r="AC715" s="148"/>
      <c r="AD715" s="87"/>
      <c r="AE715" s="87"/>
      <c r="AF715" s="87" t="str">
        <f>IF($A715="","",IF($AK715=TRUE,"Ready 2 Submit","Waiting on Dealer"))</f>
        <v/>
      </c>
      <c r="AG715" s="148"/>
      <c r="AH715" s="87"/>
      <c r="AI715" s="87"/>
      <c r="AJ715" s="197"/>
      <c r="AK715" s="110" t="b">
        <v>0</v>
      </c>
      <c r="AL715" s="87" t="str" cm="1">
        <f t="array" ref="AL715">IF($A715="","",SUMPRODUCT((CHOOSE({1,2,3,4,5},$R715,$V715,$Z715,$AD715,$AH715)="Yes")*(((CHOOSE({1,2,3,4,5},$S715,$W715,$AA715,$AE715,$AI715)="Yes")+(CHOOSE({1,2,3,4,5},$S715,$W715,$AA715,$AE715,$AI715)=TRUE))&gt;0)))</f>
        <v/>
      </c>
      <c r="AM715" s="87"/>
      <c r="AN715" s="87" t="str">
        <f ca="1">IF(OR($A715="",$AM715=""),"",TODAY()-$AM715)</f>
        <v/>
      </c>
      <c r="AO715" s="87"/>
      <c r="AP715" s="106"/>
      <c r="AQ715" s="106"/>
      <c r="AR715" s="106"/>
      <c r="AS715" s="106"/>
      <c r="AT715" s="106"/>
      <c r="AU715" s="106"/>
      <c r="AV715" s="106"/>
      <c r="AW715" s="106"/>
      <c r="AX715" s="106"/>
      <c r="AY715" s="106"/>
    </row>
    <row r="716" spans="1:51" s="20" customFormat="1" ht="21" customHeight="1">
      <c r="A716" s="197"/>
      <c r="B716" s="87"/>
      <c r="C716" s="87"/>
      <c r="D716" s="196"/>
      <c r="E716" s="108"/>
      <c r="F716" s="196"/>
      <c r="G716" s="87"/>
      <c r="H716" s="197"/>
      <c r="I716" s="89"/>
      <c r="J716" s="204"/>
      <c r="K716" s="87"/>
      <c r="L716" s="87" t="str" cm="1">
        <f t="array" ref="L716">IF($A716="","",_xlfn.LET(_xlpm.stat,CHOOSE({1,2,3,4,5},$P716,$T716,$X716,$AB716,$AF716),_xlpm.rate,CHOOSE({1,2,3,4,5},$R716,$V716,$Z716,$AD716,$AH716),_xlpm.trn,CHOOSE({1,2,3,4,5},$S716,$W716,$AA716,$AE716,$AI716),_xlpm.nsC,SUMPRODUCT(--(_xlpm.stat="Ready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DLR",IF(AND(_xlpm.actRS&gt;0,_xlpm.actDone&lt;_xlpm.actRS),"Training",IF(_xlpm.actRS&gt;0,"Active",IF(AND(_xlpm.decC&gt;0,_xlpm.inPlay+_xlpm.actC=0),"Dead",IF(AND($AJ716&lt;&gt;"",$AK716=FALSE),"Waiting on Dealer",IF(_xlpm.subC&gt;0,"Waiting on Lender",IF(AND(_xlpm.appC+_xlpm.actC&gt;0,_xlpm.nsC+_xlpm.wdC=0),"Rate Sheet","Application Submitted")))))))))</f>
        <v/>
      </c>
      <c r="M716" s="87"/>
      <c r="N716" s="87"/>
      <c r="O716" s="197"/>
      <c r="P716" s="87" t="str">
        <f>IF($A716="","",IF($AK716=TRUE,"Ready 2 Submit","Waiting on Dealer"))</f>
        <v/>
      </c>
      <c r="Q716" s="148"/>
      <c r="R716" s="87"/>
      <c r="S716" s="87"/>
      <c r="T716" s="87" t="str">
        <f>IF($A716="","",IF($AK716=TRUE,"Ready 2 Submit","Waiting on Dealer"))</f>
        <v/>
      </c>
      <c r="U716" s="148"/>
      <c r="V716" s="87"/>
      <c r="W716" s="87"/>
      <c r="X716" s="87" t="str">
        <f>IF($A716="","",IF($AK716=TRUE,"Ready 2 Submit","Waiting on Dealer"))</f>
        <v/>
      </c>
      <c r="Y716" s="148"/>
      <c r="Z716" s="87"/>
      <c r="AA716" s="87"/>
      <c r="AB716" s="87" t="str">
        <f>IF($A716="","",IF($AK716=TRUE,"Ready 2 Submit","Waiting on Dealer"))</f>
        <v/>
      </c>
      <c r="AC716" s="148"/>
      <c r="AD716" s="87"/>
      <c r="AE716" s="87"/>
      <c r="AF716" s="87" t="str">
        <f>IF($A716="","",IF($AK716=TRUE,"Ready 2 Submit","Waiting on Dealer"))</f>
        <v/>
      </c>
      <c r="AG716" s="148"/>
      <c r="AH716" s="87"/>
      <c r="AI716" s="87"/>
      <c r="AJ716" s="197"/>
      <c r="AK716" s="110" t="b">
        <v>0</v>
      </c>
      <c r="AL716" s="87" t="str" cm="1">
        <f t="array" ref="AL716">IF($A716="","",SUMPRODUCT((CHOOSE({1,2,3,4,5},$R716,$V716,$Z716,$AD716,$AH716)="Yes")*(((CHOOSE({1,2,3,4,5},$S716,$W716,$AA716,$AE716,$AI716)="Yes")+(CHOOSE({1,2,3,4,5},$S716,$W716,$AA716,$AE716,$AI716)=TRUE))&gt;0)))</f>
        <v/>
      </c>
      <c r="AM716" s="87"/>
      <c r="AN716" s="87" t="str">
        <f ca="1">IF(OR($A716="",$AM716=""),"",TODAY()-$AM716)</f>
        <v/>
      </c>
      <c r="AO716" s="87"/>
      <c r="AP716" s="106"/>
      <c r="AQ716" s="106"/>
      <c r="AR716" s="106"/>
      <c r="AS716" s="106"/>
      <c r="AT716" s="106"/>
      <c r="AU716" s="106"/>
      <c r="AV716" s="106"/>
      <c r="AW716" s="106"/>
      <c r="AX716" s="106"/>
      <c r="AY716" s="106"/>
    </row>
    <row r="717" spans="1:51" s="20" customFormat="1" ht="21" customHeight="1">
      <c r="A717" s="197"/>
      <c r="B717" s="87"/>
      <c r="C717" s="87"/>
      <c r="D717" s="196"/>
      <c r="E717" s="108"/>
      <c r="F717" s="196"/>
      <c r="G717" s="87"/>
      <c r="H717" s="197"/>
      <c r="I717" s="89"/>
      <c r="J717" s="204"/>
      <c r="K717" s="87"/>
      <c r="L717" s="87" t="str" cm="1">
        <f t="array" ref="L717">IF($A717="","",_xlfn.LET(_xlpm.stat,CHOOSE({1,2,3,4,5},$P717,$T717,$X717,$AB717,$AF717),_xlpm.rate,CHOOSE({1,2,3,4,5},$R717,$V717,$Z717,$AD717,$AH717),_xlpm.trn,CHOOSE({1,2,3,4,5},$S717,$W717,$AA717,$AE717,$AI717),_xlpm.nsC,SUMPRODUCT(--(_xlpm.stat="Ready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DLR",IF(AND(_xlpm.actRS&gt;0,_xlpm.actDone&lt;_xlpm.actRS),"Training",IF(_xlpm.actRS&gt;0,"Active",IF(AND(_xlpm.decC&gt;0,_xlpm.inPlay+_xlpm.actC=0),"Dead",IF(AND($AJ717&lt;&gt;"",$AK717=FALSE),"Waiting on Dealer",IF(_xlpm.subC&gt;0,"Waiting on Lender",IF(AND(_xlpm.appC+_xlpm.actC&gt;0,_xlpm.nsC+_xlpm.wdC=0),"Rate Sheet","Application Submitted")))))))))</f>
        <v/>
      </c>
      <c r="M717" s="87"/>
      <c r="N717" s="87"/>
      <c r="O717" s="197"/>
      <c r="P717" s="87" t="str">
        <f>IF($A717="","",IF($AK717=TRUE,"Ready 2 Submit","Waiting on Dealer"))</f>
        <v/>
      </c>
      <c r="Q717" s="148"/>
      <c r="R717" s="87"/>
      <c r="S717" s="87"/>
      <c r="T717" s="87" t="str">
        <f>IF($A717="","",IF($AK717=TRUE,"Ready 2 Submit","Waiting on Dealer"))</f>
        <v/>
      </c>
      <c r="U717" s="148"/>
      <c r="V717" s="87"/>
      <c r="W717" s="87"/>
      <c r="X717" s="87" t="str">
        <f>IF($A717="","",IF($AK717=TRUE,"Ready 2 Submit","Waiting on Dealer"))</f>
        <v/>
      </c>
      <c r="Y717" s="148"/>
      <c r="Z717" s="87"/>
      <c r="AA717" s="87"/>
      <c r="AB717" s="87" t="str">
        <f>IF($A717="","",IF($AK717=TRUE,"Ready 2 Submit","Waiting on Dealer"))</f>
        <v/>
      </c>
      <c r="AC717" s="148"/>
      <c r="AD717" s="87"/>
      <c r="AE717" s="87"/>
      <c r="AF717" s="87" t="str">
        <f>IF($A717="","",IF($AK717=TRUE,"Ready 2 Submit","Waiting on Dealer"))</f>
        <v/>
      </c>
      <c r="AG717" s="148"/>
      <c r="AH717" s="87"/>
      <c r="AI717" s="87"/>
      <c r="AJ717" s="197"/>
      <c r="AK717" s="110" t="b">
        <v>0</v>
      </c>
      <c r="AL717" s="87" t="str" cm="1">
        <f t="array" ref="AL717">IF($A717="","",SUMPRODUCT((CHOOSE({1,2,3,4,5},$R717,$V717,$Z717,$AD717,$AH717)="Yes")*(((CHOOSE({1,2,3,4,5},$S717,$W717,$AA717,$AE717,$AI717)="Yes")+(CHOOSE({1,2,3,4,5},$S717,$W717,$AA717,$AE717,$AI717)=TRUE))&gt;0)))</f>
        <v/>
      </c>
      <c r="AM717" s="87"/>
      <c r="AN717" s="87" t="str">
        <f ca="1">IF(OR($A717="",$AM717=""),"",TODAY()-$AM717)</f>
        <v/>
      </c>
      <c r="AO717" s="87"/>
      <c r="AP717" s="106"/>
      <c r="AQ717" s="106"/>
      <c r="AR717" s="106"/>
      <c r="AS717" s="106"/>
      <c r="AT717" s="106"/>
      <c r="AU717" s="106"/>
      <c r="AV717" s="106"/>
      <c r="AW717" s="106"/>
      <c r="AX717" s="106"/>
      <c r="AY717" s="106"/>
    </row>
    <row r="718" spans="1:51" s="20" customFormat="1" ht="21" customHeight="1">
      <c r="A718" s="197"/>
      <c r="B718" s="87"/>
      <c r="C718" s="87"/>
      <c r="D718" s="196"/>
      <c r="E718" s="108"/>
      <c r="F718" s="196"/>
      <c r="G718" s="87"/>
      <c r="H718" s="197"/>
      <c r="I718" s="89"/>
      <c r="J718" s="204"/>
      <c r="K718" s="87"/>
      <c r="L718" s="87" t="str" cm="1">
        <f t="array" ref="L718">IF($A718="","",_xlfn.LET(_xlpm.stat,CHOOSE({1,2,3,4,5},$P718,$T718,$X718,$AB718,$AF718),_xlpm.rate,CHOOSE({1,2,3,4,5},$R718,$V718,$Z718,$AD718,$AH718),_xlpm.trn,CHOOSE({1,2,3,4,5},$S718,$W718,$AA718,$AE718,$AI718),_xlpm.nsC,SUMPRODUCT(--(_xlpm.stat="Ready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DLR",IF(AND(_xlpm.actRS&gt;0,_xlpm.actDone&lt;_xlpm.actRS),"Training",IF(_xlpm.actRS&gt;0,"Active",IF(AND(_xlpm.decC&gt;0,_xlpm.inPlay+_xlpm.actC=0),"Dead",IF(AND($AJ718&lt;&gt;"",$AK718=FALSE),"Waiting on Dealer",IF(_xlpm.subC&gt;0,"Waiting on Lender",IF(AND(_xlpm.appC+_xlpm.actC&gt;0,_xlpm.nsC+_xlpm.wdC=0),"Rate Sheet","Application Submitted")))))))))</f>
        <v/>
      </c>
      <c r="M718" s="87"/>
      <c r="N718" s="87"/>
      <c r="O718" s="197"/>
      <c r="P718" s="87" t="str">
        <f>IF($A718="","",IF($AK718=TRUE,"Ready 2 Submit","Waiting on Dealer"))</f>
        <v/>
      </c>
      <c r="Q718" s="148"/>
      <c r="R718" s="87"/>
      <c r="S718" s="87"/>
      <c r="T718" s="87" t="str">
        <f>IF($A718="","",IF($AK718=TRUE,"Ready 2 Submit","Waiting on Dealer"))</f>
        <v/>
      </c>
      <c r="U718" s="148"/>
      <c r="V718" s="87"/>
      <c r="W718" s="87"/>
      <c r="X718" s="87" t="str">
        <f>IF($A718="","",IF($AK718=TRUE,"Ready 2 Submit","Waiting on Dealer"))</f>
        <v/>
      </c>
      <c r="Y718" s="148"/>
      <c r="Z718" s="87"/>
      <c r="AA718" s="87"/>
      <c r="AB718" s="87" t="str">
        <f>IF($A718="","",IF($AK718=TRUE,"Ready 2 Submit","Waiting on Dealer"))</f>
        <v/>
      </c>
      <c r="AC718" s="148"/>
      <c r="AD718" s="87"/>
      <c r="AE718" s="87"/>
      <c r="AF718" s="87" t="str">
        <f>IF($A718="","",IF($AK718=TRUE,"Ready 2 Submit","Waiting on Dealer"))</f>
        <v/>
      </c>
      <c r="AG718" s="148"/>
      <c r="AH718" s="87"/>
      <c r="AI718" s="87"/>
      <c r="AJ718" s="197"/>
      <c r="AK718" s="110" t="b">
        <v>0</v>
      </c>
      <c r="AL718" s="87" t="str" cm="1">
        <f t="array" ref="AL718">IF($A718="","",SUMPRODUCT((CHOOSE({1,2,3,4,5},$R718,$V718,$Z718,$AD718,$AH718)="Yes")*(((CHOOSE({1,2,3,4,5},$S718,$W718,$AA718,$AE718,$AI718)="Yes")+(CHOOSE({1,2,3,4,5},$S718,$W718,$AA718,$AE718,$AI718)=TRUE))&gt;0)))</f>
        <v/>
      </c>
      <c r="AM718" s="87"/>
      <c r="AN718" s="87" t="str">
        <f ca="1">IF(OR($A718="",$AM718=""),"",TODAY()-$AM718)</f>
        <v/>
      </c>
      <c r="AO718" s="87"/>
      <c r="AP718" s="106"/>
      <c r="AQ718" s="106"/>
      <c r="AR718" s="106"/>
      <c r="AS718" s="106"/>
      <c r="AT718" s="106"/>
      <c r="AU718" s="106"/>
      <c r="AV718" s="106"/>
      <c r="AW718" s="106"/>
      <c r="AX718" s="106"/>
      <c r="AY718" s="106"/>
    </row>
    <row r="719" spans="1:51" s="20" customFormat="1" ht="21" customHeight="1">
      <c r="A719" s="197"/>
      <c r="B719" s="87"/>
      <c r="C719" s="87"/>
      <c r="D719" s="196"/>
      <c r="E719" s="108"/>
      <c r="F719" s="196"/>
      <c r="G719" s="87"/>
      <c r="H719" s="197"/>
      <c r="I719" s="89"/>
      <c r="J719" s="204"/>
      <c r="K719" s="87"/>
      <c r="L719" s="87" t="str" cm="1">
        <f t="array" ref="L719">IF($A719="","",_xlfn.LET(_xlpm.stat,CHOOSE({1,2,3,4,5},$P719,$T719,$X719,$AB719,$AF719),_xlpm.rate,CHOOSE({1,2,3,4,5},$R719,$V719,$Z719,$AD719,$AH719),_xlpm.trn,CHOOSE({1,2,3,4,5},$S719,$W719,$AA719,$AE719,$AI719),_xlpm.nsC,SUMPRODUCT(--(_xlpm.stat="Ready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DLR",IF(AND(_xlpm.actRS&gt;0,_xlpm.actDone&lt;_xlpm.actRS),"Training",IF(_xlpm.actRS&gt;0,"Active",IF(AND(_xlpm.decC&gt;0,_xlpm.inPlay+_xlpm.actC=0),"Dead",IF(AND($AJ719&lt;&gt;"",$AK719=FALSE),"Waiting on Dealer",IF(_xlpm.subC&gt;0,"Waiting on Lender",IF(AND(_xlpm.appC+_xlpm.actC&gt;0,_xlpm.nsC+_xlpm.wdC=0),"Rate Sheet","Application Submitted")))))))))</f>
        <v/>
      </c>
      <c r="M719" s="87"/>
      <c r="N719" s="87"/>
      <c r="O719" s="197"/>
      <c r="P719" s="87" t="str">
        <f>IF($A719="","",IF($AK719=TRUE,"Ready 2 Submit","Waiting on Dealer"))</f>
        <v/>
      </c>
      <c r="Q719" s="148"/>
      <c r="R719" s="87"/>
      <c r="S719" s="87"/>
      <c r="T719" s="87" t="str">
        <f>IF($A719="","",IF($AK719=TRUE,"Ready 2 Submit","Waiting on Dealer"))</f>
        <v/>
      </c>
      <c r="U719" s="148"/>
      <c r="V719" s="87"/>
      <c r="W719" s="87"/>
      <c r="X719" s="87" t="str">
        <f>IF($A719="","",IF($AK719=TRUE,"Ready 2 Submit","Waiting on Dealer"))</f>
        <v/>
      </c>
      <c r="Y719" s="148"/>
      <c r="Z719" s="87"/>
      <c r="AA719" s="87"/>
      <c r="AB719" s="87" t="str">
        <f>IF($A719="","",IF($AK719=TRUE,"Ready 2 Submit","Waiting on Dealer"))</f>
        <v/>
      </c>
      <c r="AC719" s="148"/>
      <c r="AD719" s="87"/>
      <c r="AE719" s="87"/>
      <c r="AF719" s="87" t="str">
        <f>IF($A719="","",IF($AK719=TRUE,"Ready 2 Submit","Waiting on Dealer"))</f>
        <v/>
      </c>
      <c r="AG719" s="148"/>
      <c r="AH719" s="87"/>
      <c r="AI719" s="87"/>
      <c r="AJ719" s="197"/>
      <c r="AK719" s="110" t="b">
        <v>0</v>
      </c>
      <c r="AL719" s="87" t="str" cm="1">
        <f t="array" ref="AL719">IF($A719="","",SUMPRODUCT((CHOOSE({1,2,3,4,5},$R719,$V719,$Z719,$AD719,$AH719)="Yes")*(((CHOOSE({1,2,3,4,5},$S719,$W719,$AA719,$AE719,$AI719)="Yes")+(CHOOSE({1,2,3,4,5},$S719,$W719,$AA719,$AE719,$AI719)=TRUE))&gt;0)))</f>
        <v/>
      </c>
      <c r="AM719" s="87"/>
      <c r="AN719" s="87" t="str">
        <f ca="1">IF(OR($A719="",$AM719=""),"",TODAY()-$AM719)</f>
        <v/>
      </c>
      <c r="AO719" s="87"/>
      <c r="AP719" s="106"/>
      <c r="AQ719" s="106"/>
      <c r="AR719" s="106"/>
      <c r="AS719" s="106"/>
      <c r="AT719" s="106"/>
      <c r="AU719" s="106"/>
      <c r="AV719" s="106"/>
      <c r="AW719" s="106"/>
      <c r="AX719" s="106"/>
      <c r="AY719" s="106"/>
    </row>
    <row r="720" spans="1:51" s="20" customFormat="1" ht="21" customHeight="1">
      <c r="A720" s="197"/>
      <c r="B720" s="87"/>
      <c r="C720" s="87"/>
      <c r="D720" s="196"/>
      <c r="E720" s="108"/>
      <c r="F720" s="196"/>
      <c r="G720" s="87"/>
      <c r="H720" s="197"/>
      <c r="I720" s="89"/>
      <c r="J720" s="204"/>
      <c r="K720" s="87"/>
      <c r="L720" s="87" t="str" cm="1">
        <f t="array" ref="L720">IF($A720="","",_xlfn.LET(_xlpm.stat,CHOOSE({1,2,3,4,5},$P720,$T720,$X720,$AB720,$AF720),_xlpm.rate,CHOOSE({1,2,3,4,5},$R720,$V720,$Z720,$AD720,$AH720),_xlpm.trn,CHOOSE({1,2,3,4,5},$S720,$W720,$AA720,$AE720,$AI720),_xlpm.nsC,SUMPRODUCT(--(_xlpm.stat="Ready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DLR",IF(AND(_xlpm.actRS&gt;0,_xlpm.actDone&lt;_xlpm.actRS),"Training",IF(_xlpm.actRS&gt;0,"Active",IF(AND(_xlpm.decC&gt;0,_xlpm.inPlay+_xlpm.actC=0),"Dead",IF(AND($AJ720&lt;&gt;"",$AK720=FALSE),"Waiting on Dealer",IF(_xlpm.subC&gt;0,"Waiting on Lender",IF(AND(_xlpm.appC+_xlpm.actC&gt;0,_xlpm.nsC+_xlpm.wdC=0),"Rate Sheet","Application Submitted")))))))))</f>
        <v/>
      </c>
      <c r="M720" s="87"/>
      <c r="N720" s="87"/>
      <c r="O720" s="197"/>
      <c r="P720" s="87" t="str">
        <f>IF($A720="","",IF($AK720=TRUE,"Ready 2 Submit","Waiting on Dealer"))</f>
        <v/>
      </c>
      <c r="Q720" s="148"/>
      <c r="R720" s="87"/>
      <c r="S720" s="87"/>
      <c r="T720" s="87" t="str">
        <f>IF($A720="","",IF($AK720=TRUE,"Ready 2 Submit","Waiting on Dealer"))</f>
        <v/>
      </c>
      <c r="U720" s="148"/>
      <c r="V720" s="87"/>
      <c r="W720" s="87"/>
      <c r="X720" s="87" t="str">
        <f>IF($A720="","",IF($AK720=TRUE,"Ready 2 Submit","Waiting on Dealer"))</f>
        <v/>
      </c>
      <c r="Y720" s="148"/>
      <c r="Z720" s="87"/>
      <c r="AA720" s="87"/>
      <c r="AB720" s="87" t="str">
        <f>IF($A720="","",IF($AK720=TRUE,"Ready 2 Submit","Waiting on Dealer"))</f>
        <v/>
      </c>
      <c r="AC720" s="148"/>
      <c r="AD720" s="87"/>
      <c r="AE720" s="87"/>
      <c r="AF720" s="87" t="str">
        <f>IF($A720="","",IF($AK720=TRUE,"Ready 2 Submit","Waiting on Dealer"))</f>
        <v/>
      </c>
      <c r="AG720" s="148"/>
      <c r="AH720" s="87"/>
      <c r="AI720" s="87"/>
      <c r="AJ720" s="197"/>
      <c r="AK720" s="110" t="b">
        <v>0</v>
      </c>
      <c r="AL720" s="87" t="str" cm="1">
        <f t="array" ref="AL720">IF($A720="","",SUMPRODUCT((CHOOSE({1,2,3,4,5},$R720,$V720,$Z720,$AD720,$AH720)="Yes")*(((CHOOSE({1,2,3,4,5},$S720,$W720,$AA720,$AE720,$AI720)="Yes")+(CHOOSE({1,2,3,4,5},$S720,$W720,$AA720,$AE720,$AI720)=TRUE))&gt;0)))</f>
        <v/>
      </c>
      <c r="AM720" s="87"/>
      <c r="AN720" s="87" t="str">
        <f ca="1">IF(OR($A720="",$AM720=""),"",TODAY()-$AM720)</f>
        <v/>
      </c>
      <c r="AO720" s="87"/>
      <c r="AP720" s="106"/>
      <c r="AQ720" s="106"/>
      <c r="AR720" s="106"/>
      <c r="AS720" s="106"/>
      <c r="AT720" s="106"/>
      <c r="AU720" s="106"/>
      <c r="AV720" s="106"/>
      <c r="AW720" s="106"/>
      <c r="AX720" s="106"/>
      <c r="AY720" s="106"/>
    </row>
    <row r="721" spans="1:51" s="20" customFormat="1" ht="21" customHeight="1">
      <c r="A721" s="197"/>
      <c r="B721" s="87"/>
      <c r="C721" s="87"/>
      <c r="D721" s="196"/>
      <c r="E721" s="108"/>
      <c r="F721" s="196"/>
      <c r="G721" s="87"/>
      <c r="H721" s="197"/>
      <c r="I721" s="89"/>
      <c r="J721" s="204"/>
      <c r="K721" s="87"/>
      <c r="L721" s="87" t="str" cm="1">
        <f t="array" ref="L721">IF($A721="","",_xlfn.LET(_xlpm.stat,CHOOSE({1,2,3,4,5},$P721,$T721,$X721,$AB721,$AF721),_xlpm.rate,CHOOSE({1,2,3,4,5},$R721,$V721,$Z721,$AD721,$AH721),_xlpm.trn,CHOOSE({1,2,3,4,5},$S721,$W721,$AA721,$AE721,$AI721),_xlpm.nsC,SUMPRODUCT(--(_xlpm.stat="Ready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DLR",IF(AND(_xlpm.actRS&gt;0,_xlpm.actDone&lt;_xlpm.actRS),"Training",IF(_xlpm.actRS&gt;0,"Active",IF(AND(_xlpm.decC&gt;0,_xlpm.inPlay+_xlpm.actC=0),"Dead",IF(AND($AJ721&lt;&gt;"",$AK721=FALSE),"Waiting on Dealer",IF(_xlpm.subC&gt;0,"Waiting on Lender",IF(AND(_xlpm.appC+_xlpm.actC&gt;0,_xlpm.nsC+_xlpm.wdC=0),"Rate Sheet","Application Submitted")))))))))</f>
        <v/>
      </c>
      <c r="M721" s="87"/>
      <c r="N721" s="87"/>
      <c r="O721" s="197"/>
      <c r="P721" s="87" t="str">
        <f>IF($A721="","",IF($AK721=TRUE,"Ready 2 Submit","Waiting on Dealer"))</f>
        <v/>
      </c>
      <c r="Q721" s="148"/>
      <c r="R721" s="87"/>
      <c r="S721" s="87"/>
      <c r="T721" s="87" t="str">
        <f>IF($A721="","",IF($AK721=TRUE,"Ready 2 Submit","Waiting on Dealer"))</f>
        <v/>
      </c>
      <c r="U721" s="148"/>
      <c r="V721" s="87"/>
      <c r="W721" s="87"/>
      <c r="X721" s="87" t="str">
        <f>IF($A721="","",IF($AK721=TRUE,"Ready 2 Submit","Waiting on Dealer"))</f>
        <v/>
      </c>
      <c r="Y721" s="148"/>
      <c r="Z721" s="87"/>
      <c r="AA721" s="87"/>
      <c r="AB721" s="87" t="str">
        <f>IF($A721="","",IF($AK721=TRUE,"Ready 2 Submit","Waiting on Dealer"))</f>
        <v/>
      </c>
      <c r="AC721" s="148"/>
      <c r="AD721" s="87"/>
      <c r="AE721" s="87"/>
      <c r="AF721" s="87" t="str">
        <f>IF($A721="","",IF($AK721=TRUE,"Ready 2 Submit","Waiting on Dealer"))</f>
        <v/>
      </c>
      <c r="AG721" s="148"/>
      <c r="AH721" s="87"/>
      <c r="AI721" s="87"/>
      <c r="AJ721" s="197"/>
      <c r="AK721" s="110" t="b">
        <v>0</v>
      </c>
      <c r="AL721" s="87" t="str" cm="1">
        <f t="array" ref="AL721">IF($A721="","",SUMPRODUCT((CHOOSE({1,2,3,4,5},$R721,$V721,$Z721,$AD721,$AH721)="Yes")*(((CHOOSE({1,2,3,4,5},$S721,$W721,$AA721,$AE721,$AI721)="Yes")+(CHOOSE({1,2,3,4,5},$S721,$W721,$AA721,$AE721,$AI721)=TRUE))&gt;0)))</f>
        <v/>
      </c>
      <c r="AM721" s="87"/>
      <c r="AN721" s="87" t="str">
        <f ca="1">IF(OR($A721="",$AM721=""),"",TODAY()-$AM721)</f>
        <v/>
      </c>
      <c r="AO721" s="87"/>
      <c r="AP721" s="106"/>
      <c r="AQ721" s="106"/>
      <c r="AR721" s="106"/>
      <c r="AS721" s="106"/>
      <c r="AT721" s="106"/>
      <c r="AU721" s="106"/>
      <c r="AV721" s="106"/>
      <c r="AW721" s="106"/>
      <c r="AX721" s="106"/>
      <c r="AY721" s="106"/>
    </row>
    <row r="722" spans="1:51" s="20" customFormat="1" ht="21" customHeight="1">
      <c r="A722" s="197"/>
      <c r="B722" s="87"/>
      <c r="C722" s="87"/>
      <c r="D722" s="196"/>
      <c r="E722" s="108"/>
      <c r="F722" s="196"/>
      <c r="G722" s="87"/>
      <c r="H722" s="197"/>
      <c r="I722" s="89"/>
      <c r="J722" s="204"/>
      <c r="K722" s="87"/>
      <c r="L722" s="87" t="str" cm="1">
        <f t="array" ref="L722">IF($A722="","",_xlfn.LET(_xlpm.stat,CHOOSE({1,2,3,4,5},$P722,$T722,$X722,$AB722,$AF722),_xlpm.rate,CHOOSE({1,2,3,4,5},$R722,$V722,$Z722,$AD722,$AH722),_xlpm.trn,CHOOSE({1,2,3,4,5},$S722,$W722,$AA722,$AE722,$AI722),_xlpm.nsC,SUMPRODUCT(--(_xlpm.stat="Ready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DLR",IF(AND(_xlpm.actRS&gt;0,_xlpm.actDone&lt;_xlpm.actRS),"Training",IF(_xlpm.actRS&gt;0,"Active",IF(AND(_xlpm.decC&gt;0,_xlpm.inPlay+_xlpm.actC=0),"Dead",IF(AND($AJ722&lt;&gt;"",$AK722=FALSE),"Waiting on Dealer",IF(_xlpm.subC&gt;0,"Waiting on Lender",IF(AND(_xlpm.appC+_xlpm.actC&gt;0,_xlpm.nsC+_xlpm.wdC=0),"Rate Sheet","Application Submitted")))))))))</f>
        <v/>
      </c>
      <c r="M722" s="87"/>
      <c r="N722" s="87"/>
      <c r="O722" s="197"/>
      <c r="P722" s="87" t="str">
        <f>IF($A722="","",IF($AK722=TRUE,"Ready 2 Submit","Waiting on Dealer"))</f>
        <v/>
      </c>
      <c r="Q722" s="148"/>
      <c r="R722" s="87"/>
      <c r="S722" s="87"/>
      <c r="T722" s="87" t="str">
        <f>IF($A722="","",IF($AK722=TRUE,"Ready 2 Submit","Waiting on Dealer"))</f>
        <v/>
      </c>
      <c r="U722" s="148"/>
      <c r="V722" s="87"/>
      <c r="W722" s="87"/>
      <c r="X722" s="87" t="str">
        <f>IF($A722="","",IF($AK722=TRUE,"Ready 2 Submit","Waiting on Dealer"))</f>
        <v/>
      </c>
      <c r="Y722" s="148"/>
      <c r="Z722" s="87"/>
      <c r="AA722" s="87"/>
      <c r="AB722" s="87" t="str">
        <f>IF($A722="","",IF($AK722=TRUE,"Ready 2 Submit","Waiting on Dealer"))</f>
        <v/>
      </c>
      <c r="AC722" s="148"/>
      <c r="AD722" s="87"/>
      <c r="AE722" s="87"/>
      <c r="AF722" s="87" t="str">
        <f>IF($A722="","",IF($AK722=TRUE,"Ready 2 Submit","Waiting on Dealer"))</f>
        <v/>
      </c>
      <c r="AG722" s="148"/>
      <c r="AH722" s="87"/>
      <c r="AI722" s="87"/>
      <c r="AJ722" s="197"/>
      <c r="AK722" s="110" t="b">
        <v>0</v>
      </c>
      <c r="AL722" s="87" t="str" cm="1">
        <f t="array" ref="AL722">IF($A722="","",SUMPRODUCT((CHOOSE({1,2,3,4,5},$R722,$V722,$Z722,$AD722,$AH722)="Yes")*(((CHOOSE({1,2,3,4,5},$S722,$W722,$AA722,$AE722,$AI722)="Yes")+(CHOOSE({1,2,3,4,5},$S722,$W722,$AA722,$AE722,$AI722)=TRUE))&gt;0)))</f>
        <v/>
      </c>
      <c r="AM722" s="87"/>
      <c r="AN722" s="87" t="str">
        <f ca="1">IF(OR($A722="",$AM722=""),"",TODAY()-$AM722)</f>
        <v/>
      </c>
      <c r="AO722" s="87"/>
      <c r="AP722" s="106"/>
      <c r="AQ722" s="106"/>
      <c r="AR722" s="106"/>
      <c r="AS722" s="106"/>
      <c r="AT722" s="106"/>
      <c r="AU722" s="106"/>
      <c r="AV722" s="106"/>
      <c r="AW722" s="106"/>
      <c r="AX722" s="106"/>
      <c r="AY722" s="106"/>
    </row>
    <row r="723" spans="1:51" s="20" customFormat="1" ht="21" customHeight="1">
      <c r="A723" s="197"/>
      <c r="B723" s="87"/>
      <c r="C723" s="87"/>
      <c r="D723" s="196"/>
      <c r="E723" s="108"/>
      <c r="F723" s="196"/>
      <c r="G723" s="87"/>
      <c r="H723" s="197"/>
      <c r="I723" s="89"/>
      <c r="J723" s="204"/>
      <c r="K723" s="87"/>
      <c r="L723" s="87" t="str" cm="1">
        <f t="array" ref="L723">IF($A723="","",_xlfn.LET(_xlpm.stat,CHOOSE({1,2,3,4,5},$P723,$T723,$X723,$AB723,$AF723),_xlpm.rate,CHOOSE({1,2,3,4,5},$R723,$V723,$Z723,$AD723,$AH723),_xlpm.trn,CHOOSE({1,2,3,4,5},$S723,$W723,$AA723,$AE723,$AI723),_xlpm.nsC,SUMPRODUCT(--(_xlpm.stat="Ready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DLR",IF(AND(_xlpm.actRS&gt;0,_xlpm.actDone&lt;_xlpm.actRS),"Training",IF(_xlpm.actRS&gt;0,"Active",IF(AND(_xlpm.decC&gt;0,_xlpm.inPlay+_xlpm.actC=0),"Dead",IF(AND($AJ723&lt;&gt;"",$AK723=FALSE),"Waiting on Dealer",IF(_xlpm.subC&gt;0,"Waiting on Lender",IF(AND(_xlpm.appC+_xlpm.actC&gt;0,_xlpm.nsC+_xlpm.wdC=0),"Rate Sheet","Application Submitted")))))))))</f>
        <v/>
      </c>
      <c r="M723" s="87"/>
      <c r="N723" s="87"/>
      <c r="O723" s="197"/>
      <c r="P723" s="87" t="str">
        <f>IF($A723="","",IF($AK723=TRUE,"Ready 2 Submit","Waiting on Dealer"))</f>
        <v/>
      </c>
      <c r="Q723" s="148"/>
      <c r="R723" s="87"/>
      <c r="S723" s="87"/>
      <c r="T723" s="87" t="str">
        <f>IF($A723="","",IF($AK723=TRUE,"Ready 2 Submit","Waiting on Dealer"))</f>
        <v/>
      </c>
      <c r="U723" s="148"/>
      <c r="V723" s="87"/>
      <c r="W723" s="87"/>
      <c r="X723" s="87" t="str">
        <f>IF($A723="","",IF($AK723=TRUE,"Ready 2 Submit","Waiting on Dealer"))</f>
        <v/>
      </c>
      <c r="Y723" s="148"/>
      <c r="Z723" s="87"/>
      <c r="AA723" s="87"/>
      <c r="AB723" s="87" t="str">
        <f>IF($A723="","",IF($AK723=TRUE,"Ready 2 Submit","Waiting on Dealer"))</f>
        <v/>
      </c>
      <c r="AC723" s="148"/>
      <c r="AD723" s="87"/>
      <c r="AE723" s="87"/>
      <c r="AF723" s="87" t="str">
        <f>IF($A723="","",IF($AK723=TRUE,"Ready 2 Submit","Waiting on Dealer"))</f>
        <v/>
      </c>
      <c r="AG723" s="148"/>
      <c r="AH723" s="87"/>
      <c r="AI723" s="87"/>
      <c r="AJ723" s="197"/>
      <c r="AK723" s="110" t="b">
        <v>0</v>
      </c>
      <c r="AL723" s="87" t="str" cm="1">
        <f t="array" ref="AL723">IF($A723="","",SUMPRODUCT((CHOOSE({1,2,3,4,5},$R723,$V723,$Z723,$AD723,$AH723)="Yes")*(((CHOOSE({1,2,3,4,5},$S723,$W723,$AA723,$AE723,$AI723)="Yes")+(CHOOSE({1,2,3,4,5},$S723,$W723,$AA723,$AE723,$AI723)=TRUE))&gt;0)))</f>
        <v/>
      </c>
      <c r="AM723" s="87"/>
      <c r="AN723" s="87" t="str">
        <f ca="1">IF(OR($A723="",$AM723=""),"",TODAY()-$AM723)</f>
        <v/>
      </c>
      <c r="AO723" s="87"/>
      <c r="AP723" s="106"/>
      <c r="AQ723" s="106"/>
      <c r="AR723" s="106"/>
      <c r="AS723" s="106"/>
      <c r="AT723" s="106"/>
      <c r="AU723" s="106"/>
      <c r="AV723" s="106"/>
      <c r="AW723" s="106"/>
      <c r="AX723" s="106"/>
      <c r="AY723" s="106"/>
    </row>
    <row r="724" spans="1:51" s="20" customFormat="1" ht="21" customHeight="1">
      <c r="A724" s="197"/>
      <c r="B724" s="87"/>
      <c r="C724" s="87"/>
      <c r="D724" s="196"/>
      <c r="E724" s="108"/>
      <c r="F724" s="196"/>
      <c r="G724" s="87"/>
      <c r="H724" s="197"/>
      <c r="I724" s="89"/>
      <c r="J724" s="204"/>
      <c r="K724" s="87"/>
      <c r="L724" s="87" t="str" cm="1">
        <f t="array" ref="L724">IF($A724="","",_xlfn.LET(_xlpm.stat,CHOOSE({1,2,3,4,5},$P724,$T724,$X724,$AB724,$AF724),_xlpm.rate,CHOOSE({1,2,3,4,5},$R724,$V724,$Z724,$AD724,$AH724),_xlpm.trn,CHOOSE({1,2,3,4,5},$S724,$W724,$AA724,$AE724,$AI724),_xlpm.nsC,SUMPRODUCT(--(_xlpm.stat="Ready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DLR",IF(AND(_xlpm.actRS&gt;0,_xlpm.actDone&lt;_xlpm.actRS),"Training",IF(_xlpm.actRS&gt;0,"Active",IF(AND(_xlpm.decC&gt;0,_xlpm.inPlay+_xlpm.actC=0),"Dead",IF(AND($AJ724&lt;&gt;"",$AK724=FALSE),"Waiting on Dealer",IF(_xlpm.subC&gt;0,"Waiting on Lender",IF(AND(_xlpm.appC+_xlpm.actC&gt;0,_xlpm.nsC+_xlpm.wdC=0),"Rate Sheet","Application Submitted")))))))))</f>
        <v/>
      </c>
      <c r="M724" s="87"/>
      <c r="N724" s="87"/>
      <c r="O724" s="197"/>
      <c r="P724" s="87" t="str">
        <f>IF($A724="","",IF($AK724=TRUE,"Ready 2 Submit","Waiting on Dealer"))</f>
        <v/>
      </c>
      <c r="Q724" s="148"/>
      <c r="R724" s="87"/>
      <c r="S724" s="87"/>
      <c r="T724" s="87" t="str">
        <f>IF($A724="","",IF($AK724=TRUE,"Ready 2 Submit","Waiting on Dealer"))</f>
        <v/>
      </c>
      <c r="U724" s="148"/>
      <c r="V724" s="87"/>
      <c r="W724" s="87"/>
      <c r="X724" s="87" t="str">
        <f>IF($A724="","",IF($AK724=TRUE,"Ready 2 Submit","Waiting on Dealer"))</f>
        <v/>
      </c>
      <c r="Y724" s="148"/>
      <c r="Z724" s="87"/>
      <c r="AA724" s="87"/>
      <c r="AB724" s="87" t="str">
        <f>IF($A724="","",IF($AK724=TRUE,"Ready 2 Submit","Waiting on Dealer"))</f>
        <v/>
      </c>
      <c r="AC724" s="148"/>
      <c r="AD724" s="87"/>
      <c r="AE724" s="87"/>
      <c r="AF724" s="87" t="str">
        <f>IF($A724="","",IF($AK724=TRUE,"Ready 2 Submit","Waiting on Dealer"))</f>
        <v/>
      </c>
      <c r="AG724" s="148"/>
      <c r="AH724" s="87"/>
      <c r="AI724" s="87"/>
      <c r="AJ724" s="197"/>
      <c r="AK724" s="110" t="b">
        <v>0</v>
      </c>
      <c r="AL724" s="87" t="str" cm="1">
        <f t="array" ref="AL724">IF($A724="","",SUMPRODUCT((CHOOSE({1,2,3,4,5},$R724,$V724,$Z724,$AD724,$AH724)="Yes")*(((CHOOSE({1,2,3,4,5},$S724,$W724,$AA724,$AE724,$AI724)="Yes")+(CHOOSE({1,2,3,4,5},$S724,$W724,$AA724,$AE724,$AI724)=TRUE))&gt;0)))</f>
        <v/>
      </c>
      <c r="AM724" s="87"/>
      <c r="AN724" s="87" t="str">
        <f ca="1">IF(OR($A724="",$AM724=""),"",TODAY()-$AM724)</f>
        <v/>
      </c>
      <c r="AO724" s="87"/>
      <c r="AP724" s="106"/>
      <c r="AQ724" s="106"/>
      <c r="AR724" s="106"/>
      <c r="AS724" s="106"/>
      <c r="AT724" s="106"/>
      <c r="AU724" s="106"/>
      <c r="AV724" s="106"/>
      <c r="AW724" s="106"/>
      <c r="AX724" s="106"/>
      <c r="AY724" s="106"/>
    </row>
    <row r="725" spans="1:51" s="20" customFormat="1" ht="21" customHeight="1">
      <c r="A725" s="197"/>
      <c r="B725" s="87"/>
      <c r="C725" s="87"/>
      <c r="D725" s="196"/>
      <c r="E725" s="108"/>
      <c r="F725" s="196"/>
      <c r="G725" s="87"/>
      <c r="H725" s="197"/>
      <c r="I725" s="89"/>
      <c r="J725" s="204"/>
      <c r="K725" s="87"/>
      <c r="L725" s="87" t="str" cm="1">
        <f t="array" ref="L725">IF($A725="","",_xlfn.LET(_xlpm.stat,CHOOSE({1,2,3,4,5},$P725,$T725,$X725,$AB725,$AF725),_xlpm.rate,CHOOSE({1,2,3,4,5},$R725,$V725,$Z725,$AD725,$AH725),_xlpm.trn,CHOOSE({1,2,3,4,5},$S725,$W725,$AA725,$AE725,$AI725),_xlpm.nsC,SUMPRODUCT(--(_xlpm.stat="Ready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DLR",IF(AND(_xlpm.actRS&gt;0,_xlpm.actDone&lt;_xlpm.actRS),"Training",IF(_xlpm.actRS&gt;0,"Active",IF(AND(_xlpm.decC&gt;0,_xlpm.inPlay+_xlpm.actC=0),"Dead",IF(AND($AJ725&lt;&gt;"",$AK725=FALSE),"Waiting on Dealer",IF(_xlpm.subC&gt;0,"Waiting on Lender",IF(AND(_xlpm.appC+_xlpm.actC&gt;0,_xlpm.nsC+_xlpm.wdC=0),"Rate Sheet","Application Submitted")))))))))</f>
        <v/>
      </c>
      <c r="M725" s="87"/>
      <c r="N725" s="87"/>
      <c r="O725" s="197"/>
      <c r="P725" s="87" t="str">
        <f>IF($A725="","",IF($AK725=TRUE,"Ready 2 Submit","Waiting on Dealer"))</f>
        <v/>
      </c>
      <c r="Q725" s="148"/>
      <c r="R725" s="87"/>
      <c r="S725" s="87"/>
      <c r="T725" s="87" t="str">
        <f>IF($A725="","",IF($AK725=TRUE,"Ready 2 Submit","Waiting on Dealer"))</f>
        <v/>
      </c>
      <c r="U725" s="148"/>
      <c r="V725" s="87"/>
      <c r="W725" s="87"/>
      <c r="X725" s="87" t="str">
        <f>IF($A725="","",IF($AK725=TRUE,"Ready 2 Submit","Waiting on Dealer"))</f>
        <v/>
      </c>
      <c r="Y725" s="148"/>
      <c r="Z725" s="87"/>
      <c r="AA725" s="87"/>
      <c r="AB725" s="87" t="str">
        <f>IF($A725="","",IF($AK725=TRUE,"Ready 2 Submit","Waiting on Dealer"))</f>
        <v/>
      </c>
      <c r="AC725" s="148"/>
      <c r="AD725" s="87"/>
      <c r="AE725" s="87"/>
      <c r="AF725" s="87" t="str">
        <f>IF($A725="","",IF($AK725=TRUE,"Ready 2 Submit","Waiting on Dealer"))</f>
        <v/>
      </c>
      <c r="AG725" s="148"/>
      <c r="AH725" s="87"/>
      <c r="AI725" s="87"/>
      <c r="AJ725" s="197"/>
      <c r="AK725" s="110" t="b">
        <v>0</v>
      </c>
      <c r="AL725" s="87" t="str" cm="1">
        <f t="array" ref="AL725">IF($A725="","",SUMPRODUCT((CHOOSE({1,2,3,4,5},$R725,$V725,$Z725,$AD725,$AH725)="Yes")*(((CHOOSE({1,2,3,4,5},$S725,$W725,$AA725,$AE725,$AI725)="Yes")+(CHOOSE({1,2,3,4,5},$S725,$W725,$AA725,$AE725,$AI725)=TRUE))&gt;0)))</f>
        <v/>
      </c>
      <c r="AM725" s="87"/>
      <c r="AN725" s="87" t="str">
        <f ca="1">IF(OR($A725="",$AM725=""),"",TODAY()-$AM725)</f>
        <v/>
      </c>
      <c r="AO725" s="87"/>
      <c r="AP725" s="106"/>
      <c r="AQ725" s="106"/>
      <c r="AR725" s="106"/>
      <c r="AS725" s="106"/>
      <c r="AT725" s="106"/>
      <c r="AU725" s="106"/>
      <c r="AV725" s="106"/>
      <c r="AW725" s="106"/>
      <c r="AX725" s="106"/>
      <c r="AY725" s="106"/>
    </row>
    <row r="726" spans="1:51" s="20" customFormat="1" ht="21" customHeight="1">
      <c r="A726" s="197"/>
      <c r="B726" s="87"/>
      <c r="C726" s="87"/>
      <c r="D726" s="196"/>
      <c r="E726" s="108"/>
      <c r="F726" s="196"/>
      <c r="G726" s="87"/>
      <c r="H726" s="197"/>
      <c r="I726" s="89"/>
      <c r="J726" s="204"/>
      <c r="K726" s="87"/>
      <c r="L726" s="87" t="str" cm="1">
        <f t="array" ref="L726">IF($A726="","",_xlfn.LET(_xlpm.stat,CHOOSE({1,2,3,4,5},$P726,$T726,$X726,$AB726,$AF726),_xlpm.rate,CHOOSE({1,2,3,4,5},$R726,$V726,$Z726,$AD726,$AH726),_xlpm.trn,CHOOSE({1,2,3,4,5},$S726,$W726,$AA726,$AE726,$AI726),_xlpm.nsC,SUMPRODUCT(--(_xlpm.stat="Ready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DLR",IF(AND(_xlpm.actRS&gt;0,_xlpm.actDone&lt;_xlpm.actRS),"Training",IF(_xlpm.actRS&gt;0,"Active",IF(AND(_xlpm.decC&gt;0,_xlpm.inPlay+_xlpm.actC=0),"Dead",IF(AND($AJ726&lt;&gt;"",$AK726=FALSE),"Waiting on Dealer",IF(_xlpm.subC&gt;0,"Waiting on Lender",IF(AND(_xlpm.appC+_xlpm.actC&gt;0,_xlpm.nsC+_xlpm.wdC=0),"Rate Sheet","Application Submitted")))))))))</f>
        <v/>
      </c>
      <c r="M726" s="87"/>
      <c r="N726" s="87"/>
      <c r="O726" s="197"/>
      <c r="P726" s="87" t="str">
        <f>IF($A726="","",IF($AK726=TRUE,"Ready 2 Submit","Waiting on Dealer"))</f>
        <v/>
      </c>
      <c r="Q726" s="148"/>
      <c r="R726" s="87"/>
      <c r="S726" s="87"/>
      <c r="T726" s="87" t="str">
        <f>IF($A726="","",IF($AK726=TRUE,"Ready 2 Submit","Waiting on Dealer"))</f>
        <v/>
      </c>
      <c r="U726" s="148"/>
      <c r="V726" s="87"/>
      <c r="W726" s="87"/>
      <c r="X726" s="87" t="str">
        <f>IF($A726="","",IF($AK726=TRUE,"Ready 2 Submit","Waiting on Dealer"))</f>
        <v/>
      </c>
      <c r="Y726" s="148"/>
      <c r="Z726" s="87"/>
      <c r="AA726" s="87"/>
      <c r="AB726" s="87" t="str">
        <f>IF($A726="","",IF($AK726=TRUE,"Ready 2 Submit","Waiting on Dealer"))</f>
        <v/>
      </c>
      <c r="AC726" s="148"/>
      <c r="AD726" s="87"/>
      <c r="AE726" s="87"/>
      <c r="AF726" s="87" t="str">
        <f>IF($A726="","",IF($AK726=TRUE,"Ready 2 Submit","Waiting on Dealer"))</f>
        <v/>
      </c>
      <c r="AG726" s="148"/>
      <c r="AH726" s="87"/>
      <c r="AI726" s="87"/>
      <c r="AJ726" s="197"/>
      <c r="AK726" s="110" t="b">
        <v>0</v>
      </c>
      <c r="AL726" s="87" t="str" cm="1">
        <f t="array" ref="AL726">IF($A726="","",SUMPRODUCT((CHOOSE({1,2,3,4,5},$R726,$V726,$Z726,$AD726,$AH726)="Yes")*(((CHOOSE({1,2,3,4,5},$S726,$W726,$AA726,$AE726,$AI726)="Yes")+(CHOOSE({1,2,3,4,5},$S726,$W726,$AA726,$AE726,$AI726)=TRUE))&gt;0)))</f>
        <v/>
      </c>
      <c r="AM726" s="87"/>
      <c r="AN726" s="87" t="str">
        <f ca="1">IF(OR($A726="",$AM726=""),"",TODAY()-$AM726)</f>
        <v/>
      </c>
      <c r="AO726" s="87"/>
      <c r="AP726" s="106"/>
      <c r="AQ726" s="106"/>
      <c r="AR726" s="106"/>
      <c r="AS726" s="106"/>
      <c r="AT726" s="106"/>
      <c r="AU726" s="106"/>
      <c r="AV726" s="106"/>
      <c r="AW726" s="106"/>
      <c r="AX726" s="106"/>
      <c r="AY726" s="106"/>
    </row>
    <row r="727" spans="1:51" s="20" customFormat="1" ht="21" customHeight="1">
      <c r="A727" s="197"/>
      <c r="B727" s="87"/>
      <c r="C727" s="87"/>
      <c r="D727" s="196"/>
      <c r="E727" s="108"/>
      <c r="F727" s="196"/>
      <c r="G727" s="87"/>
      <c r="H727" s="197"/>
      <c r="I727" s="89"/>
      <c r="J727" s="204"/>
      <c r="K727" s="87"/>
      <c r="L727" s="87" t="str" cm="1">
        <f t="array" ref="L727">IF($A727="","",_xlfn.LET(_xlpm.stat,CHOOSE({1,2,3,4,5},$P727,$T727,$X727,$AB727,$AF727),_xlpm.rate,CHOOSE({1,2,3,4,5},$R727,$V727,$Z727,$AD727,$AH727),_xlpm.trn,CHOOSE({1,2,3,4,5},$S727,$W727,$AA727,$AE727,$AI727),_xlpm.nsC,SUMPRODUCT(--(_xlpm.stat="Ready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DLR",IF(AND(_xlpm.actRS&gt;0,_xlpm.actDone&lt;_xlpm.actRS),"Training",IF(_xlpm.actRS&gt;0,"Active",IF(AND(_xlpm.decC&gt;0,_xlpm.inPlay+_xlpm.actC=0),"Dead",IF(AND($AJ727&lt;&gt;"",$AK727=FALSE),"Waiting on Dealer",IF(_xlpm.subC&gt;0,"Waiting on Lender",IF(AND(_xlpm.appC+_xlpm.actC&gt;0,_xlpm.nsC+_xlpm.wdC=0),"Rate Sheet","Application Submitted")))))))))</f>
        <v/>
      </c>
      <c r="M727" s="87"/>
      <c r="N727" s="87"/>
      <c r="O727" s="197"/>
      <c r="P727" s="87" t="str">
        <f>IF($A727="","",IF($AK727=TRUE,"Ready 2 Submit","Waiting on Dealer"))</f>
        <v/>
      </c>
      <c r="Q727" s="148"/>
      <c r="R727" s="87"/>
      <c r="S727" s="87"/>
      <c r="T727" s="87" t="str">
        <f>IF($A727="","",IF($AK727=TRUE,"Ready 2 Submit","Waiting on Dealer"))</f>
        <v/>
      </c>
      <c r="U727" s="148"/>
      <c r="V727" s="87"/>
      <c r="W727" s="87"/>
      <c r="X727" s="87" t="str">
        <f>IF($A727="","",IF($AK727=TRUE,"Ready 2 Submit","Waiting on Dealer"))</f>
        <v/>
      </c>
      <c r="Y727" s="148"/>
      <c r="Z727" s="87"/>
      <c r="AA727" s="87"/>
      <c r="AB727" s="87" t="str">
        <f>IF($A727="","",IF($AK727=TRUE,"Ready 2 Submit","Waiting on Dealer"))</f>
        <v/>
      </c>
      <c r="AC727" s="148"/>
      <c r="AD727" s="87"/>
      <c r="AE727" s="87"/>
      <c r="AF727" s="87" t="str">
        <f>IF($A727="","",IF($AK727=TRUE,"Ready 2 Submit","Waiting on Dealer"))</f>
        <v/>
      </c>
      <c r="AG727" s="148"/>
      <c r="AH727" s="87"/>
      <c r="AI727" s="87"/>
      <c r="AJ727" s="197"/>
      <c r="AK727" s="110" t="b">
        <v>0</v>
      </c>
      <c r="AL727" s="87" t="str" cm="1">
        <f t="array" ref="AL727">IF($A727="","",SUMPRODUCT((CHOOSE({1,2,3,4,5},$R727,$V727,$Z727,$AD727,$AH727)="Yes")*(((CHOOSE({1,2,3,4,5},$S727,$W727,$AA727,$AE727,$AI727)="Yes")+(CHOOSE({1,2,3,4,5},$S727,$W727,$AA727,$AE727,$AI727)=TRUE))&gt;0)))</f>
        <v/>
      </c>
      <c r="AM727" s="87"/>
      <c r="AN727" s="87" t="str">
        <f ca="1">IF(OR($A727="",$AM727=""),"",TODAY()-$AM727)</f>
        <v/>
      </c>
      <c r="AO727" s="87"/>
      <c r="AP727" s="106"/>
      <c r="AQ727" s="106"/>
      <c r="AR727" s="106"/>
      <c r="AS727" s="106"/>
      <c r="AT727" s="106"/>
      <c r="AU727" s="106"/>
      <c r="AV727" s="106"/>
      <c r="AW727" s="106"/>
      <c r="AX727" s="106"/>
      <c r="AY727" s="106"/>
    </row>
    <row r="728" spans="1:51" s="20" customFormat="1" ht="21" customHeight="1">
      <c r="A728" s="197"/>
      <c r="B728" s="87"/>
      <c r="C728" s="87"/>
      <c r="D728" s="196"/>
      <c r="E728" s="108"/>
      <c r="F728" s="196"/>
      <c r="G728" s="87"/>
      <c r="H728" s="197"/>
      <c r="I728" s="89"/>
      <c r="J728" s="204"/>
      <c r="K728" s="87"/>
      <c r="L728" s="87" t="str" cm="1">
        <f t="array" ref="L728">IF($A728="","",_xlfn.LET(_xlpm.stat,CHOOSE({1,2,3,4,5},$P728,$T728,$X728,$AB728,$AF728),_xlpm.rate,CHOOSE({1,2,3,4,5},$R728,$V728,$Z728,$AD728,$AH728),_xlpm.trn,CHOOSE({1,2,3,4,5},$S728,$W728,$AA728,$AE728,$AI728),_xlpm.nsC,SUMPRODUCT(--(_xlpm.stat="Ready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DLR",IF(AND(_xlpm.actRS&gt;0,_xlpm.actDone&lt;_xlpm.actRS),"Training",IF(_xlpm.actRS&gt;0,"Active",IF(AND(_xlpm.decC&gt;0,_xlpm.inPlay+_xlpm.actC=0),"Dead",IF(AND($AJ728&lt;&gt;"",$AK728=FALSE),"Waiting on Dealer",IF(_xlpm.subC&gt;0,"Waiting on Lender",IF(AND(_xlpm.appC+_xlpm.actC&gt;0,_xlpm.nsC+_xlpm.wdC=0),"Rate Sheet","Application Submitted")))))))))</f>
        <v/>
      </c>
      <c r="M728" s="87"/>
      <c r="N728" s="87"/>
      <c r="O728" s="197"/>
      <c r="P728" s="87" t="str">
        <f>IF($A728="","",IF($AK728=TRUE,"Ready 2 Submit","Waiting on Dealer"))</f>
        <v/>
      </c>
      <c r="Q728" s="148"/>
      <c r="R728" s="87"/>
      <c r="S728" s="87"/>
      <c r="T728" s="87" t="str">
        <f>IF($A728="","",IF($AK728=TRUE,"Ready 2 Submit","Waiting on Dealer"))</f>
        <v/>
      </c>
      <c r="U728" s="148"/>
      <c r="V728" s="87"/>
      <c r="W728" s="87"/>
      <c r="X728" s="87" t="str">
        <f>IF($A728="","",IF($AK728=TRUE,"Ready 2 Submit","Waiting on Dealer"))</f>
        <v/>
      </c>
      <c r="Y728" s="148"/>
      <c r="Z728" s="87"/>
      <c r="AA728" s="87"/>
      <c r="AB728" s="87" t="str">
        <f>IF($A728="","",IF($AK728=TRUE,"Ready 2 Submit","Waiting on Dealer"))</f>
        <v/>
      </c>
      <c r="AC728" s="148"/>
      <c r="AD728" s="87"/>
      <c r="AE728" s="87"/>
      <c r="AF728" s="87" t="str">
        <f>IF($A728="","",IF($AK728=TRUE,"Ready 2 Submit","Waiting on Dealer"))</f>
        <v/>
      </c>
      <c r="AG728" s="148"/>
      <c r="AH728" s="87"/>
      <c r="AI728" s="87"/>
      <c r="AJ728" s="197"/>
      <c r="AK728" s="110" t="b">
        <v>0</v>
      </c>
      <c r="AL728" s="87" t="str" cm="1">
        <f t="array" ref="AL728">IF($A728="","",SUMPRODUCT((CHOOSE({1,2,3,4,5},$R728,$V728,$Z728,$AD728,$AH728)="Yes")*(((CHOOSE({1,2,3,4,5},$S728,$W728,$AA728,$AE728,$AI728)="Yes")+(CHOOSE({1,2,3,4,5},$S728,$W728,$AA728,$AE728,$AI728)=TRUE))&gt;0)))</f>
        <v/>
      </c>
      <c r="AM728" s="87"/>
      <c r="AN728" s="87" t="str">
        <f ca="1">IF(OR($A728="",$AM728=""),"",TODAY()-$AM728)</f>
        <v/>
      </c>
      <c r="AO728" s="87"/>
      <c r="AP728" s="106"/>
      <c r="AQ728" s="106"/>
      <c r="AR728" s="106"/>
      <c r="AS728" s="106"/>
      <c r="AT728" s="106"/>
      <c r="AU728" s="106"/>
      <c r="AV728" s="106"/>
      <c r="AW728" s="106"/>
      <c r="AX728" s="106"/>
      <c r="AY728" s="106"/>
    </row>
    <row r="729" spans="1:51" s="20" customFormat="1" ht="21" customHeight="1">
      <c r="A729" s="197"/>
      <c r="B729" s="87"/>
      <c r="C729" s="87"/>
      <c r="D729" s="196"/>
      <c r="E729" s="108"/>
      <c r="F729" s="196"/>
      <c r="G729" s="87"/>
      <c r="H729" s="197"/>
      <c r="I729" s="89"/>
      <c r="J729" s="204"/>
      <c r="K729" s="87"/>
      <c r="L729" s="87" t="str" cm="1">
        <f t="array" ref="L729">IF($A729="","",_xlfn.LET(_xlpm.stat,CHOOSE({1,2,3,4,5},$P729,$T729,$X729,$AB729,$AF729),_xlpm.rate,CHOOSE({1,2,3,4,5},$R729,$V729,$Z729,$AD729,$AH729),_xlpm.trn,CHOOSE({1,2,3,4,5},$S729,$W729,$AA729,$AE729,$AI729),_xlpm.nsC,SUMPRODUCT(--(_xlpm.stat="Ready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DLR",IF(AND(_xlpm.actRS&gt;0,_xlpm.actDone&lt;_xlpm.actRS),"Training",IF(_xlpm.actRS&gt;0,"Active",IF(AND(_xlpm.decC&gt;0,_xlpm.inPlay+_xlpm.actC=0),"Dead",IF(AND($AJ729&lt;&gt;"",$AK729=FALSE),"Waiting on Dealer",IF(_xlpm.subC&gt;0,"Waiting on Lender",IF(AND(_xlpm.appC+_xlpm.actC&gt;0,_xlpm.nsC+_xlpm.wdC=0),"Rate Sheet","Application Submitted")))))))))</f>
        <v/>
      </c>
      <c r="M729" s="87"/>
      <c r="N729" s="87"/>
      <c r="O729" s="197"/>
      <c r="P729" s="87" t="str">
        <f>IF($A729="","",IF($AK729=TRUE,"Ready 2 Submit","Waiting on Dealer"))</f>
        <v/>
      </c>
      <c r="Q729" s="148"/>
      <c r="R729" s="87"/>
      <c r="S729" s="87"/>
      <c r="T729" s="87" t="str">
        <f>IF($A729="","",IF($AK729=TRUE,"Ready 2 Submit","Waiting on Dealer"))</f>
        <v/>
      </c>
      <c r="U729" s="148"/>
      <c r="V729" s="87"/>
      <c r="W729" s="87"/>
      <c r="X729" s="87" t="str">
        <f>IF($A729="","",IF($AK729=TRUE,"Ready 2 Submit","Waiting on Dealer"))</f>
        <v/>
      </c>
      <c r="Y729" s="148"/>
      <c r="Z729" s="87"/>
      <c r="AA729" s="87"/>
      <c r="AB729" s="87" t="str">
        <f>IF($A729="","",IF($AK729=TRUE,"Ready 2 Submit","Waiting on Dealer"))</f>
        <v/>
      </c>
      <c r="AC729" s="148"/>
      <c r="AD729" s="87"/>
      <c r="AE729" s="87"/>
      <c r="AF729" s="87" t="str">
        <f>IF($A729="","",IF($AK729=TRUE,"Ready 2 Submit","Waiting on Dealer"))</f>
        <v/>
      </c>
      <c r="AG729" s="148"/>
      <c r="AH729" s="87"/>
      <c r="AI729" s="87"/>
      <c r="AJ729" s="197"/>
      <c r="AK729" s="110" t="b">
        <v>0</v>
      </c>
      <c r="AL729" s="87" t="str" cm="1">
        <f t="array" ref="AL729">IF($A729="","",SUMPRODUCT((CHOOSE({1,2,3,4,5},$R729,$V729,$Z729,$AD729,$AH729)="Yes")*(((CHOOSE({1,2,3,4,5},$S729,$W729,$AA729,$AE729,$AI729)="Yes")+(CHOOSE({1,2,3,4,5},$S729,$W729,$AA729,$AE729,$AI729)=TRUE))&gt;0)))</f>
        <v/>
      </c>
      <c r="AM729" s="87"/>
      <c r="AN729" s="87" t="str">
        <f ca="1">IF(OR($A729="",$AM729=""),"",TODAY()-$AM729)</f>
        <v/>
      </c>
      <c r="AO729" s="87"/>
      <c r="AP729" s="106"/>
      <c r="AQ729" s="106"/>
      <c r="AR729" s="106"/>
      <c r="AS729" s="106"/>
      <c r="AT729" s="106"/>
      <c r="AU729" s="106"/>
      <c r="AV729" s="106"/>
      <c r="AW729" s="106"/>
      <c r="AX729" s="106"/>
      <c r="AY729" s="106"/>
    </row>
    <row r="730" spans="1:51" s="20" customFormat="1" ht="21" customHeight="1">
      <c r="A730" s="197"/>
      <c r="B730" s="87"/>
      <c r="C730" s="87"/>
      <c r="D730" s="196"/>
      <c r="E730" s="108"/>
      <c r="F730" s="196"/>
      <c r="G730" s="87"/>
      <c r="H730" s="197"/>
      <c r="I730" s="89"/>
      <c r="J730" s="204"/>
      <c r="K730" s="87"/>
      <c r="L730" s="87" t="str" cm="1">
        <f t="array" ref="L730">IF($A730="","",_xlfn.LET(_xlpm.stat,CHOOSE({1,2,3,4,5},$P730,$T730,$X730,$AB730,$AF730),_xlpm.rate,CHOOSE({1,2,3,4,5},$R730,$V730,$Z730,$AD730,$AH730),_xlpm.trn,CHOOSE({1,2,3,4,5},$S730,$W730,$AA730,$AE730,$AI730),_xlpm.nsC,SUMPRODUCT(--(_xlpm.stat="Ready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DLR",IF(AND(_xlpm.actRS&gt;0,_xlpm.actDone&lt;_xlpm.actRS),"Training",IF(_xlpm.actRS&gt;0,"Active",IF(AND(_xlpm.decC&gt;0,_xlpm.inPlay+_xlpm.actC=0),"Dead",IF(AND($AJ730&lt;&gt;"",$AK730=FALSE),"Waiting on Dealer",IF(_xlpm.subC&gt;0,"Waiting on Lender",IF(AND(_xlpm.appC+_xlpm.actC&gt;0,_xlpm.nsC+_xlpm.wdC=0),"Rate Sheet","Application Submitted")))))))))</f>
        <v/>
      </c>
      <c r="M730" s="87"/>
      <c r="N730" s="87"/>
      <c r="O730" s="197"/>
      <c r="P730" s="87" t="str">
        <f>IF($A730="","",IF($AK730=TRUE,"Ready 2 Submit","Waiting on Dealer"))</f>
        <v/>
      </c>
      <c r="Q730" s="148"/>
      <c r="R730" s="87"/>
      <c r="S730" s="87"/>
      <c r="T730" s="87" t="str">
        <f>IF($A730="","",IF($AK730=TRUE,"Ready 2 Submit","Waiting on Dealer"))</f>
        <v/>
      </c>
      <c r="U730" s="148"/>
      <c r="V730" s="87"/>
      <c r="W730" s="87"/>
      <c r="X730" s="87" t="str">
        <f>IF($A730="","",IF($AK730=TRUE,"Ready 2 Submit","Waiting on Dealer"))</f>
        <v/>
      </c>
      <c r="Y730" s="148"/>
      <c r="Z730" s="87"/>
      <c r="AA730" s="87"/>
      <c r="AB730" s="87" t="str">
        <f>IF($A730="","",IF($AK730=TRUE,"Ready 2 Submit","Waiting on Dealer"))</f>
        <v/>
      </c>
      <c r="AC730" s="148"/>
      <c r="AD730" s="87"/>
      <c r="AE730" s="87"/>
      <c r="AF730" s="87" t="str">
        <f>IF($A730="","",IF($AK730=TRUE,"Ready 2 Submit","Waiting on Dealer"))</f>
        <v/>
      </c>
      <c r="AG730" s="148"/>
      <c r="AH730" s="87"/>
      <c r="AI730" s="87"/>
      <c r="AJ730" s="197"/>
      <c r="AK730" s="110" t="b">
        <v>0</v>
      </c>
      <c r="AL730" s="87" t="str" cm="1">
        <f t="array" ref="AL730">IF($A730="","",SUMPRODUCT((CHOOSE({1,2,3,4,5},$R730,$V730,$Z730,$AD730,$AH730)="Yes")*(((CHOOSE({1,2,3,4,5},$S730,$W730,$AA730,$AE730,$AI730)="Yes")+(CHOOSE({1,2,3,4,5},$S730,$W730,$AA730,$AE730,$AI730)=TRUE))&gt;0)))</f>
        <v/>
      </c>
      <c r="AM730" s="87"/>
      <c r="AN730" s="87" t="str">
        <f ca="1">IF(OR($A730="",$AM730=""),"",TODAY()-$AM730)</f>
        <v/>
      </c>
      <c r="AO730" s="87"/>
      <c r="AP730" s="106"/>
      <c r="AQ730" s="106"/>
      <c r="AR730" s="106"/>
      <c r="AS730" s="106"/>
      <c r="AT730" s="106"/>
      <c r="AU730" s="106"/>
      <c r="AV730" s="106"/>
      <c r="AW730" s="106"/>
      <c r="AX730" s="106"/>
      <c r="AY730" s="106"/>
    </row>
    <row r="731" spans="1:51" s="20" customFormat="1" ht="21" customHeight="1">
      <c r="A731" s="197"/>
      <c r="B731" s="87"/>
      <c r="C731" s="87"/>
      <c r="D731" s="196"/>
      <c r="E731" s="108"/>
      <c r="F731" s="196"/>
      <c r="G731" s="87"/>
      <c r="H731" s="197"/>
      <c r="I731" s="89"/>
      <c r="J731" s="204"/>
      <c r="K731" s="87"/>
      <c r="L731" s="87" t="str" cm="1">
        <f t="array" ref="L731">IF($A731="","",_xlfn.LET(_xlpm.stat,CHOOSE({1,2,3,4,5},$P731,$T731,$X731,$AB731,$AF731),_xlpm.rate,CHOOSE({1,2,3,4,5},$R731,$V731,$Z731,$AD731,$AH731),_xlpm.trn,CHOOSE({1,2,3,4,5},$S731,$W731,$AA731,$AE731,$AI731),_xlpm.nsC,SUMPRODUCT(--(_xlpm.stat="Ready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DLR",IF(AND(_xlpm.actRS&gt;0,_xlpm.actDone&lt;_xlpm.actRS),"Training",IF(_xlpm.actRS&gt;0,"Active",IF(AND(_xlpm.decC&gt;0,_xlpm.inPlay+_xlpm.actC=0),"Dead",IF(AND($AJ731&lt;&gt;"",$AK731=FALSE),"Waiting on Dealer",IF(_xlpm.subC&gt;0,"Waiting on Lender",IF(AND(_xlpm.appC+_xlpm.actC&gt;0,_xlpm.nsC+_xlpm.wdC=0),"Rate Sheet","Application Submitted")))))))))</f>
        <v/>
      </c>
      <c r="M731" s="87"/>
      <c r="N731" s="87"/>
      <c r="O731" s="197"/>
      <c r="P731" s="87" t="str">
        <f>IF($A731="","",IF($AK731=TRUE,"Ready 2 Submit","Waiting on Dealer"))</f>
        <v/>
      </c>
      <c r="Q731" s="148"/>
      <c r="R731" s="87"/>
      <c r="S731" s="87"/>
      <c r="T731" s="87" t="str">
        <f>IF($A731="","",IF($AK731=TRUE,"Ready 2 Submit","Waiting on Dealer"))</f>
        <v/>
      </c>
      <c r="U731" s="148"/>
      <c r="V731" s="87"/>
      <c r="W731" s="87"/>
      <c r="X731" s="87" t="str">
        <f>IF($A731="","",IF($AK731=TRUE,"Ready 2 Submit","Waiting on Dealer"))</f>
        <v/>
      </c>
      <c r="Y731" s="148"/>
      <c r="Z731" s="87"/>
      <c r="AA731" s="87"/>
      <c r="AB731" s="87" t="str">
        <f>IF($A731="","",IF($AK731=TRUE,"Ready 2 Submit","Waiting on Dealer"))</f>
        <v/>
      </c>
      <c r="AC731" s="148"/>
      <c r="AD731" s="87"/>
      <c r="AE731" s="87"/>
      <c r="AF731" s="87" t="str">
        <f>IF($A731="","",IF($AK731=TRUE,"Ready 2 Submit","Waiting on Dealer"))</f>
        <v/>
      </c>
      <c r="AG731" s="148"/>
      <c r="AH731" s="87"/>
      <c r="AI731" s="87"/>
      <c r="AJ731" s="197"/>
      <c r="AK731" s="110" t="b">
        <v>0</v>
      </c>
      <c r="AL731" s="87" t="str" cm="1">
        <f t="array" ref="AL731">IF($A731="","",SUMPRODUCT((CHOOSE({1,2,3,4,5},$R731,$V731,$Z731,$AD731,$AH731)="Yes")*(((CHOOSE({1,2,3,4,5},$S731,$W731,$AA731,$AE731,$AI731)="Yes")+(CHOOSE({1,2,3,4,5},$S731,$W731,$AA731,$AE731,$AI731)=TRUE))&gt;0)))</f>
        <v/>
      </c>
      <c r="AM731" s="87"/>
      <c r="AN731" s="87" t="str">
        <f ca="1">IF(OR($A731="",$AM731=""),"",TODAY()-$AM731)</f>
        <v/>
      </c>
      <c r="AO731" s="87"/>
      <c r="AP731" s="106"/>
      <c r="AQ731" s="106"/>
      <c r="AR731" s="106"/>
      <c r="AS731" s="106"/>
      <c r="AT731" s="106"/>
      <c r="AU731" s="106"/>
      <c r="AV731" s="106"/>
      <c r="AW731" s="106"/>
      <c r="AX731" s="106"/>
      <c r="AY731" s="106"/>
    </row>
    <row r="732" spans="1:51" s="20" customFormat="1" ht="21" customHeight="1">
      <c r="A732" s="197"/>
      <c r="B732" s="87"/>
      <c r="C732" s="87"/>
      <c r="D732" s="196"/>
      <c r="E732" s="108"/>
      <c r="F732" s="196"/>
      <c r="G732" s="87"/>
      <c r="H732" s="197"/>
      <c r="I732" s="89"/>
      <c r="J732" s="204"/>
      <c r="K732" s="87"/>
      <c r="L732" s="87" t="str" cm="1">
        <f t="array" ref="L732">IF($A732="","",_xlfn.LET(_xlpm.stat,CHOOSE({1,2,3,4,5},$P732,$T732,$X732,$AB732,$AF732),_xlpm.rate,CHOOSE({1,2,3,4,5},$R732,$V732,$Z732,$AD732,$AH732),_xlpm.trn,CHOOSE({1,2,3,4,5},$S732,$W732,$AA732,$AE732,$AI732),_xlpm.nsC,SUMPRODUCT(--(_xlpm.stat="Ready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DLR",IF(AND(_xlpm.actRS&gt;0,_xlpm.actDone&lt;_xlpm.actRS),"Training",IF(_xlpm.actRS&gt;0,"Active",IF(AND(_xlpm.decC&gt;0,_xlpm.inPlay+_xlpm.actC=0),"Dead",IF(AND($AJ732&lt;&gt;"",$AK732=FALSE),"Waiting on Dealer",IF(_xlpm.subC&gt;0,"Waiting on Lender",IF(AND(_xlpm.appC+_xlpm.actC&gt;0,_xlpm.nsC+_xlpm.wdC=0),"Rate Sheet","Application Submitted")))))))))</f>
        <v/>
      </c>
      <c r="M732" s="87"/>
      <c r="N732" s="87"/>
      <c r="O732" s="197"/>
      <c r="P732" s="87" t="str">
        <f>IF($A732="","",IF($AK732=TRUE,"Ready 2 Submit","Waiting on Dealer"))</f>
        <v/>
      </c>
      <c r="Q732" s="148"/>
      <c r="R732" s="87"/>
      <c r="S732" s="87"/>
      <c r="T732" s="87" t="str">
        <f>IF($A732="","",IF($AK732=TRUE,"Ready 2 Submit","Waiting on Dealer"))</f>
        <v/>
      </c>
      <c r="U732" s="148"/>
      <c r="V732" s="87"/>
      <c r="W732" s="87"/>
      <c r="X732" s="87" t="str">
        <f>IF($A732="","",IF($AK732=TRUE,"Ready 2 Submit","Waiting on Dealer"))</f>
        <v/>
      </c>
      <c r="Y732" s="148"/>
      <c r="Z732" s="87"/>
      <c r="AA732" s="87"/>
      <c r="AB732" s="87" t="str">
        <f>IF($A732="","",IF($AK732=TRUE,"Ready 2 Submit","Waiting on Dealer"))</f>
        <v/>
      </c>
      <c r="AC732" s="148"/>
      <c r="AD732" s="87"/>
      <c r="AE732" s="87"/>
      <c r="AF732" s="87" t="str">
        <f>IF($A732="","",IF($AK732=TRUE,"Ready 2 Submit","Waiting on Dealer"))</f>
        <v/>
      </c>
      <c r="AG732" s="148"/>
      <c r="AH732" s="87"/>
      <c r="AI732" s="87"/>
      <c r="AJ732" s="197"/>
      <c r="AK732" s="110" t="b">
        <v>0</v>
      </c>
      <c r="AL732" s="87" t="str" cm="1">
        <f t="array" ref="AL732">IF($A732="","",SUMPRODUCT((CHOOSE({1,2,3,4,5},$R732,$V732,$Z732,$AD732,$AH732)="Yes")*(((CHOOSE({1,2,3,4,5},$S732,$W732,$AA732,$AE732,$AI732)="Yes")+(CHOOSE({1,2,3,4,5},$S732,$W732,$AA732,$AE732,$AI732)=TRUE))&gt;0)))</f>
        <v/>
      </c>
      <c r="AM732" s="87"/>
      <c r="AN732" s="87" t="str">
        <f ca="1">IF(OR($A732="",$AM732=""),"",TODAY()-$AM732)</f>
        <v/>
      </c>
      <c r="AO732" s="87"/>
      <c r="AP732" s="106"/>
      <c r="AQ732" s="106"/>
      <c r="AR732" s="106"/>
      <c r="AS732" s="106"/>
      <c r="AT732" s="106"/>
      <c r="AU732" s="106"/>
      <c r="AV732" s="106"/>
      <c r="AW732" s="106"/>
      <c r="AX732" s="106"/>
      <c r="AY732" s="106"/>
    </row>
    <row r="733" spans="1:51" s="20" customFormat="1" ht="21" customHeight="1">
      <c r="A733" s="197"/>
      <c r="B733" s="87"/>
      <c r="C733" s="87"/>
      <c r="D733" s="196"/>
      <c r="E733" s="108"/>
      <c r="F733" s="196"/>
      <c r="G733" s="87"/>
      <c r="H733" s="197"/>
      <c r="I733" s="89"/>
      <c r="J733" s="204"/>
      <c r="K733" s="87"/>
      <c r="L733" s="87" t="str" cm="1">
        <f t="array" ref="L733">IF($A733="","",_xlfn.LET(_xlpm.stat,CHOOSE({1,2,3,4,5},$P733,$T733,$X733,$AB733,$AF733),_xlpm.rate,CHOOSE({1,2,3,4,5},$R733,$V733,$Z733,$AD733,$AH733),_xlpm.trn,CHOOSE({1,2,3,4,5},$S733,$W733,$AA733,$AE733,$AI733),_xlpm.nsC,SUMPRODUCT(--(_xlpm.stat="Ready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DLR",IF(AND(_xlpm.actRS&gt;0,_xlpm.actDone&lt;_xlpm.actRS),"Training",IF(_xlpm.actRS&gt;0,"Active",IF(AND(_xlpm.decC&gt;0,_xlpm.inPlay+_xlpm.actC=0),"Dead",IF(AND($AJ733&lt;&gt;"",$AK733=FALSE),"Waiting on Dealer",IF(_xlpm.subC&gt;0,"Waiting on Lender",IF(AND(_xlpm.appC+_xlpm.actC&gt;0,_xlpm.nsC+_xlpm.wdC=0),"Rate Sheet","Application Submitted")))))))))</f>
        <v/>
      </c>
      <c r="M733" s="87"/>
      <c r="N733" s="87"/>
      <c r="O733" s="197"/>
      <c r="P733" s="87" t="str">
        <f>IF($A733="","",IF($AK733=TRUE,"Ready 2 Submit","Waiting on Dealer"))</f>
        <v/>
      </c>
      <c r="Q733" s="148"/>
      <c r="R733" s="87"/>
      <c r="S733" s="87"/>
      <c r="T733" s="87" t="str">
        <f>IF($A733="","",IF($AK733=TRUE,"Ready 2 Submit","Waiting on Dealer"))</f>
        <v/>
      </c>
      <c r="U733" s="148"/>
      <c r="V733" s="87"/>
      <c r="W733" s="87"/>
      <c r="X733" s="87" t="str">
        <f>IF($A733="","",IF($AK733=TRUE,"Ready 2 Submit","Waiting on Dealer"))</f>
        <v/>
      </c>
      <c r="Y733" s="148"/>
      <c r="Z733" s="87"/>
      <c r="AA733" s="87"/>
      <c r="AB733" s="87" t="str">
        <f>IF($A733="","",IF($AK733=TRUE,"Ready 2 Submit","Waiting on Dealer"))</f>
        <v/>
      </c>
      <c r="AC733" s="148"/>
      <c r="AD733" s="87"/>
      <c r="AE733" s="87"/>
      <c r="AF733" s="87" t="str">
        <f>IF($A733="","",IF($AK733=TRUE,"Ready 2 Submit","Waiting on Dealer"))</f>
        <v/>
      </c>
      <c r="AG733" s="148"/>
      <c r="AH733" s="87"/>
      <c r="AI733" s="87"/>
      <c r="AJ733" s="197"/>
      <c r="AK733" s="110" t="b">
        <v>0</v>
      </c>
      <c r="AL733" s="87" t="str" cm="1">
        <f t="array" ref="AL733">IF($A733="","",SUMPRODUCT((CHOOSE({1,2,3,4,5},$R733,$V733,$Z733,$AD733,$AH733)="Yes")*(((CHOOSE({1,2,3,4,5},$S733,$W733,$AA733,$AE733,$AI733)="Yes")+(CHOOSE({1,2,3,4,5},$S733,$W733,$AA733,$AE733,$AI733)=TRUE))&gt;0)))</f>
        <v/>
      </c>
      <c r="AM733" s="87"/>
      <c r="AN733" s="87" t="str">
        <f ca="1">IF(OR($A733="",$AM733=""),"",TODAY()-$AM733)</f>
        <v/>
      </c>
      <c r="AO733" s="87"/>
      <c r="AP733" s="106"/>
      <c r="AQ733" s="106"/>
      <c r="AR733" s="106"/>
      <c r="AS733" s="106"/>
      <c r="AT733" s="106"/>
      <c r="AU733" s="106"/>
      <c r="AV733" s="106"/>
      <c r="AW733" s="106"/>
      <c r="AX733" s="106"/>
      <c r="AY733" s="106"/>
    </row>
    <row r="734" spans="1:51" s="20" customFormat="1" ht="21" customHeight="1">
      <c r="A734" s="197"/>
      <c r="B734" s="87"/>
      <c r="C734" s="87"/>
      <c r="D734" s="196"/>
      <c r="E734" s="108"/>
      <c r="F734" s="196"/>
      <c r="G734" s="87"/>
      <c r="H734" s="197"/>
      <c r="I734" s="89"/>
      <c r="J734" s="204"/>
      <c r="K734" s="87"/>
      <c r="L734" s="87" t="str" cm="1">
        <f t="array" ref="L734">IF($A734="","",_xlfn.LET(_xlpm.stat,CHOOSE({1,2,3,4,5},$P734,$T734,$X734,$AB734,$AF734),_xlpm.rate,CHOOSE({1,2,3,4,5},$R734,$V734,$Z734,$AD734,$AH734),_xlpm.trn,CHOOSE({1,2,3,4,5},$S734,$W734,$AA734,$AE734,$AI734),_xlpm.nsC,SUMPRODUCT(--(_xlpm.stat="Ready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DLR",IF(AND(_xlpm.actRS&gt;0,_xlpm.actDone&lt;_xlpm.actRS),"Training",IF(_xlpm.actRS&gt;0,"Active",IF(AND(_xlpm.decC&gt;0,_xlpm.inPlay+_xlpm.actC=0),"Dead",IF(AND($AJ734&lt;&gt;"",$AK734=FALSE),"Waiting on Dealer",IF(_xlpm.subC&gt;0,"Waiting on Lender",IF(AND(_xlpm.appC+_xlpm.actC&gt;0,_xlpm.nsC+_xlpm.wdC=0),"Rate Sheet","Application Submitted")))))))))</f>
        <v/>
      </c>
      <c r="M734" s="87"/>
      <c r="N734" s="87"/>
      <c r="O734" s="197"/>
      <c r="P734" s="87" t="str">
        <f>IF($A734="","",IF($AK734=TRUE,"Ready 2 Submit","Waiting on Dealer"))</f>
        <v/>
      </c>
      <c r="Q734" s="148"/>
      <c r="R734" s="87"/>
      <c r="S734" s="87"/>
      <c r="T734" s="87" t="str">
        <f>IF($A734="","",IF($AK734=TRUE,"Ready 2 Submit","Waiting on Dealer"))</f>
        <v/>
      </c>
      <c r="U734" s="148"/>
      <c r="V734" s="87"/>
      <c r="W734" s="87"/>
      <c r="X734" s="87" t="str">
        <f>IF($A734="","",IF($AK734=TRUE,"Ready 2 Submit","Waiting on Dealer"))</f>
        <v/>
      </c>
      <c r="Y734" s="148"/>
      <c r="Z734" s="87"/>
      <c r="AA734" s="87"/>
      <c r="AB734" s="87" t="str">
        <f>IF($A734="","",IF($AK734=TRUE,"Ready 2 Submit","Waiting on Dealer"))</f>
        <v/>
      </c>
      <c r="AC734" s="148"/>
      <c r="AD734" s="87"/>
      <c r="AE734" s="87"/>
      <c r="AF734" s="87" t="str">
        <f>IF($A734="","",IF($AK734=TRUE,"Ready 2 Submit","Waiting on Dealer"))</f>
        <v/>
      </c>
      <c r="AG734" s="148"/>
      <c r="AH734" s="87"/>
      <c r="AI734" s="87"/>
      <c r="AJ734" s="197"/>
      <c r="AK734" s="110" t="b">
        <v>0</v>
      </c>
      <c r="AL734" s="87" t="str" cm="1">
        <f t="array" ref="AL734">IF($A734="","",SUMPRODUCT((CHOOSE({1,2,3,4,5},$R734,$V734,$Z734,$AD734,$AH734)="Yes")*(((CHOOSE({1,2,3,4,5},$S734,$W734,$AA734,$AE734,$AI734)="Yes")+(CHOOSE({1,2,3,4,5},$S734,$W734,$AA734,$AE734,$AI734)=TRUE))&gt;0)))</f>
        <v/>
      </c>
      <c r="AM734" s="87"/>
      <c r="AN734" s="87" t="str">
        <f ca="1">IF(OR($A734="",$AM734=""),"",TODAY()-$AM734)</f>
        <v/>
      </c>
      <c r="AO734" s="87"/>
      <c r="AP734" s="106"/>
      <c r="AQ734" s="106"/>
      <c r="AR734" s="106"/>
      <c r="AS734" s="106"/>
      <c r="AT734" s="106"/>
      <c r="AU734" s="106"/>
      <c r="AV734" s="106"/>
      <c r="AW734" s="106"/>
      <c r="AX734" s="106"/>
      <c r="AY734" s="106"/>
    </row>
    <row r="735" spans="1:51" s="20" customFormat="1" ht="21" customHeight="1">
      <c r="A735" s="197"/>
      <c r="B735" s="87"/>
      <c r="C735" s="87"/>
      <c r="D735" s="196"/>
      <c r="E735" s="108"/>
      <c r="F735" s="196"/>
      <c r="G735" s="87"/>
      <c r="H735" s="197"/>
      <c r="I735" s="89"/>
      <c r="J735" s="204"/>
      <c r="K735" s="87"/>
      <c r="L735" s="87" t="str" cm="1">
        <f t="array" ref="L735">IF($A735="","",_xlfn.LET(_xlpm.stat,CHOOSE({1,2,3,4,5},$P735,$T735,$X735,$AB735,$AF735),_xlpm.rate,CHOOSE({1,2,3,4,5},$R735,$V735,$Z735,$AD735,$AH735),_xlpm.trn,CHOOSE({1,2,3,4,5},$S735,$W735,$AA735,$AE735,$AI735),_xlpm.nsC,SUMPRODUCT(--(_xlpm.stat="Ready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DLR",IF(AND(_xlpm.actRS&gt;0,_xlpm.actDone&lt;_xlpm.actRS),"Training",IF(_xlpm.actRS&gt;0,"Active",IF(AND(_xlpm.decC&gt;0,_xlpm.inPlay+_xlpm.actC=0),"Dead",IF(AND($AJ735&lt;&gt;"",$AK735=FALSE),"Waiting on Dealer",IF(_xlpm.subC&gt;0,"Waiting on Lender",IF(AND(_xlpm.appC+_xlpm.actC&gt;0,_xlpm.nsC+_xlpm.wdC=0),"Rate Sheet","Application Submitted")))))))))</f>
        <v/>
      </c>
      <c r="M735" s="87"/>
      <c r="N735" s="87"/>
      <c r="O735" s="197"/>
      <c r="P735" s="87" t="str">
        <f>IF($A735="","",IF($AK735=TRUE,"Ready 2 Submit","Waiting on Dealer"))</f>
        <v/>
      </c>
      <c r="Q735" s="148"/>
      <c r="R735" s="87"/>
      <c r="S735" s="87"/>
      <c r="T735" s="87" t="str">
        <f>IF($A735="","",IF($AK735=TRUE,"Ready 2 Submit","Waiting on Dealer"))</f>
        <v/>
      </c>
      <c r="U735" s="148"/>
      <c r="V735" s="87"/>
      <c r="W735" s="87"/>
      <c r="X735" s="87" t="str">
        <f>IF($A735="","",IF($AK735=TRUE,"Ready 2 Submit","Waiting on Dealer"))</f>
        <v/>
      </c>
      <c r="Y735" s="148"/>
      <c r="Z735" s="87"/>
      <c r="AA735" s="87"/>
      <c r="AB735" s="87" t="str">
        <f>IF($A735="","",IF($AK735=TRUE,"Ready 2 Submit","Waiting on Dealer"))</f>
        <v/>
      </c>
      <c r="AC735" s="148"/>
      <c r="AD735" s="87"/>
      <c r="AE735" s="87"/>
      <c r="AF735" s="87" t="str">
        <f>IF($A735="","",IF($AK735=TRUE,"Ready 2 Submit","Waiting on Dealer"))</f>
        <v/>
      </c>
      <c r="AG735" s="148"/>
      <c r="AH735" s="87"/>
      <c r="AI735" s="87"/>
      <c r="AJ735" s="197"/>
      <c r="AK735" s="110" t="b">
        <v>0</v>
      </c>
      <c r="AL735" s="87" t="str" cm="1">
        <f t="array" ref="AL735">IF($A735="","",SUMPRODUCT((CHOOSE({1,2,3,4,5},$R735,$V735,$Z735,$AD735,$AH735)="Yes")*(((CHOOSE({1,2,3,4,5},$S735,$W735,$AA735,$AE735,$AI735)="Yes")+(CHOOSE({1,2,3,4,5},$S735,$W735,$AA735,$AE735,$AI735)=TRUE))&gt;0)))</f>
        <v/>
      </c>
      <c r="AM735" s="87"/>
      <c r="AN735" s="87" t="str">
        <f ca="1">IF(OR($A735="",$AM735=""),"",TODAY()-$AM735)</f>
        <v/>
      </c>
      <c r="AO735" s="87"/>
      <c r="AP735" s="106"/>
      <c r="AQ735" s="106"/>
      <c r="AR735" s="106"/>
      <c r="AS735" s="106"/>
      <c r="AT735" s="106"/>
      <c r="AU735" s="106"/>
      <c r="AV735" s="106"/>
      <c r="AW735" s="106"/>
      <c r="AX735" s="106"/>
      <c r="AY735" s="106"/>
    </row>
    <row r="736" spans="1:51" s="20" customFormat="1" ht="21" customHeight="1">
      <c r="A736" s="197"/>
      <c r="B736" s="87"/>
      <c r="C736" s="87"/>
      <c r="D736" s="196"/>
      <c r="E736" s="108"/>
      <c r="F736" s="196"/>
      <c r="G736" s="87"/>
      <c r="H736" s="197"/>
      <c r="I736" s="89"/>
      <c r="J736" s="204"/>
      <c r="K736" s="87"/>
      <c r="L736" s="87" t="str" cm="1">
        <f t="array" ref="L736">IF($A736="","",_xlfn.LET(_xlpm.stat,CHOOSE({1,2,3,4,5},$P736,$T736,$X736,$AB736,$AF736),_xlpm.rate,CHOOSE({1,2,3,4,5},$R736,$V736,$Z736,$AD736,$AH736),_xlpm.trn,CHOOSE({1,2,3,4,5},$S736,$W736,$AA736,$AE736,$AI736),_xlpm.nsC,SUMPRODUCT(--(_xlpm.stat="Ready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DLR",IF(AND(_xlpm.actRS&gt;0,_xlpm.actDone&lt;_xlpm.actRS),"Training",IF(_xlpm.actRS&gt;0,"Active",IF(AND(_xlpm.decC&gt;0,_xlpm.inPlay+_xlpm.actC=0),"Dead",IF(AND($AJ736&lt;&gt;"",$AK736=FALSE),"Waiting on Dealer",IF(_xlpm.subC&gt;0,"Waiting on Lender",IF(AND(_xlpm.appC+_xlpm.actC&gt;0,_xlpm.nsC+_xlpm.wdC=0),"Rate Sheet","Application Submitted")))))))))</f>
        <v/>
      </c>
      <c r="M736" s="87"/>
      <c r="N736" s="87"/>
      <c r="O736" s="197"/>
      <c r="P736" s="87" t="str">
        <f>IF($A736="","",IF($AK736=TRUE,"Ready 2 Submit","Waiting on Dealer"))</f>
        <v/>
      </c>
      <c r="Q736" s="148"/>
      <c r="R736" s="87"/>
      <c r="S736" s="87"/>
      <c r="T736" s="87" t="str">
        <f>IF($A736="","",IF($AK736=TRUE,"Ready 2 Submit","Waiting on Dealer"))</f>
        <v/>
      </c>
      <c r="U736" s="148"/>
      <c r="V736" s="87"/>
      <c r="W736" s="87"/>
      <c r="X736" s="87" t="str">
        <f>IF($A736="","",IF($AK736=TRUE,"Ready 2 Submit","Waiting on Dealer"))</f>
        <v/>
      </c>
      <c r="Y736" s="148"/>
      <c r="Z736" s="87"/>
      <c r="AA736" s="87"/>
      <c r="AB736" s="87" t="str">
        <f>IF($A736="","",IF($AK736=TRUE,"Ready 2 Submit","Waiting on Dealer"))</f>
        <v/>
      </c>
      <c r="AC736" s="148"/>
      <c r="AD736" s="87"/>
      <c r="AE736" s="87"/>
      <c r="AF736" s="87" t="str">
        <f>IF($A736="","",IF($AK736=TRUE,"Ready 2 Submit","Waiting on Dealer"))</f>
        <v/>
      </c>
      <c r="AG736" s="148"/>
      <c r="AH736" s="87"/>
      <c r="AI736" s="87"/>
      <c r="AJ736" s="197"/>
      <c r="AK736" s="110" t="b">
        <v>0</v>
      </c>
      <c r="AL736" s="87" t="str" cm="1">
        <f t="array" ref="AL736">IF($A736="","",SUMPRODUCT((CHOOSE({1,2,3,4,5},$R736,$V736,$Z736,$AD736,$AH736)="Yes")*(((CHOOSE({1,2,3,4,5},$S736,$W736,$AA736,$AE736,$AI736)="Yes")+(CHOOSE({1,2,3,4,5},$S736,$W736,$AA736,$AE736,$AI736)=TRUE))&gt;0)))</f>
        <v/>
      </c>
      <c r="AM736" s="87"/>
      <c r="AN736" s="87" t="str">
        <f ca="1">IF(OR($A736="",$AM736=""),"",TODAY()-$AM736)</f>
        <v/>
      </c>
      <c r="AO736" s="87"/>
      <c r="AP736" s="106"/>
      <c r="AQ736" s="106"/>
      <c r="AR736" s="106"/>
      <c r="AS736" s="106"/>
      <c r="AT736" s="106"/>
      <c r="AU736" s="106"/>
      <c r="AV736" s="106"/>
      <c r="AW736" s="106"/>
      <c r="AX736" s="106"/>
      <c r="AY736" s="106"/>
    </row>
    <row r="737" spans="1:51" s="20" customFormat="1" ht="21" customHeight="1">
      <c r="A737" s="197"/>
      <c r="B737" s="87"/>
      <c r="C737" s="87"/>
      <c r="D737" s="196"/>
      <c r="E737" s="108"/>
      <c r="F737" s="196"/>
      <c r="G737" s="87"/>
      <c r="H737" s="197"/>
      <c r="I737" s="89"/>
      <c r="J737" s="204"/>
      <c r="K737" s="87"/>
      <c r="L737" s="87" t="str" cm="1">
        <f t="array" ref="L737">IF($A737="","",_xlfn.LET(_xlpm.stat,CHOOSE({1,2,3,4,5},$P737,$T737,$X737,$AB737,$AF737),_xlpm.rate,CHOOSE({1,2,3,4,5},$R737,$V737,$Z737,$AD737,$AH737),_xlpm.trn,CHOOSE({1,2,3,4,5},$S737,$W737,$AA737,$AE737,$AI737),_xlpm.nsC,SUMPRODUCT(--(_xlpm.stat="Ready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DLR",IF(AND(_xlpm.actRS&gt;0,_xlpm.actDone&lt;_xlpm.actRS),"Training",IF(_xlpm.actRS&gt;0,"Active",IF(AND(_xlpm.decC&gt;0,_xlpm.inPlay+_xlpm.actC=0),"Dead",IF(AND($AJ737&lt;&gt;"",$AK737=FALSE),"Waiting on Dealer",IF(_xlpm.subC&gt;0,"Waiting on Lender",IF(AND(_xlpm.appC+_xlpm.actC&gt;0,_xlpm.nsC+_xlpm.wdC=0),"Rate Sheet","Application Submitted")))))))))</f>
        <v/>
      </c>
      <c r="M737" s="87"/>
      <c r="N737" s="87"/>
      <c r="O737" s="197"/>
      <c r="P737" s="87" t="str">
        <f>IF($A737="","",IF($AK737=TRUE,"Ready 2 Submit","Waiting on Dealer"))</f>
        <v/>
      </c>
      <c r="Q737" s="148"/>
      <c r="R737" s="87"/>
      <c r="S737" s="87"/>
      <c r="T737" s="87" t="str">
        <f>IF($A737="","",IF($AK737=TRUE,"Ready 2 Submit","Waiting on Dealer"))</f>
        <v/>
      </c>
      <c r="U737" s="148"/>
      <c r="V737" s="87"/>
      <c r="W737" s="87"/>
      <c r="X737" s="87" t="str">
        <f>IF($A737="","",IF($AK737=TRUE,"Ready 2 Submit","Waiting on Dealer"))</f>
        <v/>
      </c>
      <c r="Y737" s="148"/>
      <c r="Z737" s="87"/>
      <c r="AA737" s="87"/>
      <c r="AB737" s="87" t="str">
        <f>IF($A737="","",IF($AK737=TRUE,"Ready 2 Submit","Waiting on Dealer"))</f>
        <v/>
      </c>
      <c r="AC737" s="148"/>
      <c r="AD737" s="87"/>
      <c r="AE737" s="87"/>
      <c r="AF737" s="87" t="str">
        <f>IF($A737="","",IF($AK737=TRUE,"Ready 2 Submit","Waiting on Dealer"))</f>
        <v/>
      </c>
      <c r="AG737" s="148"/>
      <c r="AH737" s="87"/>
      <c r="AI737" s="87"/>
      <c r="AJ737" s="197"/>
      <c r="AK737" s="110" t="b">
        <v>0</v>
      </c>
      <c r="AL737" s="87" t="str" cm="1">
        <f t="array" ref="AL737">IF($A737="","",SUMPRODUCT((CHOOSE({1,2,3,4,5},$R737,$V737,$Z737,$AD737,$AH737)="Yes")*(((CHOOSE({1,2,3,4,5},$S737,$W737,$AA737,$AE737,$AI737)="Yes")+(CHOOSE({1,2,3,4,5},$S737,$W737,$AA737,$AE737,$AI737)=TRUE))&gt;0)))</f>
        <v/>
      </c>
      <c r="AM737" s="87"/>
      <c r="AN737" s="87" t="str">
        <f ca="1">IF(OR($A737="",$AM737=""),"",TODAY()-$AM737)</f>
        <v/>
      </c>
      <c r="AO737" s="87"/>
      <c r="AP737" s="106"/>
      <c r="AQ737" s="106"/>
      <c r="AR737" s="106"/>
      <c r="AS737" s="106"/>
      <c r="AT737" s="106"/>
      <c r="AU737" s="106"/>
      <c r="AV737" s="106"/>
      <c r="AW737" s="106"/>
      <c r="AX737" s="106"/>
      <c r="AY737" s="106"/>
    </row>
    <row r="738" spans="1:51" s="20" customFormat="1" ht="21" customHeight="1">
      <c r="A738" s="197"/>
      <c r="B738" s="87"/>
      <c r="C738" s="87"/>
      <c r="D738" s="196"/>
      <c r="E738" s="108"/>
      <c r="F738" s="196"/>
      <c r="G738" s="87"/>
      <c r="H738" s="197"/>
      <c r="I738" s="89"/>
      <c r="J738" s="204"/>
      <c r="K738" s="87"/>
      <c r="L738" s="87" t="str" cm="1">
        <f t="array" ref="L738">IF($A738="","",_xlfn.LET(_xlpm.stat,CHOOSE({1,2,3,4,5},$P738,$T738,$X738,$AB738,$AF738),_xlpm.rate,CHOOSE({1,2,3,4,5},$R738,$V738,$Z738,$AD738,$AH738),_xlpm.trn,CHOOSE({1,2,3,4,5},$S738,$W738,$AA738,$AE738,$AI738),_xlpm.nsC,SUMPRODUCT(--(_xlpm.stat="Ready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DLR",IF(AND(_xlpm.actRS&gt;0,_xlpm.actDone&lt;_xlpm.actRS),"Training",IF(_xlpm.actRS&gt;0,"Active",IF(AND(_xlpm.decC&gt;0,_xlpm.inPlay+_xlpm.actC=0),"Dead",IF(AND($AJ738&lt;&gt;"",$AK738=FALSE),"Waiting on Dealer",IF(_xlpm.subC&gt;0,"Waiting on Lender",IF(AND(_xlpm.appC+_xlpm.actC&gt;0,_xlpm.nsC+_xlpm.wdC=0),"Rate Sheet","Application Submitted")))))))))</f>
        <v/>
      </c>
      <c r="M738" s="87"/>
      <c r="N738" s="87"/>
      <c r="O738" s="197"/>
      <c r="P738" s="87" t="str">
        <f>IF($A738="","",IF($AK738=TRUE,"Ready 2 Submit","Waiting on Dealer"))</f>
        <v/>
      </c>
      <c r="Q738" s="148"/>
      <c r="R738" s="87"/>
      <c r="S738" s="87"/>
      <c r="T738" s="87" t="str">
        <f>IF($A738="","",IF($AK738=TRUE,"Ready 2 Submit","Waiting on Dealer"))</f>
        <v/>
      </c>
      <c r="U738" s="148"/>
      <c r="V738" s="87"/>
      <c r="W738" s="87"/>
      <c r="X738" s="87" t="str">
        <f>IF($A738="","",IF($AK738=TRUE,"Ready 2 Submit","Waiting on Dealer"))</f>
        <v/>
      </c>
      <c r="Y738" s="148"/>
      <c r="Z738" s="87"/>
      <c r="AA738" s="87"/>
      <c r="AB738" s="87" t="str">
        <f>IF($A738="","",IF($AK738=TRUE,"Ready 2 Submit","Waiting on Dealer"))</f>
        <v/>
      </c>
      <c r="AC738" s="148"/>
      <c r="AD738" s="87"/>
      <c r="AE738" s="87"/>
      <c r="AF738" s="87" t="str">
        <f>IF($A738="","",IF($AK738=TRUE,"Ready 2 Submit","Waiting on Dealer"))</f>
        <v/>
      </c>
      <c r="AG738" s="148"/>
      <c r="AH738" s="87"/>
      <c r="AI738" s="87"/>
      <c r="AJ738" s="197"/>
      <c r="AK738" s="110" t="b">
        <v>0</v>
      </c>
      <c r="AL738" s="87" t="str" cm="1">
        <f t="array" ref="AL738">IF($A738="","",SUMPRODUCT((CHOOSE({1,2,3,4,5},$R738,$V738,$Z738,$AD738,$AH738)="Yes")*(((CHOOSE({1,2,3,4,5},$S738,$W738,$AA738,$AE738,$AI738)="Yes")+(CHOOSE({1,2,3,4,5},$S738,$W738,$AA738,$AE738,$AI738)=TRUE))&gt;0)))</f>
        <v/>
      </c>
      <c r="AM738" s="87"/>
      <c r="AN738" s="87" t="str">
        <f ca="1">IF(OR($A738="",$AM738=""),"",TODAY()-$AM738)</f>
        <v/>
      </c>
      <c r="AO738" s="87"/>
      <c r="AP738" s="106"/>
      <c r="AQ738" s="106"/>
      <c r="AR738" s="106"/>
      <c r="AS738" s="106"/>
      <c r="AT738" s="106"/>
      <c r="AU738" s="106"/>
      <c r="AV738" s="106"/>
      <c r="AW738" s="106"/>
      <c r="AX738" s="106"/>
      <c r="AY738" s="106"/>
    </row>
    <row r="739" spans="1:51" s="20" customFormat="1" ht="21" customHeight="1">
      <c r="A739" s="197"/>
      <c r="B739" s="87"/>
      <c r="C739" s="87"/>
      <c r="D739" s="196"/>
      <c r="E739" s="108"/>
      <c r="F739" s="196"/>
      <c r="G739" s="87"/>
      <c r="H739" s="197"/>
      <c r="I739" s="89"/>
      <c r="J739" s="204"/>
      <c r="K739" s="87"/>
      <c r="L739" s="87" t="str" cm="1">
        <f t="array" ref="L739">IF($A739="","",_xlfn.LET(_xlpm.stat,CHOOSE({1,2,3,4,5},$P739,$T739,$X739,$AB739,$AF739),_xlpm.rate,CHOOSE({1,2,3,4,5},$R739,$V739,$Z739,$AD739,$AH739),_xlpm.trn,CHOOSE({1,2,3,4,5},$S739,$W739,$AA739,$AE739,$AI739),_xlpm.nsC,SUMPRODUCT(--(_xlpm.stat="Ready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DLR",IF(AND(_xlpm.actRS&gt;0,_xlpm.actDone&lt;_xlpm.actRS),"Training",IF(_xlpm.actRS&gt;0,"Active",IF(AND(_xlpm.decC&gt;0,_xlpm.inPlay+_xlpm.actC=0),"Dead",IF(AND($AJ739&lt;&gt;"",$AK739=FALSE),"Waiting on Dealer",IF(_xlpm.subC&gt;0,"Waiting on Lender",IF(AND(_xlpm.appC+_xlpm.actC&gt;0,_xlpm.nsC+_xlpm.wdC=0),"Rate Sheet","Application Submitted")))))))))</f>
        <v/>
      </c>
      <c r="M739" s="87"/>
      <c r="N739" s="87"/>
      <c r="O739" s="197"/>
      <c r="P739" s="87" t="str">
        <f>IF($A739="","",IF($AK739=TRUE,"Ready 2 Submit","Waiting on Dealer"))</f>
        <v/>
      </c>
      <c r="Q739" s="148"/>
      <c r="R739" s="87"/>
      <c r="S739" s="87"/>
      <c r="T739" s="87" t="str">
        <f>IF($A739="","",IF($AK739=TRUE,"Ready 2 Submit","Waiting on Dealer"))</f>
        <v/>
      </c>
      <c r="U739" s="148"/>
      <c r="V739" s="87"/>
      <c r="W739" s="87"/>
      <c r="X739" s="87" t="str">
        <f>IF($A739="","",IF($AK739=TRUE,"Ready 2 Submit","Waiting on Dealer"))</f>
        <v/>
      </c>
      <c r="Y739" s="148"/>
      <c r="Z739" s="87"/>
      <c r="AA739" s="87"/>
      <c r="AB739" s="87" t="str">
        <f>IF($A739="","",IF($AK739=TRUE,"Ready 2 Submit","Waiting on Dealer"))</f>
        <v/>
      </c>
      <c r="AC739" s="148"/>
      <c r="AD739" s="87"/>
      <c r="AE739" s="87"/>
      <c r="AF739" s="87" t="str">
        <f>IF($A739="","",IF($AK739=TRUE,"Ready 2 Submit","Waiting on Dealer"))</f>
        <v/>
      </c>
      <c r="AG739" s="148"/>
      <c r="AH739" s="87"/>
      <c r="AI739" s="87"/>
      <c r="AJ739" s="197"/>
      <c r="AK739" s="110" t="b">
        <v>0</v>
      </c>
      <c r="AL739" s="87" t="str" cm="1">
        <f t="array" ref="AL739">IF($A739="","",SUMPRODUCT((CHOOSE({1,2,3,4,5},$R739,$V739,$Z739,$AD739,$AH739)="Yes")*(((CHOOSE({1,2,3,4,5},$S739,$W739,$AA739,$AE739,$AI739)="Yes")+(CHOOSE({1,2,3,4,5},$S739,$W739,$AA739,$AE739,$AI739)=TRUE))&gt;0)))</f>
        <v/>
      </c>
      <c r="AM739" s="87"/>
      <c r="AN739" s="87" t="str">
        <f ca="1">IF(OR($A739="",$AM739=""),"",TODAY()-$AM739)</f>
        <v/>
      </c>
      <c r="AO739" s="87"/>
      <c r="AP739" s="106"/>
      <c r="AQ739" s="106"/>
      <c r="AR739" s="106"/>
      <c r="AS739" s="106"/>
      <c r="AT739" s="106"/>
      <c r="AU739" s="106"/>
      <c r="AV739" s="106"/>
      <c r="AW739" s="106"/>
      <c r="AX739" s="106"/>
      <c r="AY739" s="106"/>
    </row>
    <row r="740" spans="1:51" s="20" customFormat="1" ht="21" customHeight="1">
      <c r="A740" s="197"/>
      <c r="B740" s="87"/>
      <c r="C740" s="87"/>
      <c r="D740" s="196"/>
      <c r="E740" s="108"/>
      <c r="F740" s="196"/>
      <c r="G740" s="87"/>
      <c r="H740" s="197"/>
      <c r="I740" s="89"/>
      <c r="J740" s="204"/>
      <c r="K740" s="87"/>
      <c r="L740" s="87" t="str" cm="1">
        <f t="array" ref="L740">IF($A740="","",_xlfn.LET(_xlpm.stat,CHOOSE({1,2,3,4,5},$P740,$T740,$X740,$AB740,$AF740),_xlpm.rate,CHOOSE({1,2,3,4,5},$R740,$V740,$Z740,$AD740,$AH740),_xlpm.trn,CHOOSE({1,2,3,4,5},$S740,$W740,$AA740,$AE740,$AI740),_xlpm.nsC,SUMPRODUCT(--(_xlpm.stat="Ready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DLR",IF(AND(_xlpm.actRS&gt;0,_xlpm.actDone&lt;_xlpm.actRS),"Training",IF(_xlpm.actRS&gt;0,"Active",IF(AND(_xlpm.decC&gt;0,_xlpm.inPlay+_xlpm.actC=0),"Dead",IF(AND($AJ740&lt;&gt;"",$AK740=FALSE),"Waiting on Dealer",IF(_xlpm.subC&gt;0,"Waiting on Lender",IF(AND(_xlpm.appC+_xlpm.actC&gt;0,_xlpm.nsC+_xlpm.wdC=0),"Rate Sheet","Application Submitted")))))))))</f>
        <v/>
      </c>
      <c r="M740" s="87"/>
      <c r="N740" s="87"/>
      <c r="O740" s="197"/>
      <c r="P740" s="87" t="str">
        <f>IF($A740="","",IF($AK740=TRUE,"Ready 2 Submit","Waiting on Dealer"))</f>
        <v/>
      </c>
      <c r="Q740" s="148"/>
      <c r="R740" s="87"/>
      <c r="S740" s="87"/>
      <c r="T740" s="87" t="str">
        <f>IF($A740="","",IF($AK740=TRUE,"Ready 2 Submit","Waiting on Dealer"))</f>
        <v/>
      </c>
      <c r="U740" s="148"/>
      <c r="V740" s="87"/>
      <c r="W740" s="87"/>
      <c r="X740" s="87" t="str">
        <f>IF($A740="","",IF($AK740=TRUE,"Ready 2 Submit","Waiting on Dealer"))</f>
        <v/>
      </c>
      <c r="Y740" s="148"/>
      <c r="Z740" s="87"/>
      <c r="AA740" s="87"/>
      <c r="AB740" s="87" t="str">
        <f>IF($A740="","",IF($AK740=TRUE,"Ready 2 Submit","Waiting on Dealer"))</f>
        <v/>
      </c>
      <c r="AC740" s="148"/>
      <c r="AD740" s="87"/>
      <c r="AE740" s="87"/>
      <c r="AF740" s="87" t="str">
        <f>IF($A740="","",IF($AK740=TRUE,"Ready 2 Submit","Waiting on Dealer"))</f>
        <v/>
      </c>
      <c r="AG740" s="148"/>
      <c r="AH740" s="87"/>
      <c r="AI740" s="87"/>
      <c r="AJ740" s="197"/>
      <c r="AK740" s="110" t="b">
        <v>0</v>
      </c>
      <c r="AL740" s="87" t="str" cm="1">
        <f t="array" ref="AL740">IF($A740="","",SUMPRODUCT((CHOOSE({1,2,3,4,5},$R740,$V740,$Z740,$AD740,$AH740)="Yes")*(((CHOOSE({1,2,3,4,5},$S740,$W740,$AA740,$AE740,$AI740)="Yes")+(CHOOSE({1,2,3,4,5},$S740,$W740,$AA740,$AE740,$AI740)=TRUE))&gt;0)))</f>
        <v/>
      </c>
      <c r="AM740" s="87"/>
      <c r="AN740" s="87" t="str">
        <f ca="1">IF(OR($A740="",$AM740=""),"",TODAY()-$AM740)</f>
        <v/>
      </c>
      <c r="AO740" s="87"/>
      <c r="AP740" s="106"/>
      <c r="AQ740" s="106"/>
      <c r="AR740" s="106"/>
      <c r="AS740" s="106"/>
      <c r="AT740" s="106"/>
      <c r="AU740" s="106"/>
      <c r="AV740" s="106"/>
      <c r="AW740" s="106"/>
      <c r="AX740" s="106"/>
      <c r="AY740" s="106"/>
    </row>
    <row r="741" spans="1:51" s="20" customFormat="1" ht="21" customHeight="1">
      <c r="A741" s="197"/>
      <c r="B741" s="87"/>
      <c r="C741" s="87"/>
      <c r="D741" s="196"/>
      <c r="E741" s="108"/>
      <c r="F741" s="196"/>
      <c r="G741" s="87"/>
      <c r="H741" s="197"/>
      <c r="I741" s="89"/>
      <c r="J741" s="204"/>
      <c r="K741" s="87"/>
      <c r="L741" s="87" t="str" cm="1">
        <f t="array" ref="L741">IF($A741="","",_xlfn.LET(_xlpm.stat,CHOOSE({1,2,3,4,5},$P741,$T741,$X741,$AB741,$AF741),_xlpm.rate,CHOOSE({1,2,3,4,5},$R741,$V741,$Z741,$AD741,$AH741),_xlpm.trn,CHOOSE({1,2,3,4,5},$S741,$W741,$AA741,$AE741,$AI741),_xlpm.nsC,SUMPRODUCT(--(_xlpm.stat="Ready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DLR",IF(AND(_xlpm.actRS&gt;0,_xlpm.actDone&lt;_xlpm.actRS),"Training",IF(_xlpm.actRS&gt;0,"Active",IF(AND(_xlpm.decC&gt;0,_xlpm.inPlay+_xlpm.actC=0),"Dead",IF(AND($AJ741&lt;&gt;"",$AK741=FALSE),"Waiting on Dealer",IF(_xlpm.subC&gt;0,"Waiting on Lender",IF(AND(_xlpm.appC+_xlpm.actC&gt;0,_xlpm.nsC+_xlpm.wdC=0),"Rate Sheet","Application Submitted")))))))))</f>
        <v/>
      </c>
      <c r="M741" s="87"/>
      <c r="N741" s="87"/>
      <c r="O741" s="197"/>
      <c r="P741" s="87" t="str">
        <f>IF($A741="","",IF($AK741=TRUE,"Ready 2 Submit","Waiting on Dealer"))</f>
        <v/>
      </c>
      <c r="Q741" s="148"/>
      <c r="R741" s="87"/>
      <c r="S741" s="87"/>
      <c r="T741" s="87" t="str">
        <f>IF($A741="","",IF($AK741=TRUE,"Ready 2 Submit","Waiting on Dealer"))</f>
        <v/>
      </c>
      <c r="U741" s="148"/>
      <c r="V741" s="87"/>
      <c r="W741" s="87"/>
      <c r="X741" s="87" t="str">
        <f>IF($A741="","",IF($AK741=TRUE,"Ready 2 Submit","Waiting on Dealer"))</f>
        <v/>
      </c>
      <c r="Y741" s="148"/>
      <c r="Z741" s="87"/>
      <c r="AA741" s="87"/>
      <c r="AB741" s="87" t="str">
        <f>IF($A741="","",IF($AK741=TRUE,"Ready 2 Submit","Waiting on Dealer"))</f>
        <v/>
      </c>
      <c r="AC741" s="148"/>
      <c r="AD741" s="87"/>
      <c r="AE741" s="87"/>
      <c r="AF741" s="87" t="str">
        <f>IF($A741="","",IF($AK741=TRUE,"Ready 2 Submit","Waiting on Dealer"))</f>
        <v/>
      </c>
      <c r="AG741" s="148"/>
      <c r="AH741" s="87"/>
      <c r="AI741" s="87"/>
      <c r="AJ741" s="197"/>
      <c r="AK741" s="110" t="b">
        <v>0</v>
      </c>
      <c r="AL741" s="87" t="str" cm="1">
        <f t="array" ref="AL741">IF($A741="","",SUMPRODUCT((CHOOSE({1,2,3,4,5},$R741,$V741,$Z741,$AD741,$AH741)="Yes")*(((CHOOSE({1,2,3,4,5},$S741,$W741,$AA741,$AE741,$AI741)="Yes")+(CHOOSE({1,2,3,4,5},$S741,$W741,$AA741,$AE741,$AI741)=TRUE))&gt;0)))</f>
        <v/>
      </c>
      <c r="AM741" s="87"/>
      <c r="AN741" s="87" t="str">
        <f ca="1">IF(OR($A741="",$AM741=""),"",TODAY()-$AM741)</f>
        <v/>
      </c>
      <c r="AO741" s="87"/>
      <c r="AP741" s="106"/>
      <c r="AQ741" s="106"/>
      <c r="AR741" s="106"/>
      <c r="AS741" s="106"/>
      <c r="AT741" s="106"/>
      <c r="AU741" s="106"/>
      <c r="AV741" s="106"/>
      <c r="AW741" s="106"/>
      <c r="AX741" s="106"/>
      <c r="AY741" s="106"/>
    </row>
    <row r="742" spans="1:51" s="20" customFormat="1" ht="21" customHeight="1">
      <c r="A742" s="197"/>
      <c r="B742" s="87"/>
      <c r="C742" s="87"/>
      <c r="D742" s="196"/>
      <c r="E742" s="108"/>
      <c r="F742" s="196"/>
      <c r="G742" s="87"/>
      <c r="H742" s="197"/>
      <c r="I742" s="89"/>
      <c r="J742" s="204"/>
      <c r="K742" s="87"/>
      <c r="L742" s="87" t="str" cm="1">
        <f t="array" ref="L742">IF($A742="","",_xlfn.LET(_xlpm.stat,CHOOSE({1,2,3,4,5},$P742,$T742,$X742,$AB742,$AF742),_xlpm.rate,CHOOSE({1,2,3,4,5},$R742,$V742,$Z742,$AD742,$AH742),_xlpm.trn,CHOOSE({1,2,3,4,5},$S742,$W742,$AA742,$AE742,$AI742),_xlpm.nsC,SUMPRODUCT(--(_xlpm.stat="Ready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DLR",IF(AND(_xlpm.actRS&gt;0,_xlpm.actDone&lt;_xlpm.actRS),"Training",IF(_xlpm.actRS&gt;0,"Active",IF(AND(_xlpm.decC&gt;0,_xlpm.inPlay+_xlpm.actC=0),"Dead",IF(AND($AJ742&lt;&gt;"",$AK742=FALSE),"Waiting on Dealer",IF(_xlpm.subC&gt;0,"Waiting on Lender",IF(AND(_xlpm.appC+_xlpm.actC&gt;0,_xlpm.nsC+_xlpm.wdC=0),"Rate Sheet","Application Submitted")))))))))</f>
        <v/>
      </c>
      <c r="M742" s="87"/>
      <c r="N742" s="87"/>
      <c r="O742" s="197"/>
      <c r="P742" s="87" t="str">
        <f>IF($A742="","",IF($AK742=TRUE,"Ready 2 Submit","Waiting on Dealer"))</f>
        <v/>
      </c>
      <c r="Q742" s="148"/>
      <c r="R742" s="87"/>
      <c r="S742" s="87"/>
      <c r="T742" s="87" t="str">
        <f>IF($A742="","",IF($AK742=TRUE,"Ready 2 Submit","Waiting on Dealer"))</f>
        <v/>
      </c>
      <c r="U742" s="148"/>
      <c r="V742" s="87"/>
      <c r="W742" s="87"/>
      <c r="X742" s="87" t="str">
        <f>IF($A742="","",IF($AK742=TRUE,"Ready 2 Submit","Waiting on Dealer"))</f>
        <v/>
      </c>
      <c r="Y742" s="148"/>
      <c r="Z742" s="87"/>
      <c r="AA742" s="87"/>
      <c r="AB742" s="87" t="str">
        <f>IF($A742="","",IF($AK742=TRUE,"Ready 2 Submit","Waiting on Dealer"))</f>
        <v/>
      </c>
      <c r="AC742" s="148"/>
      <c r="AD742" s="87"/>
      <c r="AE742" s="87"/>
      <c r="AF742" s="87" t="str">
        <f>IF($A742="","",IF($AK742=TRUE,"Ready 2 Submit","Waiting on Dealer"))</f>
        <v/>
      </c>
      <c r="AG742" s="148"/>
      <c r="AH742" s="87"/>
      <c r="AI742" s="87"/>
      <c r="AJ742" s="197"/>
      <c r="AK742" s="110" t="b">
        <v>0</v>
      </c>
      <c r="AL742" s="87" t="str" cm="1">
        <f t="array" ref="AL742">IF($A742="","",SUMPRODUCT((CHOOSE({1,2,3,4,5},$R742,$V742,$Z742,$AD742,$AH742)="Yes")*(((CHOOSE({1,2,3,4,5},$S742,$W742,$AA742,$AE742,$AI742)="Yes")+(CHOOSE({1,2,3,4,5},$S742,$W742,$AA742,$AE742,$AI742)=TRUE))&gt;0)))</f>
        <v/>
      </c>
      <c r="AM742" s="87"/>
      <c r="AN742" s="87" t="str">
        <f ca="1">IF(OR($A742="",$AM742=""),"",TODAY()-$AM742)</f>
        <v/>
      </c>
      <c r="AO742" s="87"/>
      <c r="AP742" s="106"/>
      <c r="AQ742" s="106"/>
      <c r="AR742" s="106"/>
      <c r="AS742" s="106"/>
      <c r="AT742" s="106"/>
      <c r="AU742" s="106"/>
      <c r="AV742" s="106"/>
      <c r="AW742" s="106"/>
      <c r="AX742" s="106"/>
      <c r="AY742" s="106"/>
    </row>
    <row r="743" spans="1:51" s="20" customFormat="1" ht="21" customHeight="1">
      <c r="A743" s="197"/>
      <c r="B743" s="87"/>
      <c r="C743" s="87"/>
      <c r="D743" s="196"/>
      <c r="E743" s="108"/>
      <c r="F743" s="196"/>
      <c r="G743" s="87"/>
      <c r="H743" s="197"/>
      <c r="I743" s="89"/>
      <c r="J743" s="204"/>
      <c r="K743" s="87"/>
      <c r="L743" s="87" t="str" cm="1">
        <f t="array" ref="L743">IF($A743="","",_xlfn.LET(_xlpm.stat,CHOOSE({1,2,3,4,5},$P743,$T743,$X743,$AB743,$AF743),_xlpm.rate,CHOOSE({1,2,3,4,5},$R743,$V743,$Z743,$AD743,$AH743),_xlpm.trn,CHOOSE({1,2,3,4,5},$S743,$W743,$AA743,$AE743,$AI743),_xlpm.nsC,SUMPRODUCT(--(_xlpm.stat="Ready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DLR",IF(AND(_xlpm.actRS&gt;0,_xlpm.actDone&lt;_xlpm.actRS),"Training",IF(_xlpm.actRS&gt;0,"Active",IF(AND(_xlpm.decC&gt;0,_xlpm.inPlay+_xlpm.actC=0),"Dead",IF(AND($AJ743&lt;&gt;"",$AK743=FALSE),"Waiting on Dealer",IF(_xlpm.subC&gt;0,"Waiting on Lender",IF(AND(_xlpm.appC+_xlpm.actC&gt;0,_xlpm.nsC+_xlpm.wdC=0),"Rate Sheet","Application Submitted")))))))))</f>
        <v/>
      </c>
      <c r="M743" s="87"/>
      <c r="N743" s="87"/>
      <c r="O743" s="197"/>
      <c r="P743" s="87" t="str">
        <f>IF($A743="","",IF($AK743=TRUE,"Ready 2 Submit","Waiting on Dealer"))</f>
        <v/>
      </c>
      <c r="Q743" s="148"/>
      <c r="R743" s="87"/>
      <c r="S743" s="87"/>
      <c r="T743" s="87" t="str">
        <f>IF($A743="","",IF($AK743=TRUE,"Ready 2 Submit","Waiting on Dealer"))</f>
        <v/>
      </c>
      <c r="U743" s="148"/>
      <c r="V743" s="87"/>
      <c r="W743" s="87"/>
      <c r="X743" s="87" t="str">
        <f>IF($A743="","",IF($AK743=TRUE,"Ready 2 Submit","Waiting on Dealer"))</f>
        <v/>
      </c>
      <c r="Y743" s="148"/>
      <c r="Z743" s="87"/>
      <c r="AA743" s="87"/>
      <c r="AB743" s="87" t="str">
        <f>IF($A743="","",IF($AK743=TRUE,"Ready 2 Submit","Waiting on Dealer"))</f>
        <v/>
      </c>
      <c r="AC743" s="148"/>
      <c r="AD743" s="87"/>
      <c r="AE743" s="87"/>
      <c r="AF743" s="87" t="str">
        <f>IF($A743="","",IF($AK743=TRUE,"Ready 2 Submit","Waiting on Dealer"))</f>
        <v/>
      </c>
      <c r="AG743" s="148"/>
      <c r="AH743" s="87"/>
      <c r="AI743" s="87"/>
      <c r="AJ743" s="197"/>
      <c r="AK743" s="110" t="b">
        <v>0</v>
      </c>
      <c r="AL743" s="87" t="str" cm="1">
        <f t="array" ref="AL743">IF($A743="","",SUMPRODUCT((CHOOSE({1,2,3,4,5},$R743,$V743,$Z743,$AD743,$AH743)="Yes")*(((CHOOSE({1,2,3,4,5},$S743,$W743,$AA743,$AE743,$AI743)="Yes")+(CHOOSE({1,2,3,4,5},$S743,$W743,$AA743,$AE743,$AI743)=TRUE))&gt;0)))</f>
        <v/>
      </c>
      <c r="AM743" s="87"/>
      <c r="AN743" s="87" t="str">
        <f ca="1">IF(OR($A743="",$AM743=""),"",TODAY()-$AM743)</f>
        <v/>
      </c>
      <c r="AO743" s="87"/>
      <c r="AP743" s="106"/>
      <c r="AQ743" s="106"/>
      <c r="AR743" s="106"/>
      <c r="AS743" s="106"/>
      <c r="AT743" s="106"/>
      <c r="AU743" s="106"/>
      <c r="AV743" s="106"/>
      <c r="AW743" s="106"/>
      <c r="AX743" s="106"/>
      <c r="AY743" s="106"/>
    </row>
    <row r="744" spans="1:51" s="20" customFormat="1" ht="21" customHeight="1">
      <c r="A744" s="197"/>
      <c r="B744" s="87"/>
      <c r="C744" s="87"/>
      <c r="D744" s="196"/>
      <c r="E744" s="108"/>
      <c r="F744" s="196"/>
      <c r="G744" s="87"/>
      <c r="H744" s="197"/>
      <c r="I744" s="89"/>
      <c r="J744" s="204"/>
      <c r="K744" s="87"/>
      <c r="L744" s="87" t="str" cm="1">
        <f t="array" ref="L744">IF($A744="","",_xlfn.LET(_xlpm.stat,CHOOSE({1,2,3,4,5},$P744,$T744,$X744,$AB744,$AF744),_xlpm.rate,CHOOSE({1,2,3,4,5},$R744,$V744,$Z744,$AD744,$AH744),_xlpm.trn,CHOOSE({1,2,3,4,5},$S744,$W744,$AA744,$AE744,$AI744),_xlpm.nsC,SUMPRODUCT(--(_xlpm.stat="Ready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DLR",IF(AND(_xlpm.actRS&gt;0,_xlpm.actDone&lt;_xlpm.actRS),"Training",IF(_xlpm.actRS&gt;0,"Active",IF(AND(_xlpm.decC&gt;0,_xlpm.inPlay+_xlpm.actC=0),"Dead",IF(AND($AJ744&lt;&gt;"",$AK744=FALSE),"Waiting on Dealer",IF(_xlpm.subC&gt;0,"Waiting on Lender",IF(AND(_xlpm.appC+_xlpm.actC&gt;0,_xlpm.nsC+_xlpm.wdC=0),"Rate Sheet","Application Submitted")))))))))</f>
        <v/>
      </c>
      <c r="M744" s="87"/>
      <c r="N744" s="87"/>
      <c r="O744" s="197"/>
      <c r="P744" s="87" t="str">
        <f>IF($A744="","",IF($AK744=TRUE,"Ready 2 Submit","Waiting on Dealer"))</f>
        <v/>
      </c>
      <c r="Q744" s="148"/>
      <c r="R744" s="87"/>
      <c r="S744" s="87"/>
      <c r="T744" s="87" t="str">
        <f>IF($A744="","",IF($AK744=TRUE,"Ready 2 Submit","Waiting on Dealer"))</f>
        <v/>
      </c>
      <c r="U744" s="148"/>
      <c r="V744" s="87"/>
      <c r="W744" s="87"/>
      <c r="X744" s="87" t="str">
        <f>IF($A744="","",IF($AK744=TRUE,"Ready 2 Submit","Waiting on Dealer"))</f>
        <v/>
      </c>
      <c r="Y744" s="148"/>
      <c r="Z744" s="87"/>
      <c r="AA744" s="87"/>
      <c r="AB744" s="87" t="str">
        <f>IF($A744="","",IF($AK744=TRUE,"Ready 2 Submit","Waiting on Dealer"))</f>
        <v/>
      </c>
      <c r="AC744" s="148"/>
      <c r="AD744" s="87"/>
      <c r="AE744" s="87"/>
      <c r="AF744" s="87" t="str">
        <f>IF($A744="","",IF($AK744=TRUE,"Ready 2 Submit","Waiting on Dealer"))</f>
        <v/>
      </c>
      <c r="AG744" s="148"/>
      <c r="AH744" s="87"/>
      <c r="AI744" s="87"/>
      <c r="AJ744" s="197"/>
      <c r="AK744" s="110" t="b">
        <v>0</v>
      </c>
      <c r="AL744" s="87" t="str" cm="1">
        <f t="array" ref="AL744">IF($A744="","",SUMPRODUCT((CHOOSE({1,2,3,4,5},$R744,$V744,$Z744,$AD744,$AH744)="Yes")*(((CHOOSE({1,2,3,4,5},$S744,$W744,$AA744,$AE744,$AI744)="Yes")+(CHOOSE({1,2,3,4,5},$S744,$W744,$AA744,$AE744,$AI744)=TRUE))&gt;0)))</f>
        <v/>
      </c>
      <c r="AM744" s="87"/>
      <c r="AN744" s="87" t="str">
        <f ca="1">IF(OR($A744="",$AM744=""),"",TODAY()-$AM744)</f>
        <v/>
      </c>
      <c r="AO744" s="87"/>
      <c r="AP744" s="106"/>
      <c r="AQ744" s="106"/>
      <c r="AR744" s="106"/>
      <c r="AS744" s="106"/>
      <c r="AT744" s="106"/>
      <c r="AU744" s="106"/>
      <c r="AV744" s="106"/>
      <c r="AW744" s="106"/>
      <c r="AX744" s="106"/>
      <c r="AY744" s="106"/>
    </row>
    <row r="745" spans="1:51" s="20" customFormat="1" ht="21" customHeight="1">
      <c r="A745" s="197"/>
      <c r="B745" s="87"/>
      <c r="C745" s="87"/>
      <c r="D745" s="196"/>
      <c r="E745" s="108"/>
      <c r="F745" s="196"/>
      <c r="G745" s="87"/>
      <c r="H745" s="197"/>
      <c r="I745" s="89"/>
      <c r="J745" s="204"/>
      <c r="K745" s="87"/>
      <c r="L745" s="87" t="str" cm="1">
        <f t="array" ref="L745">IF($A745="","",_xlfn.LET(_xlpm.stat,CHOOSE({1,2,3,4,5},$P745,$T745,$X745,$AB745,$AF745),_xlpm.rate,CHOOSE({1,2,3,4,5},$R745,$V745,$Z745,$AD745,$AH745),_xlpm.trn,CHOOSE({1,2,3,4,5},$S745,$W745,$AA745,$AE745,$AI745),_xlpm.nsC,SUMPRODUCT(--(_xlpm.stat="Ready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DLR",IF(AND(_xlpm.actRS&gt;0,_xlpm.actDone&lt;_xlpm.actRS),"Training",IF(_xlpm.actRS&gt;0,"Active",IF(AND(_xlpm.decC&gt;0,_xlpm.inPlay+_xlpm.actC=0),"Dead",IF(AND($AJ745&lt;&gt;"",$AK745=FALSE),"Waiting on Dealer",IF(_xlpm.subC&gt;0,"Waiting on Lender",IF(AND(_xlpm.appC+_xlpm.actC&gt;0,_xlpm.nsC+_xlpm.wdC=0),"Rate Sheet","Application Submitted")))))))))</f>
        <v/>
      </c>
      <c r="M745" s="87"/>
      <c r="N745" s="87"/>
      <c r="O745" s="197"/>
      <c r="P745" s="87" t="str">
        <f>IF($A745="","",IF($AK745=TRUE,"Ready 2 Submit","Waiting on Dealer"))</f>
        <v/>
      </c>
      <c r="Q745" s="148"/>
      <c r="R745" s="87"/>
      <c r="S745" s="87"/>
      <c r="T745" s="87" t="str">
        <f>IF($A745="","",IF($AK745=TRUE,"Ready 2 Submit","Waiting on Dealer"))</f>
        <v/>
      </c>
      <c r="U745" s="148"/>
      <c r="V745" s="87"/>
      <c r="W745" s="87"/>
      <c r="X745" s="87" t="str">
        <f>IF($A745="","",IF($AK745=TRUE,"Ready 2 Submit","Waiting on Dealer"))</f>
        <v/>
      </c>
      <c r="Y745" s="148"/>
      <c r="Z745" s="87"/>
      <c r="AA745" s="87"/>
      <c r="AB745" s="87" t="str">
        <f>IF($A745="","",IF($AK745=TRUE,"Ready 2 Submit","Waiting on Dealer"))</f>
        <v/>
      </c>
      <c r="AC745" s="148"/>
      <c r="AD745" s="87"/>
      <c r="AE745" s="87"/>
      <c r="AF745" s="87" t="str">
        <f>IF($A745="","",IF($AK745=TRUE,"Ready 2 Submit","Waiting on Dealer"))</f>
        <v/>
      </c>
      <c r="AG745" s="148"/>
      <c r="AH745" s="87"/>
      <c r="AI745" s="87"/>
      <c r="AJ745" s="197"/>
      <c r="AK745" s="110" t="b">
        <v>0</v>
      </c>
      <c r="AL745" s="87" t="str" cm="1">
        <f t="array" ref="AL745">IF($A745="","",SUMPRODUCT((CHOOSE({1,2,3,4,5},$R745,$V745,$Z745,$AD745,$AH745)="Yes")*(((CHOOSE({1,2,3,4,5},$S745,$W745,$AA745,$AE745,$AI745)="Yes")+(CHOOSE({1,2,3,4,5},$S745,$W745,$AA745,$AE745,$AI745)=TRUE))&gt;0)))</f>
        <v/>
      </c>
      <c r="AM745" s="87"/>
      <c r="AN745" s="87" t="str">
        <f ca="1">IF(OR($A745="",$AM745=""),"",TODAY()-$AM745)</f>
        <v/>
      </c>
      <c r="AO745" s="87"/>
      <c r="AP745" s="106"/>
      <c r="AQ745" s="106"/>
      <c r="AR745" s="106"/>
      <c r="AS745" s="106"/>
      <c r="AT745" s="106"/>
      <c r="AU745" s="106"/>
      <c r="AV745" s="106"/>
      <c r="AW745" s="106"/>
      <c r="AX745" s="106"/>
      <c r="AY745" s="106"/>
    </row>
    <row r="746" spans="1:51" s="20" customFormat="1" ht="21" customHeight="1">
      <c r="A746" s="197"/>
      <c r="B746" s="87"/>
      <c r="C746" s="87"/>
      <c r="D746" s="196"/>
      <c r="E746" s="108"/>
      <c r="F746" s="196"/>
      <c r="G746" s="87"/>
      <c r="H746" s="197"/>
      <c r="I746" s="89"/>
      <c r="J746" s="204"/>
      <c r="K746" s="87"/>
      <c r="L746" s="87" t="str" cm="1">
        <f t="array" ref="L746">IF($A746="","",_xlfn.LET(_xlpm.stat,CHOOSE({1,2,3,4,5},$P746,$T746,$X746,$AB746,$AF746),_xlpm.rate,CHOOSE({1,2,3,4,5},$R746,$V746,$Z746,$AD746,$AH746),_xlpm.trn,CHOOSE({1,2,3,4,5},$S746,$W746,$AA746,$AE746,$AI746),_xlpm.nsC,SUMPRODUCT(--(_xlpm.stat="Ready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DLR",IF(AND(_xlpm.actRS&gt;0,_xlpm.actDone&lt;_xlpm.actRS),"Training",IF(_xlpm.actRS&gt;0,"Active",IF(AND(_xlpm.decC&gt;0,_xlpm.inPlay+_xlpm.actC=0),"Dead",IF(AND($AJ746&lt;&gt;"",$AK746=FALSE),"Waiting on Dealer",IF(_xlpm.subC&gt;0,"Waiting on Lender",IF(AND(_xlpm.appC+_xlpm.actC&gt;0,_xlpm.nsC+_xlpm.wdC=0),"Rate Sheet","Application Submitted")))))))))</f>
        <v/>
      </c>
      <c r="M746" s="87"/>
      <c r="N746" s="87"/>
      <c r="O746" s="197"/>
      <c r="P746" s="87" t="str">
        <f>IF($A746="","",IF($AK746=TRUE,"Ready 2 Submit","Waiting on Dealer"))</f>
        <v/>
      </c>
      <c r="Q746" s="148"/>
      <c r="R746" s="87"/>
      <c r="S746" s="87"/>
      <c r="T746" s="87" t="str">
        <f>IF($A746="","",IF($AK746=TRUE,"Ready 2 Submit","Waiting on Dealer"))</f>
        <v/>
      </c>
      <c r="U746" s="148"/>
      <c r="V746" s="87"/>
      <c r="W746" s="87"/>
      <c r="X746" s="87" t="str">
        <f>IF($A746="","",IF($AK746=TRUE,"Ready 2 Submit","Waiting on Dealer"))</f>
        <v/>
      </c>
      <c r="Y746" s="148"/>
      <c r="Z746" s="87"/>
      <c r="AA746" s="87"/>
      <c r="AB746" s="87" t="str">
        <f>IF($A746="","",IF($AK746=TRUE,"Ready 2 Submit","Waiting on Dealer"))</f>
        <v/>
      </c>
      <c r="AC746" s="148"/>
      <c r="AD746" s="87"/>
      <c r="AE746" s="87"/>
      <c r="AF746" s="87" t="str">
        <f>IF($A746="","",IF($AK746=TRUE,"Ready 2 Submit","Waiting on Dealer"))</f>
        <v/>
      </c>
      <c r="AG746" s="148"/>
      <c r="AH746" s="87"/>
      <c r="AI746" s="87"/>
      <c r="AJ746" s="197"/>
      <c r="AK746" s="110" t="b">
        <v>0</v>
      </c>
      <c r="AL746" s="87" t="str" cm="1">
        <f t="array" ref="AL746">IF($A746="","",SUMPRODUCT((CHOOSE({1,2,3,4,5},$R746,$V746,$Z746,$AD746,$AH746)="Yes")*(((CHOOSE({1,2,3,4,5},$S746,$W746,$AA746,$AE746,$AI746)="Yes")+(CHOOSE({1,2,3,4,5},$S746,$W746,$AA746,$AE746,$AI746)=TRUE))&gt;0)))</f>
        <v/>
      </c>
      <c r="AM746" s="87"/>
      <c r="AN746" s="87" t="str">
        <f ca="1">IF(OR($A746="",$AM746=""),"",TODAY()-$AM746)</f>
        <v/>
      </c>
      <c r="AO746" s="87"/>
      <c r="AP746" s="106"/>
      <c r="AQ746" s="106"/>
      <c r="AR746" s="106"/>
      <c r="AS746" s="106"/>
      <c r="AT746" s="106"/>
      <c r="AU746" s="106"/>
      <c r="AV746" s="106"/>
      <c r="AW746" s="106"/>
      <c r="AX746" s="106"/>
      <c r="AY746" s="106"/>
    </row>
    <row r="747" spans="1:51" s="20" customFormat="1" ht="21" customHeight="1">
      <c r="A747" s="197"/>
      <c r="B747" s="87"/>
      <c r="C747" s="87"/>
      <c r="D747" s="196"/>
      <c r="E747" s="108"/>
      <c r="F747" s="196"/>
      <c r="G747" s="87"/>
      <c r="H747" s="197"/>
      <c r="I747" s="89"/>
      <c r="J747" s="204"/>
      <c r="K747" s="87"/>
      <c r="L747" s="87" t="str" cm="1">
        <f t="array" ref="L747">IF($A747="","",_xlfn.LET(_xlpm.stat,CHOOSE({1,2,3,4,5},$P747,$T747,$X747,$AB747,$AF747),_xlpm.rate,CHOOSE({1,2,3,4,5},$R747,$V747,$Z747,$AD747,$AH747),_xlpm.trn,CHOOSE({1,2,3,4,5},$S747,$W747,$AA747,$AE747,$AI747),_xlpm.nsC,SUMPRODUCT(--(_xlpm.stat="Ready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DLR",IF(AND(_xlpm.actRS&gt;0,_xlpm.actDone&lt;_xlpm.actRS),"Training",IF(_xlpm.actRS&gt;0,"Active",IF(AND(_xlpm.decC&gt;0,_xlpm.inPlay+_xlpm.actC=0),"Dead",IF(AND($AJ747&lt;&gt;"",$AK747=FALSE),"Waiting on Dealer",IF(_xlpm.subC&gt;0,"Waiting on Lender",IF(AND(_xlpm.appC+_xlpm.actC&gt;0,_xlpm.nsC+_xlpm.wdC=0),"Rate Sheet","Application Submitted")))))))))</f>
        <v/>
      </c>
      <c r="M747" s="87"/>
      <c r="N747" s="87"/>
      <c r="O747" s="197"/>
      <c r="P747" s="87" t="str">
        <f>IF($A747="","",IF($AK747=TRUE,"Ready 2 Submit","Waiting on Dealer"))</f>
        <v/>
      </c>
      <c r="Q747" s="148"/>
      <c r="R747" s="87"/>
      <c r="S747" s="87"/>
      <c r="T747" s="87" t="str">
        <f>IF($A747="","",IF($AK747=TRUE,"Ready 2 Submit","Waiting on Dealer"))</f>
        <v/>
      </c>
      <c r="U747" s="148"/>
      <c r="V747" s="87"/>
      <c r="W747" s="87"/>
      <c r="X747" s="87" t="str">
        <f>IF($A747="","",IF($AK747=TRUE,"Ready 2 Submit","Waiting on Dealer"))</f>
        <v/>
      </c>
      <c r="Y747" s="148"/>
      <c r="Z747" s="87"/>
      <c r="AA747" s="87"/>
      <c r="AB747" s="87" t="str">
        <f>IF($A747="","",IF($AK747=TRUE,"Ready 2 Submit","Waiting on Dealer"))</f>
        <v/>
      </c>
      <c r="AC747" s="148"/>
      <c r="AD747" s="87"/>
      <c r="AE747" s="87"/>
      <c r="AF747" s="87" t="str">
        <f>IF($A747="","",IF($AK747=TRUE,"Ready 2 Submit","Waiting on Dealer"))</f>
        <v/>
      </c>
      <c r="AG747" s="148"/>
      <c r="AH747" s="87"/>
      <c r="AI747" s="87"/>
      <c r="AJ747" s="197"/>
      <c r="AK747" s="110" t="b">
        <v>0</v>
      </c>
      <c r="AL747" s="87" t="str" cm="1">
        <f t="array" ref="AL747">IF($A747="","",SUMPRODUCT((CHOOSE({1,2,3,4,5},$R747,$V747,$Z747,$AD747,$AH747)="Yes")*(((CHOOSE({1,2,3,4,5},$S747,$W747,$AA747,$AE747,$AI747)="Yes")+(CHOOSE({1,2,3,4,5},$S747,$W747,$AA747,$AE747,$AI747)=TRUE))&gt;0)))</f>
        <v/>
      </c>
      <c r="AM747" s="87"/>
      <c r="AN747" s="87" t="str">
        <f ca="1">IF(OR($A747="",$AM747=""),"",TODAY()-$AM747)</f>
        <v/>
      </c>
      <c r="AO747" s="87"/>
      <c r="AP747" s="106"/>
      <c r="AQ747" s="106"/>
      <c r="AR747" s="106"/>
      <c r="AS747" s="106"/>
      <c r="AT747" s="106"/>
      <c r="AU747" s="106"/>
      <c r="AV747" s="106"/>
      <c r="AW747" s="106"/>
      <c r="AX747" s="106"/>
      <c r="AY747" s="106"/>
    </row>
    <row r="748" spans="1:51" s="20" customFormat="1" ht="21" customHeight="1">
      <c r="A748" s="197"/>
      <c r="B748" s="87"/>
      <c r="C748" s="87"/>
      <c r="D748" s="196"/>
      <c r="E748" s="108"/>
      <c r="F748" s="196"/>
      <c r="G748" s="87"/>
      <c r="H748" s="197"/>
      <c r="I748" s="89"/>
      <c r="J748" s="204"/>
      <c r="K748" s="87"/>
      <c r="L748" s="87" t="str" cm="1">
        <f t="array" ref="L748">IF($A748="","",_xlfn.LET(_xlpm.stat,CHOOSE({1,2,3,4,5},$P748,$T748,$X748,$AB748,$AF748),_xlpm.rate,CHOOSE({1,2,3,4,5},$R748,$V748,$Z748,$AD748,$AH748),_xlpm.trn,CHOOSE({1,2,3,4,5},$S748,$W748,$AA748,$AE748,$AI748),_xlpm.nsC,SUMPRODUCT(--(_xlpm.stat="Ready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DLR",IF(AND(_xlpm.actRS&gt;0,_xlpm.actDone&lt;_xlpm.actRS),"Training",IF(_xlpm.actRS&gt;0,"Active",IF(AND(_xlpm.decC&gt;0,_xlpm.inPlay+_xlpm.actC=0),"Dead",IF(AND($AJ748&lt;&gt;"",$AK748=FALSE),"Waiting on Dealer",IF(_xlpm.subC&gt;0,"Waiting on Lender",IF(AND(_xlpm.appC+_xlpm.actC&gt;0,_xlpm.nsC+_xlpm.wdC=0),"Rate Sheet","Application Submitted")))))))))</f>
        <v/>
      </c>
      <c r="M748" s="87"/>
      <c r="N748" s="87"/>
      <c r="O748" s="197"/>
      <c r="P748" s="87" t="str">
        <f>IF($A748="","",IF($AK748=TRUE,"Ready 2 Submit","Waiting on Dealer"))</f>
        <v/>
      </c>
      <c r="Q748" s="148"/>
      <c r="R748" s="87"/>
      <c r="S748" s="87"/>
      <c r="T748" s="87" t="str">
        <f>IF($A748="","",IF($AK748=TRUE,"Ready 2 Submit","Waiting on Dealer"))</f>
        <v/>
      </c>
      <c r="U748" s="148"/>
      <c r="V748" s="87"/>
      <c r="W748" s="87"/>
      <c r="X748" s="87" t="str">
        <f>IF($A748="","",IF($AK748=TRUE,"Ready 2 Submit","Waiting on Dealer"))</f>
        <v/>
      </c>
      <c r="Y748" s="148"/>
      <c r="Z748" s="87"/>
      <c r="AA748" s="87"/>
      <c r="AB748" s="87" t="str">
        <f>IF($A748="","",IF($AK748=TRUE,"Ready 2 Submit","Waiting on Dealer"))</f>
        <v/>
      </c>
      <c r="AC748" s="148"/>
      <c r="AD748" s="87"/>
      <c r="AE748" s="87"/>
      <c r="AF748" s="87" t="str">
        <f>IF($A748="","",IF($AK748=TRUE,"Ready 2 Submit","Waiting on Dealer"))</f>
        <v/>
      </c>
      <c r="AG748" s="148"/>
      <c r="AH748" s="87"/>
      <c r="AI748" s="87"/>
      <c r="AJ748" s="197"/>
      <c r="AK748" s="110" t="b">
        <v>0</v>
      </c>
      <c r="AL748" s="87" t="str" cm="1">
        <f t="array" ref="AL748">IF($A748="","",SUMPRODUCT((CHOOSE({1,2,3,4,5},$R748,$V748,$Z748,$AD748,$AH748)="Yes")*(((CHOOSE({1,2,3,4,5},$S748,$W748,$AA748,$AE748,$AI748)="Yes")+(CHOOSE({1,2,3,4,5},$S748,$W748,$AA748,$AE748,$AI748)=TRUE))&gt;0)))</f>
        <v/>
      </c>
      <c r="AM748" s="87"/>
      <c r="AN748" s="87" t="str">
        <f ca="1">IF(OR($A748="",$AM748=""),"",TODAY()-$AM748)</f>
        <v/>
      </c>
      <c r="AO748" s="87"/>
      <c r="AP748" s="106"/>
      <c r="AQ748" s="106"/>
      <c r="AR748" s="106"/>
      <c r="AS748" s="106"/>
      <c r="AT748" s="106"/>
      <c r="AU748" s="106"/>
      <c r="AV748" s="106"/>
      <c r="AW748" s="106"/>
      <c r="AX748" s="106"/>
      <c r="AY748" s="106"/>
    </row>
    <row r="749" spans="1:51" s="20" customFormat="1" ht="21" customHeight="1">
      <c r="A749" s="197"/>
      <c r="B749" s="87"/>
      <c r="C749" s="87"/>
      <c r="D749" s="196"/>
      <c r="E749" s="108"/>
      <c r="F749" s="196"/>
      <c r="G749" s="87"/>
      <c r="H749" s="197"/>
      <c r="I749" s="89"/>
      <c r="J749" s="204"/>
      <c r="K749" s="87"/>
      <c r="L749" s="87" t="str" cm="1">
        <f t="array" ref="L749">IF($A749="","",_xlfn.LET(_xlpm.stat,CHOOSE({1,2,3,4,5},$P749,$T749,$X749,$AB749,$AF749),_xlpm.rate,CHOOSE({1,2,3,4,5},$R749,$V749,$Z749,$AD749,$AH749),_xlpm.trn,CHOOSE({1,2,3,4,5},$S749,$W749,$AA749,$AE749,$AI749),_xlpm.nsC,SUMPRODUCT(--(_xlpm.stat="Ready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DLR",IF(AND(_xlpm.actRS&gt;0,_xlpm.actDone&lt;_xlpm.actRS),"Training",IF(_xlpm.actRS&gt;0,"Active",IF(AND(_xlpm.decC&gt;0,_xlpm.inPlay+_xlpm.actC=0),"Dead",IF(AND($AJ749&lt;&gt;"",$AK749=FALSE),"Waiting on Dealer",IF(_xlpm.subC&gt;0,"Waiting on Lender",IF(AND(_xlpm.appC+_xlpm.actC&gt;0,_xlpm.nsC+_xlpm.wdC=0),"Rate Sheet","Application Submitted")))))))))</f>
        <v/>
      </c>
      <c r="M749" s="87"/>
      <c r="N749" s="87"/>
      <c r="O749" s="197"/>
      <c r="P749" s="87" t="str">
        <f>IF($A749="","",IF($AK749=TRUE,"Ready 2 Submit","Waiting on Dealer"))</f>
        <v/>
      </c>
      <c r="Q749" s="148"/>
      <c r="R749" s="87"/>
      <c r="S749" s="87"/>
      <c r="T749" s="87" t="str">
        <f>IF($A749="","",IF($AK749=TRUE,"Ready 2 Submit","Waiting on Dealer"))</f>
        <v/>
      </c>
      <c r="U749" s="148"/>
      <c r="V749" s="87"/>
      <c r="W749" s="87"/>
      <c r="X749" s="87" t="str">
        <f>IF($A749="","",IF($AK749=TRUE,"Ready 2 Submit","Waiting on Dealer"))</f>
        <v/>
      </c>
      <c r="Y749" s="148"/>
      <c r="Z749" s="87"/>
      <c r="AA749" s="87"/>
      <c r="AB749" s="87" t="str">
        <f>IF($A749="","",IF($AK749=TRUE,"Ready 2 Submit","Waiting on Dealer"))</f>
        <v/>
      </c>
      <c r="AC749" s="148"/>
      <c r="AD749" s="87"/>
      <c r="AE749" s="87"/>
      <c r="AF749" s="87" t="str">
        <f>IF($A749="","",IF($AK749=TRUE,"Ready 2 Submit","Waiting on Dealer"))</f>
        <v/>
      </c>
      <c r="AG749" s="148"/>
      <c r="AH749" s="87"/>
      <c r="AI749" s="87"/>
      <c r="AJ749" s="197"/>
      <c r="AK749" s="110" t="b">
        <v>0</v>
      </c>
      <c r="AL749" s="87" t="str" cm="1">
        <f t="array" ref="AL749">IF($A749="","",SUMPRODUCT((CHOOSE({1,2,3,4,5},$R749,$V749,$Z749,$AD749,$AH749)="Yes")*(((CHOOSE({1,2,3,4,5},$S749,$W749,$AA749,$AE749,$AI749)="Yes")+(CHOOSE({1,2,3,4,5},$S749,$W749,$AA749,$AE749,$AI749)=TRUE))&gt;0)))</f>
        <v/>
      </c>
      <c r="AM749" s="87"/>
      <c r="AN749" s="87" t="str">
        <f ca="1">IF(OR($A749="",$AM749=""),"",TODAY()-$AM749)</f>
        <v/>
      </c>
      <c r="AO749" s="87"/>
      <c r="AP749" s="106"/>
      <c r="AQ749" s="106"/>
      <c r="AR749" s="106"/>
      <c r="AS749" s="106"/>
      <c r="AT749" s="106"/>
      <c r="AU749" s="106"/>
      <c r="AV749" s="106"/>
      <c r="AW749" s="106"/>
      <c r="AX749" s="106"/>
      <c r="AY749" s="106"/>
    </row>
    <row r="750" spans="1:51" s="20" customFormat="1" ht="21" customHeight="1">
      <c r="A750" s="197"/>
      <c r="B750" s="87"/>
      <c r="C750" s="87"/>
      <c r="D750" s="196"/>
      <c r="E750" s="108"/>
      <c r="F750" s="196"/>
      <c r="G750" s="87"/>
      <c r="H750" s="197"/>
      <c r="I750" s="89"/>
      <c r="J750" s="204"/>
      <c r="K750" s="87"/>
      <c r="L750" s="87" t="str" cm="1">
        <f t="array" ref="L750">IF($A750="","",_xlfn.LET(_xlpm.stat,CHOOSE({1,2,3,4,5},$P750,$T750,$X750,$AB750,$AF750),_xlpm.rate,CHOOSE({1,2,3,4,5},$R750,$V750,$Z750,$AD750,$AH750),_xlpm.trn,CHOOSE({1,2,3,4,5},$S750,$W750,$AA750,$AE750,$AI750),_xlpm.nsC,SUMPRODUCT(--(_xlpm.stat="Ready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DLR",IF(AND(_xlpm.actRS&gt;0,_xlpm.actDone&lt;_xlpm.actRS),"Training",IF(_xlpm.actRS&gt;0,"Active",IF(AND(_xlpm.decC&gt;0,_xlpm.inPlay+_xlpm.actC=0),"Dead",IF(AND($AJ750&lt;&gt;"",$AK750=FALSE),"Waiting on Dealer",IF(_xlpm.subC&gt;0,"Waiting on Lender",IF(AND(_xlpm.appC+_xlpm.actC&gt;0,_xlpm.nsC+_xlpm.wdC=0),"Rate Sheet","Application Submitted")))))))))</f>
        <v/>
      </c>
      <c r="M750" s="87"/>
      <c r="N750" s="87"/>
      <c r="O750" s="197"/>
      <c r="P750" s="87" t="str">
        <f>IF($A750="","",IF($AK750=TRUE,"Ready 2 Submit","Waiting on Dealer"))</f>
        <v/>
      </c>
      <c r="Q750" s="148"/>
      <c r="R750" s="87"/>
      <c r="S750" s="87"/>
      <c r="T750" s="87" t="str">
        <f>IF($A750="","",IF($AK750=TRUE,"Ready 2 Submit","Waiting on Dealer"))</f>
        <v/>
      </c>
      <c r="U750" s="148"/>
      <c r="V750" s="87"/>
      <c r="W750" s="87"/>
      <c r="X750" s="87" t="str">
        <f>IF($A750="","",IF($AK750=TRUE,"Ready 2 Submit","Waiting on Dealer"))</f>
        <v/>
      </c>
      <c r="Y750" s="148"/>
      <c r="Z750" s="87"/>
      <c r="AA750" s="87"/>
      <c r="AB750" s="87" t="str">
        <f>IF($A750="","",IF($AK750=TRUE,"Ready 2 Submit","Waiting on Dealer"))</f>
        <v/>
      </c>
      <c r="AC750" s="148"/>
      <c r="AD750" s="87"/>
      <c r="AE750" s="87"/>
      <c r="AF750" s="87" t="str">
        <f>IF($A750="","",IF($AK750=TRUE,"Ready 2 Submit","Waiting on Dealer"))</f>
        <v/>
      </c>
      <c r="AG750" s="148"/>
      <c r="AH750" s="87"/>
      <c r="AI750" s="87"/>
      <c r="AJ750" s="197"/>
      <c r="AK750" s="110" t="b">
        <v>0</v>
      </c>
      <c r="AL750" s="87" t="str" cm="1">
        <f t="array" ref="AL750">IF($A750="","",SUMPRODUCT((CHOOSE({1,2,3,4,5},$R750,$V750,$Z750,$AD750,$AH750)="Yes")*(((CHOOSE({1,2,3,4,5},$S750,$W750,$AA750,$AE750,$AI750)="Yes")+(CHOOSE({1,2,3,4,5},$S750,$W750,$AA750,$AE750,$AI750)=TRUE))&gt;0)))</f>
        <v/>
      </c>
      <c r="AM750" s="87"/>
      <c r="AN750" s="87" t="str">
        <f ca="1">IF(OR($A750="",$AM750=""),"",TODAY()-$AM750)</f>
        <v/>
      </c>
      <c r="AO750" s="87"/>
      <c r="AP750" s="106"/>
      <c r="AQ750" s="106"/>
      <c r="AR750" s="106"/>
      <c r="AS750" s="106"/>
      <c r="AT750" s="106"/>
      <c r="AU750" s="106"/>
      <c r="AV750" s="106"/>
      <c r="AW750" s="106"/>
      <c r="AX750" s="106"/>
      <c r="AY750" s="106"/>
    </row>
    <row r="751" spans="1:51" s="20" customFormat="1" ht="21" customHeight="1">
      <c r="A751" s="197"/>
      <c r="B751" s="87"/>
      <c r="C751" s="87"/>
      <c r="D751" s="196"/>
      <c r="E751" s="108"/>
      <c r="F751" s="196"/>
      <c r="G751" s="87"/>
      <c r="H751" s="197"/>
      <c r="I751" s="89"/>
      <c r="J751" s="204"/>
      <c r="K751" s="87"/>
      <c r="L751" s="87" t="str" cm="1">
        <f t="array" ref="L751">IF($A751="","",_xlfn.LET(_xlpm.stat,CHOOSE({1,2,3,4,5},$P751,$T751,$X751,$AB751,$AF751),_xlpm.rate,CHOOSE({1,2,3,4,5},$R751,$V751,$Z751,$AD751,$AH751),_xlpm.trn,CHOOSE({1,2,3,4,5},$S751,$W751,$AA751,$AE751,$AI751),_xlpm.nsC,SUMPRODUCT(--(_xlpm.stat="Ready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DLR",IF(AND(_xlpm.actRS&gt;0,_xlpm.actDone&lt;_xlpm.actRS),"Training",IF(_xlpm.actRS&gt;0,"Active",IF(AND(_xlpm.decC&gt;0,_xlpm.inPlay+_xlpm.actC=0),"Dead",IF(AND($AJ751&lt;&gt;"",$AK751=FALSE),"Waiting on Dealer",IF(_xlpm.subC&gt;0,"Waiting on Lender",IF(AND(_xlpm.appC+_xlpm.actC&gt;0,_xlpm.nsC+_xlpm.wdC=0),"Rate Sheet","Application Submitted")))))))))</f>
        <v/>
      </c>
      <c r="M751" s="87"/>
      <c r="N751" s="87"/>
      <c r="O751" s="197"/>
      <c r="P751" s="87" t="str">
        <f>IF($A751="","",IF($AK751=TRUE,"Ready 2 Submit","Waiting on Dealer"))</f>
        <v/>
      </c>
      <c r="Q751" s="148"/>
      <c r="R751" s="87"/>
      <c r="S751" s="87"/>
      <c r="T751" s="87" t="str">
        <f>IF($A751="","",IF($AK751=TRUE,"Ready 2 Submit","Waiting on Dealer"))</f>
        <v/>
      </c>
      <c r="U751" s="148"/>
      <c r="V751" s="87"/>
      <c r="W751" s="87"/>
      <c r="X751" s="87" t="str">
        <f>IF($A751="","",IF($AK751=TRUE,"Ready 2 Submit","Waiting on Dealer"))</f>
        <v/>
      </c>
      <c r="Y751" s="148"/>
      <c r="Z751" s="87"/>
      <c r="AA751" s="87"/>
      <c r="AB751" s="87" t="str">
        <f>IF($A751="","",IF($AK751=TRUE,"Ready 2 Submit","Waiting on Dealer"))</f>
        <v/>
      </c>
      <c r="AC751" s="148"/>
      <c r="AD751" s="87"/>
      <c r="AE751" s="87"/>
      <c r="AF751" s="87" t="str">
        <f>IF($A751="","",IF($AK751=TRUE,"Ready 2 Submit","Waiting on Dealer"))</f>
        <v/>
      </c>
      <c r="AG751" s="148"/>
      <c r="AH751" s="87"/>
      <c r="AI751" s="87"/>
      <c r="AJ751" s="197"/>
      <c r="AK751" s="110" t="b">
        <v>0</v>
      </c>
      <c r="AL751" s="87" t="str" cm="1">
        <f t="array" ref="AL751">IF($A751="","",SUMPRODUCT((CHOOSE({1,2,3,4,5},$R751,$V751,$Z751,$AD751,$AH751)="Yes")*(((CHOOSE({1,2,3,4,5},$S751,$W751,$AA751,$AE751,$AI751)="Yes")+(CHOOSE({1,2,3,4,5},$S751,$W751,$AA751,$AE751,$AI751)=TRUE))&gt;0)))</f>
        <v/>
      </c>
      <c r="AM751" s="87"/>
      <c r="AN751" s="87" t="str">
        <f ca="1">IF(OR($A751="",$AM751=""),"",TODAY()-$AM751)</f>
        <v/>
      </c>
      <c r="AO751" s="87"/>
      <c r="AP751" s="106"/>
      <c r="AQ751" s="106"/>
      <c r="AR751" s="106"/>
      <c r="AS751" s="106"/>
      <c r="AT751" s="106"/>
      <c r="AU751" s="106"/>
      <c r="AV751" s="106"/>
      <c r="AW751" s="106"/>
      <c r="AX751" s="106"/>
      <c r="AY751" s="106"/>
    </row>
    <row r="752" spans="1:51" s="20" customFormat="1" ht="21" customHeight="1">
      <c r="A752" s="197"/>
      <c r="B752" s="87"/>
      <c r="C752" s="87"/>
      <c r="D752" s="196"/>
      <c r="E752" s="108"/>
      <c r="F752" s="196"/>
      <c r="G752" s="87"/>
      <c r="H752" s="197"/>
      <c r="I752" s="89"/>
      <c r="J752" s="204"/>
      <c r="K752" s="87"/>
      <c r="L752" s="87" t="str" cm="1">
        <f t="array" ref="L752">IF($A752="","",_xlfn.LET(_xlpm.stat,CHOOSE({1,2,3,4,5},$P752,$T752,$X752,$AB752,$AF752),_xlpm.rate,CHOOSE({1,2,3,4,5},$R752,$V752,$Z752,$AD752,$AH752),_xlpm.trn,CHOOSE({1,2,3,4,5},$S752,$W752,$AA752,$AE752,$AI752),_xlpm.nsC,SUMPRODUCT(--(_xlpm.stat="Ready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DLR",IF(AND(_xlpm.actRS&gt;0,_xlpm.actDone&lt;_xlpm.actRS),"Training",IF(_xlpm.actRS&gt;0,"Active",IF(AND(_xlpm.decC&gt;0,_xlpm.inPlay+_xlpm.actC=0),"Dead",IF(AND($AJ752&lt;&gt;"",$AK752=FALSE),"Waiting on Dealer",IF(_xlpm.subC&gt;0,"Waiting on Lender",IF(AND(_xlpm.appC+_xlpm.actC&gt;0,_xlpm.nsC+_xlpm.wdC=0),"Rate Sheet","Application Submitted")))))))))</f>
        <v/>
      </c>
      <c r="M752" s="87"/>
      <c r="N752" s="87"/>
      <c r="O752" s="197"/>
      <c r="P752" s="87" t="str">
        <f>IF($A752="","",IF($AK752=TRUE,"Ready 2 Submit","Waiting on Dealer"))</f>
        <v/>
      </c>
      <c r="Q752" s="148"/>
      <c r="R752" s="87"/>
      <c r="S752" s="87"/>
      <c r="T752" s="87" t="str">
        <f>IF($A752="","",IF($AK752=TRUE,"Ready 2 Submit","Waiting on Dealer"))</f>
        <v/>
      </c>
      <c r="U752" s="148"/>
      <c r="V752" s="87"/>
      <c r="W752" s="87"/>
      <c r="X752" s="87" t="str">
        <f>IF($A752="","",IF($AK752=TRUE,"Ready 2 Submit","Waiting on Dealer"))</f>
        <v/>
      </c>
      <c r="Y752" s="148"/>
      <c r="Z752" s="87"/>
      <c r="AA752" s="87"/>
      <c r="AB752" s="87" t="str">
        <f>IF($A752="","",IF($AK752=TRUE,"Ready 2 Submit","Waiting on Dealer"))</f>
        <v/>
      </c>
      <c r="AC752" s="148"/>
      <c r="AD752" s="87"/>
      <c r="AE752" s="87"/>
      <c r="AF752" s="87" t="str">
        <f>IF($A752="","",IF($AK752=TRUE,"Ready 2 Submit","Waiting on Dealer"))</f>
        <v/>
      </c>
      <c r="AG752" s="148"/>
      <c r="AH752" s="87"/>
      <c r="AI752" s="87"/>
      <c r="AJ752" s="197"/>
      <c r="AK752" s="110" t="b">
        <v>0</v>
      </c>
      <c r="AL752" s="87" t="str" cm="1">
        <f t="array" ref="AL752">IF($A752="","",SUMPRODUCT((CHOOSE({1,2,3,4,5},$R752,$V752,$Z752,$AD752,$AH752)="Yes")*(((CHOOSE({1,2,3,4,5},$S752,$W752,$AA752,$AE752,$AI752)="Yes")+(CHOOSE({1,2,3,4,5},$S752,$W752,$AA752,$AE752,$AI752)=TRUE))&gt;0)))</f>
        <v/>
      </c>
      <c r="AM752" s="87"/>
      <c r="AN752" s="87" t="str">
        <f ca="1">IF(OR($A752="",$AM752=""),"",TODAY()-$AM752)</f>
        <v/>
      </c>
      <c r="AO752" s="87"/>
      <c r="AP752" s="106"/>
      <c r="AQ752" s="106"/>
      <c r="AR752" s="106"/>
      <c r="AS752" s="106"/>
      <c r="AT752" s="106"/>
      <c r="AU752" s="106"/>
      <c r="AV752" s="106"/>
      <c r="AW752" s="106"/>
      <c r="AX752" s="106"/>
      <c r="AY752" s="106"/>
    </row>
    <row r="753" spans="1:51" s="20" customFormat="1" ht="21" customHeight="1">
      <c r="A753" s="197"/>
      <c r="B753" s="87"/>
      <c r="C753" s="87"/>
      <c r="D753" s="196"/>
      <c r="E753" s="108"/>
      <c r="F753" s="196"/>
      <c r="G753" s="87"/>
      <c r="H753" s="197"/>
      <c r="I753" s="89"/>
      <c r="J753" s="204"/>
      <c r="K753" s="87"/>
      <c r="L753" s="87" t="str" cm="1">
        <f t="array" ref="L753">IF($A753="","",_xlfn.LET(_xlpm.stat,CHOOSE({1,2,3,4,5},$P753,$T753,$X753,$AB753,$AF753),_xlpm.rate,CHOOSE({1,2,3,4,5},$R753,$V753,$Z753,$AD753,$AH753),_xlpm.trn,CHOOSE({1,2,3,4,5},$S753,$W753,$AA753,$AE753,$AI753),_xlpm.nsC,SUMPRODUCT(--(_xlpm.stat="Ready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DLR",IF(AND(_xlpm.actRS&gt;0,_xlpm.actDone&lt;_xlpm.actRS),"Training",IF(_xlpm.actRS&gt;0,"Active",IF(AND(_xlpm.decC&gt;0,_xlpm.inPlay+_xlpm.actC=0),"Dead",IF(AND($AJ753&lt;&gt;"",$AK753=FALSE),"Waiting on Dealer",IF(_xlpm.subC&gt;0,"Waiting on Lender",IF(AND(_xlpm.appC+_xlpm.actC&gt;0,_xlpm.nsC+_xlpm.wdC=0),"Rate Sheet","Application Submitted")))))))))</f>
        <v/>
      </c>
      <c r="M753" s="87"/>
      <c r="N753" s="87"/>
      <c r="O753" s="197"/>
      <c r="P753" s="87" t="str">
        <f>IF($A753="","",IF($AK753=TRUE,"Ready 2 Submit","Waiting on Dealer"))</f>
        <v/>
      </c>
      <c r="Q753" s="148"/>
      <c r="R753" s="87"/>
      <c r="S753" s="87"/>
      <c r="T753" s="87" t="str">
        <f>IF($A753="","",IF($AK753=TRUE,"Ready 2 Submit","Waiting on Dealer"))</f>
        <v/>
      </c>
      <c r="U753" s="148"/>
      <c r="V753" s="87"/>
      <c r="W753" s="87"/>
      <c r="X753" s="87" t="str">
        <f>IF($A753="","",IF($AK753=TRUE,"Ready 2 Submit","Waiting on Dealer"))</f>
        <v/>
      </c>
      <c r="Y753" s="148"/>
      <c r="Z753" s="87"/>
      <c r="AA753" s="87"/>
      <c r="AB753" s="87" t="str">
        <f>IF($A753="","",IF($AK753=TRUE,"Ready 2 Submit","Waiting on Dealer"))</f>
        <v/>
      </c>
      <c r="AC753" s="148"/>
      <c r="AD753" s="87"/>
      <c r="AE753" s="87"/>
      <c r="AF753" s="87" t="str">
        <f>IF($A753="","",IF($AK753=TRUE,"Ready 2 Submit","Waiting on Dealer"))</f>
        <v/>
      </c>
      <c r="AG753" s="148"/>
      <c r="AH753" s="87"/>
      <c r="AI753" s="87"/>
      <c r="AJ753" s="197"/>
      <c r="AK753" s="110" t="b">
        <v>0</v>
      </c>
      <c r="AL753" s="87" t="str" cm="1">
        <f t="array" ref="AL753">IF($A753="","",SUMPRODUCT((CHOOSE({1,2,3,4,5},$R753,$V753,$Z753,$AD753,$AH753)="Yes")*(((CHOOSE({1,2,3,4,5},$S753,$W753,$AA753,$AE753,$AI753)="Yes")+(CHOOSE({1,2,3,4,5},$S753,$W753,$AA753,$AE753,$AI753)=TRUE))&gt;0)))</f>
        <v/>
      </c>
      <c r="AM753" s="87"/>
      <c r="AN753" s="87" t="str">
        <f ca="1">IF(OR($A753="",$AM753=""),"",TODAY()-$AM753)</f>
        <v/>
      </c>
      <c r="AO753" s="87"/>
      <c r="AP753" s="106"/>
      <c r="AQ753" s="106"/>
      <c r="AR753" s="106"/>
      <c r="AS753" s="106"/>
      <c r="AT753" s="106"/>
      <c r="AU753" s="106"/>
      <c r="AV753" s="106"/>
      <c r="AW753" s="106"/>
      <c r="AX753" s="106"/>
      <c r="AY753" s="106"/>
    </row>
    <row r="754" spans="1:51" s="20" customFormat="1" ht="21" customHeight="1">
      <c r="A754" s="197"/>
      <c r="B754" s="87"/>
      <c r="C754" s="87"/>
      <c r="D754" s="196"/>
      <c r="E754" s="108"/>
      <c r="F754" s="196"/>
      <c r="G754" s="87"/>
      <c r="H754" s="197"/>
      <c r="I754" s="89"/>
      <c r="J754" s="204"/>
      <c r="K754" s="87"/>
      <c r="L754" s="87" t="str" cm="1">
        <f t="array" ref="L754">IF($A754="","",_xlfn.LET(_xlpm.stat,CHOOSE({1,2,3,4,5},$P754,$T754,$X754,$AB754,$AF754),_xlpm.rate,CHOOSE({1,2,3,4,5},$R754,$V754,$Z754,$AD754,$AH754),_xlpm.trn,CHOOSE({1,2,3,4,5},$S754,$W754,$AA754,$AE754,$AI754),_xlpm.nsC,SUMPRODUCT(--(_xlpm.stat="Ready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DLR",IF(AND(_xlpm.actRS&gt;0,_xlpm.actDone&lt;_xlpm.actRS),"Training",IF(_xlpm.actRS&gt;0,"Active",IF(AND(_xlpm.decC&gt;0,_xlpm.inPlay+_xlpm.actC=0),"Dead",IF(AND($AJ754&lt;&gt;"",$AK754=FALSE),"Waiting on Dealer",IF(_xlpm.subC&gt;0,"Waiting on Lender",IF(AND(_xlpm.appC+_xlpm.actC&gt;0,_xlpm.nsC+_xlpm.wdC=0),"Rate Sheet","Application Submitted")))))))))</f>
        <v/>
      </c>
      <c r="M754" s="87"/>
      <c r="N754" s="87"/>
      <c r="O754" s="197"/>
      <c r="P754" s="87" t="str">
        <f>IF($A754="","",IF($AK754=TRUE,"Ready 2 Submit","Waiting on Dealer"))</f>
        <v/>
      </c>
      <c r="Q754" s="148"/>
      <c r="R754" s="87"/>
      <c r="S754" s="87"/>
      <c r="T754" s="87" t="str">
        <f>IF($A754="","",IF($AK754=TRUE,"Ready 2 Submit","Waiting on Dealer"))</f>
        <v/>
      </c>
      <c r="U754" s="148"/>
      <c r="V754" s="87"/>
      <c r="W754" s="87"/>
      <c r="X754" s="87" t="str">
        <f>IF($A754="","",IF($AK754=TRUE,"Ready 2 Submit","Waiting on Dealer"))</f>
        <v/>
      </c>
      <c r="Y754" s="148"/>
      <c r="Z754" s="87"/>
      <c r="AA754" s="87"/>
      <c r="AB754" s="87" t="str">
        <f>IF($A754="","",IF($AK754=TRUE,"Ready 2 Submit","Waiting on Dealer"))</f>
        <v/>
      </c>
      <c r="AC754" s="148"/>
      <c r="AD754" s="87"/>
      <c r="AE754" s="87"/>
      <c r="AF754" s="87" t="str">
        <f>IF($A754="","",IF($AK754=TRUE,"Ready 2 Submit","Waiting on Dealer"))</f>
        <v/>
      </c>
      <c r="AG754" s="148"/>
      <c r="AH754" s="87"/>
      <c r="AI754" s="87"/>
      <c r="AJ754" s="197"/>
      <c r="AK754" s="110" t="b">
        <v>0</v>
      </c>
      <c r="AL754" s="87" t="str" cm="1">
        <f t="array" ref="AL754">IF($A754="","",SUMPRODUCT((CHOOSE({1,2,3,4,5},$R754,$V754,$Z754,$AD754,$AH754)="Yes")*(((CHOOSE({1,2,3,4,5},$S754,$W754,$AA754,$AE754,$AI754)="Yes")+(CHOOSE({1,2,3,4,5},$S754,$W754,$AA754,$AE754,$AI754)=TRUE))&gt;0)))</f>
        <v/>
      </c>
      <c r="AM754" s="87"/>
      <c r="AN754" s="87" t="str">
        <f ca="1">IF(OR($A754="",$AM754=""),"",TODAY()-$AM754)</f>
        <v/>
      </c>
      <c r="AO754" s="87"/>
      <c r="AP754" s="106"/>
      <c r="AQ754" s="106"/>
      <c r="AR754" s="106"/>
      <c r="AS754" s="106"/>
      <c r="AT754" s="106"/>
      <c r="AU754" s="106"/>
      <c r="AV754" s="106"/>
      <c r="AW754" s="106"/>
      <c r="AX754" s="106"/>
      <c r="AY754" s="106"/>
    </row>
    <row r="755" spans="1:51" s="20" customFormat="1" ht="21" customHeight="1">
      <c r="A755" s="197"/>
      <c r="B755" s="87"/>
      <c r="C755" s="87"/>
      <c r="D755" s="196"/>
      <c r="E755" s="108"/>
      <c r="F755" s="196"/>
      <c r="G755" s="87"/>
      <c r="H755" s="197"/>
      <c r="I755" s="89"/>
      <c r="J755" s="204"/>
      <c r="K755" s="87"/>
      <c r="L755" s="87" t="str" cm="1">
        <f t="array" ref="L755">IF($A755="","",_xlfn.LET(_xlpm.stat,CHOOSE({1,2,3,4,5},$P755,$T755,$X755,$AB755,$AF755),_xlpm.rate,CHOOSE({1,2,3,4,5},$R755,$V755,$Z755,$AD755,$AH755),_xlpm.trn,CHOOSE({1,2,3,4,5},$S755,$W755,$AA755,$AE755,$AI755),_xlpm.nsC,SUMPRODUCT(--(_xlpm.stat="Ready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DLR",IF(AND(_xlpm.actRS&gt;0,_xlpm.actDone&lt;_xlpm.actRS),"Training",IF(_xlpm.actRS&gt;0,"Active",IF(AND(_xlpm.decC&gt;0,_xlpm.inPlay+_xlpm.actC=0),"Dead",IF(AND($AJ755&lt;&gt;"",$AK755=FALSE),"Waiting on Dealer",IF(_xlpm.subC&gt;0,"Waiting on Lender",IF(AND(_xlpm.appC+_xlpm.actC&gt;0,_xlpm.nsC+_xlpm.wdC=0),"Rate Sheet","Application Submitted")))))))))</f>
        <v/>
      </c>
      <c r="M755" s="87"/>
      <c r="N755" s="87"/>
      <c r="O755" s="197"/>
      <c r="P755" s="87" t="str">
        <f>IF($A755="","",IF($AK755=TRUE,"Ready 2 Submit","Waiting on Dealer"))</f>
        <v/>
      </c>
      <c r="Q755" s="148"/>
      <c r="R755" s="87"/>
      <c r="S755" s="87"/>
      <c r="T755" s="87" t="str">
        <f>IF($A755="","",IF($AK755=TRUE,"Ready 2 Submit","Waiting on Dealer"))</f>
        <v/>
      </c>
      <c r="U755" s="148"/>
      <c r="V755" s="87"/>
      <c r="W755" s="87"/>
      <c r="X755" s="87" t="str">
        <f>IF($A755="","",IF($AK755=TRUE,"Ready 2 Submit","Waiting on Dealer"))</f>
        <v/>
      </c>
      <c r="Y755" s="148"/>
      <c r="Z755" s="87"/>
      <c r="AA755" s="87"/>
      <c r="AB755" s="87" t="str">
        <f>IF($A755="","",IF($AK755=TRUE,"Ready 2 Submit","Waiting on Dealer"))</f>
        <v/>
      </c>
      <c r="AC755" s="148"/>
      <c r="AD755" s="87"/>
      <c r="AE755" s="87"/>
      <c r="AF755" s="87" t="str">
        <f>IF($A755="","",IF($AK755=TRUE,"Ready 2 Submit","Waiting on Dealer"))</f>
        <v/>
      </c>
      <c r="AG755" s="148"/>
      <c r="AH755" s="87"/>
      <c r="AI755" s="87"/>
      <c r="AJ755" s="197"/>
      <c r="AK755" s="110" t="b">
        <v>0</v>
      </c>
      <c r="AL755" s="87" t="str" cm="1">
        <f t="array" ref="AL755">IF($A755="","",SUMPRODUCT((CHOOSE({1,2,3,4,5},$R755,$V755,$Z755,$AD755,$AH755)="Yes")*(((CHOOSE({1,2,3,4,5},$S755,$W755,$AA755,$AE755,$AI755)="Yes")+(CHOOSE({1,2,3,4,5},$S755,$W755,$AA755,$AE755,$AI755)=TRUE))&gt;0)))</f>
        <v/>
      </c>
      <c r="AM755" s="87"/>
      <c r="AN755" s="87" t="str">
        <f ca="1">IF(OR($A755="",$AM755=""),"",TODAY()-$AM755)</f>
        <v/>
      </c>
      <c r="AO755" s="87"/>
      <c r="AP755" s="106"/>
      <c r="AQ755" s="106"/>
      <c r="AR755" s="106"/>
      <c r="AS755" s="106"/>
      <c r="AT755" s="106"/>
      <c r="AU755" s="106"/>
      <c r="AV755" s="106"/>
      <c r="AW755" s="106"/>
      <c r="AX755" s="106"/>
      <c r="AY755" s="106"/>
    </row>
    <row r="756" spans="1:51" s="20" customFormat="1" ht="21" customHeight="1">
      <c r="A756" s="197"/>
      <c r="B756" s="87"/>
      <c r="C756" s="87"/>
      <c r="D756" s="196"/>
      <c r="E756" s="108"/>
      <c r="F756" s="196"/>
      <c r="G756" s="87"/>
      <c r="H756" s="197"/>
      <c r="I756" s="89"/>
      <c r="J756" s="204"/>
      <c r="K756" s="87"/>
      <c r="L756" s="87" t="str" cm="1">
        <f t="array" ref="L756">IF($A756="","",_xlfn.LET(_xlpm.stat,CHOOSE({1,2,3,4,5},$P756,$T756,$X756,$AB756,$AF756),_xlpm.rate,CHOOSE({1,2,3,4,5},$R756,$V756,$Z756,$AD756,$AH756),_xlpm.trn,CHOOSE({1,2,3,4,5},$S756,$W756,$AA756,$AE756,$AI756),_xlpm.nsC,SUMPRODUCT(--(_xlpm.stat="Ready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DLR",IF(AND(_xlpm.actRS&gt;0,_xlpm.actDone&lt;_xlpm.actRS),"Training",IF(_xlpm.actRS&gt;0,"Active",IF(AND(_xlpm.decC&gt;0,_xlpm.inPlay+_xlpm.actC=0),"Dead",IF(AND($AJ756&lt;&gt;"",$AK756=FALSE),"Waiting on Dealer",IF(_xlpm.subC&gt;0,"Waiting on Lender",IF(AND(_xlpm.appC+_xlpm.actC&gt;0,_xlpm.nsC+_xlpm.wdC=0),"Rate Sheet","Application Submitted")))))))))</f>
        <v/>
      </c>
      <c r="M756" s="87"/>
      <c r="N756" s="87"/>
      <c r="O756" s="197"/>
      <c r="P756" s="87" t="str">
        <f>IF($A756="","",IF($AK756=TRUE,"Ready 2 Submit","Waiting on Dealer"))</f>
        <v/>
      </c>
      <c r="Q756" s="148"/>
      <c r="R756" s="87"/>
      <c r="S756" s="87"/>
      <c r="T756" s="87" t="str">
        <f>IF($A756="","",IF($AK756=TRUE,"Ready 2 Submit","Waiting on Dealer"))</f>
        <v/>
      </c>
      <c r="U756" s="148"/>
      <c r="V756" s="87"/>
      <c r="W756" s="87"/>
      <c r="X756" s="87" t="str">
        <f>IF($A756="","",IF($AK756=TRUE,"Ready 2 Submit","Waiting on Dealer"))</f>
        <v/>
      </c>
      <c r="Y756" s="148"/>
      <c r="Z756" s="87"/>
      <c r="AA756" s="87"/>
      <c r="AB756" s="87" t="str">
        <f>IF($A756="","",IF($AK756=TRUE,"Ready 2 Submit","Waiting on Dealer"))</f>
        <v/>
      </c>
      <c r="AC756" s="148"/>
      <c r="AD756" s="87"/>
      <c r="AE756" s="87"/>
      <c r="AF756" s="87" t="str">
        <f>IF($A756="","",IF($AK756=TRUE,"Ready 2 Submit","Waiting on Dealer"))</f>
        <v/>
      </c>
      <c r="AG756" s="148"/>
      <c r="AH756" s="87"/>
      <c r="AI756" s="87"/>
      <c r="AJ756" s="197"/>
      <c r="AK756" s="110" t="b">
        <v>0</v>
      </c>
      <c r="AL756" s="87" t="str" cm="1">
        <f t="array" ref="AL756">IF($A756="","",SUMPRODUCT((CHOOSE({1,2,3,4,5},$R756,$V756,$Z756,$AD756,$AH756)="Yes")*(((CHOOSE({1,2,3,4,5},$S756,$W756,$AA756,$AE756,$AI756)="Yes")+(CHOOSE({1,2,3,4,5},$S756,$W756,$AA756,$AE756,$AI756)=TRUE))&gt;0)))</f>
        <v/>
      </c>
      <c r="AM756" s="87"/>
      <c r="AN756" s="87" t="str">
        <f ca="1">IF(OR($A756="",$AM756=""),"",TODAY()-$AM756)</f>
        <v/>
      </c>
      <c r="AO756" s="87"/>
      <c r="AP756" s="106"/>
      <c r="AQ756" s="106"/>
      <c r="AR756" s="106"/>
      <c r="AS756" s="106"/>
      <c r="AT756" s="106"/>
      <c r="AU756" s="106"/>
      <c r="AV756" s="106"/>
      <c r="AW756" s="106"/>
      <c r="AX756" s="106"/>
      <c r="AY756" s="106"/>
    </row>
    <row r="757" spans="1:51" s="20" customFormat="1" ht="21" customHeight="1">
      <c r="A757" s="197"/>
      <c r="B757" s="87"/>
      <c r="C757" s="87"/>
      <c r="D757" s="196"/>
      <c r="E757" s="108"/>
      <c r="F757" s="196"/>
      <c r="G757" s="87"/>
      <c r="H757" s="197"/>
      <c r="I757" s="89"/>
      <c r="J757" s="204"/>
      <c r="K757" s="87"/>
      <c r="L757" s="87" t="str" cm="1">
        <f t="array" ref="L757">IF($A757="","",_xlfn.LET(_xlpm.stat,CHOOSE({1,2,3,4,5},$P757,$T757,$X757,$AB757,$AF757),_xlpm.rate,CHOOSE({1,2,3,4,5},$R757,$V757,$Z757,$AD757,$AH757),_xlpm.trn,CHOOSE({1,2,3,4,5},$S757,$W757,$AA757,$AE757,$AI757),_xlpm.nsC,SUMPRODUCT(--(_xlpm.stat="Ready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DLR",IF(AND(_xlpm.actRS&gt;0,_xlpm.actDone&lt;_xlpm.actRS),"Training",IF(_xlpm.actRS&gt;0,"Active",IF(AND(_xlpm.decC&gt;0,_xlpm.inPlay+_xlpm.actC=0),"Dead",IF(AND($AJ757&lt;&gt;"",$AK757=FALSE),"Waiting on Dealer",IF(_xlpm.subC&gt;0,"Waiting on Lender",IF(AND(_xlpm.appC+_xlpm.actC&gt;0,_xlpm.nsC+_xlpm.wdC=0),"Rate Sheet","Application Submitted")))))))))</f>
        <v/>
      </c>
      <c r="M757" s="87"/>
      <c r="N757" s="87"/>
      <c r="O757" s="197"/>
      <c r="P757" s="87" t="str">
        <f>IF($A757="","",IF($AK757=TRUE,"Ready 2 Submit","Waiting on Dealer"))</f>
        <v/>
      </c>
      <c r="Q757" s="148"/>
      <c r="R757" s="87"/>
      <c r="S757" s="87"/>
      <c r="T757" s="87" t="str">
        <f>IF($A757="","",IF($AK757=TRUE,"Ready 2 Submit","Waiting on Dealer"))</f>
        <v/>
      </c>
      <c r="U757" s="148"/>
      <c r="V757" s="87"/>
      <c r="W757" s="87"/>
      <c r="X757" s="87" t="str">
        <f>IF($A757="","",IF($AK757=TRUE,"Ready 2 Submit","Waiting on Dealer"))</f>
        <v/>
      </c>
      <c r="Y757" s="148"/>
      <c r="Z757" s="87"/>
      <c r="AA757" s="87"/>
      <c r="AB757" s="87" t="str">
        <f>IF($A757="","",IF($AK757=TRUE,"Ready 2 Submit","Waiting on Dealer"))</f>
        <v/>
      </c>
      <c r="AC757" s="148"/>
      <c r="AD757" s="87"/>
      <c r="AE757" s="87"/>
      <c r="AF757" s="87" t="str">
        <f>IF($A757="","",IF($AK757=TRUE,"Ready 2 Submit","Waiting on Dealer"))</f>
        <v/>
      </c>
      <c r="AG757" s="148"/>
      <c r="AH757" s="87"/>
      <c r="AI757" s="87"/>
      <c r="AJ757" s="197"/>
      <c r="AK757" s="110" t="b">
        <v>0</v>
      </c>
      <c r="AL757" s="87" t="str" cm="1">
        <f t="array" ref="AL757">IF($A757="","",SUMPRODUCT((CHOOSE({1,2,3,4,5},$R757,$V757,$Z757,$AD757,$AH757)="Yes")*(((CHOOSE({1,2,3,4,5},$S757,$W757,$AA757,$AE757,$AI757)="Yes")+(CHOOSE({1,2,3,4,5},$S757,$W757,$AA757,$AE757,$AI757)=TRUE))&gt;0)))</f>
        <v/>
      </c>
      <c r="AM757" s="87"/>
      <c r="AN757" s="87" t="str">
        <f ca="1">IF(OR($A757="",$AM757=""),"",TODAY()-$AM757)</f>
        <v/>
      </c>
      <c r="AO757" s="87"/>
      <c r="AP757" s="106"/>
      <c r="AQ757" s="106"/>
      <c r="AR757" s="106"/>
      <c r="AS757" s="106"/>
      <c r="AT757" s="106"/>
      <c r="AU757" s="106"/>
      <c r="AV757" s="106"/>
      <c r="AW757" s="106"/>
      <c r="AX757" s="106"/>
      <c r="AY757" s="106"/>
    </row>
    <row r="758" spans="1:51" s="20" customFormat="1" ht="21" customHeight="1">
      <c r="A758" s="197"/>
      <c r="B758" s="87"/>
      <c r="C758" s="87"/>
      <c r="D758" s="196"/>
      <c r="E758" s="108"/>
      <c r="F758" s="196"/>
      <c r="G758" s="87"/>
      <c r="H758" s="197"/>
      <c r="I758" s="89"/>
      <c r="J758" s="204"/>
      <c r="K758" s="87"/>
      <c r="L758" s="87" t="str" cm="1">
        <f t="array" ref="L758">IF($A758="","",_xlfn.LET(_xlpm.stat,CHOOSE({1,2,3,4,5},$P758,$T758,$X758,$AB758,$AF758),_xlpm.rate,CHOOSE({1,2,3,4,5},$R758,$V758,$Z758,$AD758,$AH758),_xlpm.trn,CHOOSE({1,2,3,4,5},$S758,$W758,$AA758,$AE758,$AI758),_xlpm.nsC,SUMPRODUCT(--(_xlpm.stat="Ready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DLR",IF(AND(_xlpm.actRS&gt;0,_xlpm.actDone&lt;_xlpm.actRS),"Training",IF(_xlpm.actRS&gt;0,"Active",IF(AND(_xlpm.decC&gt;0,_xlpm.inPlay+_xlpm.actC=0),"Dead",IF(AND($AJ758&lt;&gt;"",$AK758=FALSE),"Waiting on Dealer",IF(_xlpm.subC&gt;0,"Waiting on Lender",IF(AND(_xlpm.appC+_xlpm.actC&gt;0,_xlpm.nsC+_xlpm.wdC=0),"Rate Sheet","Application Submitted")))))))))</f>
        <v/>
      </c>
      <c r="M758" s="87"/>
      <c r="N758" s="87"/>
      <c r="O758" s="197"/>
      <c r="P758" s="87" t="str">
        <f>IF($A758="","",IF($AK758=TRUE,"Ready 2 Submit","Waiting on Dealer"))</f>
        <v/>
      </c>
      <c r="Q758" s="148"/>
      <c r="R758" s="87"/>
      <c r="S758" s="87"/>
      <c r="T758" s="87" t="str">
        <f>IF($A758="","",IF($AK758=TRUE,"Ready 2 Submit","Waiting on Dealer"))</f>
        <v/>
      </c>
      <c r="U758" s="148"/>
      <c r="V758" s="87"/>
      <c r="W758" s="87"/>
      <c r="X758" s="87" t="str">
        <f>IF($A758="","",IF($AK758=TRUE,"Ready 2 Submit","Waiting on Dealer"))</f>
        <v/>
      </c>
      <c r="Y758" s="148"/>
      <c r="Z758" s="87"/>
      <c r="AA758" s="87"/>
      <c r="AB758" s="87" t="str">
        <f>IF($A758="","",IF($AK758=TRUE,"Ready 2 Submit","Waiting on Dealer"))</f>
        <v/>
      </c>
      <c r="AC758" s="148"/>
      <c r="AD758" s="87"/>
      <c r="AE758" s="87"/>
      <c r="AF758" s="87" t="str">
        <f>IF($A758="","",IF($AK758=TRUE,"Ready 2 Submit","Waiting on Dealer"))</f>
        <v/>
      </c>
      <c r="AG758" s="148"/>
      <c r="AH758" s="87"/>
      <c r="AI758" s="87"/>
      <c r="AJ758" s="197"/>
      <c r="AK758" s="110" t="b">
        <v>0</v>
      </c>
      <c r="AL758" s="87" t="str" cm="1">
        <f t="array" ref="AL758">IF($A758="","",SUMPRODUCT((CHOOSE({1,2,3,4,5},$R758,$V758,$Z758,$AD758,$AH758)="Yes")*(((CHOOSE({1,2,3,4,5},$S758,$W758,$AA758,$AE758,$AI758)="Yes")+(CHOOSE({1,2,3,4,5},$S758,$W758,$AA758,$AE758,$AI758)=TRUE))&gt;0)))</f>
        <v/>
      </c>
      <c r="AM758" s="87"/>
      <c r="AN758" s="87" t="str">
        <f ca="1">IF(OR($A758="",$AM758=""),"",TODAY()-$AM758)</f>
        <v/>
      </c>
      <c r="AO758" s="87"/>
      <c r="AP758" s="106"/>
      <c r="AQ758" s="106"/>
      <c r="AR758" s="106"/>
      <c r="AS758" s="106"/>
      <c r="AT758" s="106"/>
      <c r="AU758" s="106"/>
      <c r="AV758" s="106"/>
      <c r="AW758" s="106"/>
      <c r="AX758" s="106"/>
      <c r="AY758" s="106"/>
    </row>
    <row r="759" spans="1:51" s="20" customFormat="1" ht="21" customHeight="1">
      <c r="A759" s="197"/>
      <c r="B759" s="87"/>
      <c r="C759" s="87"/>
      <c r="D759" s="196"/>
      <c r="E759" s="108"/>
      <c r="F759" s="196"/>
      <c r="G759" s="87"/>
      <c r="H759" s="197"/>
      <c r="I759" s="89"/>
      <c r="J759" s="204"/>
      <c r="K759" s="87"/>
      <c r="L759" s="87" t="str" cm="1">
        <f t="array" ref="L759">IF($A759="","",_xlfn.LET(_xlpm.stat,CHOOSE({1,2,3,4,5},$P759,$T759,$X759,$AB759,$AF759),_xlpm.rate,CHOOSE({1,2,3,4,5},$R759,$V759,$Z759,$AD759,$AH759),_xlpm.trn,CHOOSE({1,2,3,4,5},$S759,$W759,$AA759,$AE759,$AI759),_xlpm.nsC,SUMPRODUCT(--(_xlpm.stat="Ready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DLR",IF(AND(_xlpm.actRS&gt;0,_xlpm.actDone&lt;_xlpm.actRS),"Training",IF(_xlpm.actRS&gt;0,"Active",IF(AND(_xlpm.decC&gt;0,_xlpm.inPlay+_xlpm.actC=0),"Dead",IF(AND($AJ759&lt;&gt;"",$AK759=FALSE),"Waiting on Dealer",IF(_xlpm.subC&gt;0,"Waiting on Lender",IF(AND(_xlpm.appC+_xlpm.actC&gt;0,_xlpm.nsC+_xlpm.wdC=0),"Rate Sheet","Application Submitted")))))))))</f>
        <v/>
      </c>
      <c r="M759" s="87"/>
      <c r="N759" s="87"/>
      <c r="O759" s="197"/>
      <c r="P759" s="87" t="str">
        <f>IF($A759="","",IF($AK759=TRUE,"Ready 2 Submit","Waiting on Dealer"))</f>
        <v/>
      </c>
      <c r="Q759" s="148"/>
      <c r="R759" s="87"/>
      <c r="S759" s="87"/>
      <c r="T759" s="87" t="str">
        <f>IF($A759="","",IF($AK759=TRUE,"Ready 2 Submit","Waiting on Dealer"))</f>
        <v/>
      </c>
      <c r="U759" s="148"/>
      <c r="V759" s="87"/>
      <c r="W759" s="87"/>
      <c r="X759" s="87" t="str">
        <f>IF($A759="","",IF($AK759=TRUE,"Ready 2 Submit","Waiting on Dealer"))</f>
        <v/>
      </c>
      <c r="Y759" s="148"/>
      <c r="Z759" s="87"/>
      <c r="AA759" s="87"/>
      <c r="AB759" s="87" t="str">
        <f>IF($A759="","",IF($AK759=TRUE,"Ready 2 Submit","Waiting on Dealer"))</f>
        <v/>
      </c>
      <c r="AC759" s="148"/>
      <c r="AD759" s="87"/>
      <c r="AE759" s="87"/>
      <c r="AF759" s="87" t="str">
        <f>IF($A759="","",IF($AK759=TRUE,"Ready 2 Submit","Waiting on Dealer"))</f>
        <v/>
      </c>
      <c r="AG759" s="148"/>
      <c r="AH759" s="87"/>
      <c r="AI759" s="87"/>
      <c r="AJ759" s="197"/>
      <c r="AK759" s="110" t="b">
        <v>0</v>
      </c>
      <c r="AL759" s="87" t="str" cm="1">
        <f t="array" ref="AL759">IF($A759="","",SUMPRODUCT((CHOOSE({1,2,3,4,5},$R759,$V759,$Z759,$AD759,$AH759)="Yes")*(((CHOOSE({1,2,3,4,5},$S759,$W759,$AA759,$AE759,$AI759)="Yes")+(CHOOSE({1,2,3,4,5},$S759,$W759,$AA759,$AE759,$AI759)=TRUE))&gt;0)))</f>
        <v/>
      </c>
      <c r="AM759" s="87"/>
      <c r="AN759" s="87" t="str">
        <f ca="1">IF(OR($A759="",$AM759=""),"",TODAY()-$AM759)</f>
        <v/>
      </c>
      <c r="AO759" s="87"/>
      <c r="AP759" s="106"/>
      <c r="AQ759" s="106"/>
      <c r="AR759" s="106"/>
      <c r="AS759" s="106"/>
      <c r="AT759" s="106"/>
      <c r="AU759" s="106"/>
      <c r="AV759" s="106"/>
      <c r="AW759" s="106"/>
      <c r="AX759" s="106"/>
      <c r="AY759" s="106"/>
    </row>
    <row r="760" spans="1:51" s="20" customFormat="1" ht="21" customHeight="1">
      <c r="A760" s="197"/>
      <c r="B760" s="87"/>
      <c r="C760" s="87"/>
      <c r="D760" s="196"/>
      <c r="E760" s="108"/>
      <c r="F760" s="196"/>
      <c r="G760" s="87"/>
      <c r="H760" s="197"/>
      <c r="I760" s="89"/>
      <c r="J760" s="204"/>
      <c r="K760" s="87"/>
      <c r="L760" s="87" t="str" cm="1">
        <f t="array" ref="L760">IF($A760="","",_xlfn.LET(_xlpm.stat,CHOOSE({1,2,3,4,5},$P760,$T760,$X760,$AB760,$AF760),_xlpm.rate,CHOOSE({1,2,3,4,5},$R760,$V760,$Z760,$AD760,$AH760),_xlpm.trn,CHOOSE({1,2,3,4,5},$S760,$W760,$AA760,$AE760,$AI760),_xlpm.nsC,SUMPRODUCT(--(_xlpm.stat="Ready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DLR",IF(AND(_xlpm.actRS&gt;0,_xlpm.actDone&lt;_xlpm.actRS),"Training",IF(_xlpm.actRS&gt;0,"Active",IF(AND(_xlpm.decC&gt;0,_xlpm.inPlay+_xlpm.actC=0),"Dead",IF(AND($AJ760&lt;&gt;"",$AK760=FALSE),"Waiting on Dealer",IF(_xlpm.subC&gt;0,"Waiting on Lender",IF(AND(_xlpm.appC+_xlpm.actC&gt;0,_xlpm.nsC+_xlpm.wdC=0),"Rate Sheet","Application Submitted")))))))))</f>
        <v/>
      </c>
      <c r="M760" s="87"/>
      <c r="N760" s="87"/>
      <c r="O760" s="197"/>
      <c r="P760" s="87" t="str">
        <f>IF($A760="","",IF($AK760=TRUE,"Ready 2 Submit","Waiting on Dealer"))</f>
        <v/>
      </c>
      <c r="Q760" s="148"/>
      <c r="R760" s="87"/>
      <c r="S760" s="87"/>
      <c r="T760" s="87" t="str">
        <f>IF($A760="","",IF($AK760=TRUE,"Ready 2 Submit","Waiting on Dealer"))</f>
        <v/>
      </c>
      <c r="U760" s="148"/>
      <c r="V760" s="87"/>
      <c r="W760" s="87"/>
      <c r="X760" s="87" t="str">
        <f>IF($A760="","",IF($AK760=TRUE,"Ready 2 Submit","Waiting on Dealer"))</f>
        <v/>
      </c>
      <c r="Y760" s="148"/>
      <c r="Z760" s="87"/>
      <c r="AA760" s="87"/>
      <c r="AB760" s="87" t="str">
        <f>IF($A760="","",IF($AK760=TRUE,"Ready 2 Submit","Waiting on Dealer"))</f>
        <v/>
      </c>
      <c r="AC760" s="148"/>
      <c r="AD760" s="87"/>
      <c r="AE760" s="87"/>
      <c r="AF760" s="87" t="str">
        <f>IF($A760="","",IF($AK760=TRUE,"Ready 2 Submit","Waiting on Dealer"))</f>
        <v/>
      </c>
      <c r="AG760" s="148"/>
      <c r="AH760" s="87"/>
      <c r="AI760" s="87"/>
      <c r="AJ760" s="197"/>
      <c r="AK760" s="110" t="b">
        <v>0</v>
      </c>
      <c r="AL760" s="87" t="str" cm="1">
        <f t="array" ref="AL760">IF($A760="","",SUMPRODUCT((CHOOSE({1,2,3,4,5},$R760,$V760,$Z760,$AD760,$AH760)="Yes")*(((CHOOSE({1,2,3,4,5},$S760,$W760,$AA760,$AE760,$AI760)="Yes")+(CHOOSE({1,2,3,4,5},$S760,$W760,$AA760,$AE760,$AI760)=TRUE))&gt;0)))</f>
        <v/>
      </c>
      <c r="AM760" s="87"/>
      <c r="AN760" s="87" t="str">
        <f ca="1">IF(OR($A760="",$AM760=""),"",TODAY()-$AM760)</f>
        <v/>
      </c>
      <c r="AO760" s="87"/>
      <c r="AP760" s="106"/>
      <c r="AQ760" s="106"/>
      <c r="AR760" s="106"/>
      <c r="AS760" s="106"/>
      <c r="AT760" s="106"/>
      <c r="AU760" s="106"/>
      <c r="AV760" s="106"/>
      <c r="AW760" s="106"/>
      <c r="AX760" s="106"/>
      <c r="AY760" s="106"/>
    </row>
    <row r="761" spans="1:51" s="20" customFormat="1" ht="21" customHeight="1">
      <c r="A761" s="197"/>
      <c r="B761" s="87"/>
      <c r="C761" s="87"/>
      <c r="D761" s="196"/>
      <c r="E761" s="108"/>
      <c r="F761" s="196"/>
      <c r="G761" s="87"/>
      <c r="H761" s="197"/>
      <c r="I761" s="89"/>
      <c r="J761" s="204"/>
      <c r="K761" s="87"/>
      <c r="L761" s="87" t="str" cm="1">
        <f t="array" ref="L761">IF($A761="","",_xlfn.LET(_xlpm.stat,CHOOSE({1,2,3,4,5},$P761,$T761,$X761,$AB761,$AF761),_xlpm.rate,CHOOSE({1,2,3,4,5},$R761,$V761,$Z761,$AD761,$AH761),_xlpm.trn,CHOOSE({1,2,3,4,5},$S761,$W761,$AA761,$AE761,$AI761),_xlpm.nsC,SUMPRODUCT(--(_xlpm.stat="Ready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DLR",IF(AND(_xlpm.actRS&gt;0,_xlpm.actDone&lt;_xlpm.actRS),"Training",IF(_xlpm.actRS&gt;0,"Active",IF(AND(_xlpm.decC&gt;0,_xlpm.inPlay+_xlpm.actC=0),"Dead",IF(AND($AJ761&lt;&gt;"",$AK761=FALSE),"Waiting on Dealer",IF(_xlpm.subC&gt;0,"Waiting on Lender",IF(AND(_xlpm.appC+_xlpm.actC&gt;0,_xlpm.nsC+_xlpm.wdC=0),"Rate Sheet","Application Submitted")))))))))</f>
        <v/>
      </c>
      <c r="M761" s="87"/>
      <c r="N761" s="87"/>
      <c r="O761" s="197"/>
      <c r="P761" s="87" t="str">
        <f>IF($A761="","",IF($AK761=TRUE,"Ready 2 Submit","Waiting on Dealer"))</f>
        <v/>
      </c>
      <c r="Q761" s="148"/>
      <c r="R761" s="87"/>
      <c r="S761" s="87"/>
      <c r="T761" s="87" t="str">
        <f>IF($A761="","",IF($AK761=TRUE,"Ready 2 Submit","Waiting on Dealer"))</f>
        <v/>
      </c>
      <c r="U761" s="148"/>
      <c r="V761" s="87"/>
      <c r="W761" s="87"/>
      <c r="X761" s="87" t="str">
        <f>IF($A761="","",IF($AK761=TRUE,"Ready 2 Submit","Waiting on Dealer"))</f>
        <v/>
      </c>
      <c r="Y761" s="148"/>
      <c r="Z761" s="87"/>
      <c r="AA761" s="87"/>
      <c r="AB761" s="87" t="str">
        <f>IF($A761="","",IF($AK761=TRUE,"Ready 2 Submit","Waiting on Dealer"))</f>
        <v/>
      </c>
      <c r="AC761" s="148"/>
      <c r="AD761" s="87"/>
      <c r="AE761" s="87"/>
      <c r="AF761" s="87" t="str">
        <f>IF($A761="","",IF($AK761=TRUE,"Ready 2 Submit","Waiting on Dealer"))</f>
        <v/>
      </c>
      <c r="AG761" s="148"/>
      <c r="AH761" s="87"/>
      <c r="AI761" s="87"/>
      <c r="AJ761" s="197"/>
      <c r="AK761" s="110" t="b">
        <v>0</v>
      </c>
      <c r="AL761" s="87" t="str" cm="1">
        <f t="array" ref="AL761">IF($A761="","",SUMPRODUCT((CHOOSE({1,2,3,4,5},$R761,$V761,$Z761,$AD761,$AH761)="Yes")*(((CHOOSE({1,2,3,4,5},$S761,$W761,$AA761,$AE761,$AI761)="Yes")+(CHOOSE({1,2,3,4,5},$S761,$W761,$AA761,$AE761,$AI761)=TRUE))&gt;0)))</f>
        <v/>
      </c>
      <c r="AM761" s="87"/>
      <c r="AN761" s="87" t="str">
        <f ca="1">IF(OR($A761="",$AM761=""),"",TODAY()-$AM761)</f>
        <v/>
      </c>
      <c r="AO761" s="87"/>
      <c r="AP761" s="106"/>
      <c r="AQ761" s="106"/>
      <c r="AR761" s="106"/>
      <c r="AS761" s="106"/>
      <c r="AT761" s="106"/>
      <c r="AU761" s="106"/>
      <c r="AV761" s="106"/>
      <c r="AW761" s="106"/>
      <c r="AX761" s="106"/>
      <c r="AY761" s="106"/>
    </row>
    <row r="762" spans="1:51" s="20" customFormat="1" ht="21" customHeight="1">
      <c r="A762" s="197"/>
      <c r="B762" s="87"/>
      <c r="C762" s="87"/>
      <c r="D762" s="196"/>
      <c r="E762" s="108"/>
      <c r="F762" s="196"/>
      <c r="G762" s="87"/>
      <c r="H762" s="197"/>
      <c r="I762" s="89"/>
      <c r="J762" s="204"/>
      <c r="K762" s="87"/>
      <c r="L762" s="87" t="str" cm="1">
        <f t="array" ref="L762">IF($A762="","",_xlfn.LET(_xlpm.stat,CHOOSE({1,2,3,4,5},$P762,$T762,$X762,$AB762,$AF762),_xlpm.rate,CHOOSE({1,2,3,4,5},$R762,$V762,$Z762,$AD762,$AH762),_xlpm.trn,CHOOSE({1,2,3,4,5},$S762,$W762,$AA762,$AE762,$AI762),_xlpm.nsC,SUMPRODUCT(--(_xlpm.stat="Ready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DLR",IF(AND(_xlpm.actRS&gt;0,_xlpm.actDone&lt;_xlpm.actRS),"Training",IF(_xlpm.actRS&gt;0,"Active",IF(AND(_xlpm.decC&gt;0,_xlpm.inPlay+_xlpm.actC=0),"Dead",IF(AND($AJ762&lt;&gt;"",$AK762=FALSE),"Waiting on Dealer",IF(_xlpm.subC&gt;0,"Waiting on Lender",IF(AND(_xlpm.appC+_xlpm.actC&gt;0,_xlpm.nsC+_xlpm.wdC=0),"Rate Sheet","Application Submitted")))))))))</f>
        <v/>
      </c>
      <c r="M762" s="87"/>
      <c r="N762" s="87"/>
      <c r="O762" s="197"/>
      <c r="P762" s="87" t="str">
        <f>IF($A762="","",IF($AK762=TRUE,"Ready 2 Submit","Waiting on Dealer"))</f>
        <v/>
      </c>
      <c r="Q762" s="148"/>
      <c r="R762" s="87"/>
      <c r="S762" s="87"/>
      <c r="T762" s="87" t="str">
        <f>IF($A762="","",IF($AK762=TRUE,"Ready 2 Submit","Waiting on Dealer"))</f>
        <v/>
      </c>
      <c r="U762" s="148"/>
      <c r="V762" s="87"/>
      <c r="W762" s="87"/>
      <c r="X762" s="87" t="str">
        <f>IF($A762="","",IF($AK762=TRUE,"Ready 2 Submit","Waiting on Dealer"))</f>
        <v/>
      </c>
      <c r="Y762" s="148"/>
      <c r="Z762" s="87"/>
      <c r="AA762" s="87"/>
      <c r="AB762" s="87" t="str">
        <f>IF($A762="","",IF($AK762=TRUE,"Ready 2 Submit","Waiting on Dealer"))</f>
        <v/>
      </c>
      <c r="AC762" s="148"/>
      <c r="AD762" s="87"/>
      <c r="AE762" s="87"/>
      <c r="AF762" s="87" t="str">
        <f>IF($A762="","",IF($AK762=TRUE,"Ready 2 Submit","Waiting on Dealer"))</f>
        <v/>
      </c>
      <c r="AG762" s="148"/>
      <c r="AH762" s="87"/>
      <c r="AI762" s="87"/>
      <c r="AJ762" s="197"/>
      <c r="AK762" s="110" t="b">
        <v>0</v>
      </c>
      <c r="AL762" s="87" t="str" cm="1">
        <f t="array" ref="AL762">IF($A762="","",SUMPRODUCT((CHOOSE({1,2,3,4,5},$R762,$V762,$Z762,$AD762,$AH762)="Yes")*(((CHOOSE({1,2,3,4,5},$S762,$W762,$AA762,$AE762,$AI762)="Yes")+(CHOOSE({1,2,3,4,5},$S762,$W762,$AA762,$AE762,$AI762)=TRUE))&gt;0)))</f>
        <v/>
      </c>
      <c r="AM762" s="87"/>
      <c r="AN762" s="87" t="str">
        <f ca="1">IF(OR($A762="",$AM762=""),"",TODAY()-$AM762)</f>
        <v/>
      </c>
      <c r="AO762" s="87"/>
      <c r="AP762" s="106"/>
      <c r="AQ762" s="106"/>
      <c r="AR762" s="106"/>
      <c r="AS762" s="106"/>
      <c r="AT762" s="106"/>
      <c r="AU762" s="106"/>
      <c r="AV762" s="106"/>
      <c r="AW762" s="106"/>
      <c r="AX762" s="106"/>
      <c r="AY762" s="106"/>
    </row>
    <row r="763" spans="1:51" s="20" customFormat="1" ht="21" customHeight="1">
      <c r="A763" s="197"/>
      <c r="B763" s="87"/>
      <c r="C763" s="87"/>
      <c r="D763" s="196"/>
      <c r="E763" s="108"/>
      <c r="F763" s="196"/>
      <c r="G763" s="87"/>
      <c r="H763" s="197"/>
      <c r="I763" s="89"/>
      <c r="J763" s="204"/>
      <c r="K763" s="87"/>
      <c r="L763" s="87" t="str" cm="1">
        <f t="array" ref="L763">IF($A763="","",_xlfn.LET(_xlpm.stat,CHOOSE({1,2,3,4,5},$P763,$T763,$X763,$AB763,$AF763),_xlpm.rate,CHOOSE({1,2,3,4,5},$R763,$V763,$Z763,$AD763,$AH763),_xlpm.trn,CHOOSE({1,2,3,4,5},$S763,$W763,$AA763,$AE763,$AI763),_xlpm.nsC,SUMPRODUCT(--(_xlpm.stat="Ready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DLR",IF(AND(_xlpm.actRS&gt;0,_xlpm.actDone&lt;_xlpm.actRS),"Training",IF(_xlpm.actRS&gt;0,"Active",IF(AND(_xlpm.decC&gt;0,_xlpm.inPlay+_xlpm.actC=0),"Dead",IF(AND($AJ763&lt;&gt;"",$AK763=FALSE),"Waiting on Dealer",IF(_xlpm.subC&gt;0,"Waiting on Lender",IF(AND(_xlpm.appC+_xlpm.actC&gt;0,_xlpm.nsC+_xlpm.wdC=0),"Rate Sheet","Application Submitted")))))))))</f>
        <v/>
      </c>
      <c r="M763" s="87"/>
      <c r="N763" s="87"/>
      <c r="O763" s="197"/>
      <c r="P763" s="87" t="str">
        <f>IF($A763="","",IF($AK763=TRUE,"Ready 2 Submit","Waiting on Dealer"))</f>
        <v/>
      </c>
      <c r="Q763" s="148"/>
      <c r="R763" s="87"/>
      <c r="S763" s="87"/>
      <c r="T763" s="87" t="str">
        <f>IF($A763="","",IF($AK763=TRUE,"Ready 2 Submit","Waiting on Dealer"))</f>
        <v/>
      </c>
      <c r="U763" s="148"/>
      <c r="V763" s="87"/>
      <c r="W763" s="87"/>
      <c r="X763" s="87" t="str">
        <f>IF($A763="","",IF($AK763=TRUE,"Ready 2 Submit","Waiting on Dealer"))</f>
        <v/>
      </c>
      <c r="Y763" s="148"/>
      <c r="Z763" s="87"/>
      <c r="AA763" s="87"/>
      <c r="AB763" s="87" t="str">
        <f>IF($A763="","",IF($AK763=TRUE,"Ready 2 Submit","Waiting on Dealer"))</f>
        <v/>
      </c>
      <c r="AC763" s="148"/>
      <c r="AD763" s="87"/>
      <c r="AE763" s="87"/>
      <c r="AF763" s="87" t="str">
        <f>IF($A763="","",IF($AK763=TRUE,"Ready 2 Submit","Waiting on Dealer"))</f>
        <v/>
      </c>
      <c r="AG763" s="148"/>
      <c r="AH763" s="87"/>
      <c r="AI763" s="87"/>
      <c r="AJ763" s="197"/>
      <c r="AK763" s="110" t="b">
        <v>0</v>
      </c>
      <c r="AL763" s="87" t="str" cm="1">
        <f t="array" ref="AL763">IF($A763="","",SUMPRODUCT((CHOOSE({1,2,3,4,5},$R763,$V763,$Z763,$AD763,$AH763)="Yes")*(((CHOOSE({1,2,3,4,5},$S763,$W763,$AA763,$AE763,$AI763)="Yes")+(CHOOSE({1,2,3,4,5},$S763,$W763,$AA763,$AE763,$AI763)=TRUE))&gt;0)))</f>
        <v/>
      </c>
      <c r="AM763" s="87"/>
      <c r="AN763" s="87" t="str">
        <f ca="1">IF(OR($A763="",$AM763=""),"",TODAY()-$AM763)</f>
        <v/>
      </c>
      <c r="AO763" s="87"/>
      <c r="AP763" s="106"/>
      <c r="AQ763" s="106"/>
      <c r="AR763" s="106"/>
      <c r="AS763" s="106"/>
      <c r="AT763" s="106"/>
      <c r="AU763" s="106"/>
      <c r="AV763" s="106"/>
      <c r="AW763" s="106"/>
      <c r="AX763" s="106"/>
      <c r="AY763" s="106"/>
    </row>
    <row r="764" spans="1:51" s="20" customFormat="1" ht="21" customHeight="1">
      <c r="A764" s="197"/>
      <c r="B764" s="87"/>
      <c r="C764" s="87"/>
      <c r="D764" s="196"/>
      <c r="E764" s="108"/>
      <c r="F764" s="196"/>
      <c r="G764" s="87"/>
      <c r="H764" s="197"/>
      <c r="I764" s="89"/>
      <c r="J764" s="204"/>
      <c r="K764" s="87"/>
      <c r="L764" s="87" t="str" cm="1">
        <f t="array" ref="L764">IF($A764="","",_xlfn.LET(_xlpm.stat,CHOOSE({1,2,3,4,5},$P764,$T764,$X764,$AB764,$AF764),_xlpm.rate,CHOOSE({1,2,3,4,5},$R764,$V764,$Z764,$AD764,$AH764),_xlpm.trn,CHOOSE({1,2,3,4,5},$S764,$W764,$AA764,$AE764,$AI764),_xlpm.nsC,SUMPRODUCT(--(_xlpm.stat="Ready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DLR",IF(AND(_xlpm.actRS&gt;0,_xlpm.actDone&lt;_xlpm.actRS),"Training",IF(_xlpm.actRS&gt;0,"Active",IF(AND(_xlpm.decC&gt;0,_xlpm.inPlay+_xlpm.actC=0),"Dead",IF(AND($AJ764&lt;&gt;"",$AK764=FALSE),"Waiting on Dealer",IF(_xlpm.subC&gt;0,"Waiting on Lender",IF(AND(_xlpm.appC+_xlpm.actC&gt;0,_xlpm.nsC+_xlpm.wdC=0),"Rate Sheet","Application Submitted")))))))))</f>
        <v/>
      </c>
      <c r="M764" s="87"/>
      <c r="N764" s="87"/>
      <c r="O764" s="197"/>
      <c r="P764" s="87" t="str">
        <f>IF($A764="","",IF($AK764=TRUE,"Ready 2 Submit","Waiting on Dealer"))</f>
        <v/>
      </c>
      <c r="Q764" s="148"/>
      <c r="R764" s="87"/>
      <c r="S764" s="87"/>
      <c r="T764" s="87" t="str">
        <f>IF($A764="","",IF($AK764=TRUE,"Ready 2 Submit","Waiting on Dealer"))</f>
        <v/>
      </c>
      <c r="U764" s="148"/>
      <c r="V764" s="87"/>
      <c r="W764" s="87"/>
      <c r="X764" s="87" t="str">
        <f>IF($A764="","",IF($AK764=TRUE,"Ready 2 Submit","Waiting on Dealer"))</f>
        <v/>
      </c>
      <c r="Y764" s="148"/>
      <c r="Z764" s="87"/>
      <c r="AA764" s="87"/>
      <c r="AB764" s="87" t="str">
        <f>IF($A764="","",IF($AK764=TRUE,"Ready 2 Submit","Waiting on Dealer"))</f>
        <v/>
      </c>
      <c r="AC764" s="148"/>
      <c r="AD764" s="87"/>
      <c r="AE764" s="87"/>
      <c r="AF764" s="87" t="str">
        <f>IF($A764="","",IF($AK764=TRUE,"Ready 2 Submit","Waiting on Dealer"))</f>
        <v/>
      </c>
      <c r="AG764" s="148"/>
      <c r="AH764" s="87"/>
      <c r="AI764" s="87"/>
      <c r="AJ764" s="197"/>
      <c r="AK764" s="110" t="b">
        <v>0</v>
      </c>
      <c r="AL764" s="87" t="str" cm="1">
        <f t="array" ref="AL764">IF($A764="","",SUMPRODUCT((CHOOSE({1,2,3,4,5},$R764,$V764,$Z764,$AD764,$AH764)="Yes")*(((CHOOSE({1,2,3,4,5},$S764,$W764,$AA764,$AE764,$AI764)="Yes")+(CHOOSE({1,2,3,4,5},$S764,$W764,$AA764,$AE764,$AI764)=TRUE))&gt;0)))</f>
        <v/>
      </c>
      <c r="AM764" s="87"/>
      <c r="AN764" s="87" t="str">
        <f ca="1">IF(OR($A764="",$AM764=""),"",TODAY()-$AM764)</f>
        <v/>
      </c>
      <c r="AO764" s="87"/>
      <c r="AP764" s="106"/>
      <c r="AQ764" s="106"/>
      <c r="AR764" s="106"/>
      <c r="AS764" s="106"/>
      <c r="AT764" s="106"/>
      <c r="AU764" s="106"/>
      <c r="AV764" s="106"/>
      <c r="AW764" s="106"/>
      <c r="AX764" s="106"/>
      <c r="AY764" s="106"/>
    </row>
    <row r="765" spans="1:51" s="20" customFormat="1" ht="21" customHeight="1">
      <c r="A765" s="197"/>
      <c r="B765" s="87"/>
      <c r="C765" s="87"/>
      <c r="D765" s="196"/>
      <c r="E765" s="108"/>
      <c r="F765" s="196"/>
      <c r="G765" s="87"/>
      <c r="H765" s="197"/>
      <c r="I765" s="89"/>
      <c r="J765" s="204"/>
      <c r="K765" s="87"/>
      <c r="L765" s="87" t="str" cm="1">
        <f t="array" ref="L765">IF($A765="","",_xlfn.LET(_xlpm.stat,CHOOSE({1,2,3,4,5},$P765,$T765,$X765,$AB765,$AF765),_xlpm.rate,CHOOSE({1,2,3,4,5},$R765,$V765,$Z765,$AD765,$AH765),_xlpm.trn,CHOOSE({1,2,3,4,5},$S765,$W765,$AA765,$AE765,$AI765),_xlpm.nsC,SUMPRODUCT(--(_xlpm.stat="Ready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DLR",IF(AND(_xlpm.actRS&gt;0,_xlpm.actDone&lt;_xlpm.actRS),"Training",IF(_xlpm.actRS&gt;0,"Active",IF(AND(_xlpm.decC&gt;0,_xlpm.inPlay+_xlpm.actC=0),"Dead",IF(AND($AJ765&lt;&gt;"",$AK765=FALSE),"Waiting on Dealer",IF(_xlpm.subC&gt;0,"Waiting on Lender",IF(AND(_xlpm.appC+_xlpm.actC&gt;0,_xlpm.nsC+_xlpm.wdC=0),"Rate Sheet","Application Submitted")))))))))</f>
        <v/>
      </c>
      <c r="M765" s="87"/>
      <c r="N765" s="87"/>
      <c r="O765" s="197"/>
      <c r="P765" s="87" t="str">
        <f>IF($A765="","",IF($AK765=TRUE,"Ready 2 Submit","Waiting on Dealer"))</f>
        <v/>
      </c>
      <c r="Q765" s="148"/>
      <c r="R765" s="87"/>
      <c r="S765" s="87"/>
      <c r="T765" s="87" t="str">
        <f>IF($A765="","",IF($AK765=TRUE,"Ready 2 Submit","Waiting on Dealer"))</f>
        <v/>
      </c>
      <c r="U765" s="148"/>
      <c r="V765" s="87"/>
      <c r="W765" s="87"/>
      <c r="X765" s="87" t="str">
        <f>IF($A765="","",IF($AK765=TRUE,"Ready 2 Submit","Waiting on Dealer"))</f>
        <v/>
      </c>
      <c r="Y765" s="148"/>
      <c r="Z765" s="87"/>
      <c r="AA765" s="87"/>
      <c r="AB765" s="87" t="str">
        <f>IF($A765="","",IF($AK765=TRUE,"Ready 2 Submit","Waiting on Dealer"))</f>
        <v/>
      </c>
      <c r="AC765" s="148"/>
      <c r="AD765" s="87"/>
      <c r="AE765" s="87"/>
      <c r="AF765" s="87" t="str">
        <f>IF($A765="","",IF($AK765=TRUE,"Ready 2 Submit","Waiting on Dealer"))</f>
        <v/>
      </c>
      <c r="AG765" s="148"/>
      <c r="AH765" s="87"/>
      <c r="AI765" s="87"/>
      <c r="AJ765" s="197"/>
      <c r="AK765" s="110" t="b">
        <v>0</v>
      </c>
      <c r="AL765" s="87" t="str" cm="1">
        <f t="array" ref="AL765">IF($A765="","",SUMPRODUCT((CHOOSE({1,2,3,4,5},$R765,$V765,$Z765,$AD765,$AH765)="Yes")*(((CHOOSE({1,2,3,4,5},$S765,$W765,$AA765,$AE765,$AI765)="Yes")+(CHOOSE({1,2,3,4,5},$S765,$W765,$AA765,$AE765,$AI765)=TRUE))&gt;0)))</f>
        <v/>
      </c>
      <c r="AM765" s="87"/>
      <c r="AN765" s="87" t="str">
        <f ca="1">IF(OR($A765="",$AM765=""),"",TODAY()-$AM765)</f>
        <v/>
      </c>
      <c r="AO765" s="87"/>
      <c r="AP765" s="106"/>
      <c r="AQ765" s="106"/>
      <c r="AR765" s="106"/>
      <c r="AS765" s="106"/>
      <c r="AT765" s="106"/>
      <c r="AU765" s="106"/>
      <c r="AV765" s="106"/>
      <c r="AW765" s="106"/>
      <c r="AX765" s="106"/>
      <c r="AY765" s="106"/>
    </row>
    <row r="766" spans="1:51" s="20" customFormat="1" ht="21" customHeight="1">
      <c r="A766" s="197"/>
      <c r="B766" s="87"/>
      <c r="C766" s="87"/>
      <c r="D766" s="196"/>
      <c r="E766" s="108"/>
      <c r="F766" s="196"/>
      <c r="G766" s="87"/>
      <c r="H766" s="197"/>
      <c r="I766" s="89"/>
      <c r="J766" s="204"/>
      <c r="K766" s="87"/>
      <c r="L766" s="87" t="str" cm="1">
        <f t="array" ref="L766">IF($A766="","",_xlfn.LET(_xlpm.stat,CHOOSE({1,2,3,4,5},$P766,$T766,$X766,$AB766,$AF766),_xlpm.rate,CHOOSE({1,2,3,4,5},$R766,$V766,$Z766,$AD766,$AH766),_xlpm.trn,CHOOSE({1,2,3,4,5},$S766,$W766,$AA766,$AE766,$AI766),_xlpm.nsC,SUMPRODUCT(--(_xlpm.stat="Ready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DLR",IF(AND(_xlpm.actRS&gt;0,_xlpm.actDone&lt;_xlpm.actRS),"Training",IF(_xlpm.actRS&gt;0,"Active",IF(AND(_xlpm.decC&gt;0,_xlpm.inPlay+_xlpm.actC=0),"Dead",IF(AND($AJ766&lt;&gt;"",$AK766=FALSE),"Waiting on Dealer",IF(_xlpm.subC&gt;0,"Waiting on Lender",IF(AND(_xlpm.appC+_xlpm.actC&gt;0,_xlpm.nsC+_xlpm.wdC=0),"Rate Sheet","Application Submitted")))))))))</f>
        <v/>
      </c>
      <c r="M766" s="87"/>
      <c r="N766" s="87"/>
      <c r="O766" s="197"/>
      <c r="P766" s="87" t="str">
        <f>IF($A766="","",IF($AK766=TRUE,"Ready 2 Submit","Waiting on Dealer"))</f>
        <v/>
      </c>
      <c r="Q766" s="148"/>
      <c r="R766" s="87"/>
      <c r="S766" s="87"/>
      <c r="T766" s="87" t="str">
        <f>IF($A766="","",IF($AK766=TRUE,"Ready 2 Submit","Waiting on Dealer"))</f>
        <v/>
      </c>
      <c r="U766" s="148"/>
      <c r="V766" s="87"/>
      <c r="W766" s="87"/>
      <c r="X766" s="87" t="str">
        <f>IF($A766="","",IF($AK766=TRUE,"Ready 2 Submit","Waiting on Dealer"))</f>
        <v/>
      </c>
      <c r="Y766" s="148"/>
      <c r="Z766" s="87"/>
      <c r="AA766" s="87"/>
      <c r="AB766" s="87" t="str">
        <f>IF($A766="","",IF($AK766=TRUE,"Ready 2 Submit","Waiting on Dealer"))</f>
        <v/>
      </c>
      <c r="AC766" s="148"/>
      <c r="AD766" s="87"/>
      <c r="AE766" s="87"/>
      <c r="AF766" s="87" t="str">
        <f>IF($A766="","",IF($AK766=TRUE,"Ready 2 Submit","Waiting on Dealer"))</f>
        <v/>
      </c>
      <c r="AG766" s="148"/>
      <c r="AH766" s="87"/>
      <c r="AI766" s="87"/>
      <c r="AJ766" s="197"/>
      <c r="AK766" s="110" t="b">
        <v>0</v>
      </c>
      <c r="AL766" s="87" t="str" cm="1">
        <f t="array" ref="AL766">IF($A766="","",SUMPRODUCT((CHOOSE({1,2,3,4,5},$R766,$V766,$Z766,$AD766,$AH766)="Yes")*(((CHOOSE({1,2,3,4,5},$S766,$W766,$AA766,$AE766,$AI766)="Yes")+(CHOOSE({1,2,3,4,5},$S766,$W766,$AA766,$AE766,$AI766)=TRUE))&gt;0)))</f>
        <v/>
      </c>
      <c r="AM766" s="87"/>
      <c r="AN766" s="87" t="str">
        <f ca="1">IF(OR($A766="",$AM766=""),"",TODAY()-$AM766)</f>
        <v/>
      </c>
      <c r="AO766" s="87"/>
      <c r="AP766" s="106"/>
      <c r="AQ766" s="106"/>
      <c r="AR766" s="106"/>
      <c r="AS766" s="106"/>
      <c r="AT766" s="106"/>
      <c r="AU766" s="106"/>
      <c r="AV766" s="106"/>
      <c r="AW766" s="106"/>
      <c r="AX766" s="106"/>
      <c r="AY766" s="106"/>
    </row>
    <row r="767" spans="1:51" s="20" customFormat="1" ht="21" customHeight="1">
      <c r="A767" s="197"/>
      <c r="B767" s="87"/>
      <c r="C767" s="87"/>
      <c r="D767" s="196"/>
      <c r="E767" s="108"/>
      <c r="F767" s="196"/>
      <c r="G767" s="87"/>
      <c r="H767" s="197"/>
      <c r="I767" s="89"/>
      <c r="J767" s="204"/>
      <c r="K767" s="87"/>
      <c r="L767" s="87" t="str" cm="1">
        <f t="array" ref="L767">IF($A767="","",_xlfn.LET(_xlpm.stat,CHOOSE({1,2,3,4,5},$P767,$T767,$X767,$AB767,$AF767),_xlpm.rate,CHOOSE({1,2,3,4,5},$R767,$V767,$Z767,$AD767,$AH767),_xlpm.trn,CHOOSE({1,2,3,4,5},$S767,$W767,$AA767,$AE767,$AI767),_xlpm.nsC,SUMPRODUCT(--(_xlpm.stat="Ready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DLR",IF(AND(_xlpm.actRS&gt;0,_xlpm.actDone&lt;_xlpm.actRS),"Training",IF(_xlpm.actRS&gt;0,"Active",IF(AND(_xlpm.decC&gt;0,_xlpm.inPlay+_xlpm.actC=0),"Dead",IF(AND($AJ767&lt;&gt;"",$AK767=FALSE),"Waiting on Dealer",IF(_xlpm.subC&gt;0,"Waiting on Lender",IF(AND(_xlpm.appC+_xlpm.actC&gt;0,_xlpm.nsC+_xlpm.wdC=0),"Rate Sheet","Application Submitted")))))))))</f>
        <v/>
      </c>
      <c r="M767" s="87"/>
      <c r="N767" s="87"/>
      <c r="O767" s="197"/>
      <c r="P767" s="87" t="str">
        <f>IF($A767="","",IF($AK767=TRUE,"Ready 2 Submit","Waiting on Dealer"))</f>
        <v/>
      </c>
      <c r="Q767" s="148"/>
      <c r="R767" s="87"/>
      <c r="S767" s="87"/>
      <c r="T767" s="87" t="str">
        <f>IF($A767="","",IF($AK767=TRUE,"Ready 2 Submit","Waiting on Dealer"))</f>
        <v/>
      </c>
      <c r="U767" s="148"/>
      <c r="V767" s="87"/>
      <c r="W767" s="87"/>
      <c r="X767" s="87" t="str">
        <f>IF($A767="","",IF($AK767=TRUE,"Ready 2 Submit","Waiting on Dealer"))</f>
        <v/>
      </c>
      <c r="Y767" s="148"/>
      <c r="Z767" s="87"/>
      <c r="AA767" s="87"/>
      <c r="AB767" s="87" t="str">
        <f>IF($A767="","",IF($AK767=TRUE,"Ready 2 Submit","Waiting on Dealer"))</f>
        <v/>
      </c>
      <c r="AC767" s="148"/>
      <c r="AD767" s="87"/>
      <c r="AE767" s="87"/>
      <c r="AF767" s="87" t="str">
        <f>IF($A767="","",IF($AK767=TRUE,"Ready 2 Submit","Waiting on Dealer"))</f>
        <v/>
      </c>
      <c r="AG767" s="148"/>
      <c r="AH767" s="87"/>
      <c r="AI767" s="87"/>
      <c r="AJ767" s="197"/>
      <c r="AK767" s="110" t="b">
        <v>0</v>
      </c>
      <c r="AL767" s="87" t="str" cm="1">
        <f t="array" ref="AL767">IF($A767="","",SUMPRODUCT((CHOOSE({1,2,3,4,5},$R767,$V767,$Z767,$AD767,$AH767)="Yes")*(((CHOOSE({1,2,3,4,5},$S767,$W767,$AA767,$AE767,$AI767)="Yes")+(CHOOSE({1,2,3,4,5},$S767,$W767,$AA767,$AE767,$AI767)=TRUE))&gt;0)))</f>
        <v/>
      </c>
      <c r="AM767" s="87"/>
      <c r="AN767" s="87" t="str">
        <f ca="1">IF(OR($A767="",$AM767=""),"",TODAY()-$AM767)</f>
        <v/>
      </c>
      <c r="AO767" s="87"/>
      <c r="AP767" s="106"/>
      <c r="AQ767" s="106"/>
      <c r="AR767" s="106"/>
      <c r="AS767" s="106"/>
      <c r="AT767" s="106"/>
      <c r="AU767" s="106"/>
      <c r="AV767" s="106"/>
      <c r="AW767" s="106"/>
      <c r="AX767" s="106"/>
      <c r="AY767" s="106"/>
    </row>
    <row r="768" spans="1:51" s="20" customFormat="1" ht="21" customHeight="1">
      <c r="A768" s="197"/>
      <c r="B768" s="87"/>
      <c r="C768" s="87"/>
      <c r="D768" s="196"/>
      <c r="E768" s="108"/>
      <c r="F768" s="196"/>
      <c r="G768" s="87"/>
      <c r="H768" s="197"/>
      <c r="I768" s="89"/>
      <c r="J768" s="204"/>
      <c r="K768" s="87"/>
      <c r="L768" s="87" t="str" cm="1">
        <f t="array" ref="L768">IF($A768="","",_xlfn.LET(_xlpm.stat,CHOOSE({1,2,3,4,5},$P768,$T768,$X768,$AB768,$AF768),_xlpm.rate,CHOOSE({1,2,3,4,5},$R768,$V768,$Z768,$AD768,$AH768),_xlpm.trn,CHOOSE({1,2,3,4,5},$S768,$W768,$AA768,$AE768,$AI768),_xlpm.nsC,SUMPRODUCT(--(_xlpm.stat="Ready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DLR",IF(AND(_xlpm.actRS&gt;0,_xlpm.actDone&lt;_xlpm.actRS),"Training",IF(_xlpm.actRS&gt;0,"Active",IF(AND(_xlpm.decC&gt;0,_xlpm.inPlay+_xlpm.actC=0),"Dead",IF(AND($AJ768&lt;&gt;"",$AK768=FALSE),"Waiting on Dealer",IF(_xlpm.subC&gt;0,"Waiting on Lender",IF(AND(_xlpm.appC+_xlpm.actC&gt;0,_xlpm.nsC+_xlpm.wdC=0),"Rate Sheet","Application Submitted")))))))))</f>
        <v/>
      </c>
      <c r="M768" s="87"/>
      <c r="N768" s="87"/>
      <c r="O768" s="197"/>
      <c r="P768" s="87" t="str">
        <f>IF($A768="","",IF($AK768=TRUE,"Ready 2 Submit","Waiting on Dealer"))</f>
        <v/>
      </c>
      <c r="Q768" s="148"/>
      <c r="R768" s="87"/>
      <c r="S768" s="87"/>
      <c r="T768" s="87" t="str">
        <f>IF($A768="","",IF($AK768=TRUE,"Ready 2 Submit","Waiting on Dealer"))</f>
        <v/>
      </c>
      <c r="U768" s="148"/>
      <c r="V768" s="87"/>
      <c r="W768" s="87"/>
      <c r="X768" s="87" t="str">
        <f>IF($A768="","",IF($AK768=TRUE,"Ready 2 Submit","Waiting on Dealer"))</f>
        <v/>
      </c>
      <c r="Y768" s="148"/>
      <c r="Z768" s="87"/>
      <c r="AA768" s="87"/>
      <c r="AB768" s="87" t="str">
        <f>IF($A768="","",IF($AK768=TRUE,"Ready 2 Submit","Waiting on Dealer"))</f>
        <v/>
      </c>
      <c r="AC768" s="148"/>
      <c r="AD768" s="87"/>
      <c r="AE768" s="87"/>
      <c r="AF768" s="87" t="str">
        <f>IF($A768="","",IF($AK768=TRUE,"Ready 2 Submit","Waiting on Dealer"))</f>
        <v/>
      </c>
      <c r="AG768" s="148"/>
      <c r="AH768" s="87"/>
      <c r="AI768" s="87"/>
      <c r="AJ768" s="197"/>
      <c r="AK768" s="110" t="b">
        <v>0</v>
      </c>
      <c r="AL768" s="87" t="str" cm="1">
        <f t="array" ref="AL768">IF($A768="","",SUMPRODUCT((CHOOSE({1,2,3,4,5},$R768,$V768,$Z768,$AD768,$AH768)="Yes")*(((CHOOSE({1,2,3,4,5},$S768,$W768,$AA768,$AE768,$AI768)="Yes")+(CHOOSE({1,2,3,4,5},$S768,$W768,$AA768,$AE768,$AI768)=TRUE))&gt;0)))</f>
        <v/>
      </c>
      <c r="AM768" s="87"/>
      <c r="AN768" s="87" t="str">
        <f ca="1">IF(OR($A768="",$AM768=""),"",TODAY()-$AM768)</f>
        <v/>
      </c>
      <c r="AO768" s="87"/>
      <c r="AP768" s="106"/>
      <c r="AQ768" s="106"/>
      <c r="AR768" s="106"/>
      <c r="AS768" s="106"/>
      <c r="AT768" s="106"/>
      <c r="AU768" s="106"/>
      <c r="AV768" s="106"/>
      <c r="AW768" s="106"/>
      <c r="AX768" s="106"/>
      <c r="AY768" s="106"/>
    </row>
    <row r="769" spans="1:51" s="20" customFormat="1" ht="21" customHeight="1">
      <c r="A769" s="197"/>
      <c r="B769" s="87"/>
      <c r="C769" s="87"/>
      <c r="D769" s="196"/>
      <c r="E769" s="108"/>
      <c r="F769" s="196"/>
      <c r="G769" s="87"/>
      <c r="H769" s="197"/>
      <c r="I769" s="89"/>
      <c r="J769" s="204"/>
      <c r="K769" s="87"/>
      <c r="L769" s="87" t="str" cm="1">
        <f t="array" ref="L769">IF($A769="","",_xlfn.LET(_xlpm.stat,CHOOSE({1,2,3,4,5},$P769,$T769,$X769,$AB769,$AF769),_xlpm.rate,CHOOSE({1,2,3,4,5},$R769,$V769,$Z769,$AD769,$AH769),_xlpm.trn,CHOOSE({1,2,3,4,5},$S769,$W769,$AA769,$AE769,$AI769),_xlpm.nsC,SUMPRODUCT(--(_xlpm.stat="Ready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DLR",IF(AND(_xlpm.actRS&gt;0,_xlpm.actDone&lt;_xlpm.actRS),"Training",IF(_xlpm.actRS&gt;0,"Active",IF(AND(_xlpm.decC&gt;0,_xlpm.inPlay+_xlpm.actC=0),"Dead",IF(AND($AJ769&lt;&gt;"",$AK769=FALSE),"Waiting on Dealer",IF(_xlpm.subC&gt;0,"Waiting on Lender",IF(AND(_xlpm.appC+_xlpm.actC&gt;0,_xlpm.nsC+_xlpm.wdC=0),"Rate Sheet","Application Submitted")))))))))</f>
        <v/>
      </c>
      <c r="M769" s="87"/>
      <c r="N769" s="87"/>
      <c r="O769" s="197"/>
      <c r="P769" s="87" t="str">
        <f>IF($A769="","",IF($AK769=TRUE,"Ready 2 Submit","Waiting on Dealer"))</f>
        <v/>
      </c>
      <c r="Q769" s="148"/>
      <c r="R769" s="87"/>
      <c r="S769" s="87"/>
      <c r="T769" s="87" t="str">
        <f>IF($A769="","",IF($AK769=TRUE,"Ready 2 Submit","Waiting on Dealer"))</f>
        <v/>
      </c>
      <c r="U769" s="148"/>
      <c r="V769" s="87"/>
      <c r="W769" s="87"/>
      <c r="X769" s="87" t="str">
        <f>IF($A769="","",IF($AK769=TRUE,"Ready 2 Submit","Waiting on Dealer"))</f>
        <v/>
      </c>
      <c r="Y769" s="148"/>
      <c r="Z769" s="87"/>
      <c r="AA769" s="87"/>
      <c r="AB769" s="87" t="str">
        <f>IF($A769="","",IF($AK769=TRUE,"Ready 2 Submit","Waiting on Dealer"))</f>
        <v/>
      </c>
      <c r="AC769" s="148"/>
      <c r="AD769" s="87"/>
      <c r="AE769" s="87"/>
      <c r="AF769" s="87" t="str">
        <f>IF($A769="","",IF($AK769=TRUE,"Ready 2 Submit","Waiting on Dealer"))</f>
        <v/>
      </c>
      <c r="AG769" s="148"/>
      <c r="AH769" s="87"/>
      <c r="AI769" s="87"/>
      <c r="AJ769" s="197"/>
      <c r="AK769" s="110" t="b">
        <v>0</v>
      </c>
      <c r="AL769" s="87" t="str" cm="1">
        <f t="array" ref="AL769">IF($A769="","",SUMPRODUCT((CHOOSE({1,2,3,4,5},$R769,$V769,$Z769,$AD769,$AH769)="Yes")*(((CHOOSE({1,2,3,4,5},$S769,$W769,$AA769,$AE769,$AI769)="Yes")+(CHOOSE({1,2,3,4,5},$S769,$W769,$AA769,$AE769,$AI769)=TRUE))&gt;0)))</f>
        <v/>
      </c>
      <c r="AM769" s="87"/>
      <c r="AN769" s="87" t="str">
        <f ca="1">IF(OR($A769="",$AM769=""),"",TODAY()-$AM769)</f>
        <v/>
      </c>
      <c r="AO769" s="87"/>
      <c r="AP769" s="106"/>
      <c r="AQ769" s="106"/>
      <c r="AR769" s="106"/>
      <c r="AS769" s="106"/>
      <c r="AT769" s="106"/>
      <c r="AU769" s="106"/>
      <c r="AV769" s="106"/>
      <c r="AW769" s="106"/>
      <c r="AX769" s="106"/>
      <c r="AY769" s="106"/>
    </row>
    <row r="770" spans="1:51" s="20" customFormat="1" ht="21" customHeight="1">
      <c r="A770" s="197"/>
      <c r="B770" s="87"/>
      <c r="C770" s="87"/>
      <c r="D770" s="196"/>
      <c r="E770" s="108"/>
      <c r="F770" s="196"/>
      <c r="G770" s="87"/>
      <c r="H770" s="197"/>
      <c r="I770" s="89"/>
      <c r="J770" s="204"/>
      <c r="K770" s="87"/>
      <c r="L770" s="87" t="str" cm="1">
        <f t="array" ref="L770">IF($A770="","",_xlfn.LET(_xlpm.stat,CHOOSE({1,2,3,4,5},$P770,$T770,$X770,$AB770,$AF770),_xlpm.rate,CHOOSE({1,2,3,4,5},$R770,$V770,$Z770,$AD770,$AH770),_xlpm.trn,CHOOSE({1,2,3,4,5},$S770,$W770,$AA770,$AE770,$AI770),_xlpm.nsC,SUMPRODUCT(--(_xlpm.stat="Ready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DLR",IF(AND(_xlpm.actRS&gt;0,_xlpm.actDone&lt;_xlpm.actRS),"Training",IF(_xlpm.actRS&gt;0,"Active",IF(AND(_xlpm.decC&gt;0,_xlpm.inPlay+_xlpm.actC=0),"Dead",IF(AND($AJ770&lt;&gt;"",$AK770=FALSE),"Waiting on Dealer",IF(_xlpm.subC&gt;0,"Waiting on Lender",IF(AND(_xlpm.appC+_xlpm.actC&gt;0,_xlpm.nsC+_xlpm.wdC=0),"Rate Sheet","Application Submitted")))))))))</f>
        <v/>
      </c>
      <c r="M770" s="87"/>
      <c r="N770" s="87"/>
      <c r="O770" s="197"/>
      <c r="P770" s="87" t="str">
        <f>IF($A770="","",IF($AK770=TRUE,"Ready 2 Submit","Waiting on Dealer"))</f>
        <v/>
      </c>
      <c r="Q770" s="148"/>
      <c r="R770" s="87"/>
      <c r="S770" s="87"/>
      <c r="T770" s="87" t="str">
        <f>IF($A770="","",IF($AK770=TRUE,"Ready 2 Submit","Waiting on Dealer"))</f>
        <v/>
      </c>
      <c r="U770" s="148"/>
      <c r="V770" s="87"/>
      <c r="W770" s="87"/>
      <c r="X770" s="87" t="str">
        <f>IF($A770="","",IF($AK770=TRUE,"Ready 2 Submit","Waiting on Dealer"))</f>
        <v/>
      </c>
      <c r="Y770" s="148"/>
      <c r="Z770" s="87"/>
      <c r="AA770" s="87"/>
      <c r="AB770" s="87" t="str">
        <f>IF($A770="","",IF($AK770=TRUE,"Ready 2 Submit","Waiting on Dealer"))</f>
        <v/>
      </c>
      <c r="AC770" s="148"/>
      <c r="AD770" s="87"/>
      <c r="AE770" s="87"/>
      <c r="AF770" s="87" t="str">
        <f>IF($A770="","",IF($AK770=TRUE,"Ready 2 Submit","Waiting on Dealer"))</f>
        <v/>
      </c>
      <c r="AG770" s="148"/>
      <c r="AH770" s="87"/>
      <c r="AI770" s="87"/>
      <c r="AJ770" s="197"/>
      <c r="AK770" s="110" t="b">
        <v>0</v>
      </c>
      <c r="AL770" s="87" t="str" cm="1">
        <f t="array" ref="AL770">IF($A770="","",SUMPRODUCT((CHOOSE({1,2,3,4,5},$R770,$V770,$Z770,$AD770,$AH770)="Yes")*(((CHOOSE({1,2,3,4,5},$S770,$W770,$AA770,$AE770,$AI770)="Yes")+(CHOOSE({1,2,3,4,5},$S770,$W770,$AA770,$AE770,$AI770)=TRUE))&gt;0)))</f>
        <v/>
      </c>
      <c r="AM770" s="87"/>
      <c r="AN770" s="87" t="str">
        <f ca="1">IF(OR($A770="",$AM770=""),"",TODAY()-$AM770)</f>
        <v/>
      </c>
      <c r="AO770" s="87"/>
      <c r="AP770" s="106"/>
      <c r="AQ770" s="106"/>
      <c r="AR770" s="106"/>
      <c r="AS770" s="106"/>
      <c r="AT770" s="106"/>
      <c r="AU770" s="106"/>
      <c r="AV770" s="106"/>
      <c r="AW770" s="106"/>
      <c r="AX770" s="106"/>
      <c r="AY770" s="106"/>
    </row>
    <row r="771" spans="1:51" s="20" customFormat="1" ht="21" customHeight="1">
      <c r="A771" s="197"/>
      <c r="B771" s="87"/>
      <c r="C771" s="87"/>
      <c r="D771" s="196"/>
      <c r="E771" s="108"/>
      <c r="F771" s="196"/>
      <c r="G771" s="87"/>
      <c r="H771" s="197"/>
      <c r="I771" s="89"/>
      <c r="J771" s="204"/>
      <c r="K771" s="87"/>
      <c r="L771" s="87" t="str" cm="1">
        <f t="array" ref="L771">IF($A771="","",_xlfn.LET(_xlpm.stat,CHOOSE({1,2,3,4,5},$P771,$T771,$X771,$AB771,$AF771),_xlpm.rate,CHOOSE({1,2,3,4,5},$R771,$V771,$Z771,$AD771,$AH771),_xlpm.trn,CHOOSE({1,2,3,4,5},$S771,$W771,$AA771,$AE771,$AI771),_xlpm.nsC,SUMPRODUCT(--(_xlpm.stat="Ready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DLR",IF(AND(_xlpm.actRS&gt;0,_xlpm.actDone&lt;_xlpm.actRS),"Training",IF(_xlpm.actRS&gt;0,"Active",IF(AND(_xlpm.decC&gt;0,_xlpm.inPlay+_xlpm.actC=0),"Dead",IF(AND($AJ771&lt;&gt;"",$AK771=FALSE),"Waiting on Dealer",IF(_xlpm.subC&gt;0,"Waiting on Lender",IF(AND(_xlpm.appC+_xlpm.actC&gt;0,_xlpm.nsC+_xlpm.wdC=0),"Rate Sheet","Application Submitted")))))))))</f>
        <v/>
      </c>
      <c r="M771" s="87"/>
      <c r="N771" s="87"/>
      <c r="O771" s="197"/>
      <c r="P771" s="87" t="str">
        <f>IF($A771="","",IF($AK771=TRUE,"Ready 2 Submit","Waiting on Dealer"))</f>
        <v/>
      </c>
      <c r="Q771" s="148"/>
      <c r="R771" s="87"/>
      <c r="S771" s="87"/>
      <c r="T771" s="87" t="str">
        <f>IF($A771="","",IF($AK771=TRUE,"Ready 2 Submit","Waiting on Dealer"))</f>
        <v/>
      </c>
      <c r="U771" s="148"/>
      <c r="V771" s="87"/>
      <c r="W771" s="87"/>
      <c r="X771" s="87" t="str">
        <f>IF($A771="","",IF($AK771=TRUE,"Ready 2 Submit","Waiting on Dealer"))</f>
        <v/>
      </c>
      <c r="Y771" s="148"/>
      <c r="Z771" s="87"/>
      <c r="AA771" s="87"/>
      <c r="AB771" s="87" t="str">
        <f>IF($A771="","",IF($AK771=TRUE,"Ready 2 Submit","Waiting on Dealer"))</f>
        <v/>
      </c>
      <c r="AC771" s="148"/>
      <c r="AD771" s="87"/>
      <c r="AE771" s="87"/>
      <c r="AF771" s="87" t="str">
        <f>IF($A771="","",IF($AK771=TRUE,"Ready 2 Submit","Waiting on Dealer"))</f>
        <v/>
      </c>
      <c r="AG771" s="148"/>
      <c r="AH771" s="87"/>
      <c r="AI771" s="87"/>
      <c r="AJ771" s="197"/>
      <c r="AK771" s="110" t="b">
        <v>0</v>
      </c>
      <c r="AL771" s="87" t="str" cm="1">
        <f t="array" ref="AL771">IF($A771="","",SUMPRODUCT((CHOOSE({1,2,3,4,5},$R771,$V771,$Z771,$AD771,$AH771)="Yes")*(((CHOOSE({1,2,3,4,5},$S771,$W771,$AA771,$AE771,$AI771)="Yes")+(CHOOSE({1,2,3,4,5},$S771,$W771,$AA771,$AE771,$AI771)=TRUE))&gt;0)))</f>
        <v/>
      </c>
      <c r="AM771" s="87"/>
      <c r="AN771" s="87" t="str">
        <f ca="1">IF(OR($A771="",$AM771=""),"",TODAY()-$AM771)</f>
        <v/>
      </c>
      <c r="AO771" s="87"/>
      <c r="AP771" s="106"/>
      <c r="AQ771" s="106"/>
      <c r="AR771" s="106"/>
      <c r="AS771" s="106"/>
      <c r="AT771" s="106"/>
      <c r="AU771" s="106"/>
      <c r="AV771" s="106"/>
      <c r="AW771" s="106"/>
      <c r="AX771" s="106"/>
      <c r="AY771" s="106"/>
    </row>
    <row r="772" spans="1:51" s="20" customFormat="1" ht="21" customHeight="1">
      <c r="A772" s="197"/>
      <c r="B772" s="87"/>
      <c r="C772" s="87"/>
      <c r="D772" s="196"/>
      <c r="E772" s="108"/>
      <c r="F772" s="196"/>
      <c r="G772" s="87"/>
      <c r="H772" s="197"/>
      <c r="I772" s="89"/>
      <c r="J772" s="204"/>
      <c r="K772" s="87"/>
      <c r="L772" s="87" t="str" cm="1">
        <f t="array" ref="L772">IF($A772="","",_xlfn.LET(_xlpm.stat,CHOOSE({1,2,3,4,5},$P772,$T772,$X772,$AB772,$AF772),_xlpm.rate,CHOOSE({1,2,3,4,5},$R772,$V772,$Z772,$AD772,$AH772),_xlpm.trn,CHOOSE({1,2,3,4,5},$S772,$W772,$AA772,$AE772,$AI772),_xlpm.nsC,SUMPRODUCT(--(_xlpm.stat="Ready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DLR",IF(AND(_xlpm.actRS&gt;0,_xlpm.actDone&lt;_xlpm.actRS),"Training",IF(_xlpm.actRS&gt;0,"Active",IF(AND(_xlpm.decC&gt;0,_xlpm.inPlay+_xlpm.actC=0),"Dead",IF(AND($AJ772&lt;&gt;"",$AK772=FALSE),"Waiting on Dealer",IF(_xlpm.subC&gt;0,"Waiting on Lender",IF(AND(_xlpm.appC+_xlpm.actC&gt;0,_xlpm.nsC+_xlpm.wdC=0),"Rate Sheet","Application Submitted")))))))))</f>
        <v/>
      </c>
      <c r="M772" s="87"/>
      <c r="N772" s="87"/>
      <c r="O772" s="197"/>
      <c r="P772" s="87" t="str">
        <f>IF($A772="","",IF($AK772=TRUE,"Ready 2 Submit","Waiting on Dealer"))</f>
        <v/>
      </c>
      <c r="Q772" s="148"/>
      <c r="R772" s="87"/>
      <c r="S772" s="87"/>
      <c r="T772" s="87" t="str">
        <f>IF($A772="","",IF($AK772=TRUE,"Ready 2 Submit","Waiting on Dealer"))</f>
        <v/>
      </c>
      <c r="U772" s="148"/>
      <c r="V772" s="87"/>
      <c r="W772" s="87"/>
      <c r="X772" s="87" t="str">
        <f>IF($A772="","",IF($AK772=TRUE,"Ready 2 Submit","Waiting on Dealer"))</f>
        <v/>
      </c>
      <c r="Y772" s="148"/>
      <c r="Z772" s="87"/>
      <c r="AA772" s="87"/>
      <c r="AB772" s="87" t="str">
        <f>IF($A772="","",IF($AK772=TRUE,"Ready 2 Submit","Waiting on Dealer"))</f>
        <v/>
      </c>
      <c r="AC772" s="148"/>
      <c r="AD772" s="87"/>
      <c r="AE772" s="87"/>
      <c r="AF772" s="87" t="str">
        <f>IF($A772="","",IF($AK772=TRUE,"Ready 2 Submit","Waiting on Dealer"))</f>
        <v/>
      </c>
      <c r="AG772" s="148"/>
      <c r="AH772" s="87"/>
      <c r="AI772" s="87"/>
      <c r="AJ772" s="197"/>
      <c r="AK772" s="110" t="b">
        <v>0</v>
      </c>
      <c r="AL772" s="87" t="str" cm="1">
        <f t="array" ref="AL772">IF($A772="","",SUMPRODUCT((CHOOSE({1,2,3,4,5},$R772,$V772,$Z772,$AD772,$AH772)="Yes")*(((CHOOSE({1,2,3,4,5},$S772,$W772,$AA772,$AE772,$AI772)="Yes")+(CHOOSE({1,2,3,4,5},$S772,$W772,$AA772,$AE772,$AI772)=TRUE))&gt;0)))</f>
        <v/>
      </c>
      <c r="AM772" s="87"/>
      <c r="AN772" s="87" t="str">
        <f ca="1">IF(OR($A772="",$AM772=""),"",TODAY()-$AM772)</f>
        <v/>
      </c>
      <c r="AO772" s="87"/>
      <c r="AP772" s="106"/>
      <c r="AQ772" s="106"/>
      <c r="AR772" s="106"/>
      <c r="AS772" s="106"/>
      <c r="AT772" s="106"/>
      <c r="AU772" s="106"/>
      <c r="AV772" s="106"/>
      <c r="AW772" s="106"/>
      <c r="AX772" s="106"/>
      <c r="AY772" s="106"/>
    </row>
    <row r="773" spans="1:51" s="20" customFormat="1" ht="21" customHeight="1">
      <c r="A773" s="197"/>
      <c r="B773" s="87"/>
      <c r="C773" s="87"/>
      <c r="D773" s="196"/>
      <c r="E773" s="108"/>
      <c r="F773" s="196"/>
      <c r="G773" s="87"/>
      <c r="H773" s="197"/>
      <c r="I773" s="89"/>
      <c r="J773" s="204"/>
      <c r="K773" s="87"/>
      <c r="L773" s="87" t="str" cm="1">
        <f t="array" ref="L773">IF($A773="","",_xlfn.LET(_xlpm.stat,CHOOSE({1,2,3,4,5},$P773,$T773,$X773,$AB773,$AF773),_xlpm.rate,CHOOSE({1,2,3,4,5},$R773,$V773,$Z773,$AD773,$AH773),_xlpm.trn,CHOOSE({1,2,3,4,5},$S773,$W773,$AA773,$AE773,$AI773),_xlpm.nsC,SUMPRODUCT(--(_xlpm.stat="Ready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DLR",IF(AND(_xlpm.actRS&gt;0,_xlpm.actDone&lt;_xlpm.actRS),"Training",IF(_xlpm.actRS&gt;0,"Active",IF(AND(_xlpm.decC&gt;0,_xlpm.inPlay+_xlpm.actC=0),"Dead",IF(AND($AJ773&lt;&gt;"",$AK773=FALSE),"Waiting on Dealer",IF(_xlpm.subC&gt;0,"Waiting on Lender",IF(AND(_xlpm.appC+_xlpm.actC&gt;0,_xlpm.nsC+_xlpm.wdC=0),"Rate Sheet","Application Submitted")))))))))</f>
        <v/>
      </c>
      <c r="M773" s="87"/>
      <c r="N773" s="87"/>
      <c r="O773" s="197"/>
      <c r="P773" s="87" t="str">
        <f>IF($A773="","",IF($AK773=TRUE,"Ready 2 Submit","Waiting on Dealer"))</f>
        <v/>
      </c>
      <c r="Q773" s="148"/>
      <c r="R773" s="87"/>
      <c r="S773" s="87"/>
      <c r="T773" s="87" t="str">
        <f>IF($A773="","",IF($AK773=TRUE,"Ready 2 Submit","Waiting on Dealer"))</f>
        <v/>
      </c>
      <c r="U773" s="148"/>
      <c r="V773" s="87"/>
      <c r="W773" s="87"/>
      <c r="X773" s="87" t="str">
        <f>IF($A773="","",IF($AK773=TRUE,"Ready 2 Submit","Waiting on Dealer"))</f>
        <v/>
      </c>
      <c r="Y773" s="148"/>
      <c r="Z773" s="87"/>
      <c r="AA773" s="87"/>
      <c r="AB773" s="87" t="str">
        <f>IF($A773="","",IF($AK773=TRUE,"Ready 2 Submit","Waiting on Dealer"))</f>
        <v/>
      </c>
      <c r="AC773" s="148"/>
      <c r="AD773" s="87"/>
      <c r="AE773" s="87"/>
      <c r="AF773" s="87" t="str">
        <f>IF($A773="","",IF($AK773=TRUE,"Ready 2 Submit","Waiting on Dealer"))</f>
        <v/>
      </c>
      <c r="AG773" s="148"/>
      <c r="AH773" s="87"/>
      <c r="AI773" s="87"/>
      <c r="AJ773" s="197"/>
      <c r="AK773" s="110" t="b">
        <v>0</v>
      </c>
      <c r="AL773" s="87" t="str" cm="1">
        <f t="array" ref="AL773">IF($A773="","",SUMPRODUCT((CHOOSE({1,2,3,4,5},$R773,$V773,$Z773,$AD773,$AH773)="Yes")*(((CHOOSE({1,2,3,4,5},$S773,$W773,$AA773,$AE773,$AI773)="Yes")+(CHOOSE({1,2,3,4,5},$S773,$W773,$AA773,$AE773,$AI773)=TRUE))&gt;0)))</f>
        <v/>
      </c>
      <c r="AM773" s="87"/>
      <c r="AN773" s="87" t="str">
        <f ca="1">IF(OR($A773="",$AM773=""),"",TODAY()-$AM773)</f>
        <v/>
      </c>
      <c r="AO773" s="87"/>
      <c r="AP773" s="106"/>
      <c r="AQ773" s="106"/>
      <c r="AR773" s="106"/>
      <c r="AS773" s="106"/>
      <c r="AT773" s="106"/>
      <c r="AU773" s="106"/>
      <c r="AV773" s="106"/>
      <c r="AW773" s="106"/>
      <c r="AX773" s="106"/>
      <c r="AY773" s="106"/>
    </row>
    <row r="774" spans="1:51" s="20" customFormat="1" ht="21" customHeight="1">
      <c r="A774" s="197"/>
      <c r="B774" s="87"/>
      <c r="C774" s="87"/>
      <c r="D774" s="196"/>
      <c r="E774" s="108"/>
      <c r="F774" s="196"/>
      <c r="G774" s="87"/>
      <c r="H774" s="197"/>
      <c r="I774" s="89"/>
      <c r="J774" s="204"/>
      <c r="K774" s="87"/>
      <c r="L774" s="87" t="str" cm="1">
        <f t="array" ref="L774">IF($A774="","",_xlfn.LET(_xlpm.stat,CHOOSE({1,2,3,4,5},$P774,$T774,$X774,$AB774,$AF774),_xlpm.rate,CHOOSE({1,2,3,4,5},$R774,$V774,$Z774,$AD774,$AH774),_xlpm.trn,CHOOSE({1,2,3,4,5},$S774,$W774,$AA774,$AE774,$AI774),_xlpm.nsC,SUMPRODUCT(--(_xlpm.stat="Ready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DLR",IF(AND(_xlpm.actRS&gt;0,_xlpm.actDone&lt;_xlpm.actRS),"Training",IF(_xlpm.actRS&gt;0,"Active",IF(AND(_xlpm.decC&gt;0,_xlpm.inPlay+_xlpm.actC=0),"Dead",IF(AND($AJ774&lt;&gt;"",$AK774=FALSE),"Waiting on Dealer",IF(_xlpm.subC&gt;0,"Waiting on Lender",IF(AND(_xlpm.appC+_xlpm.actC&gt;0,_xlpm.nsC+_xlpm.wdC=0),"Rate Sheet","Application Submitted")))))))))</f>
        <v/>
      </c>
      <c r="M774" s="87"/>
      <c r="N774" s="87"/>
      <c r="O774" s="197"/>
      <c r="P774" s="87" t="str">
        <f>IF($A774="","",IF($AK774=TRUE,"Ready 2 Submit","Waiting on Dealer"))</f>
        <v/>
      </c>
      <c r="Q774" s="148"/>
      <c r="R774" s="87"/>
      <c r="S774" s="87"/>
      <c r="T774" s="87" t="str">
        <f>IF($A774="","",IF($AK774=TRUE,"Ready 2 Submit","Waiting on Dealer"))</f>
        <v/>
      </c>
      <c r="U774" s="148"/>
      <c r="V774" s="87"/>
      <c r="W774" s="87"/>
      <c r="X774" s="87" t="str">
        <f>IF($A774="","",IF($AK774=TRUE,"Ready 2 Submit","Waiting on Dealer"))</f>
        <v/>
      </c>
      <c r="Y774" s="148"/>
      <c r="Z774" s="87"/>
      <c r="AA774" s="87"/>
      <c r="AB774" s="87" t="str">
        <f>IF($A774="","",IF($AK774=TRUE,"Ready 2 Submit","Waiting on Dealer"))</f>
        <v/>
      </c>
      <c r="AC774" s="148"/>
      <c r="AD774" s="87"/>
      <c r="AE774" s="87"/>
      <c r="AF774" s="87" t="str">
        <f>IF($A774="","",IF($AK774=TRUE,"Ready 2 Submit","Waiting on Dealer"))</f>
        <v/>
      </c>
      <c r="AG774" s="148"/>
      <c r="AH774" s="87"/>
      <c r="AI774" s="87"/>
      <c r="AJ774" s="197"/>
      <c r="AK774" s="110" t="b">
        <v>0</v>
      </c>
      <c r="AL774" s="87" t="str" cm="1">
        <f t="array" ref="AL774">IF($A774="","",SUMPRODUCT((CHOOSE({1,2,3,4,5},$R774,$V774,$Z774,$AD774,$AH774)="Yes")*(((CHOOSE({1,2,3,4,5},$S774,$W774,$AA774,$AE774,$AI774)="Yes")+(CHOOSE({1,2,3,4,5},$S774,$W774,$AA774,$AE774,$AI774)=TRUE))&gt;0)))</f>
        <v/>
      </c>
      <c r="AM774" s="87"/>
      <c r="AN774" s="87" t="str">
        <f ca="1">IF(OR($A774="",$AM774=""),"",TODAY()-$AM774)</f>
        <v/>
      </c>
      <c r="AO774" s="87"/>
      <c r="AP774" s="106"/>
      <c r="AQ774" s="106"/>
      <c r="AR774" s="106"/>
      <c r="AS774" s="106"/>
      <c r="AT774" s="106"/>
      <c r="AU774" s="106"/>
      <c r="AV774" s="106"/>
      <c r="AW774" s="106"/>
      <c r="AX774" s="106"/>
      <c r="AY774" s="106"/>
    </row>
    <row r="775" spans="1:51" s="20" customFormat="1" ht="21" customHeight="1">
      <c r="A775" s="197"/>
      <c r="B775" s="87"/>
      <c r="C775" s="87"/>
      <c r="D775" s="196"/>
      <c r="E775" s="108"/>
      <c r="F775" s="196"/>
      <c r="G775" s="87"/>
      <c r="H775" s="197"/>
      <c r="I775" s="89"/>
      <c r="J775" s="204"/>
      <c r="K775" s="87"/>
      <c r="L775" s="87" t="str" cm="1">
        <f t="array" ref="L775">IF($A775="","",_xlfn.LET(_xlpm.stat,CHOOSE({1,2,3,4,5},$P775,$T775,$X775,$AB775,$AF775),_xlpm.rate,CHOOSE({1,2,3,4,5},$R775,$V775,$Z775,$AD775,$AH775),_xlpm.trn,CHOOSE({1,2,3,4,5},$S775,$W775,$AA775,$AE775,$AI775),_xlpm.nsC,SUMPRODUCT(--(_xlpm.stat="Ready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DLR",IF(AND(_xlpm.actRS&gt;0,_xlpm.actDone&lt;_xlpm.actRS),"Training",IF(_xlpm.actRS&gt;0,"Active",IF(AND(_xlpm.decC&gt;0,_xlpm.inPlay+_xlpm.actC=0),"Dead",IF(AND($AJ775&lt;&gt;"",$AK775=FALSE),"Waiting on Dealer",IF(_xlpm.subC&gt;0,"Waiting on Lender",IF(AND(_xlpm.appC+_xlpm.actC&gt;0,_xlpm.nsC+_xlpm.wdC=0),"Rate Sheet","Application Submitted")))))))))</f>
        <v/>
      </c>
      <c r="M775" s="87"/>
      <c r="N775" s="87"/>
      <c r="O775" s="197"/>
      <c r="P775" s="87" t="str">
        <f>IF($A775="","",IF($AK775=TRUE,"Ready 2 Submit","Waiting on Dealer"))</f>
        <v/>
      </c>
      <c r="Q775" s="148"/>
      <c r="R775" s="87"/>
      <c r="S775" s="87"/>
      <c r="T775" s="87" t="str">
        <f>IF($A775="","",IF($AK775=TRUE,"Ready 2 Submit","Waiting on Dealer"))</f>
        <v/>
      </c>
      <c r="U775" s="148"/>
      <c r="V775" s="87"/>
      <c r="W775" s="87"/>
      <c r="X775" s="87" t="str">
        <f>IF($A775="","",IF($AK775=TRUE,"Ready 2 Submit","Waiting on Dealer"))</f>
        <v/>
      </c>
      <c r="Y775" s="148"/>
      <c r="Z775" s="87"/>
      <c r="AA775" s="87"/>
      <c r="AB775" s="87" t="str">
        <f>IF($A775="","",IF($AK775=TRUE,"Ready 2 Submit","Waiting on Dealer"))</f>
        <v/>
      </c>
      <c r="AC775" s="148"/>
      <c r="AD775" s="87"/>
      <c r="AE775" s="87"/>
      <c r="AF775" s="87" t="str">
        <f>IF($A775="","",IF($AK775=TRUE,"Ready 2 Submit","Waiting on Dealer"))</f>
        <v/>
      </c>
      <c r="AG775" s="148"/>
      <c r="AH775" s="87"/>
      <c r="AI775" s="87"/>
      <c r="AJ775" s="197"/>
      <c r="AK775" s="110" t="b">
        <v>0</v>
      </c>
      <c r="AL775" s="87" t="str" cm="1">
        <f t="array" ref="AL775">IF($A775="","",SUMPRODUCT((CHOOSE({1,2,3,4,5},$R775,$V775,$Z775,$AD775,$AH775)="Yes")*(((CHOOSE({1,2,3,4,5},$S775,$W775,$AA775,$AE775,$AI775)="Yes")+(CHOOSE({1,2,3,4,5},$S775,$W775,$AA775,$AE775,$AI775)=TRUE))&gt;0)))</f>
        <v/>
      </c>
      <c r="AM775" s="87"/>
      <c r="AN775" s="87" t="str">
        <f ca="1">IF(OR($A775="",$AM775=""),"",TODAY()-$AM775)</f>
        <v/>
      </c>
      <c r="AO775" s="87"/>
      <c r="AP775" s="106"/>
      <c r="AQ775" s="106"/>
      <c r="AR775" s="106"/>
      <c r="AS775" s="106"/>
      <c r="AT775" s="106"/>
      <c r="AU775" s="106"/>
      <c r="AV775" s="106"/>
      <c r="AW775" s="106"/>
      <c r="AX775" s="106"/>
      <c r="AY775" s="106"/>
    </row>
    <row r="776" spans="1:51" s="20" customFormat="1" ht="21" customHeight="1">
      <c r="A776" s="197"/>
      <c r="B776" s="87"/>
      <c r="C776" s="87"/>
      <c r="D776" s="196"/>
      <c r="E776" s="108"/>
      <c r="F776" s="196"/>
      <c r="G776" s="87"/>
      <c r="H776" s="197"/>
      <c r="I776" s="89"/>
      <c r="J776" s="204"/>
      <c r="K776" s="87"/>
      <c r="L776" s="87" t="str" cm="1">
        <f t="array" ref="L776">IF($A776="","",_xlfn.LET(_xlpm.stat,CHOOSE({1,2,3,4,5},$P776,$T776,$X776,$AB776,$AF776),_xlpm.rate,CHOOSE({1,2,3,4,5},$R776,$V776,$Z776,$AD776,$AH776),_xlpm.trn,CHOOSE({1,2,3,4,5},$S776,$W776,$AA776,$AE776,$AI776),_xlpm.nsC,SUMPRODUCT(--(_xlpm.stat="Ready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DLR",IF(AND(_xlpm.actRS&gt;0,_xlpm.actDone&lt;_xlpm.actRS),"Training",IF(_xlpm.actRS&gt;0,"Active",IF(AND(_xlpm.decC&gt;0,_xlpm.inPlay+_xlpm.actC=0),"Dead",IF(AND($AJ776&lt;&gt;"",$AK776=FALSE),"Waiting on Dealer",IF(_xlpm.subC&gt;0,"Waiting on Lender",IF(AND(_xlpm.appC+_xlpm.actC&gt;0,_xlpm.nsC+_xlpm.wdC=0),"Rate Sheet","Application Submitted")))))))))</f>
        <v/>
      </c>
      <c r="M776" s="87"/>
      <c r="N776" s="87"/>
      <c r="O776" s="197"/>
      <c r="P776" s="87" t="str">
        <f>IF($A776="","",IF($AK776=TRUE,"Ready 2 Submit","Waiting on Dealer"))</f>
        <v/>
      </c>
      <c r="Q776" s="148"/>
      <c r="R776" s="87"/>
      <c r="S776" s="87"/>
      <c r="T776" s="87" t="str">
        <f>IF($A776="","",IF($AK776=TRUE,"Ready 2 Submit","Waiting on Dealer"))</f>
        <v/>
      </c>
      <c r="U776" s="148"/>
      <c r="V776" s="87"/>
      <c r="W776" s="87"/>
      <c r="X776" s="87" t="str">
        <f>IF($A776="","",IF($AK776=TRUE,"Ready 2 Submit","Waiting on Dealer"))</f>
        <v/>
      </c>
      <c r="Y776" s="148"/>
      <c r="Z776" s="87"/>
      <c r="AA776" s="87"/>
      <c r="AB776" s="87" t="str">
        <f>IF($A776="","",IF($AK776=TRUE,"Ready 2 Submit","Waiting on Dealer"))</f>
        <v/>
      </c>
      <c r="AC776" s="148"/>
      <c r="AD776" s="87"/>
      <c r="AE776" s="87"/>
      <c r="AF776" s="87" t="str">
        <f>IF($A776="","",IF($AK776=TRUE,"Ready 2 Submit","Waiting on Dealer"))</f>
        <v/>
      </c>
      <c r="AG776" s="148"/>
      <c r="AH776" s="87"/>
      <c r="AI776" s="87"/>
      <c r="AJ776" s="197"/>
      <c r="AK776" s="110" t="b">
        <v>0</v>
      </c>
      <c r="AL776" s="87" t="str" cm="1">
        <f t="array" ref="AL776">IF($A776="","",SUMPRODUCT((CHOOSE({1,2,3,4,5},$R776,$V776,$Z776,$AD776,$AH776)="Yes")*(((CHOOSE({1,2,3,4,5},$S776,$W776,$AA776,$AE776,$AI776)="Yes")+(CHOOSE({1,2,3,4,5},$S776,$W776,$AA776,$AE776,$AI776)=TRUE))&gt;0)))</f>
        <v/>
      </c>
      <c r="AM776" s="87"/>
      <c r="AN776" s="87" t="str">
        <f ca="1">IF(OR($A776="",$AM776=""),"",TODAY()-$AM776)</f>
        <v/>
      </c>
      <c r="AO776" s="87"/>
      <c r="AP776" s="106"/>
      <c r="AQ776" s="106"/>
      <c r="AR776" s="106"/>
      <c r="AS776" s="106"/>
      <c r="AT776" s="106"/>
      <c r="AU776" s="106"/>
      <c r="AV776" s="106"/>
      <c r="AW776" s="106"/>
      <c r="AX776" s="106"/>
      <c r="AY776" s="106"/>
    </row>
    <row r="777" spans="1:51" s="20" customFormat="1" ht="21" customHeight="1">
      <c r="A777" s="197"/>
      <c r="B777" s="87"/>
      <c r="C777" s="87"/>
      <c r="D777" s="196"/>
      <c r="E777" s="108"/>
      <c r="F777" s="196"/>
      <c r="G777" s="87"/>
      <c r="H777" s="197"/>
      <c r="I777" s="89"/>
      <c r="J777" s="204"/>
      <c r="K777" s="87"/>
      <c r="L777" s="87" t="str" cm="1">
        <f t="array" ref="L777">IF($A777="","",_xlfn.LET(_xlpm.stat,CHOOSE({1,2,3,4,5},$P777,$T777,$X777,$AB777,$AF777),_xlpm.rate,CHOOSE({1,2,3,4,5},$R777,$V777,$Z777,$AD777,$AH777),_xlpm.trn,CHOOSE({1,2,3,4,5},$S777,$W777,$AA777,$AE777,$AI777),_xlpm.nsC,SUMPRODUCT(--(_xlpm.stat="Ready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DLR",IF(AND(_xlpm.actRS&gt;0,_xlpm.actDone&lt;_xlpm.actRS),"Training",IF(_xlpm.actRS&gt;0,"Active",IF(AND(_xlpm.decC&gt;0,_xlpm.inPlay+_xlpm.actC=0),"Dead",IF(AND($AJ777&lt;&gt;"",$AK777=FALSE),"Waiting on Dealer",IF(_xlpm.subC&gt;0,"Waiting on Lender",IF(AND(_xlpm.appC+_xlpm.actC&gt;0,_xlpm.nsC+_xlpm.wdC=0),"Rate Sheet","Application Submitted")))))))))</f>
        <v/>
      </c>
      <c r="M777" s="87"/>
      <c r="N777" s="87"/>
      <c r="O777" s="197"/>
      <c r="P777" s="87" t="str">
        <f>IF($A777="","",IF($AK777=TRUE,"Ready 2 Submit","Waiting on Dealer"))</f>
        <v/>
      </c>
      <c r="Q777" s="148"/>
      <c r="R777" s="87"/>
      <c r="S777" s="87"/>
      <c r="T777" s="87" t="str">
        <f>IF($A777="","",IF($AK777=TRUE,"Ready 2 Submit","Waiting on Dealer"))</f>
        <v/>
      </c>
      <c r="U777" s="148"/>
      <c r="V777" s="87"/>
      <c r="W777" s="87"/>
      <c r="X777" s="87" t="str">
        <f>IF($A777="","",IF($AK777=TRUE,"Ready 2 Submit","Waiting on Dealer"))</f>
        <v/>
      </c>
      <c r="Y777" s="148"/>
      <c r="Z777" s="87"/>
      <c r="AA777" s="87"/>
      <c r="AB777" s="87" t="str">
        <f>IF($A777="","",IF($AK777=TRUE,"Ready 2 Submit","Waiting on Dealer"))</f>
        <v/>
      </c>
      <c r="AC777" s="148"/>
      <c r="AD777" s="87"/>
      <c r="AE777" s="87"/>
      <c r="AF777" s="87" t="str">
        <f>IF($A777="","",IF($AK777=TRUE,"Ready 2 Submit","Waiting on Dealer"))</f>
        <v/>
      </c>
      <c r="AG777" s="148"/>
      <c r="AH777" s="87"/>
      <c r="AI777" s="87"/>
      <c r="AJ777" s="197"/>
      <c r="AK777" s="110" t="b">
        <v>0</v>
      </c>
      <c r="AL777" s="87" t="str" cm="1">
        <f t="array" ref="AL777">IF($A777="","",SUMPRODUCT((CHOOSE({1,2,3,4,5},$R777,$V777,$Z777,$AD777,$AH777)="Yes")*(((CHOOSE({1,2,3,4,5},$S777,$W777,$AA777,$AE777,$AI777)="Yes")+(CHOOSE({1,2,3,4,5},$S777,$W777,$AA777,$AE777,$AI777)=TRUE))&gt;0)))</f>
        <v/>
      </c>
      <c r="AM777" s="87"/>
      <c r="AN777" s="87" t="str">
        <f ca="1">IF(OR($A777="",$AM777=""),"",TODAY()-$AM777)</f>
        <v/>
      </c>
      <c r="AO777" s="87"/>
      <c r="AP777" s="106"/>
      <c r="AQ777" s="106"/>
      <c r="AR777" s="106"/>
      <c r="AS777" s="106"/>
      <c r="AT777" s="106"/>
      <c r="AU777" s="106"/>
      <c r="AV777" s="106"/>
      <c r="AW777" s="106"/>
      <c r="AX777" s="106"/>
      <c r="AY777" s="106"/>
    </row>
    <row r="778" spans="1:51" s="20" customFormat="1" ht="21" customHeight="1">
      <c r="A778" s="197"/>
      <c r="B778" s="87"/>
      <c r="C778" s="87"/>
      <c r="D778" s="196"/>
      <c r="E778" s="108"/>
      <c r="F778" s="196"/>
      <c r="G778" s="87"/>
      <c r="H778" s="197"/>
      <c r="I778" s="89"/>
      <c r="J778" s="204"/>
      <c r="K778" s="87"/>
      <c r="L778" s="87" t="str" cm="1">
        <f t="array" ref="L778">IF($A778="","",_xlfn.LET(_xlpm.stat,CHOOSE({1,2,3,4,5},$P778,$T778,$X778,$AB778,$AF778),_xlpm.rate,CHOOSE({1,2,3,4,5},$R778,$V778,$Z778,$AD778,$AH778),_xlpm.trn,CHOOSE({1,2,3,4,5},$S778,$W778,$AA778,$AE778,$AI778),_xlpm.nsC,SUMPRODUCT(--(_xlpm.stat="Ready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DLR",IF(AND(_xlpm.actRS&gt;0,_xlpm.actDone&lt;_xlpm.actRS),"Training",IF(_xlpm.actRS&gt;0,"Active",IF(AND(_xlpm.decC&gt;0,_xlpm.inPlay+_xlpm.actC=0),"Dead",IF(AND($AJ778&lt;&gt;"",$AK778=FALSE),"Waiting on Dealer",IF(_xlpm.subC&gt;0,"Waiting on Lender",IF(AND(_xlpm.appC+_xlpm.actC&gt;0,_xlpm.nsC+_xlpm.wdC=0),"Rate Sheet","Application Submitted")))))))))</f>
        <v/>
      </c>
      <c r="M778" s="87"/>
      <c r="N778" s="87"/>
      <c r="O778" s="197"/>
      <c r="P778" s="87" t="str">
        <f>IF($A778="","",IF($AK778=TRUE,"Ready 2 Submit","Waiting on Dealer"))</f>
        <v/>
      </c>
      <c r="Q778" s="148"/>
      <c r="R778" s="87"/>
      <c r="S778" s="87"/>
      <c r="T778" s="87" t="str">
        <f>IF($A778="","",IF($AK778=TRUE,"Ready 2 Submit","Waiting on Dealer"))</f>
        <v/>
      </c>
      <c r="U778" s="148"/>
      <c r="V778" s="87"/>
      <c r="W778" s="87"/>
      <c r="X778" s="87" t="str">
        <f>IF($A778="","",IF($AK778=TRUE,"Ready 2 Submit","Waiting on Dealer"))</f>
        <v/>
      </c>
      <c r="Y778" s="148"/>
      <c r="Z778" s="87"/>
      <c r="AA778" s="87"/>
      <c r="AB778" s="87" t="str">
        <f>IF($A778="","",IF($AK778=TRUE,"Ready 2 Submit","Waiting on Dealer"))</f>
        <v/>
      </c>
      <c r="AC778" s="148"/>
      <c r="AD778" s="87"/>
      <c r="AE778" s="87"/>
      <c r="AF778" s="87" t="str">
        <f>IF($A778="","",IF($AK778=TRUE,"Ready 2 Submit","Waiting on Dealer"))</f>
        <v/>
      </c>
      <c r="AG778" s="148"/>
      <c r="AH778" s="87"/>
      <c r="AI778" s="87"/>
      <c r="AJ778" s="197"/>
      <c r="AK778" s="110" t="b">
        <v>0</v>
      </c>
      <c r="AL778" s="87" t="str" cm="1">
        <f t="array" ref="AL778">IF($A778="","",SUMPRODUCT((CHOOSE({1,2,3,4,5},$R778,$V778,$Z778,$AD778,$AH778)="Yes")*(((CHOOSE({1,2,3,4,5},$S778,$W778,$AA778,$AE778,$AI778)="Yes")+(CHOOSE({1,2,3,4,5},$S778,$W778,$AA778,$AE778,$AI778)=TRUE))&gt;0)))</f>
        <v/>
      </c>
      <c r="AM778" s="87"/>
      <c r="AN778" s="87" t="str">
        <f ca="1">IF(OR($A778="",$AM778=""),"",TODAY()-$AM778)</f>
        <v/>
      </c>
      <c r="AO778" s="87"/>
      <c r="AP778" s="106"/>
      <c r="AQ778" s="106"/>
      <c r="AR778" s="106"/>
      <c r="AS778" s="106"/>
      <c r="AT778" s="106"/>
      <c r="AU778" s="106"/>
      <c r="AV778" s="106"/>
      <c r="AW778" s="106"/>
      <c r="AX778" s="106"/>
      <c r="AY778" s="106"/>
    </row>
    <row r="779" spans="1:51" s="20" customFormat="1" ht="21" customHeight="1">
      <c r="A779" s="197"/>
      <c r="B779" s="87"/>
      <c r="C779" s="87"/>
      <c r="D779" s="196"/>
      <c r="E779" s="108"/>
      <c r="F779" s="196"/>
      <c r="G779" s="87"/>
      <c r="H779" s="197"/>
      <c r="I779" s="89"/>
      <c r="J779" s="204"/>
      <c r="K779" s="87"/>
      <c r="L779" s="87" t="str" cm="1">
        <f t="array" ref="L779">IF($A779="","",_xlfn.LET(_xlpm.stat,CHOOSE({1,2,3,4,5},$P779,$T779,$X779,$AB779,$AF779),_xlpm.rate,CHOOSE({1,2,3,4,5},$R779,$V779,$Z779,$AD779,$AH779),_xlpm.trn,CHOOSE({1,2,3,4,5},$S779,$W779,$AA779,$AE779,$AI779),_xlpm.nsC,SUMPRODUCT(--(_xlpm.stat="Ready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DLR",IF(AND(_xlpm.actRS&gt;0,_xlpm.actDone&lt;_xlpm.actRS),"Training",IF(_xlpm.actRS&gt;0,"Active",IF(AND(_xlpm.decC&gt;0,_xlpm.inPlay+_xlpm.actC=0),"Dead",IF(AND($AJ779&lt;&gt;"",$AK779=FALSE),"Waiting on Dealer",IF(_xlpm.subC&gt;0,"Waiting on Lender",IF(AND(_xlpm.appC+_xlpm.actC&gt;0,_xlpm.nsC+_xlpm.wdC=0),"Rate Sheet","Application Submitted")))))))))</f>
        <v/>
      </c>
      <c r="M779" s="87"/>
      <c r="N779" s="87"/>
      <c r="O779" s="197"/>
      <c r="P779" s="87" t="str">
        <f>IF($A779="","",IF($AK779=TRUE,"Ready 2 Submit","Waiting on Dealer"))</f>
        <v/>
      </c>
      <c r="Q779" s="148"/>
      <c r="R779" s="87"/>
      <c r="S779" s="87"/>
      <c r="T779" s="87" t="str">
        <f>IF($A779="","",IF($AK779=TRUE,"Ready 2 Submit","Waiting on Dealer"))</f>
        <v/>
      </c>
      <c r="U779" s="148"/>
      <c r="V779" s="87"/>
      <c r="W779" s="87"/>
      <c r="X779" s="87" t="str">
        <f>IF($A779="","",IF($AK779=TRUE,"Ready 2 Submit","Waiting on Dealer"))</f>
        <v/>
      </c>
      <c r="Y779" s="148"/>
      <c r="Z779" s="87"/>
      <c r="AA779" s="87"/>
      <c r="AB779" s="87" t="str">
        <f>IF($A779="","",IF($AK779=TRUE,"Ready 2 Submit","Waiting on Dealer"))</f>
        <v/>
      </c>
      <c r="AC779" s="148"/>
      <c r="AD779" s="87"/>
      <c r="AE779" s="87"/>
      <c r="AF779" s="87" t="str">
        <f>IF($A779="","",IF($AK779=TRUE,"Ready 2 Submit","Waiting on Dealer"))</f>
        <v/>
      </c>
      <c r="AG779" s="148"/>
      <c r="AH779" s="87"/>
      <c r="AI779" s="87"/>
      <c r="AJ779" s="197"/>
      <c r="AK779" s="110" t="b">
        <v>0</v>
      </c>
      <c r="AL779" s="87" t="str" cm="1">
        <f t="array" ref="AL779">IF($A779="","",SUMPRODUCT((CHOOSE({1,2,3,4,5},$R779,$V779,$Z779,$AD779,$AH779)="Yes")*(((CHOOSE({1,2,3,4,5},$S779,$W779,$AA779,$AE779,$AI779)="Yes")+(CHOOSE({1,2,3,4,5},$S779,$W779,$AA779,$AE779,$AI779)=TRUE))&gt;0)))</f>
        <v/>
      </c>
      <c r="AM779" s="87"/>
      <c r="AN779" s="87" t="str">
        <f ca="1">IF(OR($A779="",$AM779=""),"",TODAY()-$AM779)</f>
        <v/>
      </c>
      <c r="AO779" s="87"/>
      <c r="AP779" s="106"/>
      <c r="AQ779" s="106"/>
      <c r="AR779" s="106"/>
      <c r="AS779" s="106"/>
      <c r="AT779" s="106"/>
      <c r="AU779" s="106"/>
      <c r="AV779" s="106"/>
      <c r="AW779" s="106"/>
      <c r="AX779" s="106"/>
      <c r="AY779" s="106"/>
    </row>
    <row r="780" spans="1:51" s="20" customFormat="1" ht="21" customHeight="1">
      <c r="A780" s="197"/>
      <c r="B780" s="87"/>
      <c r="C780" s="87"/>
      <c r="D780" s="196"/>
      <c r="E780" s="108"/>
      <c r="F780" s="196"/>
      <c r="G780" s="87"/>
      <c r="H780" s="197"/>
      <c r="I780" s="89"/>
      <c r="J780" s="204"/>
      <c r="K780" s="87"/>
      <c r="L780" s="87" t="str" cm="1">
        <f t="array" ref="L780">IF($A780="","",_xlfn.LET(_xlpm.stat,CHOOSE({1,2,3,4,5},$P780,$T780,$X780,$AB780,$AF780),_xlpm.rate,CHOOSE({1,2,3,4,5},$R780,$V780,$Z780,$AD780,$AH780),_xlpm.trn,CHOOSE({1,2,3,4,5},$S780,$W780,$AA780,$AE780,$AI780),_xlpm.nsC,SUMPRODUCT(--(_xlpm.stat="Ready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DLR",IF(AND(_xlpm.actRS&gt;0,_xlpm.actDone&lt;_xlpm.actRS),"Training",IF(_xlpm.actRS&gt;0,"Active",IF(AND(_xlpm.decC&gt;0,_xlpm.inPlay+_xlpm.actC=0),"Dead",IF(AND($AJ780&lt;&gt;"",$AK780=FALSE),"Waiting on Dealer",IF(_xlpm.subC&gt;0,"Waiting on Lender",IF(AND(_xlpm.appC+_xlpm.actC&gt;0,_xlpm.nsC+_xlpm.wdC=0),"Rate Sheet","Application Submitted")))))))))</f>
        <v/>
      </c>
      <c r="M780" s="87"/>
      <c r="N780" s="87"/>
      <c r="O780" s="197"/>
      <c r="P780" s="87" t="str">
        <f>IF($A780="","",IF($AK780=TRUE,"Ready 2 Submit","Waiting on Dealer"))</f>
        <v/>
      </c>
      <c r="Q780" s="148"/>
      <c r="R780" s="87"/>
      <c r="S780" s="87"/>
      <c r="T780" s="87" t="str">
        <f>IF($A780="","",IF($AK780=TRUE,"Ready 2 Submit","Waiting on Dealer"))</f>
        <v/>
      </c>
      <c r="U780" s="148"/>
      <c r="V780" s="87"/>
      <c r="W780" s="87"/>
      <c r="X780" s="87" t="str">
        <f>IF($A780="","",IF($AK780=TRUE,"Ready 2 Submit","Waiting on Dealer"))</f>
        <v/>
      </c>
      <c r="Y780" s="148"/>
      <c r="Z780" s="87"/>
      <c r="AA780" s="87"/>
      <c r="AB780" s="87" t="str">
        <f>IF($A780="","",IF($AK780=TRUE,"Ready 2 Submit","Waiting on Dealer"))</f>
        <v/>
      </c>
      <c r="AC780" s="148"/>
      <c r="AD780" s="87"/>
      <c r="AE780" s="87"/>
      <c r="AF780" s="87" t="str">
        <f>IF($A780="","",IF($AK780=TRUE,"Ready 2 Submit","Waiting on Dealer"))</f>
        <v/>
      </c>
      <c r="AG780" s="148"/>
      <c r="AH780" s="87"/>
      <c r="AI780" s="87"/>
      <c r="AJ780" s="197"/>
      <c r="AK780" s="110" t="b">
        <v>0</v>
      </c>
      <c r="AL780" s="87" t="str" cm="1">
        <f t="array" ref="AL780">IF($A780="","",SUMPRODUCT((CHOOSE({1,2,3,4,5},$R780,$V780,$Z780,$AD780,$AH780)="Yes")*(((CHOOSE({1,2,3,4,5},$S780,$W780,$AA780,$AE780,$AI780)="Yes")+(CHOOSE({1,2,3,4,5},$S780,$W780,$AA780,$AE780,$AI780)=TRUE))&gt;0)))</f>
        <v/>
      </c>
      <c r="AM780" s="87"/>
      <c r="AN780" s="87" t="str">
        <f ca="1">IF(OR($A780="",$AM780=""),"",TODAY()-$AM780)</f>
        <v/>
      </c>
      <c r="AO780" s="87"/>
      <c r="AP780" s="106"/>
      <c r="AQ780" s="106"/>
      <c r="AR780" s="106"/>
      <c r="AS780" s="106"/>
      <c r="AT780" s="106"/>
      <c r="AU780" s="106"/>
      <c r="AV780" s="106"/>
      <c r="AW780" s="106"/>
      <c r="AX780" s="106"/>
      <c r="AY780" s="106"/>
    </row>
    <row r="781" spans="1:51" s="20" customFormat="1" ht="21" customHeight="1">
      <c r="A781" s="197"/>
      <c r="B781" s="87"/>
      <c r="C781" s="87"/>
      <c r="D781" s="196"/>
      <c r="E781" s="108"/>
      <c r="F781" s="196"/>
      <c r="G781" s="87"/>
      <c r="H781" s="197"/>
      <c r="I781" s="89"/>
      <c r="J781" s="204"/>
      <c r="K781" s="87"/>
      <c r="L781" s="87" t="str" cm="1">
        <f t="array" ref="L781">IF($A781="","",_xlfn.LET(_xlpm.stat,CHOOSE({1,2,3,4,5},$P781,$T781,$X781,$AB781,$AF781),_xlpm.rate,CHOOSE({1,2,3,4,5},$R781,$V781,$Z781,$AD781,$AH781),_xlpm.trn,CHOOSE({1,2,3,4,5},$S781,$W781,$AA781,$AE781,$AI781),_xlpm.nsC,SUMPRODUCT(--(_xlpm.stat="Ready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DLR",IF(AND(_xlpm.actRS&gt;0,_xlpm.actDone&lt;_xlpm.actRS),"Training",IF(_xlpm.actRS&gt;0,"Active",IF(AND(_xlpm.decC&gt;0,_xlpm.inPlay+_xlpm.actC=0),"Dead",IF(AND($AJ781&lt;&gt;"",$AK781=FALSE),"Waiting on Dealer",IF(_xlpm.subC&gt;0,"Waiting on Lender",IF(AND(_xlpm.appC+_xlpm.actC&gt;0,_xlpm.nsC+_xlpm.wdC=0),"Rate Sheet","Application Submitted")))))))))</f>
        <v/>
      </c>
      <c r="M781" s="87"/>
      <c r="N781" s="87"/>
      <c r="O781" s="197"/>
      <c r="P781" s="87" t="str">
        <f>IF($A781="","",IF($AK781=TRUE,"Ready 2 Submit","Waiting on Dealer"))</f>
        <v/>
      </c>
      <c r="Q781" s="148"/>
      <c r="R781" s="87"/>
      <c r="S781" s="87"/>
      <c r="T781" s="87" t="str">
        <f>IF($A781="","",IF($AK781=TRUE,"Ready 2 Submit","Waiting on Dealer"))</f>
        <v/>
      </c>
      <c r="U781" s="148"/>
      <c r="V781" s="87"/>
      <c r="W781" s="87"/>
      <c r="X781" s="87" t="str">
        <f>IF($A781="","",IF($AK781=TRUE,"Ready 2 Submit","Waiting on Dealer"))</f>
        <v/>
      </c>
      <c r="Y781" s="148"/>
      <c r="Z781" s="87"/>
      <c r="AA781" s="87"/>
      <c r="AB781" s="87" t="str">
        <f>IF($A781="","",IF($AK781=TRUE,"Ready 2 Submit","Waiting on Dealer"))</f>
        <v/>
      </c>
      <c r="AC781" s="148"/>
      <c r="AD781" s="87"/>
      <c r="AE781" s="87"/>
      <c r="AF781" s="87" t="str">
        <f>IF($A781="","",IF($AK781=TRUE,"Ready 2 Submit","Waiting on Dealer"))</f>
        <v/>
      </c>
      <c r="AG781" s="148"/>
      <c r="AH781" s="87"/>
      <c r="AI781" s="87"/>
      <c r="AJ781" s="197"/>
      <c r="AK781" s="110" t="b">
        <v>0</v>
      </c>
      <c r="AL781" s="87" t="str" cm="1">
        <f t="array" ref="AL781">IF($A781="","",SUMPRODUCT((CHOOSE({1,2,3,4,5},$R781,$V781,$Z781,$AD781,$AH781)="Yes")*(((CHOOSE({1,2,3,4,5},$S781,$W781,$AA781,$AE781,$AI781)="Yes")+(CHOOSE({1,2,3,4,5},$S781,$W781,$AA781,$AE781,$AI781)=TRUE))&gt;0)))</f>
        <v/>
      </c>
      <c r="AM781" s="87"/>
      <c r="AN781" s="87" t="str">
        <f ca="1">IF(OR($A781="",$AM781=""),"",TODAY()-$AM781)</f>
        <v/>
      </c>
      <c r="AO781" s="87"/>
      <c r="AP781" s="106"/>
      <c r="AQ781" s="106"/>
      <c r="AR781" s="106"/>
      <c r="AS781" s="106"/>
      <c r="AT781" s="106"/>
      <c r="AU781" s="106"/>
      <c r="AV781" s="106"/>
      <c r="AW781" s="106"/>
      <c r="AX781" s="106"/>
      <c r="AY781" s="106"/>
    </row>
    <row r="782" spans="1:51" s="20" customFormat="1" ht="21" customHeight="1">
      <c r="A782" s="197"/>
      <c r="B782" s="87"/>
      <c r="C782" s="87"/>
      <c r="D782" s="196"/>
      <c r="E782" s="108"/>
      <c r="F782" s="196"/>
      <c r="G782" s="87"/>
      <c r="H782" s="197"/>
      <c r="I782" s="89"/>
      <c r="J782" s="204"/>
      <c r="K782" s="87"/>
      <c r="L782" s="87" t="str" cm="1">
        <f t="array" ref="L782">IF($A782="","",_xlfn.LET(_xlpm.stat,CHOOSE({1,2,3,4,5},$P782,$T782,$X782,$AB782,$AF782),_xlpm.rate,CHOOSE({1,2,3,4,5},$R782,$V782,$Z782,$AD782,$AH782),_xlpm.trn,CHOOSE({1,2,3,4,5},$S782,$W782,$AA782,$AE782,$AI782),_xlpm.nsC,SUMPRODUCT(--(_xlpm.stat="Ready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DLR",IF(AND(_xlpm.actRS&gt;0,_xlpm.actDone&lt;_xlpm.actRS),"Training",IF(_xlpm.actRS&gt;0,"Active",IF(AND(_xlpm.decC&gt;0,_xlpm.inPlay+_xlpm.actC=0),"Dead",IF(AND($AJ782&lt;&gt;"",$AK782=FALSE),"Waiting on Dealer",IF(_xlpm.subC&gt;0,"Waiting on Lender",IF(AND(_xlpm.appC+_xlpm.actC&gt;0,_xlpm.nsC+_xlpm.wdC=0),"Rate Sheet","Application Submitted")))))))))</f>
        <v/>
      </c>
      <c r="M782" s="87"/>
      <c r="N782" s="87"/>
      <c r="O782" s="197"/>
      <c r="P782" s="87" t="str">
        <f>IF($A782="","",IF($AK782=TRUE,"Ready 2 Submit","Waiting on Dealer"))</f>
        <v/>
      </c>
      <c r="Q782" s="148"/>
      <c r="R782" s="87"/>
      <c r="S782" s="87"/>
      <c r="T782" s="87" t="str">
        <f>IF($A782="","",IF($AK782=TRUE,"Ready 2 Submit","Waiting on Dealer"))</f>
        <v/>
      </c>
      <c r="U782" s="148"/>
      <c r="V782" s="87"/>
      <c r="W782" s="87"/>
      <c r="X782" s="87" t="str">
        <f>IF($A782="","",IF($AK782=TRUE,"Ready 2 Submit","Waiting on Dealer"))</f>
        <v/>
      </c>
      <c r="Y782" s="148"/>
      <c r="Z782" s="87"/>
      <c r="AA782" s="87"/>
      <c r="AB782" s="87" t="str">
        <f>IF($A782="","",IF($AK782=TRUE,"Ready 2 Submit","Waiting on Dealer"))</f>
        <v/>
      </c>
      <c r="AC782" s="148"/>
      <c r="AD782" s="87"/>
      <c r="AE782" s="87"/>
      <c r="AF782" s="87" t="str">
        <f>IF($A782="","",IF($AK782=TRUE,"Ready 2 Submit","Waiting on Dealer"))</f>
        <v/>
      </c>
      <c r="AG782" s="148"/>
      <c r="AH782" s="87"/>
      <c r="AI782" s="87"/>
      <c r="AJ782" s="197"/>
      <c r="AK782" s="110" t="b">
        <v>0</v>
      </c>
      <c r="AL782" s="87" t="str" cm="1">
        <f t="array" ref="AL782">IF($A782="","",SUMPRODUCT((CHOOSE({1,2,3,4,5},$R782,$V782,$Z782,$AD782,$AH782)="Yes")*(((CHOOSE({1,2,3,4,5},$S782,$W782,$AA782,$AE782,$AI782)="Yes")+(CHOOSE({1,2,3,4,5},$S782,$W782,$AA782,$AE782,$AI782)=TRUE))&gt;0)))</f>
        <v/>
      </c>
      <c r="AM782" s="87"/>
      <c r="AN782" s="87" t="str">
        <f ca="1">IF(OR($A782="",$AM782=""),"",TODAY()-$AM782)</f>
        <v/>
      </c>
      <c r="AO782" s="87"/>
      <c r="AP782" s="106"/>
      <c r="AQ782" s="106"/>
      <c r="AR782" s="106"/>
      <c r="AS782" s="106"/>
      <c r="AT782" s="106"/>
      <c r="AU782" s="106"/>
      <c r="AV782" s="106"/>
      <c r="AW782" s="106"/>
      <c r="AX782" s="106"/>
      <c r="AY782" s="106"/>
    </row>
    <row r="783" spans="1:51" s="20" customFormat="1" ht="21" customHeight="1">
      <c r="A783" s="197"/>
      <c r="B783" s="87"/>
      <c r="C783" s="87"/>
      <c r="D783" s="196"/>
      <c r="E783" s="108"/>
      <c r="F783" s="196"/>
      <c r="G783" s="87"/>
      <c r="H783" s="197"/>
      <c r="I783" s="89"/>
      <c r="J783" s="204"/>
      <c r="K783" s="87"/>
      <c r="L783" s="87" t="str" cm="1">
        <f t="array" ref="L783">IF($A783="","",_xlfn.LET(_xlpm.stat,CHOOSE({1,2,3,4,5},$P783,$T783,$X783,$AB783,$AF783),_xlpm.rate,CHOOSE({1,2,3,4,5},$R783,$V783,$Z783,$AD783,$AH783),_xlpm.trn,CHOOSE({1,2,3,4,5},$S783,$W783,$AA783,$AE783,$AI783),_xlpm.nsC,SUMPRODUCT(--(_xlpm.stat="Ready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DLR",IF(AND(_xlpm.actRS&gt;0,_xlpm.actDone&lt;_xlpm.actRS),"Training",IF(_xlpm.actRS&gt;0,"Active",IF(AND(_xlpm.decC&gt;0,_xlpm.inPlay+_xlpm.actC=0),"Dead",IF(AND($AJ783&lt;&gt;"",$AK783=FALSE),"Waiting on Dealer",IF(_xlpm.subC&gt;0,"Waiting on Lender",IF(AND(_xlpm.appC+_xlpm.actC&gt;0,_xlpm.nsC+_xlpm.wdC=0),"Rate Sheet","Application Submitted")))))))))</f>
        <v/>
      </c>
      <c r="M783" s="87"/>
      <c r="N783" s="87"/>
      <c r="O783" s="197"/>
      <c r="P783" s="87" t="str">
        <f>IF($A783="","",IF($AK783=TRUE,"Ready 2 Submit","Waiting on Dealer"))</f>
        <v/>
      </c>
      <c r="Q783" s="148"/>
      <c r="R783" s="87"/>
      <c r="S783" s="87"/>
      <c r="T783" s="87" t="str">
        <f>IF($A783="","",IF($AK783=TRUE,"Ready 2 Submit","Waiting on Dealer"))</f>
        <v/>
      </c>
      <c r="U783" s="148"/>
      <c r="V783" s="87"/>
      <c r="W783" s="87"/>
      <c r="X783" s="87" t="str">
        <f>IF($A783="","",IF($AK783=TRUE,"Ready 2 Submit","Waiting on Dealer"))</f>
        <v/>
      </c>
      <c r="Y783" s="148"/>
      <c r="Z783" s="87"/>
      <c r="AA783" s="87"/>
      <c r="AB783" s="87" t="str">
        <f>IF($A783="","",IF($AK783=TRUE,"Ready 2 Submit","Waiting on Dealer"))</f>
        <v/>
      </c>
      <c r="AC783" s="148"/>
      <c r="AD783" s="87"/>
      <c r="AE783" s="87"/>
      <c r="AF783" s="87" t="str">
        <f>IF($A783="","",IF($AK783=TRUE,"Ready 2 Submit","Waiting on Dealer"))</f>
        <v/>
      </c>
      <c r="AG783" s="148"/>
      <c r="AH783" s="87"/>
      <c r="AI783" s="87"/>
      <c r="AJ783" s="197"/>
      <c r="AK783" s="110" t="b">
        <v>0</v>
      </c>
      <c r="AL783" s="87" t="str" cm="1">
        <f t="array" ref="AL783">IF($A783="","",SUMPRODUCT((CHOOSE({1,2,3,4,5},$R783,$V783,$Z783,$AD783,$AH783)="Yes")*(((CHOOSE({1,2,3,4,5},$S783,$W783,$AA783,$AE783,$AI783)="Yes")+(CHOOSE({1,2,3,4,5},$S783,$W783,$AA783,$AE783,$AI783)=TRUE))&gt;0)))</f>
        <v/>
      </c>
      <c r="AM783" s="87"/>
      <c r="AN783" s="87" t="str">
        <f ca="1">IF(OR($A783="",$AM783=""),"",TODAY()-$AM783)</f>
        <v/>
      </c>
      <c r="AO783" s="87"/>
      <c r="AP783" s="106"/>
      <c r="AQ783" s="106"/>
      <c r="AR783" s="106"/>
      <c r="AS783" s="106"/>
      <c r="AT783" s="106"/>
      <c r="AU783" s="106"/>
      <c r="AV783" s="106"/>
      <c r="AW783" s="106"/>
      <c r="AX783" s="106"/>
      <c r="AY783" s="106"/>
    </row>
    <row r="784" spans="1:51" s="20" customFormat="1" ht="21" customHeight="1">
      <c r="A784" s="197"/>
      <c r="B784" s="87"/>
      <c r="C784" s="87"/>
      <c r="D784" s="196"/>
      <c r="E784" s="108"/>
      <c r="F784" s="196"/>
      <c r="G784" s="87"/>
      <c r="H784" s="197"/>
      <c r="I784" s="89"/>
      <c r="J784" s="204"/>
      <c r="K784" s="87"/>
      <c r="L784" s="87" t="str" cm="1">
        <f t="array" ref="L784">IF($A784="","",_xlfn.LET(_xlpm.stat,CHOOSE({1,2,3,4,5},$P784,$T784,$X784,$AB784,$AF784),_xlpm.rate,CHOOSE({1,2,3,4,5},$R784,$V784,$Z784,$AD784,$AH784),_xlpm.trn,CHOOSE({1,2,3,4,5},$S784,$W784,$AA784,$AE784,$AI784),_xlpm.nsC,SUMPRODUCT(--(_xlpm.stat="Ready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DLR",IF(AND(_xlpm.actRS&gt;0,_xlpm.actDone&lt;_xlpm.actRS),"Training",IF(_xlpm.actRS&gt;0,"Active",IF(AND(_xlpm.decC&gt;0,_xlpm.inPlay+_xlpm.actC=0),"Dead",IF(AND($AJ784&lt;&gt;"",$AK784=FALSE),"Waiting on Dealer",IF(_xlpm.subC&gt;0,"Waiting on Lender",IF(AND(_xlpm.appC+_xlpm.actC&gt;0,_xlpm.nsC+_xlpm.wdC=0),"Rate Sheet","Application Submitted")))))))))</f>
        <v/>
      </c>
      <c r="M784" s="87"/>
      <c r="N784" s="87"/>
      <c r="O784" s="197"/>
      <c r="P784" s="87" t="str">
        <f>IF($A784="","",IF($AK784=TRUE,"Ready 2 Submit","Waiting on Dealer"))</f>
        <v/>
      </c>
      <c r="Q784" s="148"/>
      <c r="R784" s="87"/>
      <c r="S784" s="87"/>
      <c r="T784" s="87" t="str">
        <f>IF($A784="","",IF($AK784=TRUE,"Ready 2 Submit","Waiting on Dealer"))</f>
        <v/>
      </c>
      <c r="U784" s="148"/>
      <c r="V784" s="87"/>
      <c r="W784" s="87"/>
      <c r="X784" s="87" t="str">
        <f>IF($A784="","",IF($AK784=TRUE,"Ready 2 Submit","Waiting on Dealer"))</f>
        <v/>
      </c>
      <c r="Y784" s="148"/>
      <c r="Z784" s="87"/>
      <c r="AA784" s="87"/>
      <c r="AB784" s="87" t="str">
        <f>IF($A784="","",IF($AK784=TRUE,"Ready 2 Submit","Waiting on Dealer"))</f>
        <v/>
      </c>
      <c r="AC784" s="148"/>
      <c r="AD784" s="87"/>
      <c r="AE784" s="87"/>
      <c r="AF784" s="87" t="str">
        <f>IF($A784="","",IF($AK784=TRUE,"Ready 2 Submit","Waiting on Dealer"))</f>
        <v/>
      </c>
      <c r="AG784" s="148"/>
      <c r="AH784" s="87"/>
      <c r="AI784" s="87"/>
      <c r="AJ784" s="197"/>
      <c r="AK784" s="110" t="b">
        <v>0</v>
      </c>
      <c r="AL784" s="87" t="str" cm="1">
        <f t="array" ref="AL784">IF($A784="","",SUMPRODUCT((CHOOSE({1,2,3,4,5},$R784,$V784,$Z784,$AD784,$AH784)="Yes")*(((CHOOSE({1,2,3,4,5},$S784,$W784,$AA784,$AE784,$AI784)="Yes")+(CHOOSE({1,2,3,4,5},$S784,$W784,$AA784,$AE784,$AI784)=TRUE))&gt;0)))</f>
        <v/>
      </c>
      <c r="AM784" s="87"/>
      <c r="AN784" s="87" t="str">
        <f ca="1">IF(OR($A784="",$AM784=""),"",TODAY()-$AM784)</f>
        <v/>
      </c>
      <c r="AO784" s="87"/>
      <c r="AP784" s="106"/>
      <c r="AQ784" s="106"/>
      <c r="AR784" s="106"/>
      <c r="AS784" s="106"/>
      <c r="AT784" s="106"/>
      <c r="AU784" s="106"/>
      <c r="AV784" s="106"/>
      <c r="AW784" s="106"/>
      <c r="AX784" s="106"/>
      <c r="AY784" s="106"/>
    </row>
    <row r="785" spans="1:51" s="20" customFormat="1" ht="21" customHeight="1">
      <c r="A785" s="197"/>
      <c r="B785" s="87"/>
      <c r="C785" s="87"/>
      <c r="D785" s="196"/>
      <c r="E785" s="108"/>
      <c r="F785" s="196"/>
      <c r="G785" s="87"/>
      <c r="H785" s="197"/>
      <c r="I785" s="89"/>
      <c r="J785" s="204"/>
      <c r="K785" s="87"/>
      <c r="L785" s="87" t="str" cm="1">
        <f t="array" ref="L785">IF($A785="","",_xlfn.LET(_xlpm.stat,CHOOSE({1,2,3,4,5},$P785,$T785,$X785,$AB785,$AF785),_xlpm.rate,CHOOSE({1,2,3,4,5},$R785,$V785,$Z785,$AD785,$AH785),_xlpm.trn,CHOOSE({1,2,3,4,5},$S785,$W785,$AA785,$AE785,$AI785),_xlpm.nsC,SUMPRODUCT(--(_xlpm.stat="Ready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DLR",IF(AND(_xlpm.actRS&gt;0,_xlpm.actDone&lt;_xlpm.actRS),"Training",IF(_xlpm.actRS&gt;0,"Active",IF(AND(_xlpm.decC&gt;0,_xlpm.inPlay+_xlpm.actC=0),"Dead",IF(AND($AJ785&lt;&gt;"",$AK785=FALSE),"Waiting on Dealer",IF(_xlpm.subC&gt;0,"Waiting on Lender",IF(AND(_xlpm.appC+_xlpm.actC&gt;0,_xlpm.nsC+_xlpm.wdC=0),"Rate Sheet","Application Submitted")))))))))</f>
        <v/>
      </c>
      <c r="M785" s="87"/>
      <c r="N785" s="87"/>
      <c r="O785" s="197"/>
      <c r="P785" s="87" t="str">
        <f>IF($A785="","",IF($AK785=TRUE,"Ready 2 Submit","Waiting on Dealer"))</f>
        <v/>
      </c>
      <c r="Q785" s="148"/>
      <c r="R785" s="87"/>
      <c r="S785" s="87"/>
      <c r="T785" s="87" t="str">
        <f>IF($A785="","",IF($AK785=TRUE,"Ready 2 Submit","Waiting on Dealer"))</f>
        <v/>
      </c>
      <c r="U785" s="148"/>
      <c r="V785" s="87"/>
      <c r="W785" s="87"/>
      <c r="X785" s="87" t="str">
        <f>IF($A785="","",IF($AK785=TRUE,"Ready 2 Submit","Waiting on Dealer"))</f>
        <v/>
      </c>
      <c r="Y785" s="148"/>
      <c r="Z785" s="87"/>
      <c r="AA785" s="87"/>
      <c r="AB785" s="87" t="str">
        <f>IF($A785="","",IF($AK785=TRUE,"Ready 2 Submit","Waiting on Dealer"))</f>
        <v/>
      </c>
      <c r="AC785" s="148"/>
      <c r="AD785" s="87"/>
      <c r="AE785" s="87"/>
      <c r="AF785" s="87" t="str">
        <f>IF($A785="","",IF($AK785=TRUE,"Ready 2 Submit","Waiting on Dealer"))</f>
        <v/>
      </c>
      <c r="AG785" s="148"/>
      <c r="AH785" s="87"/>
      <c r="AI785" s="87"/>
      <c r="AJ785" s="197"/>
      <c r="AK785" s="110" t="b">
        <v>0</v>
      </c>
      <c r="AL785" s="87" t="str" cm="1">
        <f t="array" ref="AL785">IF($A785="","",SUMPRODUCT((CHOOSE({1,2,3,4,5},$R785,$V785,$Z785,$AD785,$AH785)="Yes")*(((CHOOSE({1,2,3,4,5},$S785,$W785,$AA785,$AE785,$AI785)="Yes")+(CHOOSE({1,2,3,4,5},$S785,$W785,$AA785,$AE785,$AI785)=TRUE))&gt;0)))</f>
        <v/>
      </c>
      <c r="AM785" s="87"/>
      <c r="AN785" s="87" t="str">
        <f ca="1">IF(OR($A785="",$AM785=""),"",TODAY()-$AM785)</f>
        <v/>
      </c>
      <c r="AO785" s="87"/>
      <c r="AP785" s="106"/>
      <c r="AQ785" s="106"/>
      <c r="AR785" s="106"/>
      <c r="AS785" s="106"/>
      <c r="AT785" s="106"/>
      <c r="AU785" s="106"/>
      <c r="AV785" s="106"/>
      <c r="AW785" s="106"/>
      <c r="AX785" s="106"/>
      <c r="AY785" s="106"/>
    </row>
    <row r="786" spans="1:51" s="20" customFormat="1" ht="21" customHeight="1">
      <c r="A786" s="197"/>
      <c r="B786" s="87"/>
      <c r="C786" s="87"/>
      <c r="D786" s="196"/>
      <c r="E786" s="108"/>
      <c r="F786" s="196"/>
      <c r="G786" s="87"/>
      <c r="H786" s="197"/>
      <c r="I786" s="89"/>
      <c r="J786" s="204"/>
      <c r="K786" s="87"/>
      <c r="L786" s="87" t="str" cm="1">
        <f t="array" ref="L786">IF($A786="","",_xlfn.LET(_xlpm.stat,CHOOSE({1,2,3,4,5},$P786,$T786,$X786,$AB786,$AF786),_xlpm.rate,CHOOSE({1,2,3,4,5},$R786,$V786,$Z786,$AD786,$AH786),_xlpm.trn,CHOOSE({1,2,3,4,5},$S786,$W786,$AA786,$AE786,$AI786),_xlpm.nsC,SUMPRODUCT(--(_xlpm.stat="Ready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DLR",IF(AND(_xlpm.actRS&gt;0,_xlpm.actDone&lt;_xlpm.actRS),"Training",IF(_xlpm.actRS&gt;0,"Active",IF(AND(_xlpm.decC&gt;0,_xlpm.inPlay+_xlpm.actC=0),"Dead",IF(AND($AJ786&lt;&gt;"",$AK786=FALSE),"Waiting on Dealer",IF(_xlpm.subC&gt;0,"Waiting on Lender",IF(AND(_xlpm.appC+_xlpm.actC&gt;0,_xlpm.nsC+_xlpm.wdC=0),"Rate Sheet","Application Submitted")))))))))</f>
        <v/>
      </c>
      <c r="M786" s="87"/>
      <c r="N786" s="87"/>
      <c r="O786" s="197"/>
      <c r="P786" s="87" t="str">
        <f>IF($A786="","",IF($AK786=TRUE,"Ready 2 Submit","Waiting on Dealer"))</f>
        <v/>
      </c>
      <c r="Q786" s="148"/>
      <c r="R786" s="87"/>
      <c r="S786" s="87"/>
      <c r="T786" s="87" t="str">
        <f>IF($A786="","",IF($AK786=TRUE,"Ready 2 Submit","Waiting on Dealer"))</f>
        <v/>
      </c>
      <c r="U786" s="148"/>
      <c r="V786" s="87"/>
      <c r="W786" s="87"/>
      <c r="X786" s="87" t="str">
        <f>IF($A786="","",IF($AK786=TRUE,"Ready 2 Submit","Waiting on Dealer"))</f>
        <v/>
      </c>
      <c r="Y786" s="148"/>
      <c r="Z786" s="87"/>
      <c r="AA786" s="87"/>
      <c r="AB786" s="87" t="str">
        <f>IF($A786="","",IF($AK786=TRUE,"Ready 2 Submit","Waiting on Dealer"))</f>
        <v/>
      </c>
      <c r="AC786" s="148"/>
      <c r="AD786" s="87"/>
      <c r="AE786" s="87"/>
      <c r="AF786" s="87" t="str">
        <f>IF($A786="","",IF($AK786=TRUE,"Ready 2 Submit","Waiting on Dealer"))</f>
        <v/>
      </c>
      <c r="AG786" s="148"/>
      <c r="AH786" s="87"/>
      <c r="AI786" s="87"/>
      <c r="AJ786" s="197"/>
      <c r="AK786" s="110" t="b">
        <v>0</v>
      </c>
      <c r="AL786" s="87" t="str" cm="1">
        <f t="array" ref="AL786">IF($A786="","",SUMPRODUCT((CHOOSE({1,2,3,4,5},$R786,$V786,$Z786,$AD786,$AH786)="Yes")*(((CHOOSE({1,2,3,4,5},$S786,$W786,$AA786,$AE786,$AI786)="Yes")+(CHOOSE({1,2,3,4,5},$S786,$W786,$AA786,$AE786,$AI786)=TRUE))&gt;0)))</f>
        <v/>
      </c>
      <c r="AM786" s="87"/>
      <c r="AN786" s="87" t="str">
        <f ca="1">IF(OR($A786="",$AM786=""),"",TODAY()-$AM786)</f>
        <v/>
      </c>
      <c r="AO786" s="87"/>
      <c r="AP786" s="106"/>
      <c r="AQ786" s="106"/>
      <c r="AR786" s="106"/>
      <c r="AS786" s="106"/>
      <c r="AT786" s="106"/>
      <c r="AU786" s="106"/>
      <c r="AV786" s="106"/>
      <c r="AW786" s="106"/>
      <c r="AX786" s="106"/>
      <c r="AY786" s="106"/>
    </row>
    <row r="787" spans="1:51" s="20" customFormat="1" ht="21" customHeight="1">
      <c r="A787" s="197"/>
      <c r="B787" s="87"/>
      <c r="C787" s="87"/>
      <c r="D787" s="196"/>
      <c r="E787" s="108"/>
      <c r="F787" s="196"/>
      <c r="G787" s="87"/>
      <c r="H787" s="197"/>
      <c r="I787" s="89"/>
      <c r="J787" s="204"/>
      <c r="K787" s="87"/>
      <c r="L787" s="87" t="str" cm="1">
        <f t="array" ref="L787">IF($A787="","",_xlfn.LET(_xlpm.stat,CHOOSE({1,2,3,4,5},$P787,$T787,$X787,$AB787,$AF787),_xlpm.rate,CHOOSE({1,2,3,4,5},$R787,$V787,$Z787,$AD787,$AH787),_xlpm.trn,CHOOSE({1,2,3,4,5},$S787,$W787,$AA787,$AE787,$AI787),_xlpm.nsC,SUMPRODUCT(--(_xlpm.stat="Ready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DLR",IF(AND(_xlpm.actRS&gt;0,_xlpm.actDone&lt;_xlpm.actRS),"Training",IF(_xlpm.actRS&gt;0,"Active",IF(AND(_xlpm.decC&gt;0,_xlpm.inPlay+_xlpm.actC=0),"Dead",IF(AND($AJ787&lt;&gt;"",$AK787=FALSE),"Waiting on Dealer",IF(_xlpm.subC&gt;0,"Waiting on Lender",IF(AND(_xlpm.appC+_xlpm.actC&gt;0,_xlpm.nsC+_xlpm.wdC=0),"Rate Sheet","Application Submitted")))))))))</f>
        <v/>
      </c>
      <c r="M787" s="87"/>
      <c r="N787" s="87"/>
      <c r="O787" s="197"/>
      <c r="P787" s="87" t="str">
        <f>IF($A787="","",IF($AK787=TRUE,"Ready 2 Submit","Waiting on Dealer"))</f>
        <v/>
      </c>
      <c r="Q787" s="148"/>
      <c r="R787" s="87"/>
      <c r="S787" s="87"/>
      <c r="T787" s="87" t="str">
        <f>IF($A787="","",IF($AK787=TRUE,"Ready 2 Submit","Waiting on Dealer"))</f>
        <v/>
      </c>
      <c r="U787" s="148"/>
      <c r="V787" s="87"/>
      <c r="W787" s="87"/>
      <c r="X787" s="87" t="str">
        <f>IF($A787="","",IF($AK787=TRUE,"Ready 2 Submit","Waiting on Dealer"))</f>
        <v/>
      </c>
      <c r="Y787" s="148"/>
      <c r="Z787" s="87"/>
      <c r="AA787" s="87"/>
      <c r="AB787" s="87" t="str">
        <f>IF($A787="","",IF($AK787=TRUE,"Ready 2 Submit","Waiting on Dealer"))</f>
        <v/>
      </c>
      <c r="AC787" s="148"/>
      <c r="AD787" s="87"/>
      <c r="AE787" s="87"/>
      <c r="AF787" s="87" t="str">
        <f>IF($A787="","",IF($AK787=TRUE,"Ready 2 Submit","Waiting on Dealer"))</f>
        <v/>
      </c>
      <c r="AG787" s="148"/>
      <c r="AH787" s="87"/>
      <c r="AI787" s="87"/>
      <c r="AJ787" s="197"/>
      <c r="AK787" s="110" t="b">
        <v>0</v>
      </c>
      <c r="AL787" s="87" t="str" cm="1">
        <f t="array" ref="AL787">IF($A787="","",SUMPRODUCT((CHOOSE({1,2,3,4,5},$R787,$V787,$Z787,$AD787,$AH787)="Yes")*(((CHOOSE({1,2,3,4,5},$S787,$W787,$AA787,$AE787,$AI787)="Yes")+(CHOOSE({1,2,3,4,5},$S787,$W787,$AA787,$AE787,$AI787)=TRUE))&gt;0)))</f>
        <v/>
      </c>
      <c r="AM787" s="87"/>
      <c r="AN787" s="87" t="str">
        <f ca="1">IF(OR($A787="",$AM787=""),"",TODAY()-$AM787)</f>
        <v/>
      </c>
      <c r="AO787" s="87"/>
      <c r="AP787" s="106"/>
      <c r="AQ787" s="106"/>
      <c r="AR787" s="106"/>
      <c r="AS787" s="106"/>
      <c r="AT787" s="106"/>
      <c r="AU787" s="106"/>
      <c r="AV787" s="106"/>
      <c r="AW787" s="106"/>
      <c r="AX787" s="106"/>
      <c r="AY787" s="106"/>
    </row>
    <row r="788" spans="1:51" s="20" customFormat="1" ht="21" customHeight="1">
      <c r="A788" s="197"/>
      <c r="B788" s="87"/>
      <c r="C788" s="87"/>
      <c r="D788" s="196"/>
      <c r="E788" s="108"/>
      <c r="F788" s="196"/>
      <c r="G788" s="87"/>
      <c r="H788" s="197"/>
      <c r="I788" s="89"/>
      <c r="J788" s="204"/>
      <c r="K788" s="87"/>
      <c r="L788" s="87" t="str" cm="1">
        <f t="array" ref="L788">IF($A788="","",_xlfn.LET(_xlpm.stat,CHOOSE({1,2,3,4,5},$P788,$T788,$X788,$AB788,$AF788),_xlpm.rate,CHOOSE({1,2,3,4,5},$R788,$V788,$Z788,$AD788,$AH788),_xlpm.trn,CHOOSE({1,2,3,4,5},$S788,$W788,$AA788,$AE788,$AI788),_xlpm.nsC,SUMPRODUCT(--(_xlpm.stat="Ready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DLR",IF(AND(_xlpm.actRS&gt;0,_xlpm.actDone&lt;_xlpm.actRS),"Training",IF(_xlpm.actRS&gt;0,"Active",IF(AND(_xlpm.decC&gt;0,_xlpm.inPlay+_xlpm.actC=0),"Dead",IF(AND($AJ788&lt;&gt;"",$AK788=FALSE),"Waiting on Dealer",IF(_xlpm.subC&gt;0,"Waiting on Lender",IF(AND(_xlpm.appC+_xlpm.actC&gt;0,_xlpm.nsC+_xlpm.wdC=0),"Rate Sheet","Application Submitted")))))))))</f>
        <v/>
      </c>
      <c r="M788" s="87"/>
      <c r="N788" s="87"/>
      <c r="O788" s="197"/>
      <c r="P788" s="87" t="str">
        <f>IF($A788="","",IF($AK788=TRUE,"Ready 2 Submit","Waiting on Dealer"))</f>
        <v/>
      </c>
      <c r="Q788" s="148"/>
      <c r="R788" s="87"/>
      <c r="S788" s="87"/>
      <c r="T788" s="87" t="str">
        <f>IF($A788="","",IF($AK788=TRUE,"Ready 2 Submit","Waiting on Dealer"))</f>
        <v/>
      </c>
      <c r="U788" s="148"/>
      <c r="V788" s="87"/>
      <c r="W788" s="87"/>
      <c r="X788" s="87" t="str">
        <f>IF($A788="","",IF($AK788=TRUE,"Ready 2 Submit","Waiting on Dealer"))</f>
        <v/>
      </c>
      <c r="Y788" s="148"/>
      <c r="Z788" s="87"/>
      <c r="AA788" s="87"/>
      <c r="AB788" s="87" t="str">
        <f>IF($A788="","",IF($AK788=TRUE,"Ready 2 Submit","Waiting on Dealer"))</f>
        <v/>
      </c>
      <c r="AC788" s="148"/>
      <c r="AD788" s="87"/>
      <c r="AE788" s="87"/>
      <c r="AF788" s="87" t="str">
        <f>IF($A788="","",IF($AK788=TRUE,"Ready 2 Submit","Waiting on Dealer"))</f>
        <v/>
      </c>
      <c r="AG788" s="148"/>
      <c r="AH788" s="87"/>
      <c r="AI788" s="87"/>
      <c r="AJ788" s="197"/>
      <c r="AK788" s="110" t="b">
        <v>0</v>
      </c>
      <c r="AL788" s="87" t="str" cm="1">
        <f t="array" ref="AL788">IF($A788="","",SUMPRODUCT((CHOOSE({1,2,3,4,5},$R788,$V788,$Z788,$AD788,$AH788)="Yes")*(((CHOOSE({1,2,3,4,5},$S788,$W788,$AA788,$AE788,$AI788)="Yes")+(CHOOSE({1,2,3,4,5},$S788,$W788,$AA788,$AE788,$AI788)=TRUE))&gt;0)))</f>
        <v/>
      </c>
      <c r="AM788" s="87"/>
      <c r="AN788" s="87" t="str">
        <f ca="1">IF(OR($A788="",$AM788=""),"",TODAY()-$AM788)</f>
        <v/>
      </c>
      <c r="AO788" s="87"/>
      <c r="AP788" s="106"/>
      <c r="AQ788" s="106"/>
      <c r="AR788" s="106"/>
      <c r="AS788" s="106"/>
      <c r="AT788" s="106"/>
      <c r="AU788" s="106"/>
      <c r="AV788" s="106"/>
      <c r="AW788" s="106"/>
      <c r="AX788" s="106"/>
      <c r="AY788" s="106"/>
    </row>
    <row r="789" spans="1:51" s="20" customFormat="1" ht="21" customHeight="1">
      <c r="A789" s="197"/>
      <c r="B789" s="87"/>
      <c r="C789" s="87"/>
      <c r="D789" s="196"/>
      <c r="E789" s="108"/>
      <c r="F789" s="196"/>
      <c r="G789" s="87"/>
      <c r="H789" s="197"/>
      <c r="I789" s="89"/>
      <c r="J789" s="204"/>
      <c r="K789" s="87"/>
      <c r="L789" s="87" t="str" cm="1">
        <f t="array" ref="L789">IF($A789="","",_xlfn.LET(_xlpm.stat,CHOOSE({1,2,3,4,5},$P789,$T789,$X789,$AB789,$AF789),_xlpm.rate,CHOOSE({1,2,3,4,5},$R789,$V789,$Z789,$AD789,$AH789),_xlpm.trn,CHOOSE({1,2,3,4,5},$S789,$W789,$AA789,$AE789,$AI789),_xlpm.nsC,SUMPRODUCT(--(_xlpm.stat="Ready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DLR",IF(AND(_xlpm.actRS&gt;0,_xlpm.actDone&lt;_xlpm.actRS),"Training",IF(_xlpm.actRS&gt;0,"Active",IF(AND(_xlpm.decC&gt;0,_xlpm.inPlay+_xlpm.actC=0),"Dead",IF(AND($AJ789&lt;&gt;"",$AK789=FALSE),"Waiting on Dealer",IF(_xlpm.subC&gt;0,"Waiting on Lender",IF(AND(_xlpm.appC+_xlpm.actC&gt;0,_xlpm.nsC+_xlpm.wdC=0),"Rate Sheet","Application Submitted")))))))))</f>
        <v/>
      </c>
      <c r="M789" s="87"/>
      <c r="N789" s="87"/>
      <c r="O789" s="197"/>
      <c r="P789" s="87" t="str">
        <f>IF($A789="","",IF($AK789=TRUE,"Ready 2 Submit","Waiting on Dealer"))</f>
        <v/>
      </c>
      <c r="Q789" s="148"/>
      <c r="R789" s="87"/>
      <c r="S789" s="87"/>
      <c r="T789" s="87" t="str">
        <f>IF($A789="","",IF($AK789=TRUE,"Ready 2 Submit","Waiting on Dealer"))</f>
        <v/>
      </c>
      <c r="U789" s="148"/>
      <c r="V789" s="87"/>
      <c r="W789" s="87"/>
      <c r="X789" s="87" t="str">
        <f>IF($A789="","",IF($AK789=TRUE,"Ready 2 Submit","Waiting on Dealer"))</f>
        <v/>
      </c>
      <c r="Y789" s="148"/>
      <c r="Z789" s="87"/>
      <c r="AA789" s="87"/>
      <c r="AB789" s="87" t="str">
        <f>IF($A789="","",IF($AK789=TRUE,"Ready 2 Submit","Waiting on Dealer"))</f>
        <v/>
      </c>
      <c r="AC789" s="148"/>
      <c r="AD789" s="87"/>
      <c r="AE789" s="87"/>
      <c r="AF789" s="87" t="str">
        <f>IF($A789="","",IF($AK789=TRUE,"Ready 2 Submit","Waiting on Dealer"))</f>
        <v/>
      </c>
      <c r="AG789" s="148"/>
      <c r="AH789" s="87"/>
      <c r="AI789" s="87"/>
      <c r="AJ789" s="197"/>
      <c r="AK789" s="110" t="b">
        <v>0</v>
      </c>
      <c r="AL789" s="87" t="str" cm="1">
        <f t="array" ref="AL789">IF($A789="","",SUMPRODUCT((CHOOSE({1,2,3,4,5},$R789,$V789,$Z789,$AD789,$AH789)="Yes")*(((CHOOSE({1,2,3,4,5},$S789,$W789,$AA789,$AE789,$AI789)="Yes")+(CHOOSE({1,2,3,4,5},$S789,$W789,$AA789,$AE789,$AI789)=TRUE))&gt;0)))</f>
        <v/>
      </c>
      <c r="AM789" s="87"/>
      <c r="AN789" s="87" t="str">
        <f ca="1">IF(OR($A789="",$AM789=""),"",TODAY()-$AM789)</f>
        <v/>
      </c>
      <c r="AO789" s="87"/>
      <c r="AP789" s="106"/>
      <c r="AQ789" s="106"/>
      <c r="AR789" s="106"/>
      <c r="AS789" s="106"/>
      <c r="AT789" s="106"/>
      <c r="AU789" s="106"/>
      <c r="AV789" s="106"/>
      <c r="AW789" s="106"/>
      <c r="AX789" s="106"/>
      <c r="AY789" s="106"/>
    </row>
    <row r="790" spans="1:51" s="20" customFormat="1" ht="21" customHeight="1">
      <c r="A790" s="197"/>
      <c r="B790" s="87"/>
      <c r="C790" s="87"/>
      <c r="D790" s="196"/>
      <c r="E790" s="108"/>
      <c r="F790" s="196"/>
      <c r="G790" s="87"/>
      <c r="H790" s="197"/>
      <c r="I790" s="89"/>
      <c r="J790" s="204"/>
      <c r="K790" s="87"/>
      <c r="L790" s="87" t="str" cm="1">
        <f t="array" ref="L790">IF($A790="","",_xlfn.LET(_xlpm.stat,CHOOSE({1,2,3,4,5},$P790,$T790,$X790,$AB790,$AF790),_xlpm.rate,CHOOSE({1,2,3,4,5},$R790,$V790,$Z790,$AD790,$AH790),_xlpm.trn,CHOOSE({1,2,3,4,5},$S790,$W790,$AA790,$AE790,$AI790),_xlpm.nsC,SUMPRODUCT(--(_xlpm.stat="Ready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DLR",IF(AND(_xlpm.actRS&gt;0,_xlpm.actDone&lt;_xlpm.actRS),"Training",IF(_xlpm.actRS&gt;0,"Active",IF(AND(_xlpm.decC&gt;0,_xlpm.inPlay+_xlpm.actC=0),"Dead",IF(AND($AJ790&lt;&gt;"",$AK790=FALSE),"Waiting on Dealer",IF(_xlpm.subC&gt;0,"Waiting on Lender",IF(AND(_xlpm.appC+_xlpm.actC&gt;0,_xlpm.nsC+_xlpm.wdC=0),"Rate Sheet","Application Submitted")))))))))</f>
        <v/>
      </c>
      <c r="M790" s="87"/>
      <c r="N790" s="87"/>
      <c r="O790" s="197"/>
      <c r="P790" s="87" t="str">
        <f>IF($A790="","",IF($AK790=TRUE,"Ready 2 Submit","Waiting on Dealer"))</f>
        <v/>
      </c>
      <c r="Q790" s="148"/>
      <c r="R790" s="87"/>
      <c r="S790" s="87"/>
      <c r="T790" s="87" t="str">
        <f>IF($A790="","",IF($AK790=TRUE,"Ready 2 Submit","Waiting on Dealer"))</f>
        <v/>
      </c>
      <c r="U790" s="148"/>
      <c r="V790" s="87"/>
      <c r="W790" s="87"/>
      <c r="X790" s="87" t="str">
        <f>IF($A790="","",IF($AK790=TRUE,"Ready 2 Submit","Waiting on Dealer"))</f>
        <v/>
      </c>
      <c r="Y790" s="148"/>
      <c r="Z790" s="87"/>
      <c r="AA790" s="87"/>
      <c r="AB790" s="87" t="str">
        <f>IF($A790="","",IF($AK790=TRUE,"Ready 2 Submit","Waiting on Dealer"))</f>
        <v/>
      </c>
      <c r="AC790" s="148"/>
      <c r="AD790" s="87"/>
      <c r="AE790" s="87"/>
      <c r="AF790" s="87" t="str">
        <f>IF($A790="","",IF($AK790=TRUE,"Ready 2 Submit","Waiting on Dealer"))</f>
        <v/>
      </c>
      <c r="AG790" s="148"/>
      <c r="AH790" s="87"/>
      <c r="AI790" s="87"/>
      <c r="AJ790" s="197"/>
      <c r="AK790" s="110" t="b">
        <v>0</v>
      </c>
      <c r="AL790" s="87" t="str" cm="1">
        <f t="array" ref="AL790">IF($A790="","",SUMPRODUCT((CHOOSE({1,2,3,4,5},$R790,$V790,$Z790,$AD790,$AH790)="Yes")*(((CHOOSE({1,2,3,4,5},$S790,$W790,$AA790,$AE790,$AI790)="Yes")+(CHOOSE({1,2,3,4,5},$S790,$W790,$AA790,$AE790,$AI790)=TRUE))&gt;0)))</f>
        <v/>
      </c>
      <c r="AM790" s="87"/>
      <c r="AN790" s="87" t="str">
        <f ca="1">IF(OR($A790="",$AM790=""),"",TODAY()-$AM790)</f>
        <v/>
      </c>
      <c r="AO790" s="87"/>
      <c r="AP790" s="106"/>
      <c r="AQ790" s="106"/>
      <c r="AR790" s="106"/>
      <c r="AS790" s="106"/>
      <c r="AT790" s="106"/>
      <c r="AU790" s="106"/>
      <c r="AV790" s="106"/>
      <c r="AW790" s="106"/>
      <c r="AX790" s="106"/>
      <c r="AY790" s="106"/>
    </row>
    <row r="791" spans="1:51" s="20" customFormat="1" ht="21" customHeight="1">
      <c r="A791" s="197"/>
      <c r="B791" s="87"/>
      <c r="C791" s="87"/>
      <c r="D791" s="196"/>
      <c r="E791" s="108"/>
      <c r="F791" s="196"/>
      <c r="G791" s="87"/>
      <c r="H791" s="197"/>
      <c r="I791" s="89"/>
      <c r="J791" s="204"/>
      <c r="K791" s="87"/>
      <c r="L791" s="87" t="str" cm="1">
        <f t="array" ref="L791">IF($A791="","",_xlfn.LET(_xlpm.stat,CHOOSE({1,2,3,4,5},$P791,$T791,$X791,$AB791,$AF791),_xlpm.rate,CHOOSE({1,2,3,4,5},$R791,$V791,$Z791,$AD791,$AH791),_xlpm.trn,CHOOSE({1,2,3,4,5},$S791,$W791,$AA791,$AE791,$AI791),_xlpm.nsC,SUMPRODUCT(--(_xlpm.stat="Ready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DLR",IF(AND(_xlpm.actRS&gt;0,_xlpm.actDone&lt;_xlpm.actRS),"Training",IF(_xlpm.actRS&gt;0,"Active",IF(AND(_xlpm.decC&gt;0,_xlpm.inPlay+_xlpm.actC=0),"Dead",IF(AND($AJ791&lt;&gt;"",$AK791=FALSE),"Waiting on Dealer",IF(_xlpm.subC&gt;0,"Waiting on Lender",IF(AND(_xlpm.appC+_xlpm.actC&gt;0,_xlpm.nsC+_xlpm.wdC=0),"Rate Sheet","Application Submitted")))))))))</f>
        <v/>
      </c>
      <c r="M791" s="87"/>
      <c r="N791" s="87"/>
      <c r="O791" s="197"/>
      <c r="P791" s="87" t="str">
        <f>IF($A791="","",IF($AK791=TRUE,"Ready 2 Submit","Waiting on Dealer"))</f>
        <v/>
      </c>
      <c r="Q791" s="148"/>
      <c r="R791" s="87"/>
      <c r="S791" s="87"/>
      <c r="T791" s="87" t="str">
        <f>IF($A791="","",IF($AK791=TRUE,"Ready 2 Submit","Waiting on Dealer"))</f>
        <v/>
      </c>
      <c r="U791" s="148"/>
      <c r="V791" s="87"/>
      <c r="W791" s="87"/>
      <c r="X791" s="87" t="str">
        <f>IF($A791="","",IF($AK791=TRUE,"Ready 2 Submit","Waiting on Dealer"))</f>
        <v/>
      </c>
      <c r="Y791" s="148"/>
      <c r="Z791" s="87"/>
      <c r="AA791" s="87"/>
      <c r="AB791" s="87" t="str">
        <f>IF($A791="","",IF($AK791=TRUE,"Ready 2 Submit","Waiting on Dealer"))</f>
        <v/>
      </c>
      <c r="AC791" s="148"/>
      <c r="AD791" s="87"/>
      <c r="AE791" s="87"/>
      <c r="AF791" s="87" t="str">
        <f>IF($A791="","",IF($AK791=TRUE,"Ready 2 Submit","Waiting on Dealer"))</f>
        <v/>
      </c>
      <c r="AG791" s="148"/>
      <c r="AH791" s="87"/>
      <c r="AI791" s="87"/>
      <c r="AJ791" s="197"/>
      <c r="AK791" s="110" t="b">
        <v>0</v>
      </c>
      <c r="AL791" s="87" t="str" cm="1">
        <f t="array" ref="AL791">IF($A791="","",SUMPRODUCT((CHOOSE({1,2,3,4,5},$R791,$V791,$Z791,$AD791,$AH791)="Yes")*(((CHOOSE({1,2,3,4,5},$S791,$W791,$AA791,$AE791,$AI791)="Yes")+(CHOOSE({1,2,3,4,5},$S791,$W791,$AA791,$AE791,$AI791)=TRUE))&gt;0)))</f>
        <v/>
      </c>
      <c r="AM791" s="87"/>
      <c r="AN791" s="87" t="str">
        <f ca="1">IF(OR($A791="",$AM791=""),"",TODAY()-$AM791)</f>
        <v/>
      </c>
      <c r="AO791" s="87"/>
      <c r="AP791" s="106"/>
      <c r="AQ791" s="106"/>
      <c r="AR791" s="106"/>
      <c r="AS791" s="106"/>
      <c r="AT791" s="106"/>
      <c r="AU791" s="106"/>
      <c r="AV791" s="106"/>
      <c r="AW791" s="106"/>
      <c r="AX791" s="106"/>
      <c r="AY791" s="106"/>
    </row>
    <row r="792" spans="1:51" s="20" customFormat="1" ht="21" customHeight="1">
      <c r="A792" s="197"/>
      <c r="B792" s="87"/>
      <c r="C792" s="87"/>
      <c r="D792" s="196"/>
      <c r="E792" s="108"/>
      <c r="F792" s="196"/>
      <c r="G792" s="87"/>
      <c r="H792" s="197"/>
      <c r="I792" s="89"/>
      <c r="J792" s="204"/>
      <c r="K792" s="87"/>
      <c r="L792" s="87" t="str" cm="1">
        <f t="array" ref="L792">IF($A792="","",_xlfn.LET(_xlpm.stat,CHOOSE({1,2,3,4,5},$P792,$T792,$X792,$AB792,$AF792),_xlpm.rate,CHOOSE({1,2,3,4,5},$R792,$V792,$Z792,$AD792,$AH792),_xlpm.trn,CHOOSE({1,2,3,4,5},$S792,$W792,$AA792,$AE792,$AI792),_xlpm.nsC,SUMPRODUCT(--(_xlpm.stat="Ready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DLR",IF(AND(_xlpm.actRS&gt;0,_xlpm.actDone&lt;_xlpm.actRS),"Training",IF(_xlpm.actRS&gt;0,"Active",IF(AND(_xlpm.decC&gt;0,_xlpm.inPlay+_xlpm.actC=0),"Dead",IF(AND($AJ792&lt;&gt;"",$AK792=FALSE),"Waiting on Dealer",IF(_xlpm.subC&gt;0,"Waiting on Lender",IF(AND(_xlpm.appC+_xlpm.actC&gt;0,_xlpm.nsC+_xlpm.wdC=0),"Rate Sheet","Application Submitted")))))))))</f>
        <v/>
      </c>
      <c r="M792" s="87"/>
      <c r="N792" s="87"/>
      <c r="O792" s="197"/>
      <c r="P792" s="87" t="str">
        <f>IF($A792="","",IF($AK792=TRUE,"Ready 2 Submit","Waiting on Dealer"))</f>
        <v/>
      </c>
      <c r="Q792" s="148"/>
      <c r="R792" s="87"/>
      <c r="S792" s="87"/>
      <c r="T792" s="87" t="str">
        <f>IF($A792="","",IF($AK792=TRUE,"Ready 2 Submit","Waiting on Dealer"))</f>
        <v/>
      </c>
      <c r="U792" s="148"/>
      <c r="V792" s="87"/>
      <c r="W792" s="87"/>
      <c r="X792" s="87" t="str">
        <f>IF($A792="","",IF($AK792=TRUE,"Ready 2 Submit","Waiting on Dealer"))</f>
        <v/>
      </c>
      <c r="Y792" s="148"/>
      <c r="Z792" s="87"/>
      <c r="AA792" s="87"/>
      <c r="AB792" s="87" t="str">
        <f>IF($A792="","",IF($AK792=TRUE,"Ready 2 Submit","Waiting on Dealer"))</f>
        <v/>
      </c>
      <c r="AC792" s="148"/>
      <c r="AD792" s="87"/>
      <c r="AE792" s="87"/>
      <c r="AF792" s="87" t="str">
        <f>IF($A792="","",IF($AK792=TRUE,"Ready 2 Submit","Waiting on Dealer"))</f>
        <v/>
      </c>
      <c r="AG792" s="148"/>
      <c r="AH792" s="87"/>
      <c r="AI792" s="87"/>
      <c r="AJ792" s="197"/>
      <c r="AK792" s="110" t="b">
        <v>0</v>
      </c>
      <c r="AL792" s="87" t="str" cm="1">
        <f t="array" ref="AL792">IF($A792="","",SUMPRODUCT((CHOOSE({1,2,3,4,5},$R792,$V792,$Z792,$AD792,$AH792)="Yes")*(((CHOOSE({1,2,3,4,5},$S792,$W792,$AA792,$AE792,$AI792)="Yes")+(CHOOSE({1,2,3,4,5},$S792,$W792,$AA792,$AE792,$AI792)=TRUE))&gt;0)))</f>
        <v/>
      </c>
      <c r="AM792" s="87"/>
      <c r="AN792" s="87" t="str">
        <f ca="1">IF(OR($A792="",$AM792=""),"",TODAY()-$AM792)</f>
        <v/>
      </c>
      <c r="AO792" s="87"/>
      <c r="AP792" s="106"/>
      <c r="AQ792" s="106"/>
      <c r="AR792" s="106"/>
      <c r="AS792" s="106"/>
      <c r="AT792" s="106"/>
      <c r="AU792" s="106"/>
      <c r="AV792" s="106"/>
      <c r="AW792" s="106"/>
      <c r="AX792" s="106"/>
      <c r="AY792" s="106"/>
    </row>
    <row r="793" spans="1:51" s="20" customFormat="1" ht="21" customHeight="1">
      <c r="A793" s="197"/>
      <c r="B793" s="87"/>
      <c r="C793" s="87"/>
      <c r="D793" s="196"/>
      <c r="E793" s="108"/>
      <c r="F793" s="196"/>
      <c r="G793" s="87"/>
      <c r="H793" s="197"/>
      <c r="I793" s="89"/>
      <c r="J793" s="204"/>
      <c r="K793" s="87"/>
      <c r="L793" s="87" t="str" cm="1">
        <f t="array" ref="L793">IF($A793="","",_xlfn.LET(_xlpm.stat,CHOOSE({1,2,3,4,5},$P793,$T793,$X793,$AB793,$AF793),_xlpm.rate,CHOOSE({1,2,3,4,5},$R793,$V793,$Z793,$AD793,$AH793),_xlpm.trn,CHOOSE({1,2,3,4,5},$S793,$W793,$AA793,$AE793,$AI793),_xlpm.nsC,SUMPRODUCT(--(_xlpm.stat="Ready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DLR",IF(AND(_xlpm.actRS&gt;0,_xlpm.actDone&lt;_xlpm.actRS),"Training",IF(_xlpm.actRS&gt;0,"Active",IF(AND(_xlpm.decC&gt;0,_xlpm.inPlay+_xlpm.actC=0),"Dead",IF(AND($AJ793&lt;&gt;"",$AK793=FALSE),"Waiting on Dealer",IF(_xlpm.subC&gt;0,"Waiting on Lender",IF(AND(_xlpm.appC+_xlpm.actC&gt;0,_xlpm.nsC+_xlpm.wdC=0),"Rate Sheet","Application Submitted")))))))))</f>
        <v/>
      </c>
      <c r="M793" s="87"/>
      <c r="N793" s="87"/>
      <c r="O793" s="197"/>
      <c r="P793" s="87" t="str">
        <f>IF($A793="","",IF($AK793=TRUE,"Ready 2 Submit","Waiting on Dealer"))</f>
        <v/>
      </c>
      <c r="Q793" s="148"/>
      <c r="R793" s="87"/>
      <c r="S793" s="87"/>
      <c r="T793" s="87" t="str">
        <f>IF($A793="","",IF($AK793=TRUE,"Ready 2 Submit","Waiting on Dealer"))</f>
        <v/>
      </c>
      <c r="U793" s="148"/>
      <c r="V793" s="87"/>
      <c r="W793" s="87"/>
      <c r="X793" s="87" t="str">
        <f>IF($A793="","",IF($AK793=TRUE,"Ready 2 Submit","Waiting on Dealer"))</f>
        <v/>
      </c>
      <c r="Y793" s="148"/>
      <c r="Z793" s="87"/>
      <c r="AA793" s="87"/>
      <c r="AB793" s="87" t="str">
        <f>IF($A793="","",IF($AK793=TRUE,"Ready 2 Submit","Waiting on Dealer"))</f>
        <v/>
      </c>
      <c r="AC793" s="148"/>
      <c r="AD793" s="87"/>
      <c r="AE793" s="87"/>
      <c r="AF793" s="87" t="str">
        <f>IF($A793="","",IF($AK793=TRUE,"Ready 2 Submit","Waiting on Dealer"))</f>
        <v/>
      </c>
      <c r="AG793" s="148"/>
      <c r="AH793" s="87"/>
      <c r="AI793" s="87"/>
      <c r="AJ793" s="197"/>
      <c r="AK793" s="110" t="b">
        <v>0</v>
      </c>
      <c r="AL793" s="87" t="str" cm="1">
        <f t="array" ref="AL793">IF($A793="","",SUMPRODUCT((CHOOSE({1,2,3,4,5},$R793,$V793,$Z793,$AD793,$AH793)="Yes")*(((CHOOSE({1,2,3,4,5},$S793,$W793,$AA793,$AE793,$AI793)="Yes")+(CHOOSE({1,2,3,4,5},$S793,$W793,$AA793,$AE793,$AI793)=TRUE))&gt;0)))</f>
        <v/>
      </c>
      <c r="AM793" s="87"/>
      <c r="AN793" s="87" t="str">
        <f ca="1">IF(OR($A793="",$AM793=""),"",TODAY()-$AM793)</f>
        <v/>
      </c>
      <c r="AO793" s="87"/>
      <c r="AP793" s="106"/>
      <c r="AQ793" s="106"/>
      <c r="AR793" s="106"/>
      <c r="AS793" s="106"/>
      <c r="AT793" s="106"/>
      <c r="AU793" s="106"/>
      <c r="AV793" s="106"/>
      <c r="AW793" s="106"/>
      <c r="AX793" s="106"/>
      <c r="AY793" s="106"/>
    </row>
    <row r="794" spans="1:51" s="20" customFormat="1" ht="21" customHeight="1">
      <c r="A794" s="197"/>
      <c r="B794" s="87"/>
      <c r="C794" s="87"/>
      <c r="D794" s="196"/>
      <c r="E794" s="108"/>
      <c r="F794" s="196"/>
      <c r="G794" s="87"/>
      <c r="H794" s="197"/>
      <c r="I794" s="89"/>
      <c r="J794" s="204"/>
      <c r="K794" s="87"/>
      <c r="L794" s="87" t="str" cm="1">
        <f t="array" ref="L794">IF($A794="","",_xlfn.LET(_xlpm.stat,CHOOSE({1,2,3,4,5},$P794,$T794,$X794,$AB794,$AF794),_xlpm.rate,CHOOSE({1,2,3,4,5},$R794,$V794,$Z794,$AD794,$AH794),_xlpm.trn,CHOOSE({1,2,3,4,5},$S794,$W794,$AA794,$AE794,$AI794),_xlpm.nsC,SUMPRODUCT(--(_xlpm.stat="Ready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DLR",IF(AND(_xlpm.actRS&gt;0,_xlpm.actDone&lt;_xlpm.actRS),"Training",IF(_xlpm.actRS&gt;0,"Active",IF(AND(_xlpm.decC&gt;0,_xlpm.inPlay+_xlpm.actC=0),"Dead",IF(AND($AJ794&lt;&gt;"",$AK794=FALSE),"Waiting on Dealer",IF(_xlpm.subC&gt;0,"Waiting on Lender",IF(AND(_xlpm.appC+_xlpm.actC&gt;0,_xlpm.nsC+_xlpm.wdC=0),"Rate Sheet","Application Submitted")))))))))</f>
        <v/>
      </c>
      <c r="M794" s="87"/>
      <c r="N794" s="87"/>
      <c r="O794" s="197"/>
      <c r="P794" s="87" t="str">
        <f>IF($A794="","",IF($AK794=TRUE,"Ready 2 Submit","Waiting on Dealer"))</f>
        <v/>
      </c>
      <c r="Q794" s="148"/>
      <c r="R794" s="87"/>
      <c r="S794" s="87"/>
      <c r="T794" s="87" t="str">
        <f>IF($A794="","",IF($AK794=TRUE,"Ready 2 Submit","Waiting on Dealer"))</f>
        <v/>
      </c>
      <c r="U794" s="148"/>
      <c r="V794" s="87"/>
      <c r="W794" s="87"/>
      <c r="X794" s="87" t="str">
        <f>IF($A794="","",IF($AK794=TRUE,"Ready 2 Submit","Waiting on Dealer"))</f>
        <v/>
      </c>
      <c r="Y794" s="148"/>
      <c r="Z794" s="87"/>
      <c r="AA794" s="87"/>
      <c r="AB794" s="87" t="str">
        <f>IF($A794="","",IF($AK794=TRUE,"Ready 2 Submit","Waiting on Dealer"))</f>
        <v/>
      </c>
      <c r="AC794" s="148"/>
      <c r="AD794" s="87"/>
      <c r="AE794" s="87"/>
      <c r="AF794" s="87" t="str">
        <f>IF($A794="","",IF($AK794=TRUE,"Ready 2 Submit","Waiting on Dealer"))</f>
        <v/>
      </c>
      <c r="AG794" s="148"/>
      <c r="AH794" s="87"/>
      <c r="AI794" s="87"/>
      <c r="AJ794" s="197"/>
      <c r="AK794" s="110" t="b">
        <v>0</v>
      </c>
      <c r="AL794" s="87" t="str" cm="1">
        <f t="array" ref="AL794">IF($A794="","",SUMPRODUCT((CHOOSE({1,2,3,4,5},$R794,$V794,$Z794,$AD794,$AH794)="Yes")*(((CHOOSE({1,2,3,4,5},$S794,$W794,$AA794,$AE794,$AI794)="Yes")+(CHOOSE({1,2,3,4,5},$S794,$W794,$AA794,$AE794,$AI794)=TRUE))&gt;0)))</f>
        <v/>
      </c>
      <c r="AM794" s="87"/>
      <c r="AN794" s="87" t="str">
        <f ca="1">IF(OR($A794="",$AM794=""),"",TODAY()-$AM794)</f>
        <v/>
      </c>
      <c r="AO794" s="87"/>
      <c r="AP794" s="106"/>
      <c r="AQ794" s="106"/>
      <c r="AR794" s="106"/>
      <c r="AS794" s="106"/>
      <c r="AT794" s="106"/>
      <c r="AU794" s="106"/>
      <c r="AV794" s="106"/>
      <c r="AW794" s="106"/>
      <c r="AX794" s="106"/>
      <c r="AY794" s="106"/>
    </row>
    <row r="795" spans="1:51" s="20" customFormat="1" ht="21" customHeight="1">
      <c r="A795" s="197"/>
      <c r="B795" s="87"/>
      <c r="C795" s="87"/>
      <c r="D795" s="196"/>
      <c r="E795" s="108"/>
      <c r="F795" s="196"/>
      <c r="G795" s="87"/>
      <c r="H795" s="197"/>
      <c r="I795" s="89"/>
      <c r="J795" s="204"/>
      <c r="K795" s="87"/>
      <c r="L795" s="87" t="str" cm="1">
        <f t="array" ref="L795">IF($A795="","",_xlfn.LET(_xlpm.stat,CHOOSE({1,2,3,4,5},$P795,$T795,$X795,$AB795,$AF795),_xlpm.rate,CHOOSE({1,2,3,4,5},$R795,$V795,$Z795,$AD795,$AH795),_xlpm.trn,CHOOSE({1,2,3,4,5},$S795,$W795,$AA795,$AE795,$AI795),_xlpm.nsC,SUMPRODUCT(--(_xlpm.stat="Ready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DLR",IF(AND(_xlpm.actRS&gt;0,_xlpm.actDone&lt;_xlpm.actRS),"Training",IF(_xlpm.actRS&gt;0,"Active",IF(AND(_xlpm.decC&gt;0,_xlpm.inPlay+_xlpm.actC=0),"Dead",IF(AND($AJ795&lt;&gt;"",$AK795=FALSE),"Waiting on Dealer",IF(_xlpm.subC&gt;0,"Waiting on Lender",IF(AND(_xlpm.appC+_xlpm.actC&gt;0,_xlpm.nsC+_xlpm.wdC=0),"Rate Sheet","Application Submitted")))))))))</f>
        <v/>
      </c>
      <c r="M795" s="87"/>
      <c r="N795" s="87"/>
      <c r="O795" s="197"/>
      <c r="P795" s="87" t="str">
        <f>IF($A795="","",IF($AK795=TRUE,"Ready 2 Submit","Waiting on Dealer"))</f>
        <v/>
      </c>
      <c r="Q795" s="148"/>
      <c r="R795" s="87"/>
      <c r="S795" s="87"/>
      <c r="T795" s="87" t="str">
        <f>IF($A795="","",IF($AK795=TRUE,"Ready 2 Submit","Waiting on Dealer"))</f>
        <v/>
      </c>
      <c r="U795" s="148"/>
      <c r="V795" s="87"/>
      <c r="W795" s="87"/>
      <c r="X795" s="87" t="str">
        <f>IF($A795="","",IF($AK795=TRUE,"Ready 2 Submit","Waiting on Dealer"))</f>
        <v/>
      </c>
      <c r="Y795" s="148"/>
      <c r="Z795" s="87"/>
      <c r="AA795" s="87"/>
      <c r="AB795" s="87" t="str">
        <f>IF($A795="","",IF($AK795=TRUE,"Ready 2 Submit","Waiting on Dealer"))</f>
        <v/>
      </c>
      <c r="AC795" s="148"/>
      <c r="AD795" s="87"/>
      <c r="AE795" s="87"/>
      <c r="AF795" s="87" t="str">
        <f>IF($A795="","",IF($AK795=TRUE,"Ready 2 Submit","Waiting on Dealer"))</f>
        <v/>
      </c>
      <c r="AG795" s="148"/>
      <c r="AH795" s="87"/>
      <c r="AI795" s="87"/>
      <c r="AJ795" s="197"/>
      <c r="AK795" s="110" t="b">
        <v>0</v>
      </c>
      <c r="AL795" s="87" t="str" cm="1">
        <f t="array" ref="AL795">IF($A795="","",SUMPRODUCT((CHOOSE({1,2,3,4,5},$R795,$V795,$Z795,$AD795,$AH795)="Yes")*(((CHOOSE({1,2,3,4,5},$S795,$W795,$AA795,$AE795,$AI795)="Yes")+(CHOOSE({1,2,3,4,5},$S795,$W795,$AA795,$AE795,$AI795)=TRUE))&gt;0)))</f>
        <v/>
      </c>
      <c r="AM795" s="87"/>
      <c r="AN795" s="87" t="str">
        <f ca="1">IF(OR($A795="",$AM795=""),"",TODAY()-$AM795)</f>
        <v/>
      </c>
      <c r="AO795" s="87"/>
      <c r="AP795" s="106"/>
      <c r="AQ795" s="106"/>
      <c r="AR795" s="106"/>
      <c r="AS795" s="106"/>
      <c r="AT795" s="106"/>
      <c r="AU795" s="106"/>
      <c r="AV795" s="106"/>
      <c r="AW795" s="106"/>
      <c r="AX795" s="106"/>
      <c r="AY795" s="106"/>
    </row>
    <row r="796" spans="1:51" s="20" customFormat="1" ht="21" customHeight="1">
      <c r="A796" s="197"/>
      <c r="B796" s="87"/>
      <c r="C796" s="87"/>
      <c r="D796" s="196"/>
      <c r="E796" s="108"/>
      <c r="F796" s="196"/>
      <c r="G796" s="87"/>
      <c r="H796" s="197"/>
      <c r="I796" s="89"/>
      <c r="J796" s="204"/>
      <c r="K796" s="87"/>
      <c r="L796" s="87" t="str" cm="1">
        <f t="array" ref="L796">IF($A796="","",_xlfn.LET(_xlpm.stat,CHOOSE({1,2,3,4,5},$P796,$T796,$X796,$AB796,$AF796),_xlpm.rate,CHOOSE({1,2,3,4,5},$R796,$V796,$Z796,$AD796,$AH796),_xlpm.trn,CHOOSE({1,2,3,4,5},$S796,$W796,$AA796,$AE796,$AI796),_xlpm.nsC,SUMPRODUCT(--(_xlpm.stat="Ready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DLR",IF(AND(_xlpm.actRS&gt;0,_xlpm.actDone&lt;_xlpm.actRS),"Training",IF(_xlpm.actRS&gt;0,"Active",IF(AND(_xlpm.decC&gt;0,_xlpm.inPlay+_xlpm.actC=0),"Dead",IF(AND($AJ796&lt;&gt;"",$AK796=FALSE),"Waiting on Dealer",IF(_xlpm.subC&gt;0,"Waiting on Lender",IF(AND(_xlpm.appC+_xlpm.actC&gt;0,_xlpm.nsC+_xlpm.wdC=0),"Rate Sheet","Application Submitted")))))))))</f>
        <v/>
      </c>
      <c r="M796" s="87"/>
      <c r="N796" s="87"/>
      <c r="O796" s="197"/>
      <c r="P796" s="87" t="str">
        <f>IF($A796="","",IF($AK796=TRUE,"Ready 2 Submit","Waiting on Dealer"))</f>
        <v/>
      </c>
      <c r="Q796" s="148"/>
      <c r="R796" s="87"/>
      <c r="S796" s="87"/>
      <c r="T796" s="87" t="str">
        <f>IF($A796="","",IF($AK796=TRUE,"Ready 2 Submit","Waiting on Dealer"))</f>
        <v/>
      </c>
      <c r="U796" s="148"/>
      <c r="V796" s="87"/>
      <c r="W796" s="87"/>
      <c r="X796" s="87" t="str">
        <f>IF($A796="","",IF($AK796=TRUE,"Ready 2 Submit","Waiting on Dealer"))</f>
        <v/>
      </c>
      <c r="Y796" s="148"/>
      <c r="Z796" s="87"/>
      <c r="AA796" s="87"/>
      <c r="AB796" s="87" t="str">
        <f>IF($A796="","",IF($AK796=TRUE,"Ready 2 Submit","Waiting on Dealer"))</f>
        <v/>
      </c>
      <c r="AC796" s="148"/>
      <c r="AD796" s="87"/>
      <c r="AE796" s="87"/>
      <c r="AF796" s="87" t="str">
        <f>IF($A796="","",IF($AK796=TRUE,"Ready 2 Submit","Waiting on Dealer"))</f>
        <v/>
      </c>
      <c r="AG796" s="148"/>
      <c r="AH796" s="87"/>
      <c r="AI796" s="87"/>
      <c r="AJ796" s="197"/>
      <c r="AK796" s="110" t="b">
        <v>0</v>
      </c>
      <c r="AL796" s="87" t="str" cm="1">
        <f t="array" ref="AL796">IF($A796="","",SUMPRODUCT((CHOOSE({1,2,3,4,5},$R796,$V796,$Z796,$AD796,$AH796)="Yes")*(((CHOOSE({1,2,3,4,5},$S796,$W796,$AA796,$AE796,$AI796)="Yes")+(CHOOSE({1,2,3,4,5},$S796,$W796,$AA796,$AE796,$AI796)=TRUE))&gt;0)))</f>
        <v/>
      </c>
      <c r="AM796" s="87"/>
      <c r="AN796" s="87" t="str">
        <f ca="1">IF(OR($A796="",$AM796=""),"",TODAY()-$AM796)</f>
        <v/>
      </c>
      <c r="AO796" s="87"/>
      <c r="AP796" s="106"/>
      <c r="AQ796" s="106"/>
      <c r="AR796" s="106"/>
      <c r="AS796" s="106"/>
      <c r="AT796" s="106"/>
      <c r="AU796" s="106"/>
      <c r="AV796" s="106"/>
      <c r="AW796" s="106"/>
      <c r="AX796" s="106"/>
      <c r="AY796" s="106"/>
    </row>
    <row r="797" spans="1:51" s="20" customFormat="1" ht="21" customHeight="1">
      <c r="A797" s="197"/>
      <c r="B797" s="87"/>
      <c r="C797" s="87"/>
      <c r="D797" s="196"/>
      <c r="E797" s="108"/>
      <c r="F797" s="196"/>
      <c r="G797" s="87"/>
      <c r="H797" s="197"/>
      <c r="I797" s="89"/>
      <c r="J797" s="204"/>
      <c r="K797" s="87"/>
      <c r="L797" s="87" t="str" cm="1">
        <f t="array" ref="L797">IF($A797="","",_xlfn.LET(_xlpm.stat,CHOOSE({1,2,3,4,5},$P797,$T797,$X797,$AB797,$AF797),_xlpm.rate,CHOOSE({1,2,3,4,5},$R797,$V797,$Z797,$AD797,$AH797),_xlpm.trn,CHOOSE({1,2,3,4,5},$S797,$W797,$AA797,$AE797,$AI797),_xlpm.nsC,SUMPRODUCT(--(_xlpm.stat="Ready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DLR",IF(AND(_xlpm.actRS&gt;0,_xlpm.actDone&lt;_xlpm.actRS),"Training",IF(_xlpm.actRS&gt;0,"Active",IF(AND(_xlpm.decC&gt;0,_xlpm.inPlay+_xlpm.actC=0),"Dead",IF(AND($AJ797&lt;&gt;"",$AK797=FALSE),"Waiting on Dealer",IF(_xlpm.subC&gt;0,"Waiting on Lender",IF(AND(_xlpm.appC+_xlpm.actC&gt;0,_xlpm.nsC+_xlpm.wdC=0),"Rate Sheet","Application Submitted")))))))))</f>
        <v/>
      </c>
      <c r="M797" s="87"/>
      <c r="N797" s="87"/>
      <c r="O797" s="197"/>
      <c r="P797" s="87" t="str">
        <f>IF($A797="","",IF($AK797=TRUE,"Ready 2 Submit","Waiting on Dealer"))</f>
        <v/>
      </c>
      <c r="Q797" s="148"/>
      <c r="R797" s="87"/>
      <c r="S797" s="87"/>
      <c r="T797" s="87" t="str">
        <f>IF($A797="","",IF($AK797=TRUE,"Ready 2 Submit","Waiting on Dealer"))</f>
        <v/>
      </c>
      <c r="U797" s="148"/>
      <c r="V797" s="87"/>
      <c r="W797" s="87"/>
      <c r="X797" s="87" t="str">
        <f>IF($A797="","",IF($AK797=TRUE,"Ready 2 Submit","Waiting on Dealer"))</f>
        <v/>
      </c>
      <c r="Y797" s="148"/>
      <c r="Z797" s="87"/>
      <c r="AA797" s="87"/>
      <c r="AB797" s="87" t="str">
        <f>IF($A797="","",IF($AK797=TRUE,"Ready 2 Submit","Waiting on Dealer"))</f>
        <v/>
      </c>
      <c r="AC797" s="148"/>
      <c r="AD797" s="87"/>
      <c r="AE797" s="87"/>
      <c r="AF797" s="87" t="str">
        <f>IF($A797="","",IF($AK797=TRUE,"Ready 2 Submit","Waiting on Dealer"))</f>
        <v/>
      </c>
      <c r="AG797" s="148"/>
      <c r="AH797" s="87"/>
      <c r="AI797" s="87"/>
      <c r="AJ797" s="197"/>
      <c r="AK797" s="110" t="b">
        <v>0</v>
      </c>
      <c r="AL797" s="87" t="str" cm="1">
        <f t="array" ref="AL797">IF($A797="","",SUMPRODUCT((CHOOSE({1,2,3,4,5},$R797,$V797,$Z797,$AD797,$AH797)="Yes")*(((CHOOSE({1,2,3,4,5},$S797,$W797,$AA797,$AE797,$AI797)="Yes")+(CHOOSE({1,2,3,4,5},$S797,$W797,$AA797,$AE797,$AI797)=TRUE))&gt;0)))</f>
        <v/>
      </c>
      <c r="AM797" s="87"/>
      <c r="AN797" s="87" t="str">
        <f ca="1">IF(OR($A797="",$AM797=""),"",TODAY()-$AM797)</f>
        <v/>
      </c>
      <c r="AO797" s="87"/>
      <c r="AP797" s="106"/>
      <c r="AQ797" s="106"/>
      <c r="AR797" s="106"/>
      <c r="AS797" s="106"/>
      <c r="AT797" s="106"/>
      <c r="AU797" s="106"/>
      <c r="AV797" s="106"/>
      <c r="AW797" s="106"/>
      <c r="AX797" s="106"/>
      <c r="AY797" s="106"/>
    </row>
    <row r="798" spans="1:51" s="20" customFormat="1" ht="21" customHeight="1">
      <c r="A798" s="197"/>
      <c r="B798" s="87"/>
      <c r="C798" s="87"/>
      <c r="D798" s="196"/>
      <c r="E798" s="108"/>
      <c r="F798" s="196"/>
      <c r="G798" s="87"/>
      <c r="H798" s="197"/>
      <c r="I798" s="89"/>
      <c r="J798" s="204"/>
      <c r="K798" s="87"/>
      <c r="L798" s="87" t="str" cm="1">
        <f t="array" ref="L798">IF($A798="","",_xlfn.LET(_xlpm.stat,CHOOSE({1,2,3,4,5},$P798,$T798,$X798,$AB798,$AF798),_xlpm.rate,CHOOSE({1,2,3,4,5},$R798,$V798,$Z798,$AD798,$AH798),_xlpm.trn,CHOOSE({1,2,3,4,5},$S798,$W798,$AA798,$AE798,$AI798),_xlpm.nsC,SUMPRODUCT(--(_xlpm.stat="Ready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DLR",IF(AND(_xlpm.actRS&gt;0,_xlpm.actDone&lt;_xlpm.actRS),"Training",IF(_xlpm.actRS&gt;0,"Active",IF(AND(_xlpm.decC&gt;0,_xlpm.inPlay+_xlpm.actC=0),"Dead",IF(AND($AJ798&lt;&gt;"",$AK798=FALSE),"Waiting on Dealer",IF(_xlpm.subC&gt;0,"Waiting on Lender",IF(AND(_xlpm.appC+_xlpm.actC&gt;0,_xlpm.nsC+_xlpm.wdC=0),"Rate Sheet","Application Submitted")))))))))</f>
        <v/>
      </c>
      <c r="M798" s="87"/>
      <c r="N798" s="87"/>
      <c r="O798" s="197"/>
      <c r="P798" s="87" t="str">
        <f>IF($A798="","",IF($AK798=TRUE,"Ready 2 Submit","Waiting on Dealer"))</f>
        <v/>
      </c>
      <c r="Q798" s="148"/>
      <c r="R798" s="87"/>
      <c r="S798" s="87"/>
      <c r="T798" s="87" t="str">
        <f>IF($A798="","",IF($AK798=TRUE,"Ready 2 Submit","Waiting on Dealer"))</f>
        <v/>
      </c>
      <c r="U798" s="148"/>
      <c r="V798" s="87"/>
      <c r="W798" s="87"/>
      <c r="X798" s="87" t="str">
        <f>IF($A798="","",IF($AK798=TRUE,"Ready 2 Submit","Waiting on Dealer"))</f>
        <v/>
      </c>
      <c r="Y798" s="148"/>
      <c r="Z798" s="87"/>
      <c r="AA798" s="87"/>
      <c r="AB798" s="87" t="str">
        <f>IF($A798="","",IF($AK798=TRUE,"Ready 2 Submit","Waiting on Dealer"))</f>
        <v/>
      </c>
      <c r="AC798" s="148"/>
      <c r="AD798" s="87"/>
      <c r="AE798" s="87"/>
      <c r="AF798" s="87" t="str">
        <f>IF($A798="","",IF($AK798=TRUE,"Ready 2 Submit","Waiting on Dealer"))</f>
        <v/>
      </c>
      <c r="AG798" s="148"/>
      <c r="AH798" s="87"/>
      <c r="AI798" s="87"/>
      <c r="AJ798" s="197"/>
      <c r="AK798" s="110" t="b">
        <v>0</v>
      </c>
      <c r="AL798" s="87" t="str" cm="1">
        <f t="array" ref="AL798">IF($A798="","",SUMPRODUCT((CHOOSE({1,2,3,4,5},$R798,$V798,$Z798,$AD798,$AH798)="Yes")*(((CHOOSE({1,2,3,4,5},$S798,$W798,$AA798,$AE798,$AI798)="Yes")+(CHOOSE({1,2,3,4,5},$S798,$W798,$AA798,$AE798,$AI798)=TRUE))&gt;0)))</f>
        <v/>
      </c>
      <c r="AM798" s="87"/>
      <c r="AN798" s="87" t="str">
        <f ca="1">IF(OR($A798="",$AM798=""),"",TODAY()-$AM798)</f>
        <v/>
      </c>
      <c r="AO798" s="87"/>
      <c r="AP798" s="106"/>
      <c r="AQ798" s="106"/>
      <c r="AR798" s="106"/>
      <c r="AS798" s="106"/>
      <c r="AT798" s="106"/>
      <c r="AU798" s="106"/>
      <c r="AV798" s="106"/>
      <c r="AW798" s="106"/>
      <c r="AX798" s="106"/>
      <c r="AY798" s="106"/>
    </row>
    <row r="799" spans="1:51" s="20" customFormat="1" ht="21" customHeight="1">
      <c r="A799" s="197"/>
      <c r="B799" s="87"/>
      <c r="C799" s="87"/>
      <c r="D799" s="196"/>
      <c r="E799" s="108"/>
      <c r="F799" s="196"/>
      <c r="G799" s="87"/>
      <c r="H799" s="197"/>
      <c r="I799" s="89"/>
      <c r="J799" s="204"/>
      <c r="K799" s="87"/>
      <c r="L799" s="87" t="str" cm="1">
        <f t="array" ref="L799">IF($A799="","",_xlfn.LET(_xlpm.stat,CHOOSE({1,2,3,4,5},$P799,$T799,$X799,$AB799,$AF799),_xlpm.rate,CHOOSE({1,2,3,4,5},$R799,$V799,$Z799,$AD799,$AH799),_xlpm.trn,CHOOSE({1,2,3,4,5},$S799,$W799,$AA799,$AE799,$AI799),_xlpm.nsC,SUMPRODUCT(--(_xlpm.stat="Ready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DLR",IF(AND(_xlpm.actRS&gt;0,_xlpm.actDone&lt;_xlpm.actRS),"Training",IF(_xlpm.actRS&gt;0,"Active",IF(AND(_xlpm.decC&gt;0,_xlpm.inPlay+_xlpm.actC=0),"Dead",IF(AND($AJ799&lt;&gt;"",$AK799=FALSE),"Waiting on Dealer",IF(_xlpm.subC&gt;0,"Waiting on Lender",IF(AND(_xlpm.appC+_xlpm.actC&gt;0,_xlpm.nsC+_xlpm.wdC=0),"Rate Sheet","Application Submitted")))))))))</f>
        <v/>
      </c>
      <c r="M799" s="87"/>
      <c r="N799" s="87"/>
      <c r="O799" s="197"/>
      <c r="P799" s="87" t="str">
        <f>IF($A799="","",IF($AK799=TRUE,"Ready 2 Submit","Waiting on Dealer"))</f>
        <v/>
      </c>
      <c r="Q799" s="148"/>
      <c r="R799" s="87"/>
      <c r="S799" s="87"/>
      <c r="T799" s="87" t="str">
        <f>IF($A799="","",IF($AK799=TRUE,"Ready 2 Submit","Waiting on Dealer"))</f>
        <v/>
      </c>
      <c r="U799" s="148"/>
      <c r="V799" s="87"/>
      <c r="W799" s="87"/>
      <c r="X799" s="87" t="str">
        <f>IF($A799="","",IF($AK799=TRUE,"Ready 2 Submit","Waiting on Dealer"))</f>
        <v/>
      </c>
      <c r="Y799" s="148"/>
      <c r="Z799" s="87"/>
      <c r="AA799" s="87"/>
      <c r="AB799" s="87" t="str">
        <f>IF($A799="","",IF($AK799=TRUE,"Ready 2 Submit","Waiting on Dealer"))</f>
        <v/>
      </c>
      <c r="AC799" s="148"/>
      <c r="AD799" s="87"/>
      <c r="AE799" s="87"/>
      <c r="AF799" s="87" t="str">
        <f>IF($A799="","",IF($AK799=TRUE,"Ready 2 Submit","Waiting on Dealer"))</f>
        <v/>
      </c>
      <c r="AG799" s="148"/>
      <c r="AH799" s="87"/>
      <c r="AI799" s="87"/>
      <c r="AJ799" s="197"/>
      <c r="AK799" s="110" t="b">
        <v>0</v>
      </c>
      <c r="AL799" s="87" t="str" cm="1">
        <f t="array" ref="AL799">IF($A799="","",SUMPRODUCT((CHOOSE({1,2,3,4,5},$R799,$V799,$Z799,$AD799,$AH799)="Yes")*(((CHOOSE({1,2,3,4,5},$S799,$W799,$AA799,$AE799,$AI799)="Yes")+(CHOOSE({1,2,3,4,5},$S799,$W799,$AA799,$AE799,$AI799)=TRUE))&gt;0)))</f>
        <v/>
      </c>
      <c r="AM799" s="87"/>
      <c r="AN799" s="87" t="str">
        <f ca="1">IF(OR($A799="",$AM799=""),"",TODAY()-$AM799)</f>
        <v/>
      </c>
      <c r="AO799" s="87"/>
      <c r="AP799" s="106"/>
      <c r="AQ799" s="106"/>
      <c r="AR799" s="106"/>
      <c r="AS799" s="106"/>
      <c r="AT799" s="106"/>
      <c r="AU799" s="106"/>
      <c r="AV799" s="106"/>
      <c r="AW799" s="106"/>
      <c r="AX799" s="106"/>
      <c r="AY799" s="106"/>
    </row>
    <row r="800" spans="1:51" s="20" customFormat="1" ht="21" customHeight="1">
      <c r="A800" s="197"/>
      <c r="B800" s="87"/>
      <c r="C800" s="87"/>
      <c r="D800" s="196"/>
      <c r="E800" s="108"/>
      <c r="F800" s="196"/>
      <c r="G800" s="87"/>
      <c r="H800" s="197"/>
      <c r="I800" s="89"/>
      <c r="J800" s="204"/>
      <c r="K800" s="87"/>
      <c r="L800" s="87" t="str" cm="1">
        <f t="array" ref="L800">IF($A800="","",_xlfn.LET(_xlpm.stat,CHOOSE({1,2,3,4,5},$P800,$T800,$X800,$AB800,$AF800),_xlpm.rate,CHOOSE({1,2,3,4,5},$R800,$V800,$Z800,$AD800,$AH800),_xlpm.trn,CHOOSE({1,2,3,4,5},$S800,$W800,$AA800,$AE800,$AI800),_xlpm.nsC,SUMPRODUCT(--(_xlpm.stat="Ready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DLR",IF(AND(_xlpm.actRS&gt;0,_xlpm.actDone&lt;_xlpm.actRS),"Training",IF(_xlpm.actRS&gt;0,"Active",IF(AND(_xlpm.decC&gt;0,_xlpm.inPlay+_xlpm.actC=0),"Dead",IF(AND($AJ800&lt;&gt;"",$AK800=FALSE),"Waiting on Dealer",IF(_xlpm.subC&gt;0,"Waiting on Lender",IF(AND(_xlpm.appC+_xlpm.actC&gt;0,_xlpm.nsC+_xlpm.wdC=0),"Rate Sheet","Application Submitted")))))))))</f>
        <v/>
      </c>
      <c r="M800" s="87"/>
      <c r="N800" s="87"/>
      <c r="O800" s="197"/>
      <c r="P800" s="87" t="str">
        <f>IF($A800="","",IF($AK800=TRUE,"Ready 2 Submit","Waiting on Dealer"))</f>
        <v/>
      </c>
      <c r="Q800" s="148"/>
      <c r="R800" s="87"/>
      <c r="S800" s="87"/>
      <c r="T800" s="87" t="str">
        <f>IF($A800="","",IF($AK800=TRUE,"Ready 2 Submit","Waiting on Dealer"))</f>
        <v/>
      </c>
      <c r="U800" s="148"/>
      <c r="V800" s="87"/>
      <c r="W800" s="87"/>
      <c r="X800" s="87" t="str">
        <f>IF($A800="","",IF($AK800=TRUE,"Ready 2 Submit","Waiting on Dealer"))</f>
        <v/>
      </c>
      <c r="Y800" s="148"/>
      <c r="Z800" s="87"/>
      <c r="AA800" s="87"/>
      <c r="AB800" s="87" t="str">
        <f>IF($A800="","",IF($AK800=TRUE,"Ready 2 Submit","Waiting on Dealer"))</f>
        <v/>
      </c>
      <c r="AC800" s="148"/>
      <c r="AD800" s="87"/>
      <c r="AE800" s="87"/>
      <c r="AF800" s="87" t="str">
        <f>IF($A800="","",IF($AK800=TRUE,"Ready 2 Submit","Waiting on Dealer"))</f>
        <v/>
      </c>
      <c r="AG800" s="148"/>
      <c r="AH800" s="87"/>
      <c r="AI800" s="87"/>
      <c r="AJ800" s="197"/>
      <c r="AK800" s="110" t="b">
        <v>0</v>
      </c>
      <c r="AL800" s="87" t="str" cm="1">
        <f t="array" ref="AL800">IF($A800="","",SUMPRODUCT((CHOOSE({1,2,3,4,5},$R800,$V800,$Z800,$AD800,$AH800)="Yes")*(((CHOOSE({1,2,3,4,5},$S800,$W800,$AA800,$AE800,$AI800)="Yes")+(CHOOSE({1,2,3,4,5},$S800,$W800,$AA800,$AE800,$AI800)=TRUE))&gt;0)))</f>
        <v/>
      </c>
      <c r="AM800" s="87"/>
      <c r="AN800" s="87" t="str">
        <f ca="1">IF(OR($A800="",$AM800=""),"",TODAY()-$AM800)</f>
        <v/>
      </c>
      <c r="AO800" s="87"/>
      <c r="AP800" s="106"/>
      <c r="AQ800" s="106"/>
      <c r="AR800" s="106"/>
      <c r="AS800" s="106"/>
      <c r="AT800" s="106"/>
      <c r="AU800" s="106"/>
      <c r="AV800" s="106"/>
      <c r="AW800" s="106"/>
      <c r="AX800" s="106"/>
      <c r="AY800" s="106"/>
    </row>
    <row r="801" spans="1:51" s="20" customFormat="1" ht="21" customHeight="1">
      <c r="A801" s="197"/>
      <c r="B801" s="87"/>
      <c r="C801" s="87"/>
      <c r="D801" s="196"/>
      <c r="E801" s="108"/>
      <c r="F801" s="196"/>
      <c r="G801" s="87"/>
      <c r="H801" s="197"/>
      <c r="I801" s="89"/>
      <c r="J801" s="204"/>
      <c r="K801" s="87"/>
      <c r="L801" s="87" t="str" cm="1">
        <f t="array" ref="L801">IF($A801="","",_xlfn.LET(_xlpm.stat,CHOOSE({1,2,3,4,5},$P801,$T801,$X801,$AB801,$AF801),_xlpm.rate,CHOOSE({1,2,3,4,5},$R801,$V801,$Z801,$AD801,$AH801),_xlpm.trn,CHOOSE({1,2,3,4,5},$S801,$W801,$AA801,$AE801,$AI801),_xlpm.nsC,SUMPRODUCT(--(_xlpm.stat="Ready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DLR",IF(AND(_xlpm.actRS&gt;0,_xlpm.actDone&lt;_xlpm.actRS),"Training",IF(_xlpm.actRS&gt;0,"Active",IF(AND(_xlpm.decC&gt;0,_xlpm.inPlay+_xlpm.actC=0),"Dead",IF(AND($AJ801&lt;&gt;"",$AK801=FALSE),"Waiting on Dealer",IF(_xlpm.subC&gt;0,"Waiting on Lender",IF(AND(_xlpm.appC+_xlpm.actC&gt;0,_xlpm.nsC+_xlpm.wdC=0),"Rate Sheet","Application Submitted")))))))))</f>
        <v/>
      </c>
      <c r="M801" s="87"/>
      <c r="N801" s="87"/>
      <c r="O801" s="197"/>
      <c r="P801" s="87" t="str">
        <f>IF($A801="","",IF($AK801=TRUE,"Ready 2 Submit","Waiting on Dealer"))</f>
        <v/>
      </c>
      <c r="Q801" s="148"/>
      <c r="R801" s="87"/>
      <c r="S801" s="87"/>
      <c r="T801" s="87" t="str">
        <f>IF($A801="","",IF($AK801=TRUE,"Ready 2 Submit","Waiting on Dealer"))</f>
        <v/>
      </c>
      <c r="U801" s="148"/>
      <c r="V801" s="87"/>
      <c r="W801" s="87"/>
      <c r="X801" s="87" t="str">
        <f>IF($A801="","",IF($AK801=TRUE,"Ready 2 Submit","Waiting on Dealer"))</f>
        <v/>
      </c>
      <c r="Y801" s="148"/>
      <c r="Z801" s="87"/>
      <c r="AA801" s="87"/>
      <c r="AB801" s="87" t="str">
        <f>IF($A801="","",IF($AK801=TRUE,"Ready 2 Submit","Waiting on Dealer"))</f>
        <v/>
      </c>
      <c r="AC801" s="148"/>
      <c r="AD801" s="87"/>
      <c r="AE801" s="87"/>
      <c r="AF801" s="87" t="str">
        <f>IF($A801="","",IF($AK801=TRUE,"Ready 2 Submit","Waiting on Dealer"))</f>
        <v/>
      </c>
      <c r="AG801" s="148"/>
      <c r="AH801" s="87"/>
      <c r="AI801" s="87"/>
      <c r="AJ801" s="197"/>
      <c r="AK801" s="110" t="b">
        <v>0</v>
      </c>
      <c r="AL801" s="87" t="str" cm="1">
        <f t="array" ref="AL801">IF($A801="","",SUMPRODUCT((CHOOSE({1,2,3,4,5},$R801,$V801,$Z801,$AD801,$AH801)="Yes")*(((CHOOSE({1,2,3,4,5},$S801,$W801,$AA801,$AE801,$AI801)="Yes")+(CHOOSE({1,2,3,4,5},$S801,$W801,$AA801,$AE801,$AI801)=TRUE))&gt;0)))</f>
        <v/>
      </c>
      <c r="AM801" s="87"/>
      <c r="AN801" s="87" t="str">
        <f ca="1">IF(OR($A801="",$AM801=""),"",TODAY()-$AM801)</f>
        <v/>
      </c>
      <c r="AO801" s="87"/>
      <c r="AP801" s="106"/>
      <c r="AQ801" s="106"/>
      <c r="AR801" s="106"/>
      <c r="AS801" s="106"/>
      <c r="AT801" s="106"/>
      <c r="AU801" s="106"/>
      <c r="AV801" s="106"/>
      <c r="AW801" s="106"/>
      <c r="AX801" s="106"/>
      <c r="AY801" s="106"/>
    </row>
    <row r="802" spans="1:51" s="20" customFormat="1" ht="21" customHeight="1">
      <c r="A802" s="197"/>
      <c r="B802" s="87"/>
      <c r="C802" s="87"/>
      <c r="D802" s="196"/>
      <c r="E802" s="108"/>
      <c r="F802" s="196"/>
      <c r="G802" s="87"/>
      <c r="H802" s="197"/>
      <c r="I802" s="89"/>
      <c r="J802" s="204"/>
      <c r="K802" s="87"/>
      <c r="L802" s="87" t="str" cm="1">
        <f t="array" ref="L802">IF($A802="","",_xlfn.LET(_xlpm.stat,CHOOSE({1,2,3,4,5},$P802,$T802,$X802,$AB802,$AF802),_xlpm.rate,CHOOSE({1,2,3,4,5},$R802,$V802,$Z802,$AD802,$AH802),_xlpm.trn,CHOOSE({1,2,3,4,5},$S802,$W802,$AA802,$AE802,$AI802),_xlpm.nsC,SUMPRODUCT(--(_xlpm.stat="Ready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DLR",IF(AND(_xlpm.actRS&gt;0,_xlpm.actDone&lt;_xlpm.actRS),"Training",IF(_xlpm.actRS&gt;0,"Active",IF(AND(_xlpm.decC&gt;0,_xlpm.inPlay+_xlpm.actC=0),"Dead",IF(AND($AJ802&lt;&gt;"",$AK802=FALSE),"Waiting on Dealer",IF(_xlpm.subC&gt;0,"Waiting on Lender",IF(AND(_xlpm.appC+_xlpm.actC&gt;0,_xlpm.nsC+_xlpm.wdC=0),"Rate Sheet","Application Submitted")))))))))</f>
        <v/>
      </c>
      <c r="M802" s="87"/>
      <c r="N802" s="87"/>
      <c r="O802" s="197"/>
      <c r="P802" s="87" t="str">
        <f>IF($A802="","",IF($AK802=TRUE,"Ready 2 Submit","Waiting on Dealer"))</f>
        <v/>
      </c>
      <c r="Q802" s="148"/>
      <c r="R802" s="87"/>
      <c r="S802" s="87"/>
      <c r="T802" s="87" t="str">
        <f>IF($A802="","",IF($AK802=TRUE,"Ready 2 Submit","Waiting on Dealer"))</f>
        <v/>
      </c>
      <c r="U802" s="148"/>
      <c r="V802" s="87"/>
      <c r="W802" s="87"/>
      <c r="X802" s="87" t="str">
        <f>IF($A802="","",IF($AK802=TRUE,"Ready 2 Submit","Waiting on Dealer"))</f>
        <v/>
      </c>
      <c r="Y802" s="148"/>
      <c r="Z802" s="87"/>
      <c r="AA802" s="87"/>
      <c r="AB802" s="87" t="str">
        <f>IF($A802="","",IF($AK802=TRUE,"Ready 2 Submit","Waiting on Dealer"))</f>
        <v/>
      </c>
      <c r="AC802" s="148"/>
      <c r="AD802" s="87"/>
      <c r="AE802" s="87"/>
      <c r="AF802" s="87" t="str">
        <f>IF($A802="","",IF($AK802=TRUE,"Ready 2 Submit","Waiting on Dealer"))</f>
        <v/>
      </c>
      <c r="AG802" s="148"/>
      <c r="AH802" s="87"/>
      <c r="AI802" s="87"/>
      <c r="AJ802" s="197"/>
      <c r="AK802" s="110" t="b">
        <v>0</v>
      </c>
      <c r="AL802" s="87" t="str" cm="1">
        <f t="array" ref="AL802">IF($A802="","",SUMPRODUCT((CHOOSE({1,2,3,4,5},$R802,$V802,$Z802,$AD802,$AH802)="Yes")*(((CHOOSE({1,2,3,4,5},$S802,$W802,$AA802,$AE802,$AI802)="Yes")+(CHOOSE({1,2,3,4,5},$S802,$W802,$AA802,$AE802,$AI802)=TRUE))&gt;0)))</f>
        <v/>
      </c>
      <c r="AM802" s="87"/>
      <c r="AN802" s="87" t="str">
        <f ca="1">IF(OR($A802="",$AM802=""),"",TODAY()-$AM802)</f>
        <v/>
      </c>
      <c r="AO802" s="87"/>
      <c r="AP802" s="106"/>
      <c r="AQ802" s="106"/>
      <c r="AR802" s="106"/>
      <c r="AS802" s="106"/>
      <c r="AT802" s="106"/>
      <c r="AU802" s="106"/>
      <c r="AV802" s="106"/>
      <c r="AW802" s="106"/>
      <c r="AX802" s="106"/>
      <c r="AY802" s="106"/>
    </row>
    <row r="803" spans="1:51" s="20" customFormat="1" ht="21" customHeight="1">
      <c r="A803" s="197"/>
      <c r="B803" s="87"/>
      <c r="C803" s="87"/>
      <c r="D803" s="196"/>
      <c r="E803" s="108"/>
      <c r="F803" s="196"/>
      <c r="G803" s="87"/>
      <c r="H803" s="197"/>
      <c r="I803" s="89"/>
      <c r="J803" s="204"/>
      <c r="K803" s="87"/>
      <c r="L803" s="87" t="str" cm="1">
        <f t="array" ref="L803">IF($A803="","",_xlfn.LET(_xlpm.stat,CHOOSE({1,2,3,4,5},$P803,$T803,$X803,$AB803,$AF803),_xlpm.rate,CHOOSE({1,2,3,4,5},$R803,$V803,$Z803,$AD803,$AH803),_xlpm.trn,CHOOSE({1,2,3,4,5},$S803,$W803,$AA803,$AE803,$AI803),_xlpm.nsC,SUMPRODUCT(--(_xlpm.stat="Ready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DLR",IF(AND(_xlpm.actRS&gt;0,_xlpm.actDone&lt;_xlpm.actRS),"Training",IF(_xlpm.actRS&gt;0,"Active",IF(AND(_xlpm.decC&gt;0,_xlpm.inPlay+_xlpm.actC=0),"Dead",IF(AND($AJ803&lt;&gt;"",$AK803=FALSE),"Waiting on Dealer",IF(_xlpm.subC&gt;0,"Waiting on Lender",IF(AND(_xlpm.appC+_xlpm.actC&gt;0,_xlpm.nsC+_xlpm.wdC=0),"Rate Sheet","Application Submitted")))))))))</f>
        <v/>
      </c>
      <c r="M803" s="87"/>
      <c r="N803" s="87"/>
      <c r="O803" s="197"/>
      <c r="P803" s="87" t="str">
        <f>IF($A803="","",IF($AK803=TRUE,"Ready 2 Submit","Waiting on Dealer"))</f>
        <v/>
      </c>
      <c r="Q803" s="148"/>
      <c r="R803" s="87"/>
      <c r="S803" s="87"/>
      <c r="T803" s="87" t="str">
        <f>IF($A803="","",IF($AK803=TRUE,"Ready 2 Submit","Waiting on Dealer"))</f>
        <v/>
      </c>
      <c r="U803" s="148"/>
      <c r="V803" s="87"/>
      <c r="W803" s="87"/>
      <c r="X803" s="87" t="str">
        <f>IF($A803="","",IF($AK803=TRUE,"Ready 2 Submit","Waiting on Dealer"))</f>
        <v/>
      </c>
      <c r="Y803" s="148"/>
      <c r="Z803" s="87"/>
      <c r="AA803" s="87"/>
      <c r="AB803" s="87" t="str">
        <f>IF($A803="","",IF($AK803=TRUE,"Ready 2 Submit","Waiting on Dealer"))</f>
        <v/>
      </c>
      <c r="AC803" s="148"/>
      <c r="AD803" s="87"/>
      <c r="AE803" s="87"/>
      <c r="AF803" s="87" t="str">
        <f>IF($A803="","",IF($AK803=TRUE,"Ready 2 Submit","Waiting on Dealer"))</f>
        <v/>
      </c>
      <c r="AG803" s="148"/>
      <c r="AH803" s="87"/>
      <c r="AI803" s="87"/>
      <c r="AJ803" s="197"/>
      <c r="AK803" s="110" t="b">
        <v>0</v>
      </c>
      <c r="AL803" s="87" t="str" cm="1">
        <f t="array" ref="AL803">IF($A803="","",SUMPRODUCT((CHOOSE({1,2,3,4,5},$R803,$V803,$Z803,$AD803,$AH803)="Yes")*(((CHOOSE({1,2,3,4,5},$S803,$W803,$AA803,$AE803,$AI803)="Yes")+(CHOOSE({1,2,3,4,5},$S803,$W803,$AA803,$AE803,$AI803)=TRUE))&gt;0)))</f>
        <v/>
      </c>
      <c r="AM803" s="87"/>
      <c r="AN803" s="87" t="str">
        <f ca="1">IF(OR($A803="",$AM803=""),"",TODAY()-$AM803)</f>
        <v/>
      </c>
      <c r="AO803" s="87"/>
      <c r="AP803" s="106"/>
      <c r="AQ803" s="106"/>
      <c r="AR803" s="106"/>
      <c r="AS803" s="106"/>
      <c r="AT803" s="106"/>
      <c r="AU803" s="106"/>
      <c r="AV803" s="106"/>
      <c r="AW803" s="106"/>
      <c r="AX803" s="106"/>
      <c r="AY803" s="106"/>
    </row>
    <row r="804" spans="1:51" s="20" customFormat="1" ht="21" customHeight="1">
      <c r="A804" s="197"/>
      <c r="B804" s="87"/>
      <c r="C804" s="87"/>
      <c r="D804" s="196"/>
      <c r="E804" s="108"/>
      <c r="F804" s="196"/>
      <c r="G804" s="87"/>
      <c r="H804" s="197"/>
      <c r="I804" s="89"/>
      <c r="J804" s="204"/>
      <c r="K804" s="87"/>
      <c r="L804" s="87" t="str" cm="1">
        <f t="array" ref="L804">IF($A804="","",_xlfn.LET(_xlpm.stat,CHOOSE({1,2,3,4,5},$P804,$T804,$X804,$AB804,$AF804),_xlpm.rate,CHOOSE({1,2,3,4,5},$R804,$V804,$Z804,$AD804,$AH804),_xlpm.trn,CHOOSE({1,2,3,4,5},$S804,$W804,$AA804,$AE804,$AI804),_xlpm.nsC,SUMPRODUCT(--(_xlpm.stat="Ready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DLR",IF(AND(_xlpm.actRS&gt;0,_xlpm.actDone&lt;_xlpm.actRS),"Training",IF(_xlpm.actRS&gt;0,"Active",IF(AND(_xlpm.decC&gt;0,_xlpm.inPlay+_xlpm.actC=0),"Dead",IF(AND($AJ804&lt;&gt;"",$AK804=FALSE),"Waiting on Dealer",IF(_xlpm.subC&gt;0,"Waiting on Lender",IF(AND(_xlpm.appC+_xlpm.actC&gt;0,_xlpm.nsC+_xlpm.wdC=0),"Rate Sheet","Application Submitted")))))))))</f>
        <v/>
      </c>
      <c r="M804" s="87"/>
      <c r="N804" s="87"/>
      <c r="O804" s="197"/>
      <c r="P804" s="87" t="str">
        <f>IF($A804="","",IF($AK804=TRUE,"Ready 2 Submit","Waiting on Dealer"))</f>
        <v/>
      </c>
      <c r="Q804" s="148"/>
      <c r="R804" s="87"/>
      <c r="S804" s="87"/>
      <c r="T804" s="87" t="str">
        <f>IF($A804="","",IF($AK804=TRUE,"Ready 2 Submit","Waiting on Dealer"))</f>
        <v/>
      </c>
      <c r="U804" s="148"/>
      <c r="V804" s="87"/>
      <c r="W804" s="87"/>
      <c r="X804" s="87" t="str">
        <f>IF($A804="","",IF($AK804=TRUE,"Ready 2 Submit","Waiting on Dealer"))</f>
        <v/>
      </c>
      <c r="Y804" s="148"/>
      <c r="Z804" s="87"/>
      <c r="AA804" s="87"/>
      <c r="AB804" s="87" t="str">
        <f>IF($A804="","",IF($AK804=TRUE,"Ready 2 Submit","Waiting on Dealer"))</f>
        <v/>
      </c>
      <c r="AC804" s="148"/>
      <c r="AD804" s="87"/>
      <c r="AE804" s="87"/>
      <c r="AF804" s="87" t="str">
        <f>IF($A804="","",IF($AK804=TRUE,"Ready 2 Submit","Waiting on Dealer"))</f>
        <v/>
      </c>
      <c r="AG804" s="148"/>
      <c r="AH804" s="87"/>
      <c r="AI804" s="87"/>
      <c r="AJ804" s="197"/>
      <c r="AK804" s="110" t="b">
        <v>0</v>
      </c>
      <c r="AL804" s="87" t="str" cm="1">
        <f t="array" ref="AL804">IF($A804="","",SUMPRODUCT((CHOOSE({1,2,3,4,5},$R804,$V804,$Z804,$AD804,$AH804)="Yes")*(((CHOOSE({1,2,3,4,5},$S804,$W804,$AA804,$AE804,$AI804)="Yes")+(CHOOSE({1,2,3,4,5},$S804,$W804,$AA804,$AE804,$AI804)=TRUE))&gt;0)))</f>
        <v/>
      </c>
      <c r="AM804" s="87"/>
      <c r="AN804" s="87" t="str">
        <f ca="1">IF(OR($A804="",$AM804=""),"",TODAY()-$AM804)</f>
        <v/>
      </c>
      <c r="AO804" s="87"/>
      <c r="AP804" s="106"/>
      <c r="AQ804" s="106"/>
      <c r="AR804" s="106"/>
      <c r="AS804" s="106"/>
      <c r="AT804" s="106"/>
      <c r="AU804" s="106"/>
      <c r="AV804" s="106"/>
      <c r="AW804" s="106"/>
      <c r="AX804" s="106"/>
      <c r="AY804" s="106"/>
    </row>
    <row r="805" spans="1:51" s="20" customFormat="1" ht="21" customHeight="1">
      <c r="A805" s="197"/>
      <c r="B805" s="87"/>
      <c r="C805" s="87"/>
      <c r="D805" s="196"/>
      <c r="E805" s="108"/>
      <c r="F805" s="196"/>
      <c r="G805" s="87"/>
      <c r="H805" s="197"/>
      <c r="I805" s="89"/>
      <c r="J805" s="204"/>
      <c r="K805" s="87"/>
      <c r="L805" s="87" t="str" cm="1">
        <f t="array" ref="L805">IF($A805="","",_xlfn.LET(_xlpm.stat,CHOOSE({1,2,3,4,5},$P805,$T805,$X805,$AB805,$AF805),_xlpm.rate,CHOOSE({1,2,3,4,5},$R805,$V805,$Z805,$AD805,$AH805),_xlpm.trn,CHOOSE({1,2,3,4,5},$S805,$W805,$AA805,$AE805,$AI805),_xlpm.nsC,SUMPRODUCT(--(_xlpm.stat="Ready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DLR",IF(AND(_xlpm.actRS&gt;0,_xlpm.actDone&lt;_xlpm.actRS),"Training",IF(_xlpm.actRS&gt;0,"Active",IF(AND(_xlpm.decC&gt;0,_xlpm.inPlay+_xlpm.actC=0),"Dead",IF(AND($AJ805&lt;&gt;"",$AK805=FALSE),"Waiting on Dealer",IF(_xlpm.subC&gt;0,"Waiting on Lender",IF(AND(_xlpm.appC+_xlpm.actC&gt;0,_xlpm.nsC+_xlpm.wdC=0),"Rate Sheet","Application Submitted")))))))))</f>
        <v/>
      </c>
      <c r="M805" s="87"/>
      <c r="N805" s="87"/>
      <c r="O805" s="197"/>
      <c r="P805" s="87" t="str">
        <f>IF($A805="","",IF($AK805=TRUE,"Ready 2 Submit","Waiting on Dealer"))</f>
        <v/>
      </c>
      <c r="Q805" s="148"/>
      <c r="R805" s="87"/>
      <c r="S805" s="87"/>
      <c r="T805" s="87" t="str">
        <f>IF($A805="","",IF($AK805=TRUE,"Ready 2 Submit","Waiting on Dealer"))</f>
        <v/>
      </c>
      <c r="U805" s="148"/>
      <c r="V805" s="87"/>
      <c r="W805" s="87"/>
      <c r="X805" s="87" t="str">
        <f>IF($A805="","",IF($AK805=TRUE,"Ready 2 Submit","Waiting on Dealer"))</f>
        <v/>
      </c>
      <c r="Y805" s="148"/>
      <c r="Z805" s="87"/>
      <c r="AA805" s="87"/>
      <c r="AB805" s="87" t="str">
        <f>IF($A805="","",IF($AK805=TRUE,"Ready 2 Submit","Waiting on Dealer"))</f>
        <v/>
      </c>
      <c r="AC805" s="148"/>
      <c r="AD805" s="87"/>
      <c r="AE805" s="87"/>
      <c r="AF805" s="87" t="str">
        <f>IF($A805="","",IF($AK805=TRUE,"Ready 2 Submit","Waiting on Dealer"))</f>
        <v/>
      </c>
      <c r="AG805" s="148"/>
      <c r="AH805" s="87"/>
      <c r="AI805" s="87"/>
      <c r="AJ805" s="197"/>
      <c r="AK805" s="110" t="b">
        <v>0</v>
      </c>
      <c r="AL805" s="87" t="str" cm="1">
        <f t="array" ref="AL805">IF($A805="","",SUMPRODUCT((CHOOSE({1,2,3,4,5},$R805,$V805,$Z805,$AD805,$AH805)="Yes")*(((CHOOSE({1,2,3,4,5},$S805,$W805,$AA805,$AE805,$AI805)="Yes")+(CHOOSE({1,2,3,4,5},$S805,$W805,$AA805,$AE805,$AI805)=TRUE))&gt;0)))</f>
        <v/>
      </c>
      <c r="AM805" s="87"/>
      <c r="AN805" s="87" t="str">
        <f ca="1">IF(OR($A805="",$AM805=""),"",TODAY()-$AM805)</f>
        <v/>
      </c>
      <c r="AO805" s="87"/>
      <c r="AP805" s="106"/>
      <c r="AQ805" s="106"/>
      <c r="AR805" s="106"/>
      <c r="AS805" s="106"/>
      <c r="AT805" s="106"/>
      <c r="AU805" s="106"/>
      <c r="AV805" s="106"/>
      <c r="AW805" s="106"/>
      <c r="AX805" s="106"/>
      <c r="AY805" s="106"/>
    </row>
    <row r="806" spans="1:51" s="20" customFormat="1" ht="21" customHeight="1">
      <c r="A806" s="197"/>
      <c r="B806" s="87"/>
      <c r="C806" s="87"/>
      <c r="D806" s="196"/>
      <c r="E806" s="108"/>
      <c r="F806" s="196"/>
      <c r="G806" s="87"/>
      <c r="H806" s="197"/>
      <c r="I806" s="89"/>
      <c r="J806" s="204"/>
      <c r="K806" s="87"/>
      <c r="L806" s="87" t="str" cm="1">
        <f t="array" ref="L806">IF($A806="","",_xlfn.LET(_xlpm.stat,CHOOSE({1,2,3,4,5},$P806,$T806,$X806,$AB806,$AF806),_xlpm.rate,CHOOSE({1,2,3,4,5},$R806,$V806,$Z806,$AD806,$AH806),_xlpm.trn,CHOOSE({1,2,3,4,5},$S806,$W806,$AA806,$AE806,$AI806),_xlpm.nsC,SUMPRODUCT(--(_xlpm.stat="Ready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DLR",IF(AND(_xlpm.actRS&gt;0,_xlpm.actDone&lt;_xlpm.actRS),"Training",IF(_xlpm.actRS&gt;0,"Active",IF(AND(_xlpm.decC&gt;0,_xlpm.inPlay+_xlpm.actC=0),"Dead",IF(AND($AJ806&lt;&gt;"",$AK806=FALSE),"Waiting on Dealer",IF(_xlpm.subC&gt;0,"Waiting on Lender",IF(AND(_xlpm.appC+_xlpm.actC&gt;0,_xlpm.nsC+_xlpm.wdC=0),"Rate Sheet","Application Submitted")))))))))</f>
        <v/>
      </c>
      <c r="M806" s="87"/>
      <c r="N806" s="87"/>
      <c r="O806" s="197"/>
      <c r="P806" s="87" t="str">
        <f>IF($A806="","",IF($AK806=TRUE,"Ready 2 Submit","Waiting on Dealer"))</f>
        <v/>
      </c>
      <c r="Q806" s="148"/>
      <c r="R806" s="87"/>
      <c r="S806" s="87"/>
      <c r="T806" s="87" t="str">
        <f>IF($A806="","",IF($AK806=TRUE,"Ready 2 Submit","Waiting on Dealer"))</f>
        <v/>
      </c>
      <c r="U806" s="148"/>
      <c r="V806" s="87"/>
      <c r="W806" s="87"/>
      <c r="X806" s="87" t="str">
        <f>IF($A806="","",IF($AK806=TRUE,"Ready 2 Submit","Waiting on Dealer"))</f>
        <v/>
      </c>
      <c r="Y806" s="148"/>
      <c r="Z806" s="87"/>
      <c r="AA806" s="87"/>
      <c r="AB806" s="87" t="str">
        <f>IF($A806="","",IF($AK806=TRUE,"Ready 2 Submit","Waiting on Dealer"))</f>
        <v/>
      </c>
      <c r="AC806" s="148"/>
      <c r="AD806" s="87"/>
      <c r="AE806" s="87"/>
      <c r="AF806" s="87" t="str">
        <f>IF($A806="","",IF($AK806=TRUE,"Ready 2 Submit","Waiting on Dealer"))</f>
        <v/>
      </c>
      <c r="AG806" s="148"/>
      <c r="AH806" s="87"/>
      <c r="AI806" s="87"/>
      <c r="AJ806" s="197"/>
      <c r="AK806" s="110" t="b">
        <v>0</v>
      </c>
      <c r="AL806" s="87" t="str" cm="1">
        <f t="array" ref="AL806">IF($A806="","",SUMPRODUCT((CHOOSE({1,2,3,4,5},$R806,$V806,$Z806,$AD806,$AH806)="Yes")*(((CHOOSE({1,2,3,4,5},$S806,$W806,$AA806,$AE806,$AI806)="Yes")+(CHOOSE({1,2,3,4,5},$S806,$W806,$AA806,$AE806,$AI806)=TRUE))&gt;0)))</f>
        <v/>
      </c>
      <c r="AM806" s="87"/>
      <c r="AN806" s="87" t="str">
        <f ca="1">IF(OR($A806="",$AM806=""),"",TODAY()-$AM806)</f>
        <v/>
      </c>
      <c r="AO806" s="87"/>
      <c r="AP806" s="106"/>
      <c r="AQ806" s="106"/>
      <c r="AR806" s="106"/>
      <c r="AS806" s="106"/>
      <c r="AT806" s="106"/>
      <c r="AU806" s="106"/>
      <c r="AV806" s="106"/>
      <c r="AW806" s="106"/>
      <c r="AX806" s="106"/>
      <c r="AY806" s="106"/>
    </row>
    <row r="807" spans="1:51" s="20" customFormat="1" ht="21" customHeight="1">
      <c r="A807" s="197"/>
      <c r="B807" s="87"/>
      <c r="C807" s="87"/>
      <c r="D807" s="196"/>
      <c r="E807" s="108"/>
      <c r="F807" s="196"/>
      <c r="G807" s="87"/>
      <c r="H807" s="197"/>
      <c r="I807" s="89"/>
      <c r="J807" s="204"/>
      <c r="K807" s="87"/>
      <c r="L807" s="87" t="str" cm="1">
        <f t="array" ref="L807">IF($A807="","",_xlfn.LET(_xlpm.stat,CHOOSE({1,2,3,4,5},$P807,$T807,$X807,$AB807,$AF807),_xlpm.rate,CHOOSE({1,2,3,4,5},$R807,$V807,$Z807,$AD807,$AH807),_xlpm.trn,CHOOSE({1,2,3,4,5},$S807,$W807,$AA807,$AE807,$AI807),_xlpm.nsC,SUMPRODUCT(--(_xlpm.stat="Ready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DLR",IF(AND(_xlpm.actRS&gt;0,_xlpm.actDone&lt;_xlpm.actRS),"Training",IF(_xlpm.actRS&gt;0,"Active",IF(AND(_xlpm.decC&gt;0,_xlpm.inPlay+_xlpm.actC=0),"Dead",IF(AND($AJ807&lt;&gt;"",$AK807=FALSE),"Waiting on Dealer",IF(_xlpm.subC&gt;0,"Waiting on Lender",IF(AND(_xlpm.appC+_xlpm.actC&gt;0,_xlpm.nsC+_xlpm.wdC=0),"Rate Sheet","Application Submitted")))))))))</f>
        <v/>
      </c>
      <c r="M807" s="87"/>
      <c r="N807" s="87"/>
      <c r="O807" s="197"/>
      <c r="P807" s="87" t="str">
        <f>IF($A807="","",IF($AK807=TRUE,"Ready 2 Submit","Waiting on Dealer"))</f>
        <v/>
      </c>
      <c r="Q807" s="148"/>
      <c r="R807" s="87"/>
      <c r="S807" s="87"/>
      <c r="T807" s="87" t="str">
        <f>IF($A807="","",IF($AK807=TRUE,"Ready 2 Submit","Waiting on Dealer"))</f>
        <v/>
      </c>
      <c r="U807" s="148"/>
      <c r="V807" s="87"/>
      <c r="W807" s="87"/>
      <c r="X807" s="87" t="str">
        <f>IF($A807="","",IF($AK807=TRUE,"Ready 2 Submit","Waiting on Dealer"))</f>
        <v/>
      </c>
      <c r="Y807" s="148"/>
      <c r="Z807" s="87"/>
      <c r="AA807" s="87"/>
      <c r="AB807" s="87" t="str">
        <f>IF($A807="","",IF($AK807=TRUE,"Ready 2 Submit","Waiting on Dealer"))</f>
        <v/>
      </c>
      <c r="AC807" s="148"/>
      <c r="AD807" s="87"/>
      <c r="AE807" s="87"/>
      <c r="AF807" s="87" t="str">
        <f>IF($A807="","",IF($AK807=TRUE,"Ready 2 Submit","Waiting on Dealer"))</f>
        <v/>
      </c>
      <c r="AG807" s="148"/>
      <c r="AH807" s="87"/>
      <c r="AI807" s="87"/>
      <c r="AJ807" s="197"/>
      <c r="AK807" s="110" t="b">
        <v>0</v>
      </c>
      <c r="AL807" s="87" t="str" cm="1">
        <f t="array" ref="AL807">IF($A807="","",SUMPRODUCT((CHOOSE({1,2,3,4,5},$R807,$V807,$Z807,$AD807,$AH807)="Yes")*(((CHOOSE({1,2,3,4,5},$S807,$W807,$AA807,$AE807,$AI807)="Yes")+(CHOOSE({1,2,3,4,5},$S807,$W807,$AA807,$AE807,$AI807)=TRUE))&gt;0)))</f>
        <v/>
      </c>
      <c r="AM807" s="87"/>
      <c r="AN807" s="87" t="str">
        <f ca="1">IF(OR($A807="",$AM807=""),"",TODAY()-$AM807)</f>
        <v/>
      </c>
      <c r="AO807" s="87"/>
      <c r="AP807" s="106"/>
      <c r="AQ807" s="106"/>
      <c r="AR807" s="106"/>
      <c r="AS807" s="106"/>
      <c r="AT807" s="106"/>
      <c r="AU807" s="106"/>
      <c r="AV807" s="106"/>
      <c r="AW807" s="106"/>
      <c r="AX807" s="106"/>
      <c r="AY807" s="106"/>
    </row>
    <row r="808" spans="1:51" s="20" customFormat="1" ht="21" customHeight="1">
      <c r="A808" s="197"/>
      <c r="B808" s="87"/>
      <c r="C808" s="87"/>
      <c r="D808" s="196"/>
      <c r="E808" s="108"/>
      <c r="F808" s="196"/>
      <c r="G808" s="87"/>
      <c r="H808" s="197"/>
      <c r="I808" s="89"/>
      <c r="J808" s="204"/>
      <c r="K808" s="87"/>
      <c r="L808" s="87" t="str" cm="1">
        <f t="array" ref="L808">IF($A808="","",_xlfn.LET(_xlpm.stat,CHOOSE({1,2,3,4,5},$P808,$T808,$X808,$AB808,$AF808),_xlpm.rate,CHOOSE({1,2,3,4,5},$R808,$V808,$Z808,$AD808,$AH808),_xlpm.trn,CHOOSE({1,2,3,4,5},$S808,$W808,$AA808,$AE808,$AI808),_xlpm.nsC,SUMPRODUCT(--(_xlpm.stat="Ready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DLR",IF(AND(_xlpm.actRS&gt;0,_xlpm.actDone&lt;_xlpm.actRS),"Training",IF(_xlpm.actRS&gt;0,"Active",IF(AND(_xlpm.decC&gt;0,_xlpm.inPlay+_xlpm.actC=0),"Dead",IF(AND($AJ808&lt;&gt;"",$AK808=FALSE),"Waiting on Dealer",IF(_xlpm.subC&gt;0,"Waiting on Lender",IF(AND(_xlpm.appC+_xlpm.actC&gt;0,_xlpm.nsC+_xlpm.wdC=0),"Rate Sheet","Application Submitted")))))))))</f>
        <v/>
      </c>
      <c r="M808" s="87"/>
      <c r="N808" s="87"/>
      <c r="O808" s="197"/>
      <c r="P808" s="87" t="str">
        <f>IF($A808="","",IF($AK808=TRUE,"Ready 2 Submit","Waiting on Dealer"))</f>
        <v/>
      </c>
      <c r="Q808" s="148"/>
      <c r="R808" s="87"/>
      <c r="S808" s="87"/>
      <c r="T808" s="87" t="str">
        <f>IF($A808="","",IF($AK808=TRUE,"Ready 2 Submit","Waiting on Dealer"))</f>
        <v/>
      </c>
      <c r="U808" s="148"/>
      <c r="V808" s="87"/>
      <c r="W808" s="87"/>
      <c r="X808" s="87" t="str">
        <f>IF($A808="","",IF($AK808=TRUE,"Ready 2 Submit","Waiting on Dealer"))</f>
        <v/>
      </c>
      <c r="Y808" s="148"/>
      <c r="Z808" s="87"/>
      <c r="AA808" s="87"/>
      <c r="AB808" s="87" t="str">
        <f>IF($A808="","",IF($AK808=TRUE,"Ready 2 Submit","Waiting on Dealer"))</f>
        <v/>
      </c>
      <c r="AC808" s="148"/>
      <c r="AD808" s="87"/>
      <c r="AE808" s="87"/>
      <c r="AF808" s="87" t="str">
        <f>IF($A808="","",IF($AK808=TRUE,"Ready 2 Submit","Waiting on Dealer"))</f>
        <v/>
      </c>
      <c r="AG808" s="148"/>
      <c r="AH808" s="87"/>
      <c r="AI808" s="87"/>
      <c r="AJ808" s="197"/>
      <c r="AK808" s="110" t="b">
        <v>0</v>
      </c>
      <c r="AL808" s="87" t="str" cm="1">
        <f t="array" ref="AL808">IF($A808="","",SUMPRODUCT((CHOOSE({1,2,3,4,5},$R808,$V808,$Z808,$AD808,$AH808)="Yes")*(((CHOOSE({1,2,3,4,5},$S808,$W808,$AA808,$AE808,$AI808)="Yes")+(CHOOSE({1,2,3,4,5},$S808,$W808,$AA808,$AE808,$AI808)=TRUE))&gt;0)))</f>
        <v/>
      </c>
      <c r="AM808" s="87"/>
      <c r="AN808" s="87" t="str">
        <f ca="1">IF(OR($A808="",$AM808=""),"",TODAY()-$AM808)</f>
        <v/>
      </c>
      <c r="AO808" s="87"/>
      <c r="AP808" s="106"/>
      <c r="AQ808" s="106"/>
      <c r="AR808" s="106"/>
      <c r="AS808" s="106"/>
      <c r="AT808" s="106"/>
      <c r="AU808" s="106"/>
      <c r="AV808" s="106"/>
      <c r="AW808" s="106"/>
      <c r="AX808" s="106"/>
      <c r="AY808" s="106"/>
    </row>
    <row r="809" spans="1:51" s="20" customFormat="1" ht="21" customHeight="1">
      <c r="A809" s="197"/>
      <c r="B809" s="87"/>
      <c r="C809" s="87"/>
      <c r="D809" s="196"/>
      <c r="E809" s="108"/>
      <c r="F809" s="196"/>
      <c r="G809" s="87"/>
      <c r="H809" s="197"/>
      <c r="I809" s="89"/>
      <c r="J809" s="204"/>
      <c r="K809" s="87"/>
      <c r="L809" s="87" t="str" cm="1">
        <f t="array" ref="L809">IF($A809="","",_xlfn.LET(_xlpm.stat,CHOOSE({1,2,3,4,5},$P809,$T809,$X809,$AB809,$AF809),_xlpm.rate,CHOOSE({1,2,3,4,5},$R809,$V809,$Z809,$AD809,$AH809),_xlpm.trn,CHOOSE({1,2,3,4,5},$S809,$W809,$AA809,$AE809,$AI809),_xlpm.nsC,SUMPRODUCT(--(_xlpm.stat="Ready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DLR",IF(AND(_xlpm.actRS&gt;0,_xlpm.actDone&lt;_xlpm.actRS),"Training",IF(_xlpm.actRS&gt;0,"Active",IF(AND(_xlpm.decC&gt;0,_xlpm.inPlay+_xlpm.actC=0),"Dead",IF(AND($AJ809&lt;&gt;"",$AK809=FALSE),"Waiting on Dealer",IF(_xlpm.subC&gt;0,"Waiting on Lender",IF(AND(_xlpm.appC+_xlpm.actC&gt;0,_xlpm.nsC+_xlpm.wdC=0),"Rate Sheet","Application Submitted")))))))))</f>
        <v/>
      </c>
      <c r="M809" s="87"/>
      <c r="N809" s="87"/>
      <c r="O809" s="197"/>
      <c r="P809" s="87" t="str">
        <f>IF($A809="","",IF($AK809=TRUE,"Ready 2 Submit","Waiting on Dealer"))</f>
        <v/>
      </c>
      <c r="Q809" s="148"/>
      <c r="R809" s="87"/>
      <c r="S809" s="87"/>
      <c r="T809" s="87" t="str">
        <f>IF($A809="","",IF($AK809=TRUE,"Ready 2 Submit","Waiting on Dealer"))</f>
        <v/>
      </c>
      <c r="U809" s="148"/>
      <c r="V809" s="87"/>
      <c r="W809" s="87"/>
      <c r="X809" s="87" t="str">
        <f>IF($A809="","",IF($AK809=TRUE,"Ready 2 Submit","Waiting on Dealer"))</f>
        <v/>
      </c>
      <c r="Y809" s="148"/>
      <c r="Z809" s="87"/>
      <c r="AA809" s="87"/>
      <c r="AB809" s="87" t="str">
        <f>IF($A809="","",IF($AK809=TRUE,"Ready 2 Submit","Waiting on Dealer"))</f>
        <v/>
      </c>
      <c r="AC809" s="148"/>
      <c r="AD809" s="87"/>
      <c r="AE809" s="87"/>
      <c r="AF809" s="87" t="str">
        <f>IF($A809="","",IF($AK809=TRUE,"Ready 2 Submit","Waiting on Dealer"))</f>
        <v/>
      </c>
      <c r="AG809" s="148"/>
      <c r="AH809" s="87"/>
      <c r="AI809" s="87"/>
      <c r="AJ809" s="197"/>
      <c r="AK809" s="110" t="b">
        <v>0</v>
      </c>
      <c r="AL809" s="87" t="str" cm="1">
        <f t="array" ref="AL809">IF($A809="","",SUMPRODUCT((CHOOSE({1,2,3,4,5},$R809,$V809,$Z809,$AD809,$AH809)="Yes")*(((CHOOSE({1,2,3,4,5},$S809,$W809,$AA809,$AE809,$AI809)="Yes")+(CHOOSE({1,2,3,4,5},$S809,$W809,$AA809,$AE809,$AI809)=TRUE))&gt;0)))</f>
        <v/>
      </c>
      <c r="AM809" s="87"/>
      <c r="AN809" s="87" t="str">
        <f ca="1">IF(OR($A809="",$AM809=""),"",TODAY()-$AM809)</f>
        <v/>
      </c>
      <c r="AO809" s="87"/>
      <c r="AP809" s="106"/>
      <c r="AQ809" s="106"/>
      <c r="AR809" s="106"/>
      <c r="AS809" s="106"/>
      <c r="AT809" s="106"/>
      <c r="AU809" s="106"/>
      <c r="AV809" s="106"/>
      <c r="AW809" s="106"/>
      <c r="AX809" s="106"/>
      <c r="AY809" s="106"/>
    </row>
    <row r="810" spans="1:51" s="20" customFormat="1" ht="21" customHeight="1">
      <c r="A810" s="197"/>
      <c r="B810" s="87"/>
      <c r="C810" s="87"/>
      <c r="D810" s="196"/>
      <c r="E810" s="108"/>
      <c r="F810" s="196"/>
      <c r="G810" s="87"/>
      <c r="H810" s="197"/>
      <c r="I810" s="89"/>
      <c r="J810" s="204"/>
      <c r="K810" s="87"/>
      <c r="L810" s="87" t="str" cm="1">
        <f t="array" ref="L810">IF($A810="","",_xlfn.LET(_xlpm.stat,CHOOSE({1,2,3,4,5},$P810,$T810,$X810,$AB810,$AF810),_xlpm.rate,CHOOSE({1,2,3,4,5},$R810,$V810,$Z810,$AD810,$AH810),_xlpm.trn,CHOOSE({1,2,3,4,5},$S810,$W810,$AA810,$AE810,$AI810),_xlpm.nsC,SUMPRODUCT(--(_xlpm.stat="Ready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DLR",IF(AND(_xlpm.actRS&gt;0,_xlpm.actDone&lt;_xlpm.actRS),"Training",IF(_xlpm.actRS&gt;0,"Active",IF(AND(_xlpm.decC&gt;0,_xlpm.inPlay+_xlpm.actC=0),"Dead",IF(AND($AJ810&lt;&gt;"",$AK810=FALSE),"Waiting on Dealer",IF(_xlpm.subC&gt;0,"Waiting on Lender",IF(AND(_xlpm.appC+_xlpm.actC&gt;0,_xlpm.nsC+_xlpm.wdC=0),"Rate Sheet","Application Submitted")))))))))</f>
        <v/>
      </c>
      <c r="M810" s="87"/>
      <c r="N810" s="87"/>
      <c r="O810" s="197"/>
      <c r="P810" s="87" t="str">
        <f>IF($A810="","",IF($AK810=TRUE,"Ready 2 Submit","Waiting on Dealer"))</f>
        <v/>
      </c>
      <c r="Q810" s="148"/>
      <c r="R810" s="87"/>
      <c r="S810" s="87"/>
      <c r="T810" s="87" t="str">
        <f>IF($A810="","",IF($AK810=TRUE,"Ready 2 Submit","Waiting on Dealer"))</f>
        <v/>
      </c>
      <c r="U810" s="148"/>
      <c r="V810" s="87"/>
      <c r="W810" s="87"/>
      <c r="X810" s="87" t="str">
        <f>IF($A810="","",IF($AK810=TRUE,"Ready 2 Submit","Waiting on Dealer"))</f>
        <v/>
      </c>
      <c r="Y810" s="148"/>
      <c r="Z810" s="87"/>
      <c r="AA810" s="87"/>
      <c r="AB810" s="87" t="str">
        <f>IF($A810="","",IF($AK810=TRUE,"Ready 2 Submit","Waiting on Dealer"))</f>
        <v/>
      </c>
      <c r="AC810" s="148"/>
      <c r="AD810" s="87"/>
      <c r="AE810" s="87"/>
      <c r="AF810" s="87" t="str">
        <f>IF($A810="","",IF($AK810=TRUE,"Ready 2 Submit","Waiting on Dealer"))</f>
        <v/>
      </c>
      <c r="AG810" s="148"/>
      <c r="AH810" s="87"/>
      <c r="AI810" s="87"/>
      <c r="AJ810" s="197"/>
      <c r="AK810" s="110" t="b">
        <v>0</v>
      </c>
      <c r="AL810" s="87" t="str" cm="1">
        <f t="array" ref="AL810">IF($A810="","",SUMPRODUCT((CHOOSE({1,2,3,4,5},$R810,$V810,$Z810,$AD810,$AH810)="Yes")*(((CHOOSE({1,2,3,4,5},$S810,$W810,$AA810,$AE810,$AI810)="Yes")+(CHOOSE({1,2,3,4,5},$S810,$W810,$AA810,$AE810,$AI810)=TRUE))&gt;0)))</f>
        <v/>
      </c>
      <c r="AM810" s="87"/>
      <c r="AN810" s="87" t="str">
        <f ca="1">IF(OR($A810="",$AM810=""),"",TODAY()-$AM810)</f>
        <v/>
      </c>
      <c r="AO810" s="87"/>
      <c r="AP810" s="106"/>
      <c r="AQ810" s="106"/>
      <c r="AR810" s="106"/>
      <c r="AS810" s="106"/>
      <c r="AT810" s="106"/>
      <c r="AU810" s="106"/>
      <c r="AV810" s="106"/>
      <c r="AW810" s="106"/>
      <c r="AX810" s="106"/>
      <c r="AY810" s="106"/>
    </row>
    <row r="811" spans="1:51" s="20" customFormat="1" ht="21" customHeight="1">
      <c r="A811" s="197"/>
      <c r="B811" s="87"/>
      <c r="C811" s="87"/>
      <c r="D811" s="196"/>
      <c r="E811" s="108"/>
      <c r="F811" s="196"/>
      <c r="G811" s="87"/>
      <c r="H811" s="197"/>
      <c r="I811" s="89"/>
      <c r="J811" s="204"/>
      <c r="K811" s="87"/>
      <c r="L811" s="87" t="str" cm="1">
        <f t="array" ref="L811">IF($A811="","",_xlfn.LET(_xlpm.stat,CHOOSE({1,2,3,4,5},$P811,$T811,$X811,$AB811,$AF811),_xlpm.rate,CHOOSE({1,2,3,4,5},$R811,$V811,$Z811,$AD811,$AH811),_xlpm.trn,CHOOSE({1,2,3,4,5},$S811,$W811,$AA811,$AE811,$AI811),_xlpm.nsC,SUMPRODUCT(--(_xlpm.stat="Ready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DLR",IF(AND(_xlpm.actRS&gt;0,_xlpm.actDone&lt;_xlpm.actRS),"Training",IF(_xlpm.actRS&gt;0,"Active",IF(AND(_xlpm.decC&gt;0,_xlpm.inPlay+_xlpm.actC=0),"Dead",IF(AND($AJ811&lt;&gt;"",$AK811=FALSE),"Waiting on Dealer",IF(_xlpm.subC&gt;0,"Waiting on Lender",IF(AND(_xlpm.appC+_xlpm.actC&gt;0,_xlpm.nsC+_xlpm.wdC=0),"Rate Sheet","Application Submitted")))))))))</f>
        <v/>
      </c>
      <c r="M811" s="87"/>
      <c r="N811" s="87"/>
      <c r="O811" s="197"/>
      <c r="P811" s="87" t="str">
        <f>IF($A811="","",IF($AK811=TRUE,"Ready 2 Submit","Waiting on Dealer"))</f>
        <v/>
      </c>
      <c r="Q811" s="148"/>
      <c r="R811" s="87"/>
      <c r="S811" s="87"/>
      <c r="T811" s="87" t="str">
        <f>IF($A811="","",IF($AK811=TRUE,"Ready 2 Submit","Waiting on Dealer"))</f>
        <v/>
      </c>
      <c r="U811" s="148"/>
      <c r="V811" s="87"/>
      <c r="W811" s="87"/>
      <c r="X811" s="87" t="str">
        <f>IF($A811="","",IF($AK811=TRUE,"Ready 2 Submit","Waiting on Dealer"))</f>
        <v/>
      </c>
      <c r="Y811" s="148"/>
      <c r="Z811" s="87"/>
      <c r="AA811" s="87"/>
      <c r="AB811" s="87" t="str">
        <f>IF($A811="","",IF($AK811=TRUE,"Ready 2 Submit","Waiting on Dealer"))</f>
        <v/>
      </c>
      <c r="AC811" s="148"/>
      <c r="AD811" s="87"/>
      <c r="AE811" s="87"/>
      <c r="AF811" s="87" t="str">
        <f>IF($A811="","",IF($AK811=TRUE,"Ready 2 Submit","Waiting on Dealer"))</f>
        <v/>
      </c>
      <c r="AG811" s="148"/>
      <c r="AH811" s="87"/>
      <c r="AI811" s="87"/>
      <c r="AJ811" s="197"/>
      <c r="AK811" s="110" t="b">
        <v>0</v>
      </c>
      <c r="AL811" s="87" t="str" cm="1">
        <f t="array" ref="AL811">IF($A811="","",SUMPRODUCT((CHOOSE({1,2,3,4,5},$R811,$V811,$Z811,$AD811,$AH811)="Yes")*(((CHOOSE({1,2,3,4,5},$S811,$W811,$AA811,$AE811,$AI811)="Yes")+(CHOOSE({1,2,3,4,5},$S811,$W811,$AA811,$AE811,$AI811)=TRUE))&gt;0)))</f>
        <v/>
      </c>
      <c r="AM811" s="87"/>
      <c r="AN811" s="87" t="str">
        <f ca="1">IF(OR($A811="",$AM811=""),"",TODAY()-$AM811)</f>
        <v/>
      </c>
      <c r="AO811" s="87"/>
      <c r="AP811" s="106"/>
      <c r="AQ811" s="106"/>
      <c r="AR811" s="106"/>
      <c r="AS811" s="106"/>
      <c r="AT811" s="106"/>
      <c r="AU811" s="106"/>
      <c r="AV811" s="106"/>
      <c r="AW811" s="106"/>
      <c r="AX811" s="106"/>
      <c r="AY811" s="106"/>
    </row>
    <row r="812" spans="1:51" s="20" customFormat="1" ht="21" customHeight="1">
      <c r="A812" s="197"/>
      <c r="B812" s="87"/>
      <c r="C812" s="87"/>
      <c r="D812" s="196"/>
      <c r="E812" s="108"/>
      <c r="F812" s="196"/>
      <c r="G812" s="87"/>
      <c r="H812" s="197"/>
      <c r="I812" s="89"/>
      <c r="J812" s="204"/>
      <c r="K812" s="87"/>
      <c r="L812" s="87" t="str" cm="1">
        <f t="array" ref="L812">IF($A812="","",_xlfn.LET(_xlpm.stat,CHOOSE({1,2,3,4,5},$P812,$T812,$X812,$AB812,$AF812),_xlpm.rate,CHOOSE({1,2,3,4,5},$R812,$V812,$Z812,$AD812,$AH812),_xlpm.trn,CHOOSE({1,2,3,4,5},$S812,$W812,$AA812,$AE812,$AI812),_xlpm.nsC,SUMPRODUCT(--(_xlpm.stat="Ready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DLR",IF(AND(_xlpm.actRS&gt;0,_xlpm.actDone&lt;_xlpm.actRS),"Training",IF(_xlpm.actRS&gt;0,"Active",IF(AND(_xlpm.decC&gt;0,_xlpm.inPlay+_xlpm.actC=0),"Dead",IF(AND($AJ812&lt;&gt;"",$AK812=FALSE),"Waiting on Dealer",IF(_xlpm.subC&gt;0,"Waiting on Lender",IF(AND(_xlpm.appC+_xlpm.actC&gt;0,_xlpm.nsC+_xlpm.wdC=0),"Rate Sheet","Application Submitted")))))))))</f>
        <v/>
      </c>
      <c r="M812" s="87"/>
      <c r="N812" s="87"/>
      <c r="O812" s="197"/>
      <c r="P812" s="87" t="str">
        <f>IF($A812="","",IF($AK812=TRUE,"Ready 2 Submit","Waiting on Dealer"))</f>
        <v/>
      </c>
      <c r="Q812" s="148"/>
      <c r="R812" s="87"/>
      <c r="S812" s="87"/>
      <c r="T812" s="87" t="str">
        <f>IF($A812="","",IF($AK812=TRUE,"Ready 2 Submit","Waiting on Dealer"))</f>
        <v/>
      </c>
      <c r="U812" s="148"/>
      <c r="V812" s="87"/>
      <c r="W812" s="87"/>
      <c r="X812" s="87" t="str">
        <f>IF($A812="","",IF($AK812=TRUE,"Ready 2 Submit","Waiting on Dealer"))</f>
        <v/>
      </c>
      <c r="Y812" s="148"/>
      <c r="Z812" s="87"/>
      <c r="AA812" s="87"/>
      <c r="AB812" s="87" t="str">
        <f>IF($A812="","",IF($AK812=TRUE,"Ready 2 Submit","Waiting on Dealer"))</f>
        <v/>
      </c>
      <c r="AC812" s="148"/>
      <c r="AD812" s="87"/>
      <c r="AE812" s="87"/>
      <c r="AF812" s="87" t="str">
        <f>IF($A812="","",IF($AK812=TRUE,"Ready 2 Submit","Waiting on Dealer"))</f>
        <v/>
      </c>
      <c r="AG812" s="148"/>
      <c r="AH812" s="87"/>
      <c r="AI812" s="87"/>
      <c r="AJ812" s="197"/>
      <c r="AK812" s="110" t="b">
        <v>0</v>
      </c>
      <c r="AL812" s="87" t="str" cm="1">
        <f t="array" ref="AL812">IF($A812="","",SUMPRODUCT((CHOOSE({1,2,3,4,5},$R812,$V812,$Z812,$AD812,$AH812)="Yes")*(((CHOOSE({1,2,3,4,5},$S812,$W812,$AA812,$AE812,$AI812)="Yes")+(CHOOSE({1,2,3,4,5},$S812,$W812,$AA812,$AE812,$AI812)=TRUE))&gt;0)))</f>
        <v/>
      </c>
      <c r="AM812" s="87"/>
      <c r="AN812" s="87" t="str">
        <f ca="1">IF(OR($A812="",$AM812=""),"",TODAY()-$AM812)</f>
        <v/>
      </c>
      <c r="AO812" s="87"/>
      <c r="AP812" s="106"/>
      <c r="AQ812" s="106"/>
      <c r="AR812" s="106"/>
      <c r="AS812" s="106"/>
      <c r="AT812" s="106"/>
      <c r="AU812" s="106"/>
      <c r="AV812" s="106"/>
      <c r="AW812" s="106"/>
      <c r="AX812" s="106"/>
      <c r="AY812" s="106"/>
    </row>
    <row r="813" spans="1:51" s="20" customFormat="1" ht="21" customHeight="1">
      <c r="A813" s="197"/>
      <c r="B813" s="87"/>
      <c r="C813" s="87"/>
      <c r="D813" s="196"/>
      <c r="E813" s="108"/>
      <c r="F813" s="196"/>
      <c r="G813" s="87"/>
      <c r="H813" s="197"/>
      <c r="I813" s="89"/>
      <c r="J813" s="204"/>
      <c r="K813" s="87"/>
      <c r="L813" s="87" t="str" cm="1">
        <f t="array" ref="L813">IF($A813="","",_xlfn.LET(_xlpm.stat,CHOOSE({1,2,3,4,5},$P813,$T813,$X813,$AB813,$AF813),_xlpm.rate,CHOOSE({1,2,3,4,5},$R813,$V813,$Z813,$AD813,$AH813),_xlpm.trn,CHOOSE({1,2,3,4,5},$S813,$W813,$AA813,$AE813,$AI813),_xlpm.nsC,SUMPRODUCT(--(_xlpm.stat="Ready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DLR",IF(AND(_xlpm.actRS&gt;0,_xlpm.actDone&lt;_xlpm.actRS),"Training",IF(_xlpm.actRS&gt;0,"Active",IF(AND(_xlpm.decC&gt;0,_xlpm.inPlay+_xlpm.actC=0),"Dead",IF(AND($AJ813&lt;&gt;"",$AK813=FALSE),"Waiting on Dealer",IF(_xlpm.subC&gt;0,"Waiting on Lender",IF(AND(_xlpm.appC+_xlpm.actC&gt;0,_xlpm.nsC+_xlpm.wdC=0),"Rate Sheet","Application Submitted")))))))))</f>
        <v/>
      </c>
      <c r="M813" s="87"/>
      <c r="N813" s="87"/>
      <c r="O813" s="197"/>
      <c r="P813" s="87" t="str">
        <f>IF($A813="","",IF($AK813=TRUE,"Ready 2 Submit","Waiting on Dealer"))</f>
        <v/>
      </c>
      <c r="Q813" s="148"/>
      <c r="R813" s="87"/>
      <c r="S813" s="87"/>
      <c r="T813" s="87" t="str">
        <f>IF($A813="","",IF($AK813=TRUE,"Ready 2 Submit","Waiting on Dealer"))</f>
        <v/>
      </c>
      <c r="U813" s="148"/>
      <c r="V813" s="87"/>
      <c r="W813" s="87"/>
      <c r="X813" s="87" t="str">
        <f>IF($A813="","",IF($AK813=TRUE,"Ready 2 Submit","Waiting on Dealer"))</f>
        <v/>
      </c>
      <c r="Y813" s="148"/>
      <c r="Z813" s="87"/>
      <c r="AA813" s="87"/>
      <c r="AB813" s="87" t="str">
        <f>IF($A813="","",IF($AK813=TRUE,"Ready 2 Submit","Waiting on Dealer"))</f>
        <v/>
      </c>
      <c r="AC813" s="148"/>
      <c r="AD813" s="87"/>
      <c r="AE813" s="87"/>
      <c r="AF813" s="87" t="str">
        <f>IF($A813="","",IF($AK813=TRUE,"Ready 2 Submit","Waiting on Dealer"))</f>
        <v/>
      </c>
      <c r="AG813" s="148"/>
      <c r="AH813" s="87"/>
      <c r="AI813" s="87"/>
      <c r="AJ813" s="197"/>
      <c r="AK813" s="110" t="b">
        <v>0</v>
      </c>
      <c r="AL813" s="87" t="str" cm="1">
        <f t="array" ref="AL813">IF($A813="","",SUMPRODUCT((CHOOSE({1,2,3,4,5},$R813,$V813,$Z813,$AD813,$AH813)="Yes")*(((CHOOSE({1,2,3,4,5},$S813,$W813,$AA813,$AE813,$AI813)="Yes")+(CHOOSE({1,2,3,4,5},$S813,$W813,$AA813,$AE813,$AI813)=TRUE))&gt;0)))</f>
        <v/>
      </c>
      <c r="AM813" s="87"/>
      <c r="AN813" s="87" t="str">
        <f ca="1">IF(OR($A813="",$AM813=""),"",TODAY()-$AM813)</f>
        <v/>
      </c>
      <c r="AO813" s="87"/>
      <c r="AP813" s="106"/>
      <c r="AQ813" s="106"/>
      <c r="AR813" s="106"/>
      <c r="AS813" s="106"/>
      <c r="AT813" s="106"/>
      <c r="AU813" s="106"/>
      <c r="AV813" s="106"/>
      <c r="AW813" s="106"/>
      <c r="AX813" s="106"/>
      <c r="AY813" s="106"/>
    </row>
    <row r="814" spans="1:51" s="20" customFormat="1" ht="21" customHeight="1">
      <c r="A814" s="197"/>
      <c r="B814" s="87"/>
      <c r="C814" s="87"/>
      <c r="D814" s="196"/>
      <c r="E814" s="108"/>
      <c r="F814" s="196"/>
      <c r="G814" s="87"/>
      <c r="H814" s="197"/>
      <c r="I814" s="89"/>
      <c r="J814" s="204"/>
      <c r="K814" s="87"/>
      <c r="L814" s="87" t="str" cm="1">
        <f t="array" ref="L814">IF($A814="","",_xlfn.LET(_xlpm.stat,CHOOSE({1,2,3,4,5},$P814,$T814,$X814,$AB814,$AF814),_xlpm.rate,CHOOSE({1,2,3,4,5},$R814,$V814,$Z814,$AD814,$AH814),_xlpm.trn,CHOOSE({1,2,3,4,5},$S814,$W814,$AA814,$AE814,$AI814),_xlpm.nsC,SUMPRODUCT(--(_xlpm.stat="Ready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DLR",IF(AND(_xlpm.actRS&gt;0,_xlpm.actDone&lt;_xlpm.actRS),"Training",IF(_xlpm.actRS&gt;0,"Active",IF(AND(_xlpm.decC&gt;0,_xlpm.inPlay+_xlpm.actC=0),"Dead",IF(AND($AJ814&lt;&gt;"",$AK814=FALSE),"Waiting on Dealer",IF(_xlpm.subC&gt;0,"Waiting on Lender",IF(AND(_xlpm.appC+_xlpm.actC&gt;0,_xlpm.nsC+_xlpm.wdC=0),"Rate Sheet","Application Submitted")))))))))</f>
        <v/>
      </c>
      <c r="M814" s="87"/>
      <c r="N814" s="87"/>
      <c r="O814" s="197"/>
      <c r="P814" s="87" t="str">
        <f>IF($A814="","",IF($AK814=TRUE,"Ready 2 Submit","Waiting on Dealer"))</f>
        <v/>
      </c>
      <c r="Q814" s="148"/>
      <c r="R814" s="87"/>
      <c r="S814" s="87"/>
      <c r="T814" s="87" t="str">
        <f>IF($A814="","",IF($AK814=TRUE,"Ready 2 Submit","Waiting on Dealer"))</f>
        <v/>
      </c>
      <c r="U814" s="148"/>
      <c r="V814" s="87"/>
      <c r="W814" s="87"/>
      <c r="X814" s="87" t="str">
        <f>IF($A814="","",IF($AK814=TRUE,"Ready 2 Submit","Waiting on Dealer"))</f>
        <v/>
      </c>
      <c r="Y814" s="148"/>
      <c r="Z814" s="87"/>
      <c r="AA814" s="87"/>
      <c r="AB814" s="87" t="str">
        <f>IF($A814="","",IF($AK814=TRUE,"Ready 2 Submit","Waiting on Dealer"))</f>
        <v/>
      </c>
      <c r="AC814" s="148"/>
      <c r="AD814" s="87"/>
      <c r="AE814" s="87"/>
      <c r="AF814" s="87" t="str">
        <f>IF($A814="","",IF($AK814=TRUE,"Ready 2 Submit","Waiting on Dealer"))</f>
        <v/>
      </c>
      <c r="AG814" s="148"/>
      <c r="AH814" s="87"/>
      <c r="AI814" s="87"/>
      <c r="AJ814" s="197"/>
      <c r="AK814" s="110" t="b">
        <v>0</v>
      </c>
      <c r="AL814" s="87" t="str" cm="1">
        <f t="array" ref="AL814">IF($A814="","",SUMPRODUCT((CHOOSE({1,2,3,4,5},$R814,$V814,$Z814,$AD814,$AH814)="Yes")*(((CHOOSE({1,2,3,4,5},$S814,$W814,$AA814,$AE814,$AI814)="Yes")+(CHOOSE({1,2,3,4,5},$S814,$W814,$AA814,$AE814,$AI814)=TRUE))&gt;0)))</f>
        <v/>
      </c>
      <c r="AM814" s="87"/>
      <c r="AN814" s="87" t="str">
        <f ca="1">IF(OR($A814="",$AM814=""),"",TODAY()-$AM814)</f>
        <v/>
      </c>
      <c r="AO814" s="87"/>
      <c r="AP814" s="106"/>
      <c r="AQ814" s="106"/>
      <c r="AR814" s="106"/>
      <c r="AS814" s="106"/>
      <c r="AT814" s="106"/>
      <c r="AU814" s="106"/>
      <c r="AV814" s="106"/>
      <c r="AW814" s="106"/>
      <c r="AX814" s="106"/>
      <c r="AY814" s="106"/>
    </row>
    <row r="815" spans="1:51" s="20" customFormat="1" ht="21" customHeight="1">
      <c r="A815" s="197"/>
      <c r="B815" s="87"/>
      <c r="C815" s="87"/>
      <c r="D815" s="196"/>
      <c r="E815" s="108"/>
      <c r="F815" s="196"/>
      <c r="G815" s="87"/>
      <c r="H815" s="197"/>
      <c r="I815" s="89"/>
      <c r="J815" s="204"/>
      <c r="K815" s="87"/>
      <c r="L815" s="87" t="str" cm="1">
        <f t="array" ref="L815">IF($A815="","",_xlfn.LET(_xlpm.stat,CHOOSE({1,2,3,4,5},$P815,$T815,$X815,$AB815,$AF815),_xlpm.rate,CHOOSE({1,2,3,4,5},$R815,$V815,$Z815,$AD815,$AH815),_xlpm.trn,CHOOSE({1,2,3,4,5},$S815,$W815,$AA815,$AE815,$AI815),_xlpm.nsC,SUMPRODUCT(--(_xlpm.stat="Ready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DLR",IF(AND(_xlpm.actRS&gt;0,_xlpm.actDone&lt;_xlpm.actRS),"Training",IF(_xlpm.actRS&gt;0,"Active",IF(AND(_xlpm.decC&gt;0,_xlpm.inPlay+_xlpm.actC=0),"Dead",IF(AND($AJ815&lt;&gt;"",$AK815=FALSE),"Waiting on Dealer",IF(_xlpm.subC&gt;0,"Waiting on Lender",IF(AND(_xlpm.appC+_xlpm.actC&gt;0,_xlpm.nsC+_xlpm.wdC=0),"Rate Sheet","Application Submitted")))))))))</f>
        <v/>
      </c>
      <c r="M815" s="87"/>
      <c r="N815" s="87"/>
      <c r="O815" s="197"/>
      <c r="P815" s="87" t="str">
        <f>IF($A815="","",IF($AK815=TRUE,"Ready 2 Submit","Waiting on Dealer"))</f>
        <v/>
      </c>
      <c r="Q815" s="148"/>
      <c r="R815" s="87"/>
      <c r="S815" s="87"/>
      <c r="T815" s="87" t="str">
        <f>IF($A815="","",IF($AK815=TRUE,"Ready 2 Submit","Waiting on Dealer"))</f>
        <v/>
      </c>
      <c r="U815" s="148"/>
      <c r="V815" s="87"/>
      <c r="W815" s="87"/>
      <c r="X815" s="87" t="str">
        <f>IF($A815="","",IF($AK815=TRUE,"Ready 2 Submit","Waiting on Dealer"))</f>
        <v/>
      </c>
      <c r="Y815" s="148"/>
      <c r="Z815" s="87"/>
      <c r="AA815" s="87"/>
      <c r="AB815" s="87" t="str">
        <f>IF($A815="","",IF($AK815=TRUE,"Ready 2 Submit","Waiting on Dealer"))</f>
        <v/>
      </c>
      <c r="AC815" s="148"/>
      <c r="AD815" s="87"/>
      <c r="AE815" s="87"/>
      <c r="AF815" s="87" t="str">
        <f>IF($A815="","",IF($AK815=TRUE,"Ready 2 Submit","Waiting on Dealer"))</f>
        <v/>
      </c>
      <c r="AG815" s="148"/>
      <c r="AH815" s="87"/>
      <c r="AI815" s="87"/>
      <c r="AJ815" s="197"/>
      <c r="AK815" s="110" t="b">
        <v>0</v>
      </c>
      <c r="AL815" s="87" t="str" cm="1">
        <f t="array" ref="AL815">IF($A815="","",SUMPRODUCT((CHOOSE({1,2,3,4,5},$R815,$V815,$Z815,$AD815,$AH815)="Yes")*(((CHOOSE({1,2,3,4,5},$S815,$W815,$AA815,$AE815,$AI815)="Yes")+(CHOOSE({1,2,3,4,5},$S815,$W815,$AA815,$AE815,$AI815)=TRUE))&gt;0)))</f>
        <v/>
      </c>
      <c r="AM815" s="87"/>
      <c r="AN815" s="87" t="str">
        <f ca="1">IF(OR($A815="",$AM815=""),"",TODAY()-$AM815)</f>
        <v/>
      </c>
      <c r="AO815" s="87"/>
      <c r="AP815" s="106"/>
      <c r="AQ815" s="106"/>
      <c r="AR815" s="106"/>
      <c r="AS815" s="106"/>
      <c r="AT815" s="106"/>
      <c r="AU815" s="106"/>
      <c r="AV815" s="106"/>
      <c r="AW815" s="106"/>
      <c r="AX815" s="106"/>
      <c r="AY815" s="106"/>
    </row>
    <row r="816" spans="1:51" s="20" customFormat="1" ht="21" customHeight="1">
      <c r="A816" s="197"/>
      <c r="B816" s="87"/>
      <c r="C816" s="87"/>
      <c r="D816" s="196"/>
      <c r="E816" s="108"/>
      <c r="F816" s="196"/>
      <c r="G816" s="87"/>
      <c r="H816" s="197"/>
      <c r="I816" s="89"/>
      <c r="J816" s="204"/>
      <c r="K816" s="87"/>
      <c r="L816" s="87" t="str" cm="1">
        <f t="array" ref="L816">IF($A816="","",_xlfn.LET(_xlpm.stat,CHOOSE({1,2,3,4,5},$P816,$T816,$X816,$AB816,$AF816),_xlpm.rate,CHOOSE({1,2,3,4,5},$R816,$V816,$Z816,$AD816,$AH816),_xlpm.trn,CHOOSE({1,2,3,4,5},$S816,$W816,$AA816,$AE816,$AI816),_xlpm.nsC,SUMPRODUCT(--(_xlpm.stat="Ready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DLR",IF(AND(_xlpm.actRS&gt;0,_xlpm.actDone&lt;_xlpm.actRS),"Training",IF(_xlpm.actRS&gt;0,"Active",IF(AND(_xlpm.decC&gt;0,_xlpm.inPlay+_xlpm.actC=0),"Dead",IF(AND($AJ816&lt;&gt;"",$AK816=FALSE),"Waiting on Dealer",IF(_xlpm.subC&gt;0,"Waiting on Lender",IF(AND(_xlpm.appC+_xlpm.actC&gt;0,_xlpm.nsC+_xlpm.wdC=0),"Rate Sheet","Application Submitted")))))))))</f>
        <v/>
      </c>
      <c r="M816" s="87"/>
      <c r="N816" s="87"/>
      <c r="O816" s="197"/>
      <c r="P816" s="87" t="str">
        <f>IF($A816="","",IF($AK816=TRUE,"Ready 2 Submit","Waiting on Dealer"))</f>
        <v/>
      </c>
      <c r="Q816" s="148"/>
      <c r="R816" s="87"/>
      <c r="S816" s="87"/>
      <c r="T816" s="87" t="str">
        <f>IF($A816="","",IF($AK816=TRUE,"Ready 2 Submit","Waiting on Dealer"))</f>
        <v/>
      </c>
      <c r="U816" s="148"/>
      <c r="V816" s="87"/>
      <c r="W816" s="87"/>
      <c r="X816" s="87" t="str">
        <f>IF($A816="","",IF($AK816=TRUE,"Ready 2 Submit","Waiting on Dealer"))</f>
        <v/>
      </c>
      <c r="Y816" s="148"/>
      <c r="Z816" s="87"/>
      <c r="AA816" s="87"/>
      <c r="AB816" s="87" t="str">
        <f>IF($A816="","",IF($AK816=TRUE,"Ready 2 Submit","Waiting on Dealer"))</f>
        <v/>
      </c>
      <c r="AC816" s="148"/>
      <c r="AD816" s="87"/>
      <c r="AE816" s="87"/>
      <c r="AF816" s="87" t="str">
        <f>IF($A816="","",IF($AK816=TRUE,"Ready 2 Submit","Waiting on Dealer"))</f>
        <v/>
      </c>
      <c r="AG816" s="148"/>
      <c r="AH816" s="87"/>
      <c r="AI816" s="87"/>
      <c r="AJ816" s="197"/>
      <c r="AK816" s="110" t="b">
        <v>0</v>
      </c>
      <c r="AL816" s="87" t="str" cm="1">
        <f t="array" ref="AL816">IF($A816="","",SUMPRODUCT((CHOOSE({1,2,3,4,5},$R816,$V816,$Z816,$AD816,$AH816)="Yes")*(((CHOOSE({1,2,3,4,5},$S816,$W816,$AA816,$AE816,$AI816)="Yes")+(CHOOSE({1,2,3,4,5},$S816,$W816,$AA816,$AE816,$AI816)=TRUE))&gt;0)))</f>
        <v/>
      </c>
      <c r="AM816" s="87"/>
      <c r="AN816" s="87" t="str">
        <f ca="1">IF(OR($A816="",$AM816=""),"",TODAY()-$AM816)</f>
        <v/>
      </c>
      <c r="AO816" s="87"/>
      <c r="AP816" s="106"/>
      <c r="AQ816" s="106"/>
      <c r="AR816" s="106"/>
      <c r="AS816" s="106"/>
      <c r="AT816" s="106"/>
      <c r="AU816" s="106"/>
      <c r="AV816" s="106"/>
      <c r="AW816" s="106"/>
      <c r="AX816" s="106"/>
      <c r="AY816" s="106"/>
    </row>
    <row r="817" spans="1:51" s="20" customFormat="1" ht="21" customHeight="1">
      <c r="A817" s="197"/>
      <c r="B817" s="87"/>
      <c r="C817" s="87"/>
      <c r="D817" s="196"/>
      <c r="E817" s="108"/>
      <c r="F817" s="196"/>
      <c r="G817" s="87"/>
      <c r="H817" s="197"/>
      <c r="I817" s="89"/>
      <c r="J817" s="204"/>
      <c r="K817" s="87"/>
      <c r="L817" s="87" t="str" cm="1">
        <f t="array" ref="L817">IF($A817="","",_xlfn.LET(_xlpm.stat,CHOOSE({1,2,3,4,5},$P817,$T817,$X817,$AB817,$AF817),_xlpm.rate,CHOOSE({1,2,3,4,5},$R817,$V817,$Z817,$AD817,$AH817),_xlpm.trn,CHOOSE({1,2,3,4,5},$S817,$W817,$AA817,$AE817,$AI817),_xlpm.nsC,SUMPRODUCT(--(_xlpm.stat="Ready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DLR",IF(AND(_xlpm.actRS&gt;0,_xlpm.actDone&lt;_xlpm.actRS),"Training",IF(_xlpm.actRS&gt;0,"Active",IF(AND(_xlpm.decC&gt;0,_xlpm.inPlay+_xlpm.actC=0),"Dead",IF(AND($AJ817&lt;&gt;"",$AK817=FALSE),"Waiting on Dealer",IF(_xlpm.subC&gt;0,"Waiting on Lender",IF(AND(_xlpm.appC+_xlpm.actC&gt;0,_xlpm.nsC+_xlpm.wdC=0),"Rate Sheet","Application Submitted")))))))))</f>
        <v/>
      </c>
      <c r="M817" s="87"/>
      <c r="N817" s="87"/>
      <c r="O817" s="197"/>
      <c r="P817" s="87" t="str">
        <f>IF($A817="","",IF($AK817=TRUE,"Ready 2 Submit","Waiting on Dealer"))</f>
        <v/>
      </c>
      <c r="Q817" s="148"/>
      <c r="R817" s="87"/>
      <c r="S817" s="87"/>
      <c r="T817" s="87" t="str">
        <f>IF($A817="","",IF($AK817=TRUE,"Ready 2 Submit","Waiting on Dealer"))</f>
        <v/>
      </c>
      <c r="U817" s="148"/>
      <c r="V817" s="87"/>
      <c r="W817" s="87"/>
      <c r="X817" s="87" t="str">
        <f>IF($A817="","",IF($AK817=TRUE,"Ready 2 Submit","Waiting on Dealer"))</f>
        <v/>
      </c>
      <c r="Y817" s="148"/>
      <c r="Z817" s="87"/>
      <c r="AA817" s="87"/>
      <c r="AB817" s="87" t="str">
        <f>IF($A817="","",IF($AK817=TRUE,"Ready 2 Submit","Waiting on Dealer"))</f>
        <v/>
      </c>
      <c r="AC817" s="148"/>
      <c r="AD817" s="87"/>
      <c r="AE817" s="87"/>
      <c r="AF817" s="87" t="str">
        <f>IF($A817="","",IF($AK817=TRUE,"Ready 2 Submit","Waiting on Dealer"))</f>
        <v/>
      </c>
      <c r="AG817" s="148"/>
      <c r="AH817" s="87"/>
      <c r="AI817" s="87"/>
      <c r="AJ817" s="197"/>
      <c r="AK817" s="110" t="b">
        <v>0</v>
      </c>
      <c r="AL817" s="87" t="str" cm="1">
        <f t="array" ref="AL817">IF($A817="","",SUMPRODUCT((CHOOSE({1,2,3,4,5},$R817,$V817,$Z817,$AD817,$AH817)="Yes")*(((CHOOSE({1,2,3,4,5},$S817,$W817,$AA817,$AE817,$AI817)="Yes")+(CHOOSE({1,2,3,4,5},$S817,$W817,$AA817,$AE817,$AI817)=TRUE))&gt;0)))</f>
        <v/>
      </c>
      <c r="AM817" s="87"/>
      <c r="AN817" s="87" t="str">
        <f ca="1">IF(OR($A817="",$AM817=""),"",TODAY()-$AM817)</f>
        <v/>
      </c>
      <c r="AO817" s="87"/>
      <c r="AP817" s="106"/>
      <c r="AQ817" s="106"/>
      <c r="AR817" s="106"/>
      <c r="AS817" s="106"/>
      <c r="AT817" s="106"/>
      <c r="AU817" s="106"/>
      <c r="AV817" s="106"/>
      <c r="AW817" s="106"/>
      <c r="AX817" s="106"/>
      <c r="AY817" s="106"/>
    </row>
    <row r="818" spans="1:51" s="20" customFormat="1" ht="21" customHeight="1">
      <c r="A818" s="197"/>
      <c r="B818" s="87"/>
      <c r="C818" s="87"/>
      <c r="D818" s="196"/>
      <c r="E818" s="108"/>
      <c r="F818" s="196"/>
      <c r="G818" s="87"/>
      <c r="H818" s="197"/>
      <c r="I818" s="89"/>
      <c r="J818" s="204"/>
      <c r="K818" s="87"/>
      <c r="L818" s="87" t="str" cm="1">
        <f t="array" ref="L818">IF($A818="","",_xlfn.LET(_xlpm.stat,CHOOSE({1,2,3,4,5},$P818,$T818,$X818,$AB818,$AF818),_xlpm.rate,CHOOSE({1,2,3,4,5},$R818,$V818,$Z818,$AD818,$AH818),_xlpm.trn,CHOOSE({1,2,3,4,5},$S818,$W818,$AA818,$AE818,$AI818),_xlpm.nsC,SUMPRODUCT(--(_xlpm.stat="Ready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DLR",IF(AND(_xlpm.actRS&gt;0,_xlpm.actDone&lt;_xlpm.actRS),"Training",IF(_xlpm.actRS&gt;0,"Active",IF(AND(_xlpm.decC&gt;0,_xlpm.inPlay+_xlpm.actC=0),"Dead",IF(AND($AJ818&lt;&gt;"",$AK818=FALSE),"Waiting on Dealer",IF(_xlpm.subC&gt;0,"Waiting on Lender",IF(AND(_xlpm.appC+_xlpm.actC&gt;0,_xlpm.nsC+_xlpm.wdC=0),"Rate Sheet","Application Submitted")))))))))</f>
        <v/>
      </c>
      <c r="M818" s="87"/>
      <c r="N818" s="87"/>
      <c r="O818" s="197"/>
      <c r="P818" s="87" t="str">
        <f>IF($A818="","",IF($AK818=TRUE,"Ready 2 Submit","Waiting on Dealer"))</f>
        <v/>
      </c>
      <c r="Q818" s="148"/>
      <c r="R818" s="87"/>
      <c r="S818" s="87"/>
      <c r="T818" s="87" t="str">
        <f>IF($A818="","",IF($AK818=TRUE,"Ready 2 Submit","Waiting on Dealer"))</f>
        <v/>
      </c>
      <c r="U818" s="148"/>
      <c r="V818" s="87"/>
      <c r="W818" s="87"/>
      <c r="X818" s="87" t="str">
        <f>IF($A818="","",IF($AK818=TRUE,"Ready 2 Submit","Waiting on Dealer"))</f>
        <v/>
      </c>
      <c r="Y818" s="148"/>
      <c r="Z818" s="87"/>
      <c r="AA818" s="87"/>
      <c r="AB818" s="87" t="str">
        <f>IF($A818="","",IF($AK818=TRUE,"Ready 2 Submit","Waiting on Dealer"))</f>
        <v/>
      </c>
      <c r="AC818" s="148"/>
      <c r="AD818" s="87"/>
      <c r="AE818" s="87"/>
      <c r="AF818" s="87" t="str">
        <f>IF($A818="","",IF($AK818=TRUE,"Ready 2 Submit","Waiting on Dealer"))</f>
        <v/>
      </c>
      <c r="AG818" s="148"/>
      <c r="AH818" s="87"/>
      <c r="AI818" s="87"/>
      <c r="AJ818" s="197"/>
      <c r="AK818" s="110" t="b">
        <v>0</v>
      </c>
      <c r="AL818" s="87" t="str" cm="1">
        <f t="array" ref="AL818">IF($A818="","",SUMPRODUCT((CHOOSE({1,2,3,4,5},$R818,$V818,$Z818,$AD818,$AH818)="Yes")*(((CHOOSE({1,2,3,4,5},$S818,$W818,$AA818,$AE818,$AI818)="Yes")+(CHOOSE({1,2,3,4,5},$S818,$W818,$AA818,$AE818,$AI818)=TRUE))&gt;0)))</f>
        <v/>
      </c>
      <c r="AM818" s="87"/>
      <c r="AN818" s="87" t="str">
        <f ca="1">IF(OR($A818="",$AM818=""),"",TODAY()-$AM818)</f>
        <v/>
      </c>
      <c r="AO818" s="87"/>
      <c r="AP818" s="106"/>
      <c r="AQ818" s="106"/>
      <c r="AR818" s="106"/>
      <c r="AS818" s="106"/>
      <c r="AT818" s="106"/>
      <c r="AU818" s="106"/>
      <c r="AV818" s="106"/>
      <c r="AW818" s="106"/>
      <c r="AX818" s="106"/>
      <c r="AY818" s="106"/>
    </row>
    <row r="819" spans="1:51" s="20" customFormat="1" ht="21" customHeight="1">
      <c r="A819" s="197"/>
      <c r="B819" s="87"/>
      <c r="C819" s="87"/>
      <c r="D819" s="196"/>
      <c r="E819" s="108"/>
      <c r="F819" s="196"/>
      <c r="G819" s="87"/>
      <c r="H819" s="197"/>
      <c r="I819" s="89"/>
      <c r="J819" s="204"/>
      <c r="K819" s="87"/>
      <c r="L819" s="87" t="str" cm="1">
        <f t="array" ref="L819">IF($A819="","",_xlfn.LET(_xlpm.stat,CHOOSE({1,2,3,4,5},$P819,$T819,$X819,$AB819,$AF819),_xlpm.rate,CHOOSE({1,2,3,4,5},$R819,$V819,$Z819,$AD819,$AH819),_xlpm.trn,CHOOSE({1,2,3,4,5},$S819,$W819,$AA819,$AE819,$AI819),_xlpm.nsC,SUMPRODUCT(--(_xlpm.stat="Ready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DLR",IF(AND(_xlpm.actRS&gt;0,_xlpm.actDone&lt;_xlpm.actRS),"Training",IF(_xlpm.actRS&gt;0,"Active",IF(AND(_xlpm.decC&gt;0,_xlpm.inPlay+_xlpm.actC=0),"Dead",IF(AND($AJ819&lt;&gt;"",$AK819=FALSE),"Waiting on Dealer",IF(_xlpm.subC&gt;0,"Waiting on Lender",IF(AND(_xlpm.appC+_xlpm.actC&gt;0,_xlpm.nsC+_xlpm.wdC=0),"Rate Sheet","Application Submitted")))))))))</f>
        <v/>
      </c>
      <c r="M819" s="87"/>
      <c r="N819" s="87"/>
      <c r="O819" s="197"/>
      <c r="P819" s="87" t="str">
        <f>IF($A819="","",IF($AK819=TRUE,"Ready 2 Submit","Waiting on Dealer"))</f>
        <v/>
      </c>
      <c r="Q819" s="148"/>
      <c r="R819" s="87"/>
      <c r="S819" s="87"/>
      <c r="T819" s="87" t="str">
        <f>IF($A819="","",IF($AK819=TRUE,"Ready 2 Submit","Waiting on Dealer"))</f>
        <v/>
      </c>
      <c r="U819" s="148"/>
      <c r="V819" s="87"/>
      <c r="W819" s="87"/>
      <c r="X819" s="87" t="str">
        <f>IF($A819="","",IF($AK819=TRUE,"Ready 2 Submit","Waiting on Dealer"))</f>
        <v/>
      </c>
      <c r="Y819" s="148"/>
      <c r="Z819" s="87"/>
      <c r="AA819" s="87"/>
      <c r="AB819" s="87" t="str">
        <f>IF($A819="","",IF($AK819=TRUE,"Ready 2 Submit","Waiting on Dealer"))</f>
        <v/>
      </c>
      <c r="AC819" s="148"/>
      <c r="AD819" s="87"/>
      <c r="AE819" s="87"/>
      <c r="AF819" s="87" t="str">
        <f>IF($A819="","",IF($AK819=TRUE,"Ready 2 Submit","Waiting on Dealer"))</f>
        <v/>
      </c>
      <c r="AG819" s="148"/>
      <c r="AH819" s="87"/>
      <c r="AI819" s="87"/>
      <c r="AJ819" s="197"/>
      <c r="AK819" s="110" t="b">
        <v>0</v>
      </c>
      <c r="AL819" s="87" t="str" cm="1">
        <f t="array" ref="AL819">IF($A819="","",SUMPRODUCT((CHOOSE({1,2,3,4,5},$R819,$V819,$Z819,$AD819,$AH819)="Yes")*(((CHOOSE({1,2,3,4,5},$S819,$W819,$AA819,$AE819,$AI819)="Yes")+(CHOOSE({1,2,3,4,5},$S819,$W819,$AA819,$AE819,$AI819)=TRUE))&gt;0)))</f>
        <v/>
      </c>
      <c r="AM819" s="87"/>
      <c r="AN819" s="87" t="str">
        <f ca="1">IF(OR($A819="",$AM819=""),"",TODAY()-$AM819)</f>
        <v/>
      </c>
      <c r="AO819" s="87"/>
      <c r="AP819" s="106"/>
      <c r="AQ819" s="106"/>
      <c r="AR819" s="106"/>
      <c r="AS819" s="106"/>
      <c r="AT819" s="106"/>
      <c r="AU819" s="106"/>
      <c r="AV819" s="106"/>
      <c r="AW819" s="106"/>
      <c r="AX819" s="106"/>
      <c r="AY819" s="106"/>
    </row>
    <row r="820" spans="1:51" s="20" customFormat="1" ht="21" customHeight="1">
      <c r="A820" s="197"/>
      <c r="B820" s="87"/>
      <c r="C820" s="87"/>
      <c r="D820" s="196"/>
      <c r="E820" s="108"/>
      <c r="F820" s="196"/>
      <c r="G820" s="87"/>
      <c r="H820" s="197"/>
      <c r="I820" s="89"/>
      <c r="J820" s="204"/>
      <c r="K820" s="87"/>
      <c r="L820" s="87" t="str" cm="1">
        <f t="array" ref="L820">IF($A820="","",_xlfn.LET(_xlpm.stat,CHOOSE({1,2,3,4,5},$P820,$T820,$X820,$AB820,$AF820),_xlpm.rate,CHOOSE({1,2,3,4,5},$R820,$V820,$Z820,$AD820,$AH820),_xlpm.trn,CHOOSE({1,2,3,4,5},$S820,$W820,$AA820,$AE820,$AI820),_xlpm.nsC,SUMPRODUCT(--(_xlpm.stat="Ready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DLR",IF(AND(_xlpm.actRS&gt;0,_xlpm.actDone&lt;_xlpm.actRS),"Training",IF(_xlpm.actRS&gt;0,"Active",IF(AND(_xlpm.decC&gt;0,_xlpm.inPlay+_xlpm.actC=0),"Dead",IF(AND($AJ820&lt;&gt;"",$AK820=FALSE),"Waiting on Dealer",IF(_xlpm.subC&gt;0,"Waiting on Lender",IF(AND(_xlpm.appC+_xlpm.actC&gt;0,_xlpm.nsC+_xlpm.wdC=0),"Rate Sheet","Application Submitted")))))))))</f>
        <v/>
      </c>
      <c r="M820" s="87"/>
      <c r="N820" s="87"/>
      <c r="O820" s="197"/>
      <c r="P820" s="87" t="str">
        <f>IF($A820="","",IF($AK820=TRUE,"Ready 2 Submit","Waiting on Dealer"))</f>
        <v/>
      </c>
      <c r="Q820" s="148"/>
      <c r="R820" s="87"/>
      <c r="S820" s="87"/>
      <c r="T820" s="87" t="str">
        <f>IF($A820="","",IF($AK820=TRUE,"Ready 2 Submit","Waiting on Dealer"))</f>
        <v/>
      </c>
      <c r="U820" s="148"/>
      <c r="V820" s="87"/>
      <c r="W820" s="87"/>
      <c r="X820" s="87" t="str">
        <f>IF($A820="","",IF($AK820=TRUE,"Ready 2 Submit","Waiting on Dealer"))</f>
        <v/>
      </c>
      <c r="Y820" s="148"/>
      <c r="Z820" s="87"/>
      <c r="AA820" s="87"/>
      <c r="AB820" s="87" t="str">
        <f>IF($A820="","",IF($AK820=TRUE,"Ready 2 Submit","Waiting on Dealer"))</f>
        <v/>
      </c>
      <c r="AC820" s="148"/>
      <c r="AD820" s="87"/>
      <c r="AE820" s="87"/>
      <c r="AF820" s="87" t="str">
        <f>IF($A820="","",IF($AK820=TRUE,"Ready 2 Submit","Waiting on Dealer"))</f>
        <v/>
      </c>
      <c r="AG820" s="148"/>
      <c r="AH820" s="87"/>
      <c r="AI820" s="87"/>
      <c r="AJ820" s="197"/>
      <c r="AK820" s="110" t="b">
        <v>0</v>
      </c>
      <c r="AL820" s="87" t="str" cm="1">
        <f t="array" ref="AL820">IF($A820="","",SUMPRODUCT((CHOOSE({1,2,3,4,5},$R820,$V820,$Z820,$AD820,$AH820)="Yes")*(((CHOOSE({1,2,3,4,5},$S820,$W820,$AA820,$AE820,$AI820)="Yes")+(CHOOSE({1,2,3,4,5},$S820,$W820,$AA820,$AE820,$AI820)=TRUE))&gt;0)))</f>
        <v/>
      </c>
      <c r="AM820" s="87"/>
      <c r="AN820" s="87" t="str">
        <f ca="1">IF(OR($A820="",$AM820=""),"",TODAY()-$AM820)</f>
        <v/>
      </c>
      <c r="AO820" s="87"/>
      <c r="AP820" s="106"/>
      <c r="AQ820" s="106"/>
      <c r="AR820" s="106"/>
      <c r="AS820" s="106"/>
      <c r="AT820" s="106"/>
      <c r="AU820" s="106"/>
      <c r="AV820" s="106"/>
      <c r="AW820" s="106"/>
      <c r="AX820" s="106"/>
      <c r="AY820" s="106"/>
    </row>
    <row r="821" spans="1:51" s="20" customFormat="1" ht="21" customHeight="1">
      <c r="A821" s="197"/>
      <c r="B821" s="87"/>
      <c r="C821" s="87"/>
      <c r="D821" s="196"/>
      <c r="E821" s="108"/>
      <c r="F821" s="196"/>
      <c r="G821" s="87"/>
      <c r="H821" s="197"/>
      <c r="I821" s="89"/>
      <c r="J821" s="204"/>
      <c r="K821" s="87"/>
      <c r="L821" s="87" t="str" cm="1">
        <f t="array" ref="L821">IF($A821="","",_xlfn.LET(_xlpm.stat,CHOOSE({1,2,3,4,5},$P821,$T821,$X821,$AB821,$AF821),_xlpm.rate,CHOOSE({1,2,3,4,5},$R821,$V821,$Z821,$AD821,$AH821),_xlpm.trn,CHOOSE({1,2,3,4,5},$S821,$W821,$AA821,$AE821,$AI821),_xlpm.nsC,SUMPRODUCT(--(_xlpm.stat="Ready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DLR",IF(AND(_xlpm.actRS&gt;0,_xlpm.actDone&lt;_xlpm.actRS),"Training",IF(_xlpm.actRS&gt;0,"Active",IF(AND(_xlpm.decC&gt;0,_xlpm.inPlay+_xlpm.actC=0),"Dead",IF(AND($AJ821&lt;&gt;"",$AK821=FALSE),"Waiting on Dealer",IF(_xlpm.subC&gt;0,"Waiting on Lender",IF(AND(_xlpm.appC+_xlpm.actC&gt;0,_xlpm.nsC+_xlpm.wdC=0),"Rate Sheet","Application Submitted")))))))))</f>
        <v/>
      </c>
      <c r="M821" s="87"/>
      <c r="N821" s="87"/>
      <c r="O821" s="197"/>
      <c r="P821" s="87" t="str">
        <f>IF($A821="","",IF($AK821=TRUE,"Ready 2 Submit","Waiting on Dealer"))</f>
        <v/>
      </c>
      <c r="Q821" s="148"/>
      <c r="R821" s="87"/>
      <c r="S821" s="87"/>
      <c r="T821" s="87" t="str">
        <f>IF($A821="","",IF($AK821=TRUE,"Ready 2 Submit","Waiting on Dealer"))</f>
        <v/>
      </c>
      <c r="U821" s="148"/>
      <c r="V821" s="87"/>
      <c r="W821" s="87"/>
      <c r="X821" s="87" t="str">
        <f>IF($A821="","",IF($AK821=TRUE,"Ready 2 Submit","Waiting on Dealer"))</f>
        <v/>
      </c>
      <c r="Y821" s="148"/>
      <c r="Z821" s="87"/>
      <c r="AA821" s="87"/>
      <c r="AB821" s="87" t="str">
        <f>IF($A821="","",IF($AK821=TRUE,"Ready 2 Submit","Waiting on Dealer"))</f>
        <v/>
      </c>
      <c r="AC821" s="148"/>
      <c r="AD821" s="87"/>
      <c r="AE821" s="87"/>
      <c r="AF821" s="87" t="str">
        <f>IF($A821="","",IF($AK821=TRUE,"Ready 2 Submit","Waiting on Dealer"))</f>
        <v/>
      </c>
      <c r="AG821" s="148"/>
      <c r="AH821" s="87"/>
      <c r="AI821" s="87"/>
      <c r="AJ821" s="197"/>
      <c r="AK821" s="110" t="b">
        <v>0</v>
      </c>
      <c r="AL821" s="87" t="str" cm="1">
        <f t="array" ref="AL821">IF($A821="","",SUMPRODUCT((CHOOSE({1,2,3,4,5},$R821,$V821,$Z821,$AD821,$AH821)="Yes")*(((CHOOSE({1,2,3,4,5},$S821,$W821,$AA821,$AE821,$AI821)="Yes")+(CHOOSE({1,2,3,4,5},$S821,$W821,$AA821,$AE821,$AI821)=TRUE))&gt;0)))</f>
        <v/>
      </c>
      <c r="AM821" s="87"/>
      <c r="AN821" s="87" t="str">
        <f ca="1">IF(OR($A821="",$AM821=""),"",TODAY()-$AM821)</f>
        <v/>
      </c>
      <c r="AO821" s="87"/>
      <c r="AP821" s="106"/>
      <c r="AQ821" s="106"/>
      <c r="AR821" s="106"/>
      <c r="AS821" s="106"/>
      <c r="AT821" s="106"/>
      <c r="AU821" s="106"/>
      <c r="AV821" s="106"/>
      <c r="AW821" s="106"/>
      <c r="AX821" s="106"/>
      <c r="AY821" s="106"/>
    </row>
    <row r="822" spans="1:51" s="20" customFormat="1" ht="21" customHeight="1">
      <c r="A822" s="197"/>
      <c r="B822" s="87"/>
      <c r="C822" s="87"/>
      <c r="D822" s="196"/>
      <c r="E822" s="108"/>
      <c r="F822" s="196"/>
      <c r="G822" s="87"/>
      <c r="H822" s="197"/>
      <c r="I822" s="89"/>
      <c r="J822" s="204"/>
      <c r="K822" s="87"/>
      <c r="L822" s="87" t="str" cm="1">
        <f t="array" ref="L822">IF($A822="","",_xlfn.LET(_xlpm.stat,CHOOSE({1,2,3,4,5},$P822,$T822,$X822,$AB822,$AF822),_xlpm.rate,CHOOSE({1,2,3,4,5},$R822,$V822,$Z822,$AD822,$AH822),_xlpm.trn,CHOOSE({1,2,3,4,5},$S822,$W822,$AA822,$AE822,$AI822),_xlpm.nsC,SUMPRODUCT(--(_xlpm.stat="Ready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DLR",IF(AND(_xlpm.actRS&gt;0,_xlpm.actDone&lt;_xlpm.actRS),"Training",IF(_xlpm.actRS&gt;0,"Active",IF(AND(_xlpm.decC&gt;0,_xlpm.inPlay+_xlpm.actC=0),"Dead",IF(AND($AJ822&lt;&gt;"",$AK822=FALSE),"Waiting on Dealer",IF(_xlpm.subC&gt;0,"Waiting on Lender",IF(AND(_xlpm.appC+_xlpm.actC&gt;0,_xlpm.nsC+_xlpm.wdC=0),"Rate Sheet","Application Submitted")))))))))</f>
        <v/>
      </c>
      <c r="M822" s="87"/>
      <c r="N822" s="87"/>
      <c r="O822" s="197"/>
      <c r="P822" s="87" t="str">
        <f>IF($A822="","",IF($AK822=TRUE,"Ready 2 Submit","Waiting on Dealer"))</f>
        <v/>
      </c>
      <c r="Q822" s="148"/>
      <c r="R822" s="87"/>
      <c r="S822" s="87"/>
      <c r="T822" s="87" t="str">
        <f>IF($A822="","",IF($AK822=TRUE,"Ready 2 Submit","Waiting on Dealer"))</f>
        <v/>
      </c>
      <c r="U822" s="148"/>
      <c r="V822" s="87"/>
      <c r="W822" s="87"/>
      <c r="X822" s="87" t="str">
        <f>IF($A822="","",IF($AK822=TRUE,"Ready 2 Submit","Waiting on Dealer"))</f>
        <v/>
      </c>
      <c r="Y822" s="148"/>
      <c r="Z822" s="87"/>
      <c r="AA822" s="87"/>
      <c r="AB822" s="87" t="str">
        <f>IF($A822="","",IF($AK822=TRUE,"Ready 2 Submit","Waiting on Dealer"))</f>
        <v/>
      </c>
      <c r="AC822" s="148"/>
      <c r="AD822" s="87"/>
      <c r="AE822" s="87"/>
      <c r="AF822" s="87" t="str">
        <f>IF($A822="","",IF($AK822=TRUE,"Ready 2 Submit","Waiting on Dealer"))</f>
        <v/>
      </c>
      <c r="AG822" s="148"/>
      <c r="AH822" s="87"/>
      <c r="AI822" s="87"/>
      <c r="AJ822" s="197"/>
      <c r="AK822" s="110" t="b">
        <v>0</v>
      </c>
      <c r="AL822" s="87" t="str" cm="1">
        <f t="array" ref="AL822">IF($A822="","",SUMPRODUCT((CHOOSE({1,2,3,4,5},$R822,$V822,$Z822,$AD822,$AH822)="Yes")*(((CHOOSE({1,2,3,4,5},$S822,$W822,$AA822,$AE822,$AI822)="Yes")+(CHOOSE({1,2,3,4,5},$S822,$W822,$AA822,$AE822,$AI822)=TRUE))&gt;0)))</f>
        <v/>
      </c>
      <c r="AM822" s="87"/>
      <c r="AN822" s="87" t="str">
        <f ca="1">IF(OR($A822="",$AM822=""),"",TODAY()-$AM822)</f>
        <v/>
      </c>
      <c r="AO822" s="87"/>
      <c r="AP822" s="106"/>
      <c r="AQ822" s="106"/>
      <c r="AR822" s="106"/>
      <c r="AS822" s="106"/>
      <c r="AT822" s="106"/>
      <c r="AU822" s="106"/>
      <c r="AV822" s="106"/>
      <c r="AW822" s="106"/>
      <c r="AX822" s="106"/>
      <c r="AY822" s="106"/>
    </row>
    <row r="823" spans="1:51" s="20" customFormat="1" ht="21" customHeight="1">
      <c r="A823" s="197"/>
      <c r="B823" s="87"/>
      <c r="C823" s="87"/>
      <c r="D823" s="196"/>
      <c r="E823" s="108"/>
      <c r="F823" s="196"/>
      <c r="G823" s="87"/>
      <c r="H823" s="197"/>
      <c r="I823" s="89"/>
      <c r="J823" s="204"/>
      <c r="K823" s="87"/>
      <c r="L823" s="87" t="str" cm="1">
        <f t="array" ref="L823">IF($A823="","",_xlfn.LET(_xlpm.stat,CHOOSE({1,2,3,4,5},$P823,$T823,$X823,$AB823,$AF823),_xlpm.rate,CHOOSE({1,2,3,4,5},$R823,$V823,$Z823,$AD823,$AH823),_xlpm.trn,CHOOSE({1,2,3,4,5},$S823,$W823,$AA823,$AE823,$AI823),_xlpm.nsC,SUMPRODUCT(--(_xlpm.stat="Ready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DLR",IF(AND(_xlpm.actRS&gt;0,_xlpm.actDone&lt;_xlpm.actRS),"Training",IF(_xlpm.actRS&gt;0,"Active",IF(AND(_xlpm.decC&gt;0,_xlpm.inPlay+_xlpm.actC=0),"Dead",IF(AND($AJ823&lt;&gt;"",$AK823=FALSE),"Waiting on Dealer",IF(_xlpm.subC&gt;0,"Waiting on Lender",IF(AND(_xlpm.appC+_xlpm.actC&gt;0,_xlpm.nsC+_xlpm.wdC=0),"Rate Sheet","Application Submitted")))))))))</f>
        <v/>
      </c>
      <c r="M823" s="87"/>
      <c r="N823" s="87"/>
      <c r="O823" s="197"/>
      <c r="P823" s="87" t="str">
        <f>IF($A823="","",IF($AK823=TRUE,"Ready 2 Submit","Waiting on Dealer"))</f>
        <v/>
      </c>
      <c r="Q823" s="148"/>
      <c r="R823" s="87"/>
      <c r="S823" s="87"/>
      <c r="T823" s="87" t="str">
        <f>IF($A823="","",IF($AK823=TRUE,"Ready 2 Submit","Waiting on Dealer"))</f>
        <v/>
      </c>
      <c r="U823" s="148"/>
      <c r="V823" s="87"/>
      <c r="W823" s="87"/>
      <c r="X823" s="87" t="str">
        <f>IF($A823="","",IF($AK823=TRUE,"Ready 2 Submit","Waiting on Dealer"))</f>
        <v/>
      </c>
      <c r="Y823" s="148"/>
      <c r="Z823" s="87"/>
      <c r="AA823" s="87"/>
      <c r="AB823" s="87" t="str">
        <f>IF($A823="","",IF($AK823=TRUE,"Ready 2 Submit","Waiting on Dealer"))</f>
        <v/>
      </c>
      <c r="AC823" s="148"/>
      <c r="AD823" s="87"/>
      <c r="AE823" s="87"/>
      <c r="AF823" s="87" t="str">
        <f>IF($A823="","",IF($AK823=TRUE,"Ready 2 Submit","Waiting on Dealer"))</f>
        <v/>
      </c>
      <c r="AG823" s="148"/>
      <c r="AH823" s="87"/>
      <c r="AI823" s="87"/>
      <c r="AJ823" s="197"/>
      <c r="AK823" s="110" t="b">
        <v>0</v>
      </c>
      <c r="AL823" s="87" t="str" cm="1">
        <f t="array" ref="AL823">IF($A823="","",SUMPRODUCT((CHOOSE({1,2,3,4,5},$R823,$V823,$Z823,$AD823,$AH823)="Yes")*(((CHOOSE({1,2,3,4,5},$S823,$W823,$AA823,$AE823,$AI823)="Yes")+(CHOOSE({1,2,3,4,5},$S823,$W823,$AA823,$AE823,$AI823)=TRUE))&gt;0)))</f>
        <v/>
      </c>
      <c r="AM823" s="87"/>
      <c r="AN823" s="87" t="str">
        <f ca="1">IF(OR($A823="",$AM823=""),"",TODAY()-$AM823)</f>
        <v/>
      </c>
      <c r="AO823" s="87"/>
      <c r="AP823" s="106"/>
      <c r="AQ823" s="106"/>
      <c r="AR823" s="106"/>
      <c r="AS823" s="106"/>
      <c r="AT823" s="106"/>
      <c r="AU823" s="106"/>
      <c r="AV823" s="106"/>
      <c r="AW823" s="106"/>
      <c r="AX823" s="106"/>
      <c r="AY823" s="106"/>
    </row>
    <row r="824" spans="1:51" s="20" customFormat="1" ht="21" customHeight="1">
      <c r="A824" s="197"/>
      <c r="B824" s="87"/>
      <c r="C824" s="87"/>
      <c r="D824" s="196"/>
      <c r="E824" s="108"/>
      <c r="F824" s="196"/>
      <c r="G824" s="87"/>
      <c r="H824" s="197"/>
      <c r="I824" s="89"/>
      <c r="J824" s="204"/>
      <c r="K824" s="87"/>
      <c r="L824" s="87" t="str" cm="1">
        <f t="array" ref="L824">IF($A824="","",_xlfn.LET(_xlpm.stat,CHOOSE({1,2,3,4,5},$P824,$T824,$X824,$AB824,$AF824),_xlpm.rate,CHOOSE({1,2,3,4,5},$R824,$V824,$Z824,$AD824,$AH824),_xlpm.trn,CHOOSE({1,2,3,4,5},$S824,$W824,$AA824,$AE824,$AI824),_xlpm.nsC,SUMPRODUCT(--(_xlpm.stat="Ready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DLR",IF(AND(_xlpm.actRS&gt;0,_xlpm.actDone&lt;_xlpm.actRS),"Training",IF(_xlpm.actRS&gt;0,"Active",IF(AND(_xlpm.decC&gt;0,_xlpm.inPlay+_xlpm.actC=0),"Dead",IF(AND($AJ824&lt;&gt;"",$AK824=FALSE),"Waiting on Dealer",IF(_xlpm.subC&gt;0,"Waiting on Lender",IF(AND(_xlpm.appC+_xlpm.actC&gt;0,_xlpm.nsC+_xlpm.wdC=0),"Rate Sheet","Application Submitted")))))))))</f>
        <v/>
      </c>
      <c r="M824" s="87"/>
      <c r="N824" s="87"/>
      <c r="O824" s="197"/>
      <c r="P824" s="87" t="str">
        <f>IF($A824="","",IF($AK824=TRUE,"Ready 2 Submit","Waiting on Dealer"))</f>
        <v/>
      </c>
      <c r="Q824" s="148"/>
      <c r="R824" s="87"/>
      <c r="S824" s="87"/>
      <c r="T824" s="87" t="str">
        <f>IF($A824="","",IF($AK824=TRUE,"Ready 2 Submit","Waiting on Dealer"))</f>
        <v/>
      </c>
      <c r="U824" s="148"/>
      <c r="V824" s="87"/>
      <c r="W824" s="87"/>
      <c r="X824" s="87" t="str">
        <f>IF($A824="","",IF($AK824=TRUE,"Ready 2 Submit","Waiting on Dealer"))</f>
        <v/>
      </c>
      <c r="Y824" s="148"/>
      <c r="Z824" s="87"/>
      <c r="AA824" s="87"/>
      <c r="AB824" s="87" t="str">
        <f>IF($A824="","",IF($AK824=TRUE,"Ready 2 Submit","Waiting on Dealer"))</f>
        <v/>
      </c>
      <c r="AC824" s="148"/>
      <c r="AD824" s="87"/>
      <c r="AE824" s="87"/>
      <c r="AF824" s="87" t="str">
        <f>IF($A824="","",IF($AK824=TRUE,"Ready 2 Submit","Waiting on Dealer"))</f>
        <v/>
      </c>
      <c r="AG824" s="148"/>
      <c r="AH824" s="87"/>
      <c r="AI824" s="87"/>
      <c r="AJ824" s="197"/>
      <c r="AK824" s="110" t="b">
        <v>0</v>
      </c>
      <c r="AL824" s="87" t="str" cm="1">
        <f t="array" ref="AL824">IF($A824="","",SUMPRODUCT((CHOOSE({1,2,3,4,5},$R824,$V824,$Z824,$AD824,$AH824)="Yes")*(((CHOOSE({1,2,3,4,5},$S824,$W824,$AA824,$AE824,$AI824)="Yes")+(CHOOSE({1,2,3,4,5},$S824,$W824,$AA824,$AE824,$AI824)=TRUE))&gt;0)))</f>
        <v/>
      </c>
      <c r="AM824" s="87"/>
      <c r="AN824" s="87" t="str">
        <f ca="1">IF(OR($A824="",$AM824=""),"",TODAY()-$AM824)</f>
        <v/>
      </c>
      <c r="AO824" s="87"/>
      <c r="AP824" s="106"/>
      <c r="AQ824" s="106"/>
      <c r="AR824" s="106"/>
      <c r="AS824" s="106"/>
      <c r="AT824" s="106"/>
      <c r="AU824" s="106"/>
      <c r="AV824" s="106"/>
      <c r="AW824" s="106"/>
      <c r="AX824" s="106"/>
      <c r="AY824" s="106"/>
    </row>
    <row r="825" spans="1:51" s="20" customFormat="1" ht="21" customHeight="1">
      <c r="A825" s="197"/>
      <c r="B825" s="87"/>
      <c r="C825" s="87"/>
      <c r="D825" s="196"/>
      <c r="E825" s="108"/>
      <c r="F825" s="196"/>
      <c r="G825" s="87"/>
      <c r="H825" s="197"/>
      <c r="I825" s="89"/>
      <c r="J825" s="204"/>
      <c r="K825" s="87"/>
      <c r="L825" s="87" t="str" cm="1">
        <f t="array" ref="L825">IF($A825="","",_xlfn.LET(_xlpm.stat,CHOOSE({1,2,3,4,5},$P825,$T825,$X825,$AB825,$AF825),_xlpm.rate,CHOOSE({1,2,3,4,5},$R825,$V825,$Z825,$AD825,$AH825),_xlpm.trn,CHOOSE({1,2,3,4,5},$S825,$W825,$AA825,$AE825,$AI825),_xlpm.nsC,SUMPRODUCT(--(_xlpm.stat="Ready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DLR",IF(AND(_xlpm.actRS&gt;0,_xlpm.actDone&lt;_xlpm.actRS),"Training",IF(_xlpm.actRS&gt;0,"Active",IF(AND(_xlpm.decC&gt;0,_xlpm.inPlay+_xlpm.actC=0),"Dead",IF(AND($AJ825&lt;&gt;"",$AK825=FALSE),"Waiting on Dealer",IF(_xlpm.subC&gt;0,"Waiting on Lender",IF(AND(_xlpm.appC+_xlpm.actC&gt;0,_xlpm.nsC+_xlpm.wdC=0),"Rate Sheet","Application Submitted")))))))))</f>
        <v/>
      </c>
      <c r="M825" s="87"/>
      <c r="N825" s="87"/>
      <c r="O825" s="197"/>
      <c r="P825" s="87" t="str">
        <f>IF($A825="","",IF($AK825=TRUE,"Ready 2 Submit","Waiting on Dealer"))</f>
        <v/>
      </c>
      <c r="Q825" s="148"/>
      <c r="R825" s="87"/>
      <c r="S825" s="87"/>
      <c r="T825" s="87" t="str">
        <f>IF($A825="","",IF($AK825=TRUE,"Ready 2 Submit","Waiting on Dealer"))</f>
        <v/>
      </c>
      <c r="U825" s="148"/>
      <c r="V825" s="87"/>
      <c r="W825" s="87"/>
      <c r="X825" s="87" t="str">
        <f>IF($A825="","",IF($AK825=TRUE,"Ready 2 Submit","Waiting on Dealer"))</f>
        <v/>
      </c>
      <c r="Y825" s="148"/>
      <c r="Z825" s="87"/>
      <c r="AA825" s="87"/>
      <c r="AB825" s="87" t="str">
        <f>IF($A825="","",IF($AK825=TRUE,"Ready 2 Submit","Waiting on Dealer"))</f>
        <v/>
      </c>
      <c r="AC825" s="148"/>
      <c r="AD825" s="87"/>
      <c r="AE825" s="87"/>
      <c r="AF825" s="87" t="str">
        <f>IF($A825="","",IF($AK825=TRUE,"Ready 2 Submit","Waiting on Dealer"))</f>
        <v/>
      </c>
      <c r="AG825" s="148"/>
      <c r="AH825" s="87"/>
      <c r="AI825" s="87"/>
      <c r="AJ825" s="197"/>
      <c r="AK825" s="110" t="b">
        <v>0</v>
      </c>
      <c r="AL825" s="87" t="str" cm="1">
        <f t="array" ref="AL825">IF($A825="","",SUMPRODUCT((CHOOSE({1,2,3,4,5},$R825,$V825,$Z825,$AD825,$AH825)="Yes")*(((CHOOSE({1,2,3,4,5},$S825,$W825,$AA825,$AE825,$AI825)="Yes")+(CHOOSE({1,2,3,4,5},$S825,$W825,$AA825,$AE825,$AI825)=TRUE))&gt;0)))</f>
        <v/>
      </c>
      <c r="AM825" s="87"/>
      <c r="AN825" s="87" t="str">
        <f ca="1">IF(OR($A825="",$AM825=""),"",TODAY()-$AM825)</f>
        <v/>
      </c>
      <c r="AO825" s="87"/>
      <c r="AP825" s="106"/>
      <c r="AQ825" s="106"/>
      <c r="AR825" s="106"/>
      <c r="AS825" s="106"/>
      <c r="AT825" s="106"/>
      <c r="AU825" s="106"/>
      <c r="AV825" s="106"/>
      <c r="AW825" s="106"/>
      <c r="AX825" s="106"/>
      <c r="AY825" s="106"/>
    </row>
    <row r="826" spans="1:51" s="20" customFormat="1" ht="21" customHeight="1">
      <c r="A826" s="197"/>
      <c r="B826" s="87"/>
      <c r="C826" s="87"/>
      <c r="D826" s="196"/>
      <c r="E826" s="108"/>
      <c r="F826" s="196"/>
      <c r="G826" s="87"/>
      <c r="H826" s="197"/>
      <c r="I826" s="89"/>
      <c r="J826" s="204"/>
      <c r="K826" s="87"/>
      <c r="L826" s="87" t="str" cm="1">
        <f t="array" ref="L826">IF($A826="","",_xlfn.LET(_xlpm.stat,CHOOSE({1,2,3,4,5},$P826,$T826,$X826,$AB826,$AF826),_xlpm.rate,CHOOSE({1,2,3,4,5},$R826,$V826,$Z826,$AD826,$AH826),_xlpm.trn,CHOOSE({1,2,3,4,5},$S826,$W826,$AA826,$AE826,$AI826),_xlpm.nsC,SUMPRODUCT(--(_xlpm.stat="Ready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DLR",IF(AND(_xlpm.actRS&gt;0,_xlpm.actDone&lt;_xlpm.actRS),"Training",IF(_xlpm.actRS&gt;0,"Active",IF(AND(_xlpm.decC&gt;0,_xlpm.inPlay+_xlpm.actC=0),"Dead",IF(AND($AJ826&lt;&gt;"",$AK826=FALSE),"Waiting on Dealer",IF(_xlpm.subC&gt;0,"Waiting on Lender",IF(AND(_xlpm.appC+_xlpm.actC&gt;0,_xlpm.nsC+_xlpm.wdC=0),"Rate Sheet","Application Submitted")))))))))</f>
        <v/>
      </c>
      <c r="M826" s="87"/>
      <c r="N826" s="87"/>
      <c r="O826" s="197"/>
      <c r="P826" s="87" t="str">
        <f>IF($A826="","",IF($AK826=TRUE,"Ready 2 Submit","Waiting on Dealer"))</f>
        <v/>
      </c>
      <c r="Q826" s="148"/>
      <c r="R826" s="87"/>
      <c r="S826" s="87"/>
      <c r="T826" s="87" t="str">
        <f>IF($A826="","",IF($AK826=TRUE,"Ready 2 Submit","Waiting on Dealer"))</f>
        <v/>
      </c>
      <c r="U826" s="148"/>
      <c r="V826" s="87"/>
      <c r="W826" s="87"/>
      <c r="X826" s="87" t="str">
        <f>IF($A826="","",IF($AK826=TRUE,"Ready 2 Submit","Waiting on Dealer"))</f>
        <v/>
      </c>
      <c r="Y826" s="148"/>
      <c r="Z826" s="87"/>
      <c r="AA826" s="87"/>
      <c r="AB826" s="87" t="str">
        <f>IF($A826="","",IF($AK826=TRUE,"Ready 2 Submit","Waiting on Dealer"))</f>
        <v/>
      </c>
      <c r="AC826" s="148"/>
      <c r="AD826" s="87"/>
      <c r="AE826" s="87"/>
      <c r="AF826" s="87" t="str">
        <f>IF($A826="","",IF($AK826=TRUE,"Ready 2 Submit","Waiting on Dealer"))</f>
        <v/>
      </c>
      <c r="AG826" s="148"/>
      <c r="AH826" s="87"/>
      <c r="AI826" s="87"/>
      <c r="AJ826" s="197"/>
      <c r="AK826" s="110" t="b">
        <v>0</v>
      </c>
      <c r="AL826" s="87" t="str" cm="1">
        <f t="array" ref="AL826">IF($A826="","",SUMPRODUCT((CHOOSE({1,2,3,4,5},$R826,$V826,$Z826,$AD826,$AH826)="Yes")*(((CHOOSE({1,2,3,4,5},$S826,$W826,$AA826,$AE826,$AI826)="Yes")+(CHOOSE({1,2,3,4,5},$S826,$W826,$AA826,$AE826,$AI826)=TRUE))&gt;0)))</f>
        <v/>
      </c>
      <c r="AM826" s="87"/>
      <c r="AN826" s="87" t="str">
        <f ca="1">IF(OR($A826="",$AM826=""),"",TODAY()-$AM826)</f>
        <v/>
      </c>
      <c r="AO826" s="87"/>
      <c r="AP826" s="106"/>
      <c r="AQ826" s="106"/>
      <c r="AR826" s="106"/>
      <c r="AS826" s="106"/>
      <c r="AT826" s="106"/>
      <c r="AU826" s="106"/>
      <c r="AV826" s="106"/>
      <c r="AW826" s="106"/>
      <c r="AX826" s="106"/>
      <c r="AY826" s="106"/>
    </row>
    <row r="827" spans="1:51" s="20" customFormat="1" ht="21" customHeight="1">
      <c r="A827" s="197"/>
      <c r="B827" s="87"/>
      <c r="C827" s="87"/>
      <c r="D827" s="196"/>
      <c r="E827" s="108"/>
      <c r="F827" s="196"/>
      <c r="G827" s="87"/>
      <c r="H827" s="197"/>
      <c r="I827" s="89"/>
      <c r="J827" s="204"/>
      <c r="K827" s="87"/>
      <c r="L827" s="87" t="str" cm="1">
        <f t="array" ref="L827">IF($A827="","",_xlfn.LET(_xlpm.stat,CHOOSE({1,2,3,4,5},$P827,$T827,$X827,$AB827,$AF827),_xlpm.rate,CHOOSE({1,2,3,4,5},$R827,$V827,$Z827,$AD827,$AH827),_xlpm.trn,CHOOSE({1,2,3,4,5},$S827,$W827,$AA827,$AE827,$AI827),_xlpm.nsC,SUMPRODUCT(--(_xlpm.stat="Ready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DLR",IF(AND(_xlpm.actRS&gt;0,_xlpm.actDone&lt;_xlpm.actRS),"Training",IF(_xlpm.actRS&gt;0,"Active",IF(AND(_xlpm.decC&gt;0,_xlpm.inPlay+_xlpm.actC=0),"Dead",IF(AND($AJ827&lt;&gt;"",$AK827=FALSE),"Waiting on Dealer",IF(_xlpm.subC&gt;0,"Waiting on Lender",IF(AND(_xlpm.appC+_xlpm.actC&gt;0,_xlpm.nsC+_xlpm.wdC=0),"Rate Sheet","Application Submitted")))))))))</f>
        <v/>
      </c>
      <c r="M827" s="87"/>
      <c r="N827" s="87"/>
      <c r="O827" s="197"/>
      <c r="P827" s="87" t="str">
        <f>IF($A827="","",IF($AK827=TRUE,"Ready 2 Submit","Waiting on Dealer"))</f>
        <v/>
      </c>
      <c r="Q827" s="148"/>
      <c r="R827" s="87"/>
      <c r="S827" s="87"/>
      <c r="T827" s="87" t="str">
        <f>IF($A827="","",IF($AK827=TRUE,"Ready 2 Submit","Waiting on Dealer"))</f>
        <v/>
      </c>
      <c r="U827" s="148"/>
      <c r="V827" s="87"/>
      <c r="W827" s="87"/>
      <c r="X827" s="87" t="str">
        <f>IF($A827="","",IF($AK827=TRUE,"Ready 2 Submit","Waiting on Dealer"))</f>
        <v/>
      </c>
      <c r="Y827" s="148"/>
      <c r="Z827" s="87"/>
      <c r="AA827" s="87"/>
      <c r="AB827" s="87" t="str">
        <f>IF($A827="","",IF($AK827=TRUE,"Ready 2 Submit","Waiting on Dealer"))</f>
        <v/>
      </c>
      <c r="AC827" s="148"/>
      <c r="AD827" s="87"/>
      <c r="AE827" s="87"/>
      <c r="AF827" s="87" t="str">
        <f>IF($A827="","",IF($AK827=TRUE,"Ready 2 Submit","Waiting on Dealer"))</f>
        <v/>
      </c>
      <c r="AG827" s="148"/>
      <c r="AH827" s="87"/>
      <c r="AI827" s="87"/>
      <c r="AJ827" s="197"/>
      <c r="AK827" s="110" t="b">
        <v>0</v>
      </c>
      <c r="AL827" s="87" t="str" cm="1">
        <f t="array" ref="AL827">IF($A827="","",SUMPRODUCT((CHOOSE({1,2,3,4,5},$R827,$V827,$Z827,$AD827,$AH827)="Yes")*(((CHOOSE({1,2,3,4,5},$S827,$W827,$AA827,$AE827,$AI827)="Yes")+(CHOOSE({1,2,3,4,5},$S827,$W827,$AA827,$AE827,$AI827)=TRUE))&gt;0)))</f>
        <v/>
      </c>
      <c r="AM827" s="87"/>
      <c r="AN827" s="87" t="str">
        <f ca="1">IF(OR($A827="",$AM827=""),"",TODAY()-$AM827)</f>
        <v/>
      </c>
      <c r="AO827" s="87"/>
      <c r="AP827" s="106"/>
      <c r="AQ827" s="106"/>
      <c r="AR827" s="106"/>
      <c r="AS827" s="106"/>
      <c r="AT827" s="106"/>
      <c r="AU827" s="106"/>
      <c r="AV827" s="106"/>
      <c r="AW827" s="106"/>
      <c r="AX827" s="106"/>
      <c r="AY827" s="106"/>
    </row>
    <row r="828" spans="1:51" s="20" customFormat="1" ht="21" customHeight="1">
      <c r="A828" s="197"/>
      <c r="B828" s="87"/>
      <c r="C828" s="87"/>
      <c r="D828" s="196"/>
      <c r="E828" s="108"/>
      <c r="F828" s="196"/>
      <c r="G828" s="87"/>
      <c r="H828" s="197"/>
      <c r="I828" s="89"/>
      <c r="J828" s="204"/>
      <c r="K828" s="87"/>
      <c r="L828" s="87" t="str" cm="1">
        <f t="array" ref="L828">IF($A828="","",_xlfn.LET(_xlpm.stat,CHOOSE({1,2,3,4,5},$P828,$T828,$X828,$AB828,$AF828),_xlpm.rate,CHOOSE({1,2,3,4,5},$R828,$V828,$Z828,$AD828,$AH828),_xlpm.trn,CHOOSE({1,2,3,4,5},$S828,$W828,$AA828,$AE828,$AI828),_xlpm.nsC,SUMPRODUCT(--(_xlpm.stat="Ready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DLR",IF(AND(_xlpm.actRS&gt;0,_xlpm.actDone&lt;_xlpm.actRS),"Training",IF(_xlpm.actRS&gt;0,"Active",IF(AND(_xlpm.decC&gt;0,_xlpm.inPlay+_xlpm.actC=0),"Dead",IF(AND($AJ828&lt;&gt;"",$AK828=FALSE),"Waiting on Dealer",IF(_xlpm.subC&gt;0,"Waiting on Lender",IF(AND(_xlpm.appC+_xlpm.actC&gt;0,_xlpm.nsC+_xlpm.wdC=0),"Rate Sheet","Application Submitted")))))))))</f>
        <v/>
      </c>
      <c r="M828" s="87"/>
      <c r="N828" s="87"/>
      <c r="O828" s="197"/>
      <c r="P828" s="87" t="str">
        <f>IF($A828="","",IF($AK828=TRUE,"Ready 2 Submit","Waiting on Dealer"))</f>
        <v/>
      </c>
      <c r="Q828" s="148"/>
      <c r="R828" s="87"/>
      <c r="S828" s="87"/>
      <c r="T828" s="87" t="str">
        <f>IF($A828="","",IF($AK828=TRUE,"Ready 2 Submit","Waiting on Dealer"))</f>
        <v/>
      </c>
      <c r="U828" s="148"/>
      <c r="V828" s="87"/>
      <c r="W828" s="87"/>
      <c r="X828" s="87" t="str">
        <f>IF($A828="","",IF($AK828=TRUE,"Ready 2 Submit","Waiting on Dealer"))</f>
        <v/>
      </c>
      <c r="Y828" s="148"/>
      <c r="Z828" s="87"/>
      <c r="AA828" s="87"/>
      <c r="AB828" s="87" t="str">
        <f>IF($A828="","",IF($AK828=TRUE,"Ready 2 Submit","Waiting on Dealer"))</f>
        <v/>
      </c>
      <c r="AC828" s="148"/>
      <c r="AD828" s="87"/>
      <c r="AE828" s="87"/>
      <c r="AF828" s="87" t="str">
        <f>IF($A828="","",IF($AK828=TRUE,"Ready 2 Submit","Waiting on Dealer"))</f>
        <v/>
      </c>
      <c r="AG828" s="148"/>
      <c r="AH828" s="87"/>
      <c r="AI828" s="87"/>
      <c r="AJ828" s="197"/>
      <c r="AK828" s="110" t="b">
        <v>0</v>
      </c>
      <c r="AL828" s="87" t="str" cm="1">
        <f t="array" ref="AL828">IF($A828="","",SUMPRODUCT((CHOOSE({1,2,3,4,5},$R828,$V828,$Z828,$AD828,$AH828)="Yes")*(((CHOOSE({1,2,3,4,5},$S828,$W828,$AA828,$AE828,$AI828)="Yes")+(CHOOSE({1,2,3,4,5},$S828,$W828,$AA828,$AE828,$AI828)=TRUE))&gt;0)))</f>
        <v/>
      </c>
      <c r="AM828" s="87"/>
      <c r="AN828" s="87" t="str">
        <f ca="1">IF(OR($A828="",$AM828=""),"",TODAY()-$AM828)</f>
        <v/>
      </c>
      <c r="AO828" s="87"/>
      <c r="AP828" s="106"/>
      <c r="AQ828" s="106"/>
      <c r="AR828" s="106"/>
      <c r="AS828" s="106"/>
      <c r="AT828" s="106"/>
      <c r="AU828" s="106"/>
      <c r="AV828" s="106"/>
      <c r="AW828" s="106"/>
      <c r="AX828" s="106"/>
      <c r="AY828" s="106"/>
    </row>
    <row r="829" spans="1:51" s="20" customFormat="1" ht="21" customHeight="1">
      <c r="A829" s="197"/>
      <c r="B829" s="87"/>
      <c r="C829" s="87"/>
      <c r="D829" s="196"/>
      <c r="E829" s="108"/>
      <c r="F829" s="196"/>
      <c r="G829" s="87"/>
      <c r="H829" s="197"/>
      <c r="I829" s="89"/>
      <c r="J829" s="204"/>
      <c r="K829" s="87"/>
      <c r="L829" s="87" t="str" cm="1">
        <f t="array" ref="L829">IF($A829="","",_xlfn.LET(_xlpm.stat,CHOOSE({1,2,3,4,5},$P829,$T829,$X829,$AB829,$AF829),_xlpm.rate,CHOOSE({1,2,3,4,5},$R829,$V829,$Z829,$AD829,$AH829),_xlpm.trn,CHOOSE({1,2,3,4,5},$S829,$W829,$AA829,$AE829,$AI829),_xlpm.nsC,SUMPRODUCT(--(_xlpm.stat="Ready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DLR",IF(AND(_xlpm.actRS&gt;0,_xlpm.actDone&lt;_xlpm.actRS),"Training",IF(_xlpm.actRS&gt;0,"Active",IF(AND(_xlpm.decC&gt;0,_xlpm.inPlay+_xlpm.actC=0),"Dead",IF(AND($AJ829&lt;&gt;"",$AK829=FALSE),"Waiting on Dealer",IF(_xlpm.subC&gt;0,"Waiting on Lender",IF(AND(_xlpm.appC+_xlpm.actC&gt;0,_xlpm.nsC+_xlpm.wdC=0),"Rate Sheet","Application Submitted")))))))))</f>
        <v/>
      </c>
      <c r="M829" s="87"/>
      <c r="N829" s="87"/>
      <c r="O829" s="197"/>
      <c r="P829" s="87" t="str">
        <f>IF($A829="","",IF($AK829=TRUE,"Ready 2 Submit","Waiting on Dealer"))</f>
        <v/>
      </c>
      <c r="Q829" s="148"/>
      <c r="R829" s="87"/>
      <c r="S829" s="87"/>
      <c r="T829" s="87" t="str">
        <f>IF($A829="","",IF($AK829=TRUE,"Ready 2 Submit","Waiting on Dealer"))</f>
        <v/>
      </c>
      <c r="U829" s="148"/>
      <c r="V829" s="87"/>
      <c r="W829" s="87"/>
      <c r="X829" s="87" t="str">
        <f>IF($A829="","",IF($AK829=TRUE,"Ready 2 Submit","Waiting on Dealer"))</f>
        <v/>
      </c>
      <c r="Y829" s="148"/>
      <c r="Z829" s="87"/>
      <c r="AA829" s="87"/>
      <c r="AB829" s="87" t="str">
        <f>IF($A829="","",IF($AK829=TRUE,"Ready 2 Submit","Waiting on Dealer"))</f>
        <v/>
      </c>
      <c r="AC829" s="148"/>
      <c r="AD829" s="87"/>
      <c r="AE829" s="87"/>
      <c r="AF829" s="87" t="str">
        <f>IF($A829="","",IF($AK829=TRUE,"Ready 2 Submit","Waiting on Dealer"))</f>
        <v/>
      </c>
      <c r="AG829" s="148"/>
      <c r="AH829" s="87"/>
      <c r="AI829" s="87"/>
      <c r="AJ829" s="197"/>
      <c r="AK829" s="110" t="b">
        <v>0</v>
      </c>
      <c r="AL829" s="87" t="str" cm="1">
        <f t="array" ref="AL829">IF($A829="","",SUMPRODUCT((CHOOSE({1,2,3,4,5},$R829,$V829,$Z829,$AD829,$AH829)="Yes")*(((CHOOSE({1,2,3,4,5},$S829,$W829,$AA829,$AE829,$AI829)="Yes")+(CHOOSE({1,2,3,4,5},$S829,$W829,$AA829,$AE829,$AI829)=TRUE))&gt;0)))</f>
        <v/>
      </c>
      <c r="AM829" s="87"/>
      <c r="AN829" s="87" t="str">
        <f ca="1">IF(OR($A829="",$AM829=""),"",TODAY()-$AM829)</f>
        <v/>
      </c>
      <c r="AO829" s="87"/>
      <c r="AP829" s="106"/>
      <c r="AQ829" s="106"/>
      <c r="AR829" s="106"/>
      <c r="AS829" s="106"/>
      <c r="AT829" s="106"/>
      <c r="AU829" s="106"/>
      <c r="AV829" s="106"/>
      <c r="AW829" s="106"/>
      <c r="AX829" s="106"/>
      <c r="AY829" s="106"/>
    </row>
    <row r="830" spans="1:51" s="20" customFormat="1" ht="21" customHeight="1">
      <c r="A830" s="197"/>
      <c r="B830" s="87"/>
      <c r="C830" s="87"/>
      <c r="D830" s="196"/>
      <c r="E830" s="108"/>
      <c r="F830" s="196"/>
      <c r="G830" s="87"/>
      <c r="H830" s="197"/>
      <c r="I830" s="89"/>
      <c r="J830" s="204"/>
      <c r="K830" s="87"/>
      <c r="L830" s="87" t="str" cm="1">
        <f t="array" ref="L830">IF($A830="","",_xlfn.LET(_xlpm.stat,CHOOSE({1,2,3,4,5},$P830,$T830,$X830,$AB830,$AF830),_xlpm.rate,CHOOSE({1,2,3,4,5},$R830,$V830,$Z830,$AD830,$AH830),_xlpm.trn,CHOOSE({1,2,3,4,5},$S830,$W830,$AA830,$AE830,$AI830),_xlpm.nsC,SUMPRODUCT(--(_xlpm.stat="Ready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DLR",IF(AND(_xlpm.actRS&gt;0,_xlpm.actDone&lt;_xlpm.actRS),"Training",IF(_xlpm.actRS&gt;0,"Active",IF(AND(_xlpm.decC&gt;0,_xlpm.inPlay+_xlpm.actC=0),"Dead",IF(AND($AJ830&lt;&gt;"",$AK830=FALSE),"Waiting on Dealer",IF(_xlpm.subC&gt;0,"Waiting on Lender",IF(AND(_xlpm.appC+_xlpm.actC&gt;0,_xlpm.nsC+_xlpm.wdC=0),"Rate Sheet","Application Submitted")))))))))</f>
        <v/>
      </c>
      <c r="M830" s="87"/>
      <c r="N830" s="87"/>
      <c r="O830" s="197"/>
      <c r="P830" s="87" t="str">
        <f>IF($A830="","",IF($AK830=TRUE,"Ready 2 Submit","Waiting on Dealer"))</f>
        <v/>
      </c>
      <c r="Q830" s="148"/>
      <c r="R830" s="87"/>
      <c r="S830" s="87"/>
      <c r="T830" s="87" t="str">
        <f>IF($A830="","",IF($AK830=TRUE,"Ready 2 Submit","Waiting on Dealer"))</f>
        <v/>
      </c>
      <c r="U830" s="148"/>
      <c r="V830" s="87"/>
      <c r="W830" s="87"/>
      <c r="X830" s="87" t="str">
        <f>IF($A830="","",IF($AK830=TRUE,"Ready 2 Submit","Waiting on Dealer"))</f>
        <v/>
      </c>
      <c r="Y830" s="148"/>
      <c r="Z830" s="87"/>
      <c r="AA830" s="87"/>
      <c r="AB830" s="87" t="str">
        <f>IF($A830="","",IF($AK830=TRUE,"Ready 2 Submit","Waiting on Dealer"))</f>
        <v/>
      </c>
      <c r="AC830" s="148"/>
      <c r="AD830" s="87"/>
      <c r="AE830" s="87"/>
      <c r="AF830" s="87" t="str">
        <f>IF($A830="","",IF($AK830=TRUE,"Ready 2 Submit","Waiting on Dealer"))</f>
        <v/>
      </c>
      <c r="AG830" s="148"/>
      <c r="AH830" s="87"/>
      <c r="AI830" s="87"/>
      <c r="AJ830" s="197"/>
      <c r="AK830" s="110" t="b">
        <v>0</v>
      </c>
      <c r="AL830" s="87" t="str" cm="1">
        <f t="array" ref="AL830">IF($A830="","",SUMPRODUCT((CHOOSE({1,2,3,4,5},$R830,$V830,$Z830,$AD830,$AH830)="Yes")*(((CHOOSE({1,2,3,4,5},$S830,$W830,$AA830,$AE830,$AI830)="Yes")+(CHOOSE({1,2,3,4,5},$S830,$W830,$AA830,$AE830,$AI830)=TRUE))&gt;0)))</f>
        <v/>
      </c>
      <c r="AM830" s="87"/>
      <c r="AN830" s="87" t="str">
        <f ca="1">IF(OR($A830="",$AM830=""),"",TODAY()-$AM830)</f>
        <v/>
      </c>
      <c r="AO830" s="87"/>
      <c r="AP830" s="106"/>
      <c r="AQ830" s="106"/>
      <c r="AR830" s="106"/>
      <c r="AS830" s="106"/>
      <c r="AT830" s="106"/>
      <c r="AU830" s="106"/>
      <c r="AV830" s="106"/>
      <c r="AW830" s="106"/>
      <c r="AX830" s="106"/>
      <c r="AY830" s="106"/>
    </row>
    <row r="831" spans="1:51" s="20" customFormat="1" ht="21" customHeight="1">
      <c r="A831" s="197"/>
      <c r="B831" s="87"/>
      <c r="C831" s="87"/>
      <c r="D831" s="196"/>
      <c r="E831" s="108"/>
      <c r="F831" s="196"/>
      <c r="G831" s="87"/>
      <c r="H831" s="197"/>
      <c r="I831" s="89"/>
      <c r="J831" s="204"/>
      <c r="K831" s="87"/>
      <c r="L831" s="87" t="str" cm="1">
        <f t="array" ref="L831">IF($A831="","",_xlfn.LET(_xlpm.stat,CHOOSE({1,2,3,4,5},$P831,$T831,$X831,$AB831,$AF831),_xlpm.rate,CHOOSE({1,2,3,4,5},$R831,$V831,$Z831,$AD831,$AH831),_xlpm.trn,CHOOSE({1,2,3,4,5},$S831,$W831,$AA831,$AE831,$AI831),_xlpm.nsC,SUMPRODUCT(--(_xlpm.stat="Ready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DLR",IF(AND(_xlpm.actRS&gt;0,_xlpm.actDone&lt;_xlpm.actRS),"Training",IF(_xlpm.actRS&gt;0,"Active",IF(AND(_xlpm.decC&gt;0,_xlpm.inPlay+_xlpm.actC=0),"Dead",IF(AND($AJ831&lt;&gt;"",$AK831=FALSE),"Waiting on Dealer",IF(_xlpm.subC&gt;0,"Waiting on Lender",IF(AND(_xlpm.appC+_xlpm.actC&gt;0,_xlpm.nsC+_xlpm.wdC=0),"Rate Sheet","Application Submitted")))))))))</f>
        <v/>
      </c>
      <c r="M831" s="87"/>
      <c r="N831" s="87"/>
      <c r="O831" s="197"/>
      <c r="P831" s="87" t="str">
        <f>IF($A831="","",IF($AK831=TRUE,"Ready 2 Submit","Waiting on Dealer"))</f>
        <v/>
      </c>
      <c r="Q831" s="148"/>
      <c r="R831" s="87"/>
      <c r="S831" s="87"/>
      <c r="T831" s="87" t="str">
        <f>IF($A831="","",IF($AK831=TRUE,"Ready 2 Submit","Waiting on Dealer"))</f>
        <v/>
      </c>
      <c r="U831" s="148"/>
      <c r="V831" s="87"/>
      <c r="W831" s="87"/>
      <c r="X831" s="87" t="str">
        <f>IF($A831="","",IF($AK831=TRUE,"Ready 2 Submit","Waiting on Dealer"))</f>
        <v/>
      </c>
      <c r="Y831" s="148"/>
      <c r="Z831" s="87"/>
      <c r="AA831" s="87"/>
      <c r="AB831" s="87" t="str">
        <f>IF($A831="","",IF($AK831=TRUE,"Ready 2 Submit","Waiting on Dealer"))</f>
        <v/>
      </c>
      <c r="AC831" s="148"/>
      <c r="AD831" s="87"/>
      <c r="AE831" s="87"/>
      <c r="AF831" s="87" t="str">
        <f>IF($A831="","",IF($AK831=TRUE,"Ready 2 Submit","Waiting on Dealer"))</f>
        <v/>
      </c>
      <c r="AG831" s="148"/>
      <c r="AH831" s="87"/>
      <c r="AI831" s="87"/>
      <c r="AJ831" s="197"/>
      <c r="AK831" s="110" t="b">
        <v>0</v>
      </c>
      <c r="AL831" s="87" t="str" cm="1">
        <f t="array" ref="AL831">IF($A831="","",SUMPRODUCT((CHOOSE({1,2,3,4,5},$R831,$V831,$Z831,$AD831,$AH831)="Yes")*(((CHOOSE({1,2,3,4,5},$S831,$W831,$AA831,$AE831,$AI831)="Yes")+(CHOOSE({1,2,3,4,5},$S831,$W831,$AA831,$AE831,$AI831)=TRUE))&gt;0)))</f>
        <v/>
      </c>
      <c r="AM831" s="87"/>
      <c r="AN831" s="87" t="str">
        <f ca="1">IF(OR($A831="",$AM831=""),"",TODAY()-$AM831)</f>
        <v/>
      </c>
      <c r="AO831" s="87"/>
      <c r="AP831" s="106"/>
      <c r="AQ831" s="106"/>
      <c r="AR831" s="106"/>
      <c r="AS831" s="106"/>
      <c r="AT831" s="106"/>
      <c r="AU831" s="106"/>
      <c r="AV831" s="106"/>
      <c r="AW831" s="106"/>
      <c r="AX831" s="106"/>
      <c r="AY831" s="106"/>
    </row>
    <row r="832" spans="1:51" s="20" customFormat="1" ht="21" customHeight="1">
      <c r="A832" s="197"/>
      <c r="B832" s="87"/>
      <c r="C832" s="87"/>
      <c r="D832" s="196"/>
      <c r="E832" s="108"/>
      <c r="F832" s="196"/>
      <c r="G832" s="87"/>
      <c r="H832" s="197"/>
      <c r="I832" s="89"/>
      <c r="J832" s="204"/>
      <c r="K832" s="87"/>
      <c r="L832" s="87" t="str" cm="1">
        <f t="array" ref="L832">IF($A832="","",_xlfn.LET(_xlpm.stat,CHOOSE({1,2,3,4,5},$P832,$T832,$X832,$AB832,$AF832),_xlpm.rate,CHOOSE({1,2,3,4,5},$R832,$V832,$Z832,$AD832,$AH832),_xlpm.trn,CHOOSE({1,2,3,4,5},$S832,$W832,$AA832,$AE832,$AI832),_xlpm.nsC,SUMPRODUCT(--(_xlpm.stat="Ready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DLR",IF(AND(_xlpm.actRS&gt;0,_xlpm.actDone&lt;_xlpm.actRS),"Training",IF(_xlpm.actRS&gt;0,"Active",IF(AND(_xlpm.decC&gt;0,_xlpm.inPlay+_xlpm.actC=0),"Dead",IF(AND($AJ832&lt;&gt;"",$AK832=FALSE),"Waiting on Dealer",IF(_xlpm.subC&gt;0,"Waiting on Lender",IF(AND(_xlpm.appC+_xlpm.actC&gt;0,_xlpm.nsC+_xlpm.wdC=0),"Rate Sheet","Application Submitted")))))))))</f>
        <v/>
      </c>
      <c r="M832" s="87"/>
      <c r="N832" s="87"/>
      <c r="O832" s="197"/>
      <c r="P832" s="87" t="str">
        <f>IF($A832="","",IF($AK832=TRUE,"Ready 2 Submit","Waiting on Dealer"))</f>
        <v/>
      </c>
      <c r="Q832" s="148"/>
      <c r="R832" s="87"/>
      <c r="S832" s="87"/>
      <c r="T832" s="87" t="str">
        <f>IF($A832="","",IF($AK832=TRUE,"Ready 2 Submit","Waiting on Dealer"))</f>
        <v/>
      </c>
      <c r="U832" s="148"/>
      <c r="V832" s="87"/>
      <c r="W832" s="87"/>
      <c r="X832" s="87" t="str">
        <f>IF($A832="","",IF($AK832=TRUE,"Ready 2 Submit","Waiting on Dealer"))</f>
        <v/>
      </c>
      <c r="Y832" s="148"/>
      <c r="Z832" s="87"/>
      <c r="AA832" s="87"/>
      <c r="AB832" s="87" t="str">
        <f>IF($A832="","",IF($AK832=TRUE,"Ready 2 Submit","Waiting on Dealer"))</f>
        <v/>
      </c>
      <c r="AC832" s="148"/>
      <c r="AD832" s="87"/>
      <c r="AE832" s="87"/>
      <c r="AF832" s="87" t="str">
        <f>IF($A832="","",IF($AK832=TRUE,"Ready 2 Submit","Waiting on Dealer"))</f>
        <v/>
      </c>
      <c r="AG832" s="148"/>
      <c r="AH832" s="87"/>
      <c r="AI832" s="87"/>
      <c r="AJ832" s="197"/>
      <c r="AK832" s="110" t="b">
        <v>0</v>
      </c>
      <c r="AL832" s="87" t="str" cm="1">
        <f t="array" ref="AL832">IF($A832="","",SUMPRODUCT((CHOOSE({1,2,3,4,5},$R832,$V832,$Z832,$AD832,$AH832)="Yes")*(((CHOOSE({1,2,3,4,5},$S832,$W832,$AA832,$AE832,$AI832)="Yes")+(CHOOSE({1,2,3,4,5},$S832,$W832,$AA832,$AE832,$AI832)=TRUE))&gt;0)))</f>
        <v/>
      </c>
      <c r="AM832" s="87"/>
      <c r="AN832" s="87" t="str">
        <f ca="1">IF(OR($A832="",$AM832=""),"",TODAY()-$AM832)</f>
        <v/>
      </c>
      <c r="AO832" s="87"/>
      <c r="AP832" s="106"/>
      <c r="AQ832" s="106"/>
      <c r="AR832" s="106"/>
      <c r="AS832" s="106"/>
      <c r="AT832" s="106"/>
      <c r="AU832" s="106"/>
      <c r="AV832" s="106"/>
      <c r="AW832" s="106"/>
      <c r="AX832" s="106"/>
      <c r="AY832" s="106"/>
    </row>
    <row r="833" spans="1:51" s="20" customFormat="1" ht="21" customHeight="1">
      <c r="A833" s="197"/>
      <c r="B833" s="87"/>
      <c r="C833" s="87"/>
      <c r="D833" s="196"/>
      <c r="E833" s="108"/>
      <c r="F833" s="196"/>
      <c r="G833" s="87"/>
      <c r="H833" s="197"/>
      <c r="I833" s="89"/>
      <c r="J833" s="204"/>
      <c r="K833" s="87"/>
      <c r="L833" s="87" t="str" cm="1">
        <f t="array" ref="L833">IF($A833="","",_xlfn.LET(_xlpm.stat,CHOOSE({1,2,3,4,5},$P833,$T833,$X833,$AB833,$AF833),_xlpm.rate,CHOOSE({1,2,3,4,5},$R833,$V833,$Z833,$AD833,$AH833),_xlpm.trn,CHOOSE({1,2,3,4,5},$S833,$W833,$AA833,$AE833,$AI833),_xlpm.nsC,SUMPRODUCT(--(_xlpm.stat="Ready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DLR",IF(AND(_xlpm.actRS&gt;0,_xlpm.actDone&lt;_xlpm.actRS),"Training",IF(_xlpm.actRS&gt;0,"Active",IF(AND(_xlpm.decC&gt;0,_xlpm.inPlay+_xlpm.actC=0),"Dead",IF(AND($AJ833&lt;&gt;"",$AK833=FALSE),"Waiting on Dealer",IF(_xlpm.subC&gt;0,"Waiting on Lender",IF(AND(_xlpm.appC+_xlpm.actC&gt;0,_xlpm.nsC+_xlpm.wdC=0),"Rate Sheet","Application Submitted")))))))))</f>
        <v/>
      </c>
      <c r="M833" s="87"/>
      <c r="N833" s="87"/>
      <c r="O833" s="197"/>
      <c r="P833" s="87" t="str">
        <f>IF($A833="","",IF($AK833=TRUE,"Ready 2 Submit","Waiting on Dealer"))</f>
        <v/>
      </c>
      <c r="Q833" s="148"/>
      <c r="R833" s="87"/>
      <c r="S833" s="87"/>
      <c r="T833" s="87" t="str">
        <f>IF($A833="","",IF($AK833=TRUE,"Ready 2 Submit","Waiting on Dealer"))</f>
        <v/>
      </c>
      <c r="U833" s="148"/>
      <c r="V833" s="87"/>
      <c r="W833" s="87"/>
      <c r="X833" s="87" t="str">
        <f>IF($A833="","",IF($AK833=TRUE,"Ready 2 Submit","Waiting on Dealer"))</f>
        <v/>
      </c>
      <c r="Y833" s="148"/>
      <c r="Z833" s="87"/>
      <c r="AA833" s="87"/>
      <c r="AB833" s="87" t="str">
        <f>IF($A833="","",IF($AK833=TRUE,"Ready 2 Submit","Waiting on Dealer"))</f>
        <v/>
      </c>
      <c r="AC833" s="148"/>
      <c r="AD833" s="87"/>
      <c r="AE833" s="87"/>
      <c r="AF833" s="87" t="str">
        <f>IF($A833="","",IF($AK833=TRUE,"Ready 2 Submit","Waiting on Dealer"))</f>
        <v/>
      </c>
      <c r="AG833" s="148"/>
      <c r="AH833" s="87"/>
      <c r="AI833" s="87"/>
      <c r="AJ833" s="197"/>
      <c r="AK833" s="110" t="b">
        <v>0</v>
      </c>
      <c r="AL833" s="87" t="str" cm="1">
        <f t="array" ref="AL833">IF($A833="","",SUMPRODUCT((CHOOSE({1,2,3,4,5},$R833,$V833,$Z833,$AD833,$AH833)="Yes")*(((CHOOSE({1,2,3,4,5},$S833,$W833,$AA833,$AE833,$AI833)="Yes")+(CHOOSE({1,2,3,4,5},$S833,$W833,$AA833,$AE833,$AI833)=TRUE))&gt;0)))</f>
        <v/>
      </c>
      <c r="AM833" s="87"/>
      <c r="AN833" s="87" t="str">
        <f ca="1">IF(OR($A833="",$AM833=""),"",TODAY()-$AM833)</f>
        <v/>
      </c>
      <c r="AO833" s="87"/>
      <c r="AP833" s="106"/>
      <c r="AQ833" s="106"/>
      <c r="AR833" s="106"/>
      <c r="AS833" s="106"/>
      <c r="AT833" s="106"/>
      <c r="AU833" s="106"/>
      <c r="AV833" s="106"/>
      <c r="AW833" s="106"/>
      <c r="AX833" s="106"/>
      <c r="AY833" s="106"/>
    </row>
    <row r="834" spans="1:51" s="20" customFormat="1" ht="21" customHeight="1">
      <c r="A834" s="197"/>
      <c r="B834" s="87"/>
      <c r="C834" s="87"/>
      <c r="D834" s="196"/>
      <c r="E834" s="108"/>
      <c r="F834" s="196"/>
      <c r="G834" s="87"/>
      <c r="H834" s="197"/>
      <c r="I834" s="89"/>
      <c r="J834" s="204"/>
      <c r="K834" s="87"/>
      <c r="L834" s="87" t="str" cm="1">
        <f t="array" ref="L834">IF($A834="","",_xlfn.LET(_xlpm.stat,CHOOSE({1,2,3,4,5},$P834,$T834,$X834,$AB834,$AF834),_xlpm.rate,CHOOSE({1,2,3,4,5},$R834,$V834,$Z834,$AD834,$AH834),_xlpm.trn,CHOOSE({1,2,3,4,5},$S834,$W834,$AA834,$AE834,$AI834),_xlpm.nsC,SUMPRODUCT(--(_xlpm.stat="Ready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DLR",IF(AND(_xlpm.actRS&gt;0,_xlpm.actDone&lt;_xlpm.actRS),"Training",IF(_xlpm.actRS&gt;0,"Active",IF(AND(_xlpm.decC&gt;0,_xlpm.inPlay+_xlpm.actC=0),"Dead",IF(AND($AJ834&lt;&gt;"",$AK834=FALSE),"Waiting on Dealer",IF(_xlpm.subC&gt;0,"Waiting on Lender",IF(AND(_xlpm.appC+_xlpm.actC&gt;0,_xlpm.nsC+_xlpm.wdC=0),"Rate Sheet","Application Submitted")))))))))</f>
        <v/>
      </c>
      <c r="M834" s="87"/>
      <c r="N834" s="87"/>
      <c r="O834" s="197"/>
      <c r="P834" s="87" t="str">
        <f>IF($A834="","",IF($AK834=TRUE,"Ready 2 Submit","Waiting on Dealer"))</f>
        <v/>
      </c>
      <c r="Q834" s="148"/>
      <c r="R834" s="87"/>
      <c r="S834" s="87"/>
      <c r="T834" s="87" t="str">
        <f>IF($A834="","",IF($AK834=TRUE,"Ready 2 Submit","Waiting on Dealer"))</f>
        <v/>
      </c>
      <c r="U834" s="148"/>
      <c r="V834" s="87"/>
      <c r="W834" s="87"/>
      <c r="X834" s="87" t="str">
        <f>IF($A834="","",IF($AK834=TRUE,"Ready 2 Submit","Waiting on Dealer"))</f>
        <v/>
      </c>
      <c r="Y834" s="148"/>
      <c r="Z834" s="87"/>
      <c r="AA834" s="87"/>
      <c r="AB834" s="87" t="str">
        <f>IF($A834="","",IF($AK834=TRUE,"Ready 2 Submit","Waiting on Dealer"))</f>
        <v/>
      </c>
      <c r="AC834" s="148"/>
      <c r="AD834" s="87"/>
      <c r="AE834" s="87"/>
      <c r="AF834" s="87" t="str">
        <f>IF($A834="","",IF($AK834=TRUE,"Ready 2 Submit","Waiting on Dealer"))</f>
        <v/>
      </c>
      <c r="AG834" s="148"/>
      <c r="AH834" s="87"/>
      <c r="AI834" s="87"/>
      <c r="AJ834" s="197"/>
      <c r="AK834" s="110" t="b">
        <v>0</v>
      </c>
      <c r="AL834" s="87" t="str" cm="1">
        <f t="array" ref="AL834">IF($A834="","",SUMPRODUCT((CHOOSE({1,2,3,4,5},$R834,$V834,$Z834,$AD834,$AH834)="Yes")*(((CHOOSE({1,2,3,4,5},$S834,$W834,$AA834,$AE834,$AI834)="Yes")+(CHOOSE({1,2,3,4,5},$S834,$W834,$AA834,$AE834,$AI834)=TRUE))&gt;0)))</f>
        <v/>
      </c>
      <c r="AM834" s="87"/>
      <c r="AN834" s="87" t="str">
        <f ca="1">IF(OR($A834="",$AM834=""),"",TODAY()-$AM834)</f>
        <v/>
      </c>
      <c r="AO834" s="87"/>
      <c r="AP834" s="106"/>
      <c r="AQ834" s="106"/>
      <c r="AR834" s="106"/>
      <c r="AS834" s="106"/>
      <c r="AT834" s="106"/>
      <c r="AU834" s="106"/>
      <c r="AV834" s="106"/>
      <c r="AW834" s="106"/>
      <c r="AX834" s="106"/>
      <c r="AY834" s="106"/>
    </row>
    <row r="835" spans="1:51" s="20" customFormat="1" ht="21" customHeight="1">
      <c r="A835" s="197"/>
      <c r="B835" s="87"/>
      <c r="C835" s="87"/>
      <c r="D835" s="196"/>
      <c r="E835" s="108"/>
      <c r="F835" s="196"/>
      <c r="G835" s="87"/>
      <c r="H835" s="197"/>
      <c r="I835" s="89"/>
      <c r="J835" s="204"/>
      <c r="K835" s="87"/>
      <c r="L835" s="87" t="str" cm="1">
        <f t="array" ref="L835">IF($A835="","",_xlfn.LET(_xlpm.stat,CHOOSE({1,2,3,4,5},$P835,$T835,$X835,$AB835,$AF835),_xlpm.rate,CHOOSE({1,2,3,4,5},$R835,$V835,$Z835,$AD835,$AH835),_xlpm.trn,CHOOSE({1,2,3,4,5},$S835,$W835,$AA835,$AE835,$AI835),_xlpm.nsC,SUMPRODUCT(--(_xlpm.stat="Ready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DLR",IF(AND(_xlpm.actRS&gt;0,_xlpm.actDone&lt;_xlpm.actRS),"Training",IF(_xlpm.actRS&gt;0,"Active",IF(AND(_xlpm.decC&gt;0,_xlpm.inPlay+_xlpm.actC=0),"Dead",IF(AND($AJ835&lt;&gt;"",$AK835=FALSE),"Waiting on Dealer",IF(_xlpm.subC&gt;0,"Waiting on Lender",IF(AND(_xlpm.appC+_xlpm.actC&gt;0,_xlpm.nsC+_xlpm.wdC=0),"Rate Sheet","Application Submitted")))))))))</f>
        <v/>
      </c>
      <c r="M835" s="87"/>
      <c r="N835" s="87"/>
      <c r="O835" s="197"/>
      <c r="P835" s="87" t="str">
        <f>IF($A835="","",IF($AK835=TRUE,"Ready 2 Submit","Waiting on Dealer"))</f>
        <v/>
      </c>
      <c r="Q835" s="148"/>
      <c r="R835" s="87"/>
      <c r="S835" s="87"/>
      <c r="T835" s="87" t="str">
        <f>IF($A835="","",IF($AK835=TRUE,"Ready 2 Submit","Waiting on Dealer"))</f>
        <v/>
      </c>
      <c r="U835" s="148"/>
      <c r="V835" s="87"/>
      <c r="W835" s="87"/>
      <c r="X835" s="87" t="str">
        <f>IF($A835="","",IF($AK835=TRUE,"Ready 2 Submit","Waiting on Dealer"))</f>
        <v/>
      </c>
      <c r="Y835" s="148"/>
      <c r="Z835" s="87"/>
      <c r="AA835" s="87"/>
      <c r="AB835" s="87" t="str">
        <f>IF($A835="","",IF($AK835=TRUE,"Ready 2 Submit","Waiting on Dealer"))</f>
        <v/>
      </c>
      <c r="AC835" s="148"/>
      <c r="AD835" s="87"/>
      <c r="AE835" s="87"/>
      <c r="AF835" s="87" t="str">
        <f>IF($A835="","",IF($AK835=TRUE,"Ready 2 Submit","Waiting on Dealer"))</f>
        <v/>
      </c>
      <c r="AG835" s="148"/>
      <c r="AH835" s="87"/>
      <c r="AI835" s="87"/>
      <c r="AJ835" s="197"/>
      <c r="AK835" s="110" t="b">
        <v>0</v>
      </c>
      <c r="AL835" s="87" t="str" cm="1">
        <f t="array" ref="AL835">IF($A835="","",SUMPRODUCT((CHOOSE({1,2,3,4,5},$R835,$V835,$Z835,$AD835,$AH835)="Yes")*(((CHOOSE({1,2,3,4,5},$S835,$W835,$AA835,$AE835,$AI835)="Yes")+(CHOOSE({1,2,3,4,5},$S835,$W835,$AA835,$AE835,$AI835)=TRUE))&gt;0)))</f>
        <v/>
      </c>
      <c r="AM835" s="87"/>
      <c r="AN835" s="87" t="str">
        <f ca="1">IF(OR($A835="",$AM835=""),"",TODAY()-$AM835)</f>
        <v/>
      </c>
      <c r="AO835" s="87"/>
      <c r="AP835" s="106"/>
      <c r="AQ835" s="106"/>
      <c r="AR835" s="106"/>
      <c r="AS835" s="106"/>
      <c r="AT835" s="106"/>
      <c r="AU835" s="106"/>
      <c r="AV835" s="106"/>
      <c r="AW835" s="106"/>
      <c r="AX835" s="106"/>
      <c r="AY835" s="106"/>
    </row>
    <row r="836" spans="1:51" s="20" customFormat="1" ht="21" customHeight="1">
      <c r="A836" s="197"/>
      <c r="B836" s="87"/>
      <c r="C836" s="87"/>
      <c r="D836" s="196"/>
      <c r="E836" s="108"/>
      <c r="F836" s="196"/>
      <c r="G836" s="87"/>
      <c r="H836" s="197"/>
      <c r="I836" s="89"/>
      <c r="J836" s="204"/>
      <c r="K836" s="87"/>
      <c r="L836" s="87" t="str" cm="1">
        <f t="array" ref="L836">IF($A836="","",_xlfn.LET(_xlpm.stat,CHOOSE({1,2,3,4,5},$P836,$T836,$X836,$AB836,$AF836),_xlpm.rate,CHOOSE({1,2,3,4,5},$R836,$V836,$Z836,$AD836,$AH836),_xlpm.trn,CHOOSE({1,2,3,4,5},$S836,$W836,$AA836,$AE836,$AI836),_xlpm.nsC,SUMPRODUCT(--(_xlpm.stat="Ready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DLR",IF(AND(_xlpm.actRS&gt;0,_xlpm.actDone&lt;_xlpm.actRS),"Training",IF(_xlpm.actRS&gt;0,"Active",IF(AND(_xlpm.decC&gt;0,_xlpm.inPlay+_xlpm.actC=0),"Dead",IF(AND($AJ836&lt;&gt;"",$AK836=FALSE),"Waiting on Dealer",IF(_xlpm.subC&gt;0,"Waiting on Lender",IF(AND(_xlpm.appC+_xlpm.actC&gt;0,_xlpm.nsC+_xlpm.wdC=0),"Rate Sheet","Application Submitted")))))))))</f>
        <v/>
      </c>
      <c r="M836" s="87"/>
      <c r="N836" s="87"/>
      <c r="O836" s="197"/>
      <c r="P836" s="87" t="str">
        <f>IF($A836="","",IF($AK836=TRUE,"Ready 2 Submit","Waiting on Dealer"))</f>
        <v/>
      </c>
      <c r="Q836" s="148"/>
      <c r="R836" s="87"/>
      <c r="S836" s="87"/>
      <c r="T836" s="87" t="str">
        <f>IF($A836="","",IF($AK836=TRUE,"Ready 2 Submit","Waiting on Dealer"))</f>
        <v/>
      </c>
      <c r="U836" s="148"/>
      <c r="V836" s="87"/>
      <c r="W836" s="87"/>
      <c r="X836" s="87" t="str">
        <f>IF($A836="","",IF($AK836=TRUE,"Ready 2 Submit","Waiting on Dealer"))</f>
        <v/>
      </c>
      <c r="Y836" s="148"/>
      <c r="Z836" s="87"/>
      <c r="AA836" s="87"/>
      <c r="AB836" s="87" t="str">
        <f>IF($A836="","",IF($AK836=TRUE,"Ready 2 Submit","Waiting on Dealer"))</f>
        <v/>
      </c>
      <c r="AC836" s="148"/>
      <c r="AD836" s="87"/>
      <c r="AE836" s="87"/>
      <c r="AF836" s="87" t="str">
        <f>IF($A836="","",IF($AK836=TRUE,"Ready 2 Submit","Waiting on Dealer"))</f>
        <v/>
      </c>
      <c r="AG836" s="148"/>
      <c r="AH836" s="87"/>
      <c r="AI836" s="87"/>
      <c r="AJ836" s="197"/>
      <c r="AK836" s="110" t="b">
        <v>0</v>
      </c>
      <c r="AL836" s="87" t="str" cm="1">
        <f t="array" ref="AL836">IF($A836="","",SUMPRODUCT((CHOOSE({1,2,3,4,5},$R836,$V836,$Z836,$AD836,$AH836)="Yes")*(((CHOOSE({1,2,3,4,5},$S836,$W836,$AA836,$AE836,$AI836)="Yes")+(CHOOSE({1,2,3,4,5},$S836,$W836,$AA836,$AE836,$AI836)=TRUE))&gt;0)))</f>
        <v/>
      </c>
      <c r="AM836" s="87"/>
      <c r="AN836" s="87" t="str">
        <f ca="1">IF(OR($A836="",$AM836=""),"",TODAY()-$AM836)</f>
        <v/>
      </c>
      <c r="AO836" s="87"/>
      <c r="AP836" s="106"/>
      <c r="AQ836" s="106"/>
      <c r="AR836" s="106"/>
      <c r="AS836" s="106"/>
      <c r="AT836" s="106"/>
      <c r="AU836" s="106"/>
      <c r="AV836" s="106"/>
      <c r="AW836" s="106"/>
      <c r="AX836" s="106"/>
      <c r="AY836" s="106"/>
    </row>
    <row r="837" spans="1:51" s="20" customFormat="1" ht="21" customHeight="1">
      <c r="A837" s="197"/>
      <c r="B837" s="87"/>
      <c r="C837" s="87"/>
      <c r="D837" s="196"/>
      <c r="E837" s="108"/>
      <c r="F837" s="196"/>
      <c r="G837" s="87"/>
      <c r="H837" s="197"/>
      <c r="I837" s="89"/>
      <c r="J837" s="204"/>
      <c r="K837" s="87"/>
      <c r="L837" s="87" t="str" cm="1">
        <f t="array" ref="L837">IF($A837="","",_xlfn.LET(_xlpm.stat,CHOOSE({1,2,3,4,5},$P837,$T837,$X837,$AB837,$AF837),_xlpm.rate,CHOOSE({1,2,3,4,5},$R837,$V837,$Z837,$AD837,$AH837),_xlpm.trn,CHOOSE({1,2,3,4,5},$S837,$W837,$AA837,$AE837,$AI837),_xlpm.nsC,SUMPRODUCT(--(_xlpm.stat="Ready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DLR",IF(AND(_xlpm.actRS&gt;0,_xlpm.actDone&lt;_xlpm.actRS),"Training",IF(_xlpm.actRS&gt;0,"Active",IF(AND(_xlpm.decC&gt;0,_xlpm.inPlay+_xlpm.actC=0),"Dead",IF(AND($AJ837&lt;&gt;"",$AK837=FALSE),"Waiting on Dealer",IF(_xlpm.subC&gt;0,"Waiting on Lender",IF(AND(_xlpm.appC+_xlpm.actC&gt;0,_xlpm.nsC+_xlpm.wdC=0),"Rate Sheet","Application Submitted")))))))))</f>
        <v/>
      </c>
      <c r="M837" s="87"/>
      <c r="N837" s="87"/>
      <c r="O837" s="197"/>
      <c r="P837" s="87" t="str">
        <f>IF($A837="","",IF($AK837=TRUE,"Ready 2 Submit","Waiting on Dealer"))</f>
        <v/>
      </c>
      <c r="Q837" s="148"/>
      <c r="R837" s="87"/>
      <c r="S837" s="87"/>
      <c r="T837" s="87" t="str">
        <f>IF($A837="","",IF($AK837=TRUE,"Ready 2 Submit","Waiting on Dealer"))</f>
        <v/>
      </c>
      <c r="U837" s="148"/>
      <c r="V837" s="87"/>
      <c r="W837" s="87"/>
      <c r="X837" s="87" t="str">
        <f>IF($A837="","",IF($AK837=TRUE,"Ready 2 Submit","Waiting on Dealer"))</f>
        <v/>
      </c>
      <c r="Y837" s="148"/>
      <c r="Z837" s="87"/>
      <c r="AA837" s="87"/>
      <c r="AB837" s="87" t="str">
        <f>IF($A837="","",IF($AK837=TRUE,"Ready 2 Submit","Waiting on Dealer"))</f>
        <v/>
      </c>
      <c r="AC837" s="148"/>
      <c r="AD837" s="87"/>
      <c r="AE837" s="87"/>
      <c r="AF837" s="87" t="str">
        <f>IF($A837="","",IF($AK837=TRUE,"Ready 2 Submit","Waiting on Dealer"))</f>
        <v/>
      </c>
      <c r="AG837" s="148"/>
      <c r="AH837" s="87"/>
      <c r="AI837" s="87"/>
      <c r="AJ837" s="197"/>
      <c r="AK837" s="110" t="b">
        <v>0</v>
      </c>
      <c r="AL837" s="87" t="str" cm="1">
        <f t="array" ref="AL837">IF($A837="","",SUMPRODUCT((CHOOSE({1,2,3,4,5},$R837,$V837,$Z837,$AD837,$AH837)="Yes")*(((CHOOSE({1,2,3,4,5},$S837,$W837,$AA837,$AE837,$AI837)="Yes")+(CHOOSE({1,2,3,4,5},$S837,$W837,$AA837,$AE837,$AI837)=TRUE))&gt;0)))</f>
        <v/>
      </c>
      <c r="AM837" s="87"/>
      <c r="AN837" s="87" t="str">
        <f ca="1">IF(OR($A837="",$AM837=""),"",TODAY()-$AM837)</f>
        <v/>
      </c>
      <c r="AO837" s="87"/>
      <c r="AP837" s="106"/>
      <c r="AQ837" s="106"/>
      <c r="AR837" s="106"/>
      <c r="AS837" s="106"/>
      <c r="AT837" s="106"/>
      <c r="AU837" s="106"/>
      <c r="AV837" s="106"/>
      <c r="AW837" s="106"/>
      <c r="AX837" s="106"/>
      <c r="AY837" s="106"/>
    </row>
    <row r="838" spans="1:51" s="20" customFormat="1" ht="21" customHeight="1">
      <c r="A838" s="197"/>
      <c r="B838" s="87"/>
      <c r="C838" s="87"/>
      <c r="D838" s="196"/>
      <c r="E838" s="108"/>
      <c r="F838" s="196"/>
      <c r="G838" s="87"/>
      <c r="H838" s="197"/>
      <c r="I838" s="89"/>
      <c r="J838" s="204"/>
      <c r="K838" s="87"/>
      <c r="L838" s="87" t="str" cm="1">
        <f t="array" ref="L838">IF($A838="","",_xlfn.LET(_xlpm.stat,CHOOSE({1,2,3,4,5},$P838,$T838,$X838,$AB838,$AF838),_xlpm.rate,CHOOSE({1,2,3,4,5},$R838,$V838,$Z838,$AD838,$AH838),_xlpm.trn,CHOOSE({1,2,3,4,5},$S838,$W838,$AA838,$AE838,$AI838),_xlpm.nsC,SUMPRODUCT(--(_xlpm.stat="Ready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DLR",IF(AND(_xlpm.actRS&gt;0,_xlpm.actDone&lt;_xlpm.actRS),"Training",IF(_xlpm.actRS&gt;0,"Active",IF(AND(_xlpm.decC&gt;0,_xlpm.inPlay+_xlpm.actC=0),"Dead",IF(AND($AJ838&lt;&gt;"",$AK838=FALSE),"Waiting on Dealer",IF(_xlpm.subC&gt;0,"Waiting on Lender",IF(AND(_xlpm.appC+_xlpm.actC&gt;0,_xlpm.nsC+_xlpm.wdC=0),"Rate Sheet","Application Submitted")))))))))</f>
        <v/>
      </c>
      <c r="M838" s="87"/>
      <c r="N838" s="87"/>
      <c r="O838" s="197"/>
      <c r="P838" s="87" t="str">
        <f>IF($A838="","",IF($AK838=TRUE,"Ready 2 Submit","Waiting on Dealer"))</f>
        <v/>
      </c>
      <c r="Q838" s="148"/>
      <c r="R838" s="87"/>
      <c r="S838" s="87"/>
      <c r="T838" s="87" t="str">
        <f>IF($A838="","",IF($AK838=TRUE,"Ready 2 Submit","Waiting on Dealer"))</f>
        <v/>
      </c>
      <c r="U838" s="148"/>
      <c r="V838" s="87"/>
      <c r="W838" s="87"/>
      <c r="X838" s="87" t="str">
        <f>IF($A838="","",IF($AK838=TRUE,"Ready 2 Submit","Waiting on Dealer"))</f>
        <v/>
      </c>
      <c r="Y838" s="148"/>
      <c r="Z838" s="87"/>
      <c r="AA838" s="87"/>
      <c r="AB838" s="87" t="str">
        <f>IF($A838="","",IF($AK838=TRUE,"Ready 2 Submit","Waiting on Dealer"))</f>
        <v/>
      </c>
      <c r="AC838" s="148"/>
      <c r="AD838" s="87"/>
      <c r="AE838" s="87"/>
      <c r="AF838" s="87" t="str">
        <f>IF($A838="","",IF($AK838=TRUE,"Ready 2 Submit","Waiting on Dealer"))</f>
        <v/>
      </c>
      <c r="AG838" s="148"/>
      <c r="AH838" s="87"/>
      <c r="AI838" s="87"/>
      <c r="AJ838" s="197"/>
      <c r="AK838" s="110" t="b">
        <v>0</v>
      </c>
      <c r="AL838" s="87" t="str" cm="1">
        <f t="array" ref="AL838">IF($A838="","",SUMPRODUCT((CHOOSE({1,2,3,4,5},$R838,$V838,$Z838,$AD838,$AH838)="Yes")*(((CHOOSE({1,2,3,4,5},$S838,$W838,$AA838,$AE838,$AI838)="Yes")+(CHOOSE({1,2,3,4,5},$S838,$W838,$AA838,$AE838,$AI838)=TRUE))&gt;0)))</f>
        <v/>
      </c>
      <c r="AM838" s="87"/>
      <c r="AN838" s="87" t="str">
        <f ca="1">IF(OR($A838="",$AM838=""),"",TODAY()-$AM838)</f>
        <v/>
      </c>
      <c r="AO838" s="87"/>
      <c r="AP838" s="106"/>
      <c r="AQ838" s="106"/>
      <c r="AR838" s="106"/>
      <c r="AS838" s="106"/>
      <c r="AT838" s="106"/>
      <c r="AU838" s="106"/>
      <c r="AV838" s="106"/>
      <c r="AW838" s="106"/>
      <c r="AX838" s="106"/>
      <c r="AY838" s="106"/>
    </row>
    <row r="839" spans="1:51" s="20" customFormat="1" ht="21" customHeight="1">
      <c r="A839" s="197"/>
      <c r="B839" s="87"/>
      <c r="C839" s="87"/>
      <c r="D839" s="196"/>
      <c r="E839" s="108"/>
      <c r="F839" s="196"/>
      <c r="G839" s="87"/>
      <c r="H839" s="197"/>
      <c r="I839" s="89"/>
      <c r="J839" s="204"/>
      <c r="K839" s="87"/>
      <c r="L839" s="87" t="str" cm="1">
        <f t="array" ref="L839">IF($A839="","",_xlfn.LET(_xlpm.stat,CHOOSE({1,2,3,4,5},$P839,$T839,$X839,$AB839,$AF839),_xlpm.rate,CHOOSE({1,2,3,4,5},$R839,$V839,$Z839,$AD839,$AH839),_xlpm.trn,CHOOSE({1,2,3,4,5},$S839,$W839,$AA839,$AE839,$AI839),_xlpm.nsC,SUMPRODUCT(--(_xlpm.stat="Ready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DLR",IF(AND(_xlpm.actRS&gt;0,_xlpm.actDone&lt;_xlpm.actRS),"Training",IF(_xlpm.actRS&gt;0,"Active",IF(AND(_xlpm.decC&gt;0,_xlpm.inPlay+_xlpm.actC=0),"Dead",IF(AND($AJ839&lt;&gt;"",$AK839=FALSE),"Waiting on Dealer",IF(_xlpm.subC&gt;0,"Waiting on Lender",IF(AND(_xlpm.appC+_xlpm.actC&gt;0,_xlpm.nsC+_xlpm.wdC=0),"Rate Sheet","Application Submitted")))))))))</f>
        <v/>
      </c>
      <c r="M839" s="87"/>
      <c r="N839" s="87"/>
      <c r="O839" s="197"/>
      <c r="P839" s="87" t="str">
        <f>IF($A839="","",IF($AK839=TRUE,"Ready 2 Submit","Waiting on Dealer"))</f>
        <v/>
      </c>
      <c r="Q839" s="148"/>
      <c r="R839" s="87"/>
      <c r="S839" s="87"/>
      <c r="T839" s="87" t="str">
        <f>IF($A839="","",IF($AK839=TRUE,"Ready 2 Submit","Waiting on Dealer"))</f>
        <v/>
      </c>
      <c r="U839" s="148"/>
      <c r="V839" s="87"/>
      <c r="W839" s="87"/>
      <c r="X839" s="87" t="str">
        <f>IF($A839="","",IF($AK839=TRUE,"Ready 2 Submit","Waiting on Dealer"))</f>
        <v/>
      </c>
      <c r="Y839" s="148"/>
      <c r="Z839" s="87"/>
      <c r="AA839" s="87"/>
      <c r="AB839" s="87" t="str">
        <f>IF($A839="","",IF($AK839=TRUE,"Ready 2 Submit","Waiting on Dealer"))</f>
        <v/>
      </c>
      <c r="AC839" s="148"/>
      <c r="AD839" s="87"/>
      <c r="AE839" s="87"/>
      <c r="AF839" s="87" t="str">
        <f>IF($A839="","",IF($AK839=TRUE,"Ready 2 Submit","Waiting on Dealer"))</f>
        <v/>
      </c>
      <c r="AG839" s="148"/>
      <c r="AH839" s="87"/>
      <c r="AI839" s="87"/>
      <c r="AJ839" s="197"/>
      <c r="AK839" s="110" t="b">
        <v>0</v>
      </c>
      <c r="AL839" s="87" t="str" cm="1">
        <f t="array" ref="AL839">IF($A839="","",SUMPRODUCT((CHOOSE({1,2,3,4,5},$R839,$V839,$Z839,$AD839,$AH839)="Yes")*(((CHOOSE({1,2,3,4,5},$S839,$W839,$AA839,$AE839,$AI839)="Yes")+(CHOOSE({1,2,3,4,5},$S839,$W839,$AA839,$AE839,$AI839)=TRUE))&gt;0)))</f>
        <v/>
      </c>
      <c r="AM839" s="87"/>
      <c r="AN839" s="87" t="str">
        <f ca="1">IF(OR($A839="",$AM839=""),"",TODAY()-$AM839)</f>
        <v/>
      </c>
      <c r="AO839" s="87"/>
      <c r="AP839" s="106"/>
      <c r="AQ839" s="106"/>
      <c r="AR839" s="106"/>
      <c r="AS839" s="106"/>
      <c r="AT839" s="106"/>
      <c r="AU839" s="106"/>
      <c r="AV839" s="106"/>
      <c r="AW839" s="106"/>
      <c r="AX839" s="106"/>
      <c r="AY839" s="106"/>
    </row>
    <row r="840" spans="1:51" s="20" customFormat="1" ht="21" customHeight="1">
      <c r="A840" s="197"/>
      <c r="B840" s="87"/>
      <c r="C840" s="87"/>
      <c r="D840" s="196"/>
      <c r="E840" s="108"/>
      <c r="F840" s="196"/>
      <c r="G840" s="87"/>
      <c r="H840" s="197"/>
      <c r="I840" s="89"/>
      <c r="J840" s="204"/>
      <c r="K840" s="87"/>
      <c r="L840" s="87" t="str" cm="1">
        <f t="array" ref="L840">IF($A840="","",_xlfn.LET(_xlpm.stat,CHOOSE({1,2,3,4,5},$P840,$T840,$X840,$AB840,$AF840),_xlpm.rate,CHOOSE({1,2,3,4,5},$R840,$V840,$Z840,$AD840,$AH840),_xlpm.trn,CHOOSE({1,2,3,4,5},$S840,$W840,$AA840,$AE840,$AI840),_xlpm.nsC,SUMPRODUCT(--(_xlpm.stat="Ready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DLR",IF(AND(_xlpm.actRS&gt;0,_xlpm.actDone&lt;_xlpm.actRS),"Training",IF(_xlpm.actRS&gt;0,"Active",IF(AND(_xlpm.decC&gt;0,_xlpm.inPlay+_xlpm.actC=0),"Dead",IF(AND($AJ840&lt;&gt;"",$AK840=FALSE),"Waiting on Dealer",IF(_xlpm.subC&gt;0,"Waiting on Lender",IF(AND(_xlpm.appC+_xlpm.actC&gt;0,_xlpm.nsC+_xlpm.wdC=0),"Rate Sheet","Application Submitted")))))))))</f>
        <v/>
      </c>
      <c r="M840" s="87"/>
      <c r="N840" s="87"/>
      <c r="O840" s="197"/>
      <c r="P840" s="87" t="str">
        <f>IF($A840="","",IF($AK840=TRUE,"Ready 2 Submit","Waiting on Dealer"))</f>
        <v/>
      </c>
      <c r="Q840" s="148"/>
      <c r="R840" s="87"/>
      <c r="S840" s="87"/>
      <c r="T840" s="87" t="str">
        <f>IF($A840="","",IF($AK840=TRUE,"Ready 2 Submit","Waiting on Dealer"))</f>
        <v/>
      </c>
      <c r="U840" s="148"/>
      <c r="V840" s="87"/>
      <c r="W840" s="87"/>
      <c r="X840" s="87" t="str">
        <f>IF($A840="","",IF($AK840=TRUE,"Ready 2 Submit","Waiting on Dealer"))</f>
        <v/>
      </c>
      <c r="Y840" s="148"/>
      <c r="Z840" s="87"/>
      <c r="AA840" s="87"/>
      <c r="AB840" s="87" t="str">
        <f>IF($A840="","",IF($AK840=TRUE,"Ready 2 Submit","Waiting on Dealer"))</f>
        <v/>
      </c>
      <c r="AC840" s="148"/>
      <c r="AD840" s="87"/>
      <c r="AE840" s="87"/>
      <c r="AF840" s="87" t="str">
        <f>IF($A840="","",IF($AK840=TRUE,"Ready 2 Submit","Waiting on Dealer"))</f>
        <v/>
      </c>
      <c r="AG840" s="148"/>
      <c r="AH840" s="87"/>
      <c r="AI840" s="87"/>
      <c r="AJ840" s="197"/>
      <c r="AK840" s="110" t="b">
        <v>0</v>
      </c>
      <c r="AL840" s="87" t="str" cm="1">
        <f t="array" ref="AL840">IF($A840="","",SUMPRODUCT((CHOOSE({1,2,3,4,5},$R840,$V840,$Z840,$AD840,$AH840)="Yes")*(((CHOOSE({1,2,3,4,5},$S840,$W840,$AA840,$AE840,$AI840)="Yes")+(CHOOSE({1,2,3,4,5},$S840,$W840,$AA840,$AE840,$AI840)=TRUE))&gt;0)))</f>
        <v/>
      </c>
      <c r="AM840" s="87"/>
      <c r="AN840" s="87" t="str">
        <f ca="1">IF(OR($A840="",$AM840=""),"",TODAY()-$AM840)</f>
        <v/>
      </c>
      <c r="AO840" s="87"/>
      <c r="AP840" s="106"/>
      <c r="AQ840" s="106"/>
      <c r="AR840" s="106"/>
      <c r="AS840" s="106"/>
      <c r="AT840" s="106"/>
      <c r="AU840" s="106"/>
      <c r="AV840" s="106"/>
      <c r="AW840" s="106"/>
      <c r="AX840" s="106"/>
      <c r="AY840" s="106"/>
    </row>
    <row r="841" spans="1:51" s="20" customFormat="1" ht="21" customHeight="1">
      <c r="A841" s="197"/>
      <c r="B841" s="87"/>
      <c r="C841" s="87"/>
      <c r="D841" s="196"/>
      <c r="E841" s="108"/>
      <c r="F841" s="196"/>
      <c r="G841" s="87"/>
      <c r="H841" s="197"/>
      <c r="I841" s="89"/>
      <c r="J841" s="204"/>
      <c r="K841" s="87"/>
      <c r="L841" s="87" t="str" cm="1">
        <f t="array" ref="L841">IF($A841="","",_xlfn.LET(_xlpm.stat,CHOOSE({1,2,3,4,5},$P841,$T841,$X841,$AB841,$AF841),_xlpm.rate,CHOOSE({1,2,3,4,5},$R841,$V841,$Z841,$AD841,$AH841),_xlpm.trn,CHOOSE({1,2,3,4,5},$S841,$W841,$AA841,$AE841,$AI841),_xlpm.nsC,SUMPRODUCT(--(_xlpm.stat="Ready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DLR",IF(AND(_xlpm.actRS&gt;0,_xlpm.actDone&lt;_xlpm.actRS),"Training",IF(_xlpm.actRS&gt;0,"Active",IF(AND(_xlpm.decC&gt;0,_xlpm.inPlay+_xlpm.actC=0),"Dead",IF(AND($AJ841&lt;&gt;"",$AK841=FALSE),"Waiting on Dealer",IF(_xlpm.subC&gt;0,"Waiting on Lender",IF(AND(_xlpm.appC+_xlpm.actC&gt;0,_xlpm.nsC+_xlpm.wdC=0),"Rate Sheet","Application Submitted")))))))))</f>
        <v/>
      </c>
      <c r="M841" s="87"/>
      <c r="N841" s="87"/>
      <c r="O841" s="197"/>
      <c r="P841" s="87" t="str">
        <f>IF($A841="","",IF($AK841=TRUE,"Ready 2 Submit","Waiting on Dealer"))</f>
        <v/>
      </c>
      <c r="Q841" s="148"/>
      <c r="R841" s="87"/>
      <c r="S841" s="87"/>
      <c r="T841" s="87" t="str">
        <f>IF($A841="","",IF($AK841=TRUE,"Ready 2 Submit","Waiting on Dealer"))</f>
        <v/>
      </c>
      <c r="U841" s="148"/>
      <c r="V841" s="87"/>
      <c r="W841" s="87"/>
      <c r="X841" s="87" t="str">
        <f>IF($A841="","",IF($AK841=TRUE,"Ready 2 Submit","Waiting on Dealer"))</f>
        <v/>
      </c>
      <c r="Y841" s="148"/>
      <c r="Z841" s="87"/>
      <c r="AA841" s="87"/>
      <c r="AB841" s="87" t="str">
        <f>IF($A841="","",IF($AK841=TRUE,"Ready 2 Submit","Waiting on Dealer"))</f>
        <v/>
      </c>
      <c r="AC841" s="148"/>
      <c r="AD841" s="87"/>
      <c r="AE841" s="87"/>
      <c r="AF841" s="87" t="str">
        <f>IF($A841="","",IF($AK841=TRUE,"Ready 2 Submit","Waiting on Dealer"))</f>
        <v/>
      </c>
      <c r="AG841" s="148"/>
      <c r="AH841" s="87"/>
      <c r="AI841" s="87"/>
      <c r="AJ841" s="197"/>
      <c r="AK841" s="110" t="b">
        <v>0</v>
      </c>
      <c r="AL841" s="87" t="str" cm="1">
        <f t="array" ref="AL841">IF($A841="","",SUMPRODUCT((CHOOSE({1,2,3,4,5},$R841,$V841,$Z841,$AD841,$AH841)="Yes")*(((CHOOSE({1,2,3,4,5},$S841,$W841,$AA841,$AE841,$AI841)="Yes")+(CHOOSE({1,2,3,4,5},$S841,$W841,$AA841,$AE841,$AI841)=TRUE))&gt;0)))</f>
        <v/>
      </c>
      <c r="AM841" s="87"/>
      <c r="AN841" s="87" t="str">
        <f ca="1">IF(OR($A841="",$AM841=""),"",TODAY()-$AM841)</f>
        <v/>
      </c>
      <c r="AO841" s="87"/>
      <c r="AP841" s="106"/>
      <c r="AQ841" s="106"/>
      <c r="AR841" s="106"/>
      <c r="AS841" s="106"/>
      <c r="AT841" s="106"/>
      <c r="AU841" s="106"/>
      <c r="AV841" s="106"/>
      <c r="AW841" s="106"/>
      <c r="AX841" s="106"/>
      <c r="AY841" s="106"/>
    </row>
    <row r="842" spans="1:51" s="20" customFormat="1" ht="21" customHeight="1">
      <c r="A842" s="197"/>
      <c r="B842" s="87"/>
      <c r="C842" s="87"/>
      <c r="D842" s="196"/>
      <c r="E842" s="108"/>
      <c r="F842" s="196"/>
      <c r="G842" s="87"/>
      <c r="H842" s="197"/>
      <c r="I842" s="89"/>
      <c r="J842" s="204"/>
      <c r="K842" s="87"/>
      <c r="L842" s="87" t="str" cm="1">
        <f t="array" ref="L842">IF($A842="","",_xlfn.LET(_xlpm.stat,CHOOSE({1,2,3,4,5},$P842,$T842,$X842,$AB842,$AF842),_xlpm.rate,CHOOSE({1,2,3,4,5},$R842,$V842,$Z842,$AD842,$AH842),_xlpm.trn,CHOOSE({1,2,3,4,5},$S842,$W842,$AA842,$AE842,$AI842),_xlpm.nsC,SUMPRODUCT(--(_xlpm.stat="Ready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DLR",IF(AND(_xlpm.actRS&gt;0,_xlpm.actDone&lt;_xlpm.actRS),"Training",IF(_xlpm.actRS&gt;0,"Active",IF(AND(_xlpm.decC&gt;0,_xlpm.inPlay+_xlpm.actC=0),"Dead",IF(AND($AJ842&lt;&gt;"",$AK842=FALSE),"Waiting on Dealer",IF(_xlpm.subC&gt;0,"Waiting on Lender",IF(AND(_xlpm.appC+_xlpm.actC&gt;0,_xlpm.nsC+_xlpm.wdC=0),"Rate Sheet","Application Submitted")))))))))</f>
        <v/>
      </c>
      <c r="M842" s="87"/>
      <c r="N842" s="87"/>
      <c r="O842" s="197"/>
      <c r="P842" s="87" t="str">
        <f>IF($A842="","",IF($AK842=TRUE,"Ready 2 Submit","Waiting on Dealer"))</f>
        <v/>
      </c>
      <c r="Q842" s="148"/>
      <c r="R842" s="87"/>
      <c r="S842" s="87"/>
      <c r="T842" s="87" t="str">
        <f>IF($A842="","",IF($AK842=TRUE,"Ready 2 Submit","Waiting on Dealer"))</f>
        <v/>
      </c>
      <c r="U842" s="148"/>
      <c r="V842" s="87"/>
      <c r="W842" s="87"/>
      <c r="X842" s="87" t="str">
        <f>IF($A842="","",IF($AK842=TRUE,"Ready 2 Submit","Waiting on Dealer"))</f>
        <v/>
      </c>
      <c r="Y842" s="148"/>
      <c r="Z842" s="87"/>
      <c r="AA842" s="87"/>
      <c r="AB842" s="87" t="str">
        <f>IF($A842="","",IF($AK842=TRUE,"Ready 2 Submit","Waiting on Dealer"))</f>
        <v/>
      </c>
      <c r="AC842" s="148"/>
      <c r="AD842" s="87"/>
      <c r="AE842" s="87"/>
      <c r="AF842" s="87" t="str">
        <f>IF($A842="","",IF($AK842=TRUE,"Ready 2 Submit","Waiting on Dealer"))</f>
        <v/>
      </c>
      <c r="AG842" s="148"/>
      <c r="AH842" s="87"/>
      <c r="AI842" s="87"/>
      <c r="AJ842" s="197"/>
      <c r="AK842" s="110" t="b">
        <v>0</v>
      </c>
      <c r="AL842" s="87" t="str" cm="1">
        <f t="array" ref="AL842">IF($A842="","",SUMPRODUCT((CHOOSE({1,2,3,4,5},$R842,$V842,$Z842,$AD842,$AH842)="Yes")*(((CHOOSE({1,2,3,4,5},$S842,$W842,$AA842,$AE842,$AI842)="Yes")+(CHOOSE({1,2,3,4,5},$S842,$W842,$AA842,$AE842,$AI842)=TRUE))&gt;0)))</f>
        <v/>
      </c>
      <c r="AM842" s="87"/>
      <c r="AN842" s="87" t="str">
        <f ca="1">IF(OR($A842="",$AM842=""),"",TODAY()-$AM842)</f>
        <v/>
      </c>
      <c r="AO842" s="87"/>
      <c r="AP842" s="106"/>
      <c r="AQ842" s="106"/>
      <c r="AR842" s="106"/>
      <c r="AS842" s="106"/>
      <c r="AT842" s="106"/>
      <c r="AU842" s="106"/>
      <c r="AV842" s="106"/>
      <c r="AW842" s="106"/>
      <c r="AX842" s="106"/>
      <c r="AY842" s="106"/>
    </row>
    <row r="843" spans="1:51" s="20" customFormat="1" ht="21" customHeight="1">
      <c r="A843" s="197"/>
      <c r="B843" s="87"/>
      <c r="C843" s="87"/>
      <c r="D843" s="196"/>
      <c r="E843" s="108"/>
      <c r="F843" s="196"/>
      <c r="G843" s="87"/>
      <c r="H843" s="197"/>
      <c r="I843" s="89"/>
      <c r="J843" s="204"/>
      <c r="K843" s="87"/>
      <c r="L843" s="87" t="str" cm="1">
        <f t="array" ref="L843">IF($A843="","",_xlfn.LET(_xlpm.stat,CHOOSE({1,2,3,4,5},$P843,$T843,$X843,$AB843,$AF843),_xlpm.rate,CHOOSE({1,2,3,4,5},$R843,$V843,$Z843,$AD843,$AH843),_xlpm.trn,CHOOSE({1,2,3,4,5},$S843,$W843,$AA843,$AE843,$AI843),_xlpm.nsC,SUMPRODUCT(--(_xlpm.stat="Ready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DLR",IF(AND(_xlpm.actRS&gt;0,_xlpm.actDone&lt;_xlpm.actRS),"Training",IF(_xlpm.actRS&gt;0,"Active",IF(AND(_xlpm.decC&gt;0,_xlpm.inPlay+_xlpm.actC=0),"Dead",IF(AND($AJ843&lt;&gt;"",$AK843=FALSE),"Waiting on Dealer",IF(_xlpm.subC&gt;0,"Waiting on Lender",IF(AND(_xlpm.appC+_xlpm.actC&gt;0,_xlpm.nsC+_xlpm.wdC=0),"Rate Sheet","Application Submitted")))))))))</f>
        <v/>
      </c>
      <c r="M843" s="87"/>
      <c r="N843" s="87"/>
      <c r="O843" s="197"/>
      <c r="P843" s="87" t="str">
        <f>IF($A843="","",IF($AK843=TRUE,"Ready 2 Submit","Waiting on Dealer"))</f>
        <v/>
      </c>
      <c r="Q843" s="148"/>
      <c r="R843" s="87"/>
      <c r="S843" s="87"/>
      <c r="T843" s="87" t="str">
        <f>IF($A843="","",IF($AK843=TRUE,"Ready 2 Submit","Waiting on Dealer"))</f>
        <v/>
      </c>
      <c r="U843" s="148"/>
      <c r="V843" s="87"/>
      <c r="W843" s="87"/>
      <c r="X843" s="87" t="str">
        <f>IF($A843="","",IF($AK843=TRUE,"Ready 2 Submit","Waiting on Dealer"))</f>
        <v/>
      </c>
      <c r="Y843" s="148"/>
      <c r="Z843" s="87"/>
      <c r="AA843" s="87"/>
      <c r="AB843" s="87" t="str">
        <f>IF($A843="","",IF($AK843=TRUE,"Ready 2 Submit","Waiting on Dealer"))</f>
        <v/>
      </c>
      <c r="AC843" s="148"/>
      <c r="AD843" s="87"/>
      <c r="AE843" s="87"/>
      <c r="AF843" s="87" t="str">
        <f>IF($A843="","",IF($AK843=TRUE,"Ready 2 Submit","Waiting on Dealer"))</f>
        <v/>
      </c>
      <c r="AG843" s="148"/>
      <c r="AH843" s="87"/>
      <c r="AI843" s="87"/>
      <c r="AJ843" s="197"/>
      <c r="AK843" s="110" t="b">
        <v>0</v>
      </c>
      <c r="AL843" s="87" t="str" cm="1">
        <f t="array" ref="AL843">IF($A843="","",SUMPRODUCT((CHOOSE({1,2,3,4,5},$R843,$V843,$Z843,$AD843,$AH843)="Yes")*(((CHOOSE({1,2,3,4,5},$S843,$W843,$AA843,$AE843,$AI843)="Yes")+(CHOOSE({1,2,3,4,5},$S843,$W843,$AA843,$AE843,$AI843)=TRUE))&gt;0)))</f>
        <v/>
      </c>
      <c r="AM843" s="87"/>
      <c r="AN843" s="87" t="str">
        <f ca="1">IF(OR($A843="",$AM843=""),"",TODAY()-$AM843)</f>
        <v/>
      </c>
      <c r="AO843" s="87"/>
      <c r="AP843" s="106"/>
      <c r="AQ843" s="106"/>
      <c r="AR843" s="106"/>
      <c r="AS843" s="106"/>
      <c r="AT843" s="106"/>
      <c r="AU843" s="106"/>
      <c r="AV843" s="106"/>
      <c r="AW843" s="106"/>
      <c r="AX843" s="106"/>
      <c r="AY843" s="106"/>
    </row>
    <row r="844" spans="1:51" s="20" customFormat="1" ht="21" customHeight="1">
      <c r="A844" s="197"/>
      <c r="B844" s="87"/>
      <c r="C844" s="87"/>
      <c r="D844" s="196"/>
      <c r="E844" s="108"/>
      <c r="F844" s="196"/>
      <c r="G844" s="87"/>
      <c r="H844" s="197"/>
      <c r="I844" s="89"/>
      <c r="J844" s="204"/>
      <c r="K844" s="87"/>
      <c r="L844" s="87" t="str" cm="1">
        <f t="array" ref="L844">IF($A844="","",_xlfn.LET(_xlpm.stat,CHOOSE({1,2,3,4,5},$P844,$T844,$X844,$AB844,$AF844),_xlpm.rate,CHOOSE({1,2,3,4,5},$R844,$V844,$Z844,$AD844,$AH844),_xlpm.trn,CHOOSE({1,2,3,4,5},$S844,$W844,$AA844,$AE844,$AI844),_xlpm.nsC,SUMPRODUCT(--(_xlpm.stat="Ready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DLR",IF(AND(_xlpm.actRS&gt;0,_xlpm.actDone&lt;_xlpm.actRS),"Training",IF(_xlpm.actRS&gt;0,"Active",IF(AND(_xlpm.decC&gt;0,_xlpm.inPlay+_xlpm.actC=0),"Dead",IF(AND($AJ844&lt;&gt;"",$AK844=FALSE),"Waiting on Dealer",IF(_xlpm.subC&gt;0,"Waiting on Lender",IF(AND(_xlpm.appC+_xlpm.actC&gt;0,_xlpm.nsC+_xlpm.wdC=0),"Rate Sheet","Application Submitted")))))))))</f>
        <v/>
      </c>
      <c r="M844" s="87"/>
      <c r="N844" s="87"/>
      <c r="O844" s="197"/>
      <c r="P844" s="87" t="str">
        <f>IF($A844="","",IF($AK844=TRUE,"Ready 2 Submit","Waiting on Dealer"))</f>
        <v/>
      </c>
      <c r="Q844" s="148"/>
      <c r="R844" s="87"/>
      <c r="S844" s="87"/>
      <c r="T844" s="87" t="str">
        <f>IF($A844="","",IF($AK844=TRUE,"Ready 2 Submit","Waiting on Dealer"))</f>
        <v/>
      </c>
      <c r="U844" s="148"/>
      <c r="V844" s="87"/>
      <c r="W844" s="87"/>
      <c r="X844" s="87" t="str">
        <f>IF($A844="","",IF($AK844=TRUE,"Ready 2 Submit","Waiting on Dealer"))</f>
        <v/>
      </c>
      <c r="Y844" s="148"/>
      <c r="Z844" s="87"/>
      <c r="AA844" s="87"/>
      <c r="AB844" s="87" t="str">
        <f>IF($A844="","",IF($AK844=TRUE,"Ready 2 Submit","Waiting on Dealer"))</f>
        <v/>
      </c>
      <c r="AC844" s="148"/>
      <c r="AD844" s="87"/>
      <c r="AE844" s="87"/>
      <c r="AF844" s="87" t="str">
        <f>IF($A844="","",IF($AK844=TRUE,"Ready 2 Submit","Waiting on Dealer"))</f>
        <v/>
      </c>
      <c r="AG844" s="148"/>
      <c r="AH844" s="87"/>
      <c r="AI844" s="87"/>
      <c r="AJ844" s="197"/>
      <c r="AK844" s="110" t="b">
        <v>0</v>
      </c>
      <c r="AL844" s="87" t="str" cm="1">
        <f t="array" ref="AL844">IF($A844="","",SUMPRODUCT((CHOOSE({1,2,3,4,5},$R844,$V844,$Z844,$AD844,$AH844)="Yes")*(((CHOOSE({1,2,3,4,5},$S844,$W844,$AA844,$AE844,$AI844)="Yes")+(CHOOSE({1,2,3,4,5},$S844,$W844,$AA844,$AE844,$AI844)=TRUE))&gt;0)))</f>
        <v/>
      </c>
      <c r="AM844" s="87"/>
      <c r="AN844" s="87" t="str">
        <f ca="1">IF(OR($A844="",$AM844=""),"",TODAY()-$AM844)</f>
        <v/>
      </c>
      <c r="AO844" s="87"/>
      <c r="AP844" s="106"/>
      <c r="AQ844" s="106"/>
      <c r="AR844" s="106"/>
      <c r="AS844" s="106"/>
      <c r="AT844" s="106"/>
      <c r="AU844" s="106"/>
      <c r="AV844" s="106"/>
      <c r="AW844" s="106"/>
      <c r="AX844" s="106"/>
      <c r="AY844" s="106"/>
    </row>
    <row r="845" spans="1:51" s="20" customFormat="1" ht="21" customHeight="1">
      <c r="A845" s="197"/>
      <c r="B845" s="87"/>
      <c r="C845" s="87"/>
      <c r="D845" s="196"/>
      <c r="E845" s="108"/>
      <c r="F845" s="196"/>
      <c r="G845" s="87"/>
      <c r="H845" s="197"/>
      <c r="I845" s="89"/>
      <c r="J845" s="204"/>
      <c r="K845" s="87"/>
      <c r="L845" s="87" t="str" cm="1">
        <f t="array" ref="L845">IF($A845="","",_xlfn.LET(_xlpm.stat,CHOOSE({1,2,3,4,5},$P845,$T845,$X845,$AB845,$AF845),_xlpm.rate,CHOOSE({1,2,3,4,5},$R845,$V845,$Z845,$AD845,$AH845),_xlpm.trn,CHOOSE({1,2,3,4,5},$S845,$W845,$AA845,$AE845,$AI845),_xlpm.nsC,SUMPRODUCT(--(_xlpm.stat="Ready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DLR",IF(AND(_xlpm.actRS&gt;0,_xlpm.actDone&lt;_xlpm.actRS),"Training",IF(_xlpm.actRS&gt;0,"Active",IF(AND(_xlpm.decC&gt;0,_xlpm.inPlay+_xlpm.actC=0),"Dead",IF(AND($AJ845&lt;&gt;"",$AK845=FALSE),"Waiting on Dealer",IF(_xlpm.subC&gt;0,"Waiting on Lender",IF(AND(_xlpm.appC+_xlpm.actC&gt;0,_xlpm.nsC+_xlpm.wdC=0),"Rate Sheet","Application Submitted")))))))))</f>
        <v/>
      </c>
      <c r="M845" s="87"/>
      <c r="N845" s="87"/>
      <c r="O845" s="197"/>
      <c r="P845" s="87" t="str">
        <f>IF($A845="","",IF($AK845=TRUE,"Ready 2 Submit","Waiting on Dealer"))</f>
        <v/>
      </c>
      <c r="Q845" s="148"/>
      <c r="R845" s="87"/>
      <c r="S845" s="87"/>
      <c r="T845" s="87" t="str">
        <f>IF($A845="","",IF($AK845=TRUE,"Ready 2 Submit","Waiting on Dealer"))</f>
        <v/>
      </c>
      <c r="U845" s="148"/>
      <c r="V845" s="87"/>
      <c r="W845" s="87"/>
      <c r="X845" s="87" t="str">
        <f>IF($A845="","",IF($AK845=TRUE,"Ready 2 Submit","Waiting on Dealer"))</f>
        <v/>
      </c>
      <c r="Y845" s="148"/>
      <c r="Z845" s="87"/>
      <c r="AA845" s="87"/>
      <c r="AB845" s="87" t="str">
        <f>IF($A845="","",IF($AK845=TRUE,"Ready 2 Submit","Waiting on Dealer"))</f>
        <v/>
      </c>
      <c r="AC845" s="148"/>
      <c r="AD845" s="87"/>
      <c r="AE845" s="87"/>
      <c r="AF845" s="87" t="str">
        <f>IF($A845="","",IF($AK845=TRUE,"Ready 2 Submit","Waiting on Dealer"))</f>
        <v/>
      </c>
      <c r="AG845" s="148"/>
      <c r="AH845" s="87"/>
      <c r="AI845" s="87"/>
      <c r="AJ845" s="197"/>
      <c r="AK845" s="110" t="b">
        <v>0</v>
      </c>
      <c r="AL845" s="87" t="str" cm="1">
        <f t="array" ref="AL845">IF($A845="","",SUMPRODUCT((CHOOSE({1,2,3,4,5},$R845,$V845,$Z845,$AD845,$AH845)="Yes")*(((CHOOSE({1,2,3,4,5},$S845,$W845,$AA845,$AE845,$AI845)="Yes")+(CHOOSE({1,2,3,4,5},$S845,$W845,$AA845,$AE845,$AI845)=TRUE))&gt;0)))</f>
        <v/>
      </c>
      <c r="AM845" s="87"/>
      <c r="AN845" s="87" t="str">
        <f ca="1">IF(OR($A845="",$AM845=""),"",TODAY()-$AM845)</f>
        <v/>
      </c>
      <c r="AO845" s="87"/>
      <c r="AP845" s="106"/>
      <c r="AQ845" s="106"/>
      <c r="AR845" s="106"/>
      <c r="AS845" s="106"/>
      <c r="AT845" s="106"/>
      <c r="AU845" s="106"/>
      <c r="AV845" s="106"/>
      <c r="AW845" s="106"/>
      <c r="AX845" s="106"/>
      <c r="AY845" s="106"/>
    </row>
    <row r="846" spans="1:51" s="20" customFormat="1" ht="21" customHeight="1">
      <c r="A846" s="197"/>
      <c r="B846" s="87"/>
      <c r="C846" s="87"/>
      <c r="D846" s="196"/>
      <c r="E846" s="108"/>
      <c r="F846" s="196"/>
      <c r="G846" s="87"/>
      <c r="H846" s="197"/>
      <c r="I846" s="89"/>
      <c r="J846" s="204"/>
      <c r="K846" s="87"/>
      <c r="L846" s="87" t="str" cm="1">
        <f t="array" ref="L846">IF($A846="","",_xlfn.LET(_xlpm.stat,CHOOSE({1,2,3,4,5},$P846,$T846,$X846,$AB846,$AF846),_xlpm.rate,CHOOSE({1,2,3,4,5},$R846,$V846,$Z846,$AD846,$AH846),_xlpm.trn,CHOOSE({1,2,3,4,5},$S846,$W846,$AA846,$AE846,$AI846),_xlpm.nsC,SUMPRODUCT(--(_xlpm.stat="Ready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DLR",IF(AND(_xlpm.actRS&gt;0,_xlpm.actDone&lt;_xlpm.actRS),"Training",IF(_xlpm.actRS&gt;0,"Active",IF(AND(_xlpm.decC&gt;0,_xlpm.inPlay+_xlpm.actC=0),"Dead",IF(AND($AJ846&lt;&gt;"",$AK846=FALSE),"Waiting on Dealer",IF(_xlpm.subC&gt;0,"Waiting on Lender",IF(AND(_xlpm.appC+_xlpm.actC&gt;0,_xlpm.nsC+_xlpm.wdC=0),"Rate Sheet","Application Submitted")))))))))</f>
        <v/>
      </c>
      <c r="M846" s="87"/>
      <c r="N846" s="87"/>
      <c r="O846" s="197"/>
      <c r="P846" s="87" t="str">
        <f>IF($A846="","",IF($AK846=TRUE,"Ready 2 Submit","Waiting on Dealer"))</f>
        <v/>
      </c>
      <c r="Q846" s="148"/>
      <c r="R846" s="87"/>
      <c r="S846" s="87"/>
      <c r="T846" s="87" t="str">
        <f>IF($A846="","",IF($AK846=TRUE,"Ready 2 Submit","Waiting on Dealer"))</f>
        <v/>
      </c>
      <c r="U846" s="148"/>
      <c r="V846" s="87"/>
      <c r="W846" s="87"/>
      <c r="X846" s="87" t="str">
        <f>IF($A846="","",IF($AK846=TRUE,"Ready 2 Submit","Waiting on Dealer"))</f>
        <v/>
      </c>
      <c r="Y846" s="148"/>
      <c r="Z846" s="87"/>
      <c r="AA846" s="87"/>
      <c r="AB846" s="87" t="str">
        <f>IF($A846="","",IF($AK846=TRUE,"Ready 2 Submit","Waiting on Dealer"))</f>
        <v/>
      </c>
      <c r="AC846" s="148"/>
      <c r="AD846" s="87"/>
      <c r="AE846" s="87"/>
      <c r="AF846" s="87" t="str">
        <f>IF($A846="","",IF($AK846=TRUE,"Ready 2 Submit","Waiting on Dealer"))</f>
        <v/>
      </c>
      <c r="AG846" s="148"/>
      <c r="AH846" s="87"/>
      <c r="AI846" s="87"/>
      <c r="AJ846" s="197"/>
      <c r="AK846" s="110" t="b">
        <v>0</v>
      </c>
      <c r="AL846" s="87" t="str" cm="1">
        <f t="array" ref="AL846">IF($A846="","",SUMPRODUCT((CHOOSE({1,2,3,4,5},$R846,$V846,$Z846,$AD846,$AH846)="Yes")*(((CHOOSE({1,2,3,4,5},$S846,$W846,$AA846,$AE846,$AI846)="Yes")+(CHOOSE({1,2,3,4,5},$S846,$W846,$AA846,$AE846,$AI846)=TRUE))&gt;0)))</f>
        <v/>
      </c>
      <c r="AM846" s="87"/>
      <c r="AN846" s="87" t="str">
        <f ca="1">IF(OR($A846="",$AM846=""),"",TODAY()-$AM846)</f>
        <v/>
      </c>
      <c r="AO846" s="87"/>
      <c r="AP846" s="106"/>
      <c r="AQ846" s="106"/>
      <c r="AR846" s="106"/>
      <c r="AS846" s="106"/>
      <c r="AT846" s="106"/>
      <c r="AU846" s="106"/>
      <c r="AV846" s="106"/>
      <c r="AW846" s="106"/>
      <c r="AX846" s="106"/>
      <c r="AY846" s="106"/>
    </row>
    <row r="847" spans="1:51" s="20" customFormat="1" ht="21" customHeight="1">
      <c r="A847" s="197"/>
      <c r="B847" s="87"/>
      <c r="C847" s="87"/>
      <c r="D847" s="196"/>
      <c r="E847" s="108"/>
      <c r="F847" s="196"/>
      <c r="G847" s="87"/>
      <c r="H847" s="197"/>
      <c r="I847" s="89"/>
      <c r="J847" s="204"/>
      <c r="K847" s="87"/>
      <c r="L847" s="87" t="str" cm="1">
        <f t="array" ref="L847">IF($A847="","",_xlfn.LET(_xlpm.stat,CHOOSE({1,2,3,4,5},$P847,$T847,$X847,$AB847,$AF847),_xlpm.rate,CHOOSE({1,2,3,4,5},$R847,$V847,$Z847,$AD847,$AH847),_xlpm.trn,CHOOSE({1,2,3,4,5},$S847,$W847,$AA847,$AE847,$AI847),_xlpm.nsC,SUMPRODUCT(--(_xlpm.stat="Ready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DLR",IF(AND(_xlpm.actRS&gt;0,_xlpm.actDone&lt;_xlpm.actRS),"Training",IF(_xlpm.actRS&gt;0,"Active",IF(AND(_xlpm.decC&gt;0,_xlpm.inPlay+_xlpm.actC=0),"Dead",IF(AND($AJ847&lt;&gt;"",$AK847=FALSE),"Waiting on Dealer",IF(_xlpm.subC&gt;0,"Waiting on Lender",IF(AND(_xlpm.appC+_xlpm.actC&gt;0,_xlpm.nsC+_xlpm.wdC=0),"Rate Sheet","Application Submitted")))))))))</f>
        <v/>
      </c>
      <c r="M847" s="87"/>
      <c r="N847" s="87"/>
      <c r="O847" s="197"/>
      <c r="P847" s="87" t="str">
        <f>IF($A847="","",IF($AK847=TRUE,"Ready 2 Submit","Waiting on Dealer"))</f>
        <v/>
      </c>
      <c r="Q847" s="148"/>
      <c r="R847" s="87"/>
      <c r="S847" s="87"/>
      <c r="T847" s="87" t="str">
        <f>IF($A847="","",IF($AK847=TRUE,"Ready 2 Submit","Waiting on Dealer"))</f>
        <v/>
      </c>
      <c r="U847" s="148"/>
      <c r="V847" s="87"/>
      <c r="W847" s="87"/>
      <c r="X847" s="87" t="str">
        <f>IF($A847="","",IF($AK847=TRUE,"Ready 2 Submit","Waiting on Dealer"))</f>
        <v/>
      </c>
      <c r="Y847" s="148"/>
      <c r="Z847" s="87"/>
      <c r="AA847" s="87"/>
      <c r="AB847" s="87" t="str">
        <f>IF($A847="","",IF($AK847=TRUE,"Ready 2 Submit","Waiting on Dealer"))</f>
        <v/>
      </c>
      <c r="AC847" s="148"/>
      <c r="AD847" s="87"/>
      <c r="AE847" s="87"/>
      <c r="AF847" s="87" t="str">
        <f>IF($A847="","",IF($AK847=TRUE,"Ready 2 Submit","Waiting on Dealer"))</f>
        <v/>
      </c>
      <c r="AG847" s="148"/>
      <c r="AH847" s="87"/>
      <c r="AI847" s="87"/>
      <c r="AJ847" s="197"/>
      <c r="AK847" s="110" t="b">
        <v>0</v>
      </c>
      <c r="AL847" s="87" t="str" cm="1">
        <f t="array" ref="AL847">IF($A847="","",SUMPRODUCT((CHOOSE({1,2,3,4,5},$R847,$V847,$Z847,$AD847,$AH847)="Yes")*(((CHOOSE({1,2,3,4,5},$S847,$W847,$AA847,$AE847,$AI847)="Yes")+(CHOOSE({1,2,3,4,5},$S847,$W847,$AA847,$AE847,$AI847)=TRUE))&gt;0)))</f>
        <v/>
      </c>
      <c r="AM847" s="87"/>
      <c r="AN847" s="87" t="str">
        <f ca="1">IF(OR($A847="",$AM847=""),"",TODAY()-$AM847)</f>
        <v/>
      </c>
      <c r="AO847" s="87"/>
      <c r="AP847" s="106"/>
      <c r="AQ847" s="106"/>
      <c r="AR847" s="106"/>
      <c r="AS847" s="106"/>
      <c r="AT847" s="106"/>
      <c r="AU847" s="106"/>
      <c r="AV847" s="106"/>
      <c r="AW847" s="106"/>
      <c r="AX847" s="106"/>
      <c r="AY847" s="106"/>
    </row>
    <row r="848" spans="1:51" s="20" customFormat="1" ht="21" customHeight="1">
      <c r="A848" s="197"/>
      <c r="B848" s="87"/>
      <c r="C848" s="87"/>
      <c r="D848" s="196"/>
      <c r="E848" s="108"/>
      <c r="F848" s="196"/>
      <c r="G848" s="87"/>
      <c r="H848" s="197"/>
      <c r="I848" s="89"/>
      <c r="J848" s="204"/>
      <c r="K848" s="87"/>
      <c r="L848" s="87" t="str" cm="1">
        <f t="array" ref="L848">IF($A848="","",_xlfn.LET(_xlpm.stat,CHOOSE({1,2,3,4,5},$P848,$T848,$X848,$AB848,$AF848),_xlpm.rate,CHOOSE({1,2,3,4,5},$R848,$V848,$Z848,$AD848,$AH848),_xlpm.trn,CHOOSE({1,2,3,4,5},$S848,$W848,$AA848,$AE848,$AI848),_xlpm.nsC,SUMPRODUCT(--(_xlpm.stat="Ready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DLR",IF(AND(_xlpm.actRS&gt;0,_xlpm.actDone&lt;_xlpm.actRS),"Training",IF(_xlpm.actRS&gt;0,"Active",IF(AND(_xlpm.decC&gt;0,_xlpm.inPlay+_xlpm.actC=0),"Dead",IF(AND($AJ848&lt;&gt;"",$AK848=FALSE),"Waiting on Dealer",IF(_xlpm.subC&gt;0,"Waiting on Lender",IF(AND(_xlpm.appC+_xlpm.actC&gt;0,_xlpm.nsC+_xlpm.wdC=0),"Rate Sheet","Application Submitted")))))))))</f>
        <v/>
      </c>
      <c r="M848" s="87"/>
      <c r="N848" s="87"/>
      <c r="O848" s="197"/>
      <c r="P848" s="87" t="str">
        <f>IF($A848="","",IF($AK848=TRUE,"Ready 2 Submit","Waiting on Dealer"))</f>
        <v/>
      </c>
      <c r="Q848" s="148"/>
      <c r="R848" s="87"/>
      <c r="S848" s="87"/>
      <c r="T848" s="87" t="str">
        <f>IF($A848="","",IF($AK848=TRUE,"Ready 2 Submit","Waiting on Dealer"))</f>
        <v/>
      </c>
      <c r="U848" s="148"/>
      <c r="V848" s="87"/>
      <c r="W848" s="87"/>
      <c r="X848" s="87" t="str">
        <f>IF($A848="","",IF($AK848=TRUE,"Ready 2 Submit","Waiting on Dealer"))</f>
        <v/>
      </c>
      <c r="Y848" s="148"/>
      <c r="Z848" s="87"/>
      <c r="AA848" s="87"/>
      <c r="AB848" s="87" t="str">
        <f>IF($A848="","",IF($AK848=TRUE,"Ready 2 Submit","Waiting on Dealer"))</f>
        <v/>
      </c>
      <c r="AC848" s="148"/>
      <c r="AD848" s="87"/>
      <c r="AE848" s="87"/>
      <c r="AF848" s="87" t="str">
        <f>IF($A848="","",IF($AK848=TRUE,"Ready 2 Submit","Waiting on Dealer"))</f>
        <v/>
      </c>
      <c r="AG848" s="148"/>
      <c r="AH848" s="87"/>
      <c r="AI848" s="87"/>
      <c r="AJ848" s="197"/>
      <c r="AK848" s="110" t="b">
        <v>0</v>
      </c>
      <c r="AL848" s="87" t="str" cm="1">
        <f t="array" ref="AL848">IF($A848="","",SUMPRODUCT((CHOOSE({1,2,3,4,5},$R848,$V848,$Z848,$AD848,$AH848)="Yes")*(((CHOOSE({1,2,3,4,5},$S848,$W848,$AA848,$AE848,$AI848)="Yes")+(CHOOSE({1,2,3,4,5},$S848,$W848,$AA848,$AE848,$AI848)=TRUE))&gt;0)))</f>
        <v/>
      </c>
      <c r="AM848" s="87"/>
      <c r="AN848" s="87" t="str">
        <f ca="1">IF(OR($A848="",$AM848=""),"",TODAY()-$AM848)</f>
        <v/>
      </c>
      <c r="AO848" s="87"/>
      <c r="AP848" s="106"/>
      <c r="AQ848" s="106"/>
      <c r="AR848" s="106"/>
      <c r="AS848" s="106"/>
      <c r="AT848" s="106"/>
      <c r="AU848" s="106"/>
      <c r="AV848" s="106"/>
      <c r="AW848" s="106"/>
      <c r="AX848" s="106"/>
      <c r="AY848" s="106"/>
    </row>
    <row r="849" spans="1:51" s="20" customFormat="1" ht="21" customHeight="1">
      <c r="A849" s="197"/>
      <c r="B849" s="87"/>
      <c r="C849" s="87"/>
      <c r="D849" s="196"/>
      <c r="E849" s="108"/>
      <c r="F849" s="196"/>
      <c r="G849" s="87"/>
      <c r="H849" s="197"/>
      <c r="I849" s="89"/>
      <c r="J849" s="204"/>
      <c r="K849" s="87"/>
      <c r="L849" s="87" t="str" cm="1">
        <f t="array" ref="L849">IF($A849="","",_xlfn.LET(_xlpm.stat,CHOOSE({1,2,3,4,5},$P849,$T849,$X849,$AB849,$AF849),_xlpm.rate,CHOOSE({1,2,3,4,5},$R849,$V849,$Z849,$AD849,$AH849),_xlpm.trn,CHOOSE({1,2,3,4,5},$S849,$W849,$AA849,$AE849,$AI849),_xlpm.nsC,SUMPRODUCT(--(_xlpm.stat="Ready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DLR",IF(AND(_xlpm.actRS&gt;0,_xlpm.actDone&lt;_xlpm.actRS),"Training",IF(_xlpm.actRS&gt;0,"Active",IF(AND(_xlpm.decC&gt;0,_xlpm.inPlay+_xlpm.actC=0),"Dead",IF(AND($AJ849&lt;&gt;"",$AK849=FALSE),"Waiting on Dealer",IF(_xlpm.subC&gt;0,"Waiting on Lender",IF(AND(_xlpm.appC+_xlpm.actC&gt;0,_xlpm.nsC+_xlpm.wdC=0),"Rate Sheet","Application Submitted")))))))))</f>
        <v/>
      </c>
      <c r="M849" s="87"/>
      <c r="N849" s="87"/>
      <c r="O849" s="197"/>
      <c r="P849" s="87" t="str">
        <f>IF($A849="","",IF($AK849=TRUE,"Ready 2 Submit","Waiting on Dealer"))</f>
        <v/>
      </c>
      <c r="Q849" s="148"/>
      <c r="R849" s="87"/>
      <c r="S849" s="87"/>
      <c r="T849" s="87" t="str">
        <f>IF($A849="","",IF($AK849=TRUE,"Ready 2 Submit","Waiting on Dealer"))</f>
        <v/>
      </c>
      <c r="U849" s="148"/>
      <c r="V849" s="87"/>
      <c r="W849" s="87"/>
      <c r="X849" s="87" t="str">
        <f>IF($A849="","",IF($AK849=TRUE,"Ready 2 Submit","Waiting on Dealer"))</f>
        <v/>
      </c>
      <c r="Y849" s="148"/>
      <c r="Z849" s="87"/>
      <c r="AA849" s="87"/>
      <c r="AB849" s="87" t="str">
        <f>IF($A849="","",IF($AK849=TRUE,"Ready 2 Submit","Waiting on Dealer"))</f>
        <v/>
      </c>
      <c r="AC849" s="148"/>
      <c r="AD849" s="87"/>
      <c r="AE849" s="87"/>
      <c r="AF849" s="87" t="str">
        <f>IF($A849="","",IF($AK849=TRUE,"Ready 2 Submit","Waiting on Dealer"))</f>
        <v/>
      </c>
      <c r="AG849" s="148"/>
      <c r="AH849" s="87"/>
      <c r="AI849" s="87"/>
      <c r="AJ849" s="197"/>
      <c r="AK849" s="110" t="b">
        <v>0</v>
      </c>
      <c r="AL849" s="87" t="str" cm="1">
        <f t="array" ref="AL849">IF($A849="","",SUMPRODUCT((CHOOSE({1,2,3,4,5},$R849,$V849,$Z849,$AD849,$AH849)="Yes")*(((CHOOSE({1,2,3,4,5},$S849,$W849,$AA849,$AE849,$AI849)="Yes")+(CHOOSE({1,2,3,4,5},$S849,$W849,$AA849,$AE849,$AI849)=TRUE))&gt;0)))</f>
        <v/>
      </c>
      <c r="AM849" s="87"/>
      <c r="AN849" s="87" t="str">
        <f ca="1">IF(OR($A849="",$AM849=""),"",TODAY()-$AM849)</f>
        <v/>
      </c>
      <c r="AO849" s="87"/>
      <c r="AP849" s="106"/>
      <c r="AQ849" s="106"/>
      <c r="AR849" s="106"/>
      <c r="AS849" s="106"/>
      <c r="AT849" s="106"/>
      <c r="AU849" s="106"/>
      <c r="AV849" s="106"/>
      <c r="AW849" s="106"/>
      <c r="AX849" s="106"/>
      <c r="AY849" s="106"/>
    </row>
    <row r="850" spans="1:51" s="20" customFormat="1" ht="21" customHeight="1">
      <c r="A850" s="197"/>
      <c r="B850" s="87"/>
      <c r="C850" s="87"/>
      <c r="D850" s="196"/>
      <c r="E850" s="108"/>
      <c r="F850" s="196"/>
      <c r="G850" s="87"/>
      <c r="H850" s="197"/>
      <c r="I850" s="89"/>
      <c r="J850" s="204"/>
      <c r="K850" s="87"/>
      <c r="L850" s="87" t="str" cm="1">
        <f t="array" ref="L850">IF($A850="","",_xlfn.LET(_xlpm.stat,CHOOSE({1,2,3,4,5},$P850,$T850,$X850,$AB850,$AF850),_xlpm.rate,CHOOSE({1,2,3,4,5},$R850,$V850,$Z850,$AD850,$AH850),_xlpm.trn,CHOOSE({1,2,3,4,5},$S850,$W850,$AA850,$AE850,$AI850),_xlpm.nsC,SUMPRODUCT(--(_xlpm.stat="Ready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DLR",IF(AND(_xlpm.actRS&gt;0,_xlpm.actDone&lt;_xlpm.actRS),"Training",IF(_xlpm.actRS&gt;0,"Active",IF(AND(_xlpm.decC&gt;0,_xlpm.inPlay+_xlpm.actC=0),"Dead",IF(AND($AJ850&lt;&gt;"",$AK850=FALSE),"Waiting on Dealer",IF(_xlpm.subC&gt;0,"Waiting on Lender",IF(AND(_xlpm.appC+_xlpm.actC&gt;0,_xlpm.nsC+_xlpm.wdC=0),"Rate Sheet","Application Submitted")))))))))</f>
        <v/>
      </c>
      <c r="M850" s="87"/>
      <c r="N850" s="87"/>
      <c r="O850" s="197"/>
      <c r="P850" s="87" t="str">
        <f>IF($A850="","",IF($AK850=TRUE,"Ready 2 Submit","Waiting on Dealer"))</f>
        <v/>
      </c>
      <c r="Q850" s="148"/>
      <c r="R850" s="87"/>
      <c r="S850" s="87"/>
      <c r="T850" s="87" t="str">
        <f>IF($A850="","",IF($AK850=TRUE,"Ready 2 Submit","Waiting on Dealer"))</f>
        <v/>
      </c>
      <c r="U850" s="148"/>
      <c r="V850" s="87"/>
      <c r="W850" s="87"/>
      <c r="X850" s="87" t="str">
        <f>IF($A850="","",IF($AK850=TRUE,"Ready 2 Submit","Waiting on Dealer"))</f>
        <v/>
      </c>
      <c r="Y850" s="148"/>
      <c r="Z850" s="87"/>
      <c r="AA850" s="87"/>
      <c r="AB850" s="87" t="str">
        <f>IF($A850="","",IF($AK850=TRUE,"Ready 2 Submit","Waiting on Dealer"))</f>
        <v/>
      </c>
      <c r="AC850" s="148"/>
      <c r="AD850" s="87"/>
      <c r="AE850" s="87"/>
      <c r="AF850" s="87" t="str">
        <f>IF($A850="","",IF($AK850=TRUE,"Ready 2 Submit","Waiting on Dealer"))</f>
        <v/>
      </c>
      <c r="AG850" s="148"/>
      <c r="AH850" s="87"/>
      <c r="AI850" s="87"/>
      <c r="AJ850" s="197"/>
      <c r="AK850" s="110" t="b">
        <v>0</v>
      </c>
      <c r="AL850" s="87" t="str" cm="1">
        <f t="array" ref="AL850">IF($A850="","",SUMPRODUCT((CHOOSE({1,2,3,4,5},$R850,$V850,$Z850,$AD850,$AH850)="Yes")*(((CHOOSE({1,2,3,4,5},$S850,$W850,$AA850,$AE850,$AI850)="Yes")+(CHOOSE({1,2,3,4,5},$S850,$W850,$AA850,$AE850,$AI850)=TRUE))&gt;0)))</f>
        <v/>
      </c>
      <c r="AM850" s="87"/>
      <c r="AN850" s="87" t="str">
        <f ca="1">IF(OR($A850="",$AM850=""),"",TODAY()-$AM850)</f>
        <v/>
      </c>
      <c r="AO850" s="87"/>
      <c r="AP850" s="106"/>
      <c r="AQ850" s="106"/>
      <c r="AR850" s="106"/>
      <c r="AS850" s="106"/>
      <c r="AT850" s="106"/>
      <c r="AU850" s="106"/>
      <c r="AV850" s="106"/>
      <c r="AW850" s="106"/>
      <c r="AX850" s="106"/>
      <c r="AY850" s="106"/>
    </row>
    <row r="851" spans="1:51" s="20" customFormat="1" ht="21" customHeight="1">
      <c r="A851" s="197"/>
      <c r="B851" s="87"/>
      <c r="C851" s="87"/>
      <c r="D851" s="196"/>
      <c r="E851" s="108"/>
      <c r="F851" s="196"/>
      <c r="G851" s="87"/>
      <c r="H851" s="197"/>
      <c r="I851" s="89"/>
      <c r="J851" s="204"/>
      <c r="K851" s="87"/>
      <c r="L851" s="87" t="str" cm="1">
        <f t="array" ref="L851">IF($A851="","",_xlfn.LET(_xlpm.stat,CHOOSE({1,2,3,4,5},$P851,$T851,$X851,$AB851,$AF851),_xlpm.rate,CHOOSE({1,2,3,4,5},$R851,$V851,$Z851,$AD851,$AH851),_xlpm.trn,CHOOSE({1,2,3,4,5},$S851,$W851,$AA851,$AE851,$AI851),_xlpm.nsC,SUMPRODUCT(--(_xlpm.stat="Ready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DLR",IF(AND(_xlpm.actRS&gt;0,_xlpm.actDone&lt;_xlpm.actRS),"Training",IF(_xlpm.actRS&gt;0,"Active",IF(AND(_xlpm.decC&gt;0,_xlpm.inPlay+_xlpm.actC=0),"Dead",IF(AND($AJ851&lt;&gt;"",$AK851=FALSE),"Waiting on Dealer",IF(_xlpm.subC&gt;0,"Waiting on Lender",IF(AND(_xlpm.appC+_xlpm.actC&gt;0,_xlpm.nsC+_xlpm.wdC=0),"Rate Sheet","Application Submitted")))))))))</f>
        <v/>
      </c>
      <c r="M851" s="87"/>
      <c r="N851" s="87"/>
      <c r="O851" s="197"/>
      <c r="P851" s="87" t="str">
        <f>IF($A851="","",IF($AK851=TRUE,"Ready 2 Submit","Waiting on Dealer"))</f>
        <v/>
      </c>
      <c r="Q851" s="148"/>
      <c r="R851" s="87"/>
      <c r="S851" s="87"/>
      <c r="T851" s="87" t="str">
        <f>IF($A851="","",IF($AK851=TRUE,"Ready 2 Submit","Waiting on Dealer"))</f>
        <v/>
      </c>
      <c r="U851" s="148"/>
      <c r="V851" s="87"/>
      <c r="W851" s="87"/>
      <c r="X851" s="87" t="str">
        <f>IF($A851="","",IF($AK851=TRUE,"Ready 2 Submit","Waiting on Dealer"))</f>
        <v/>
      </c>
      <c r="Y851" s="148"/>
      <c r="Z851" s="87"/>
      <c r="AA851" s="87"/>
      <c r="AB851" s="87" t="str">
        <f>IF($A851="","",IF($AK851=TRUE,"Ready 2 Submit","Waiting on Dealer"))</f>
        <v/>
      </c>
      <c r="AC851" s="148"/>
      <c r="AD851" s="87"/>
      <c r="AE851" s="87"/>
      <c r="AF851" s="87" t="str">
        <f>IF($A851="","",IF($AK851=TRUE,"Ready 2 Submit","Waiting on Dealer"))</f>
        <v/>
      </c>
      <c r="AG851" s="148"/>
      <c r="AH851" s="87"/>
      <c r="AI851" s="87"/>
      <c r="AJ851" s="197"/>
      <c r="AK851" s="110" t="b">
        <v>0</v>
      </c>
      <c r="AL851" s="87" t="str" cm="1">
        <f t="array" ref="AL851">IF($A851="","",SUMPRODUCT((CHOOSE({1,2,3,4,5},$R851,$V851,$Z851,$AD851,$AH851)="Yes")*(((CHOOSE({1,2,3,4,5},$S851,$W851,$AA851,$AE851,$AI851)="Yes")+(CHOOSE({1,2,3,4,5},$S851,$W851,$AA851,$AE851,$AI851)=TRUE))&gt;0)))</f>
        <v/>
      </c>
      <c r="AM851" s="87"/>
      <c r="AN851" s="87" t="str">
        <f ca="1">IF(OR($A851="",$AM851=""),"",TODAY()-$AM851)</f>
        <v/>
      </c>
      <c r="AO851" s="87"/>
      <c r="AP851" s="106"/>
      <c r="AQ851" s="106"/>
      <c r="AR851" s="106"/>
      <c r="AS851" s="106"/>
      <c r="AT851" s="106"/>
      <c r="AU851" s="106"/>
      <c r="AV851" s="106"/>
      <c r="AW851" s="106"/>
      <c r="AX851" s="106"/>
      <c r="AY851" s="106"/>
    </row>
    <row r="852" spans="1:51" s="20" customFormat="1" ht="21" customHeight="1">
      <c r="A852" s="197"/>
      <c r="B852" s="87"/>
      <c r="C852" s="87"/>
      <c r="D852" s="196"/>
      <c r="E852" s="108"/>
      <c r="F852" s="196"/>
      <c r="G852" s="87"/>
      <c r="H852" s="197"/>
      <c r="I852" s="89"/>
      <c r="J852" s="204"/>
      <c r="K852" s="87"/>
      <c r="L852" s="87" t="str" cm="1">
        <f t="array" ref="L852">IF($A852="","",_xlfn.LET(_xlpm.stat,CHOOSE({1,2,3,4,5},$P852,$T852,$X852,$AB852,$AF852),_xlpm.rate,CHOOSE({1,2,3,4,5},$R852,$V852,$Z852,$AD852,$AH852),_xlpm.trn,CHOOSE({1,2,3,4,5},$S852,$W852,$AA852,$AE852,$AI852),_xlpm.nsC,SUMPRODUCT(--(_xlpm.stat="Ready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DLR",IF(AND(_xlpm.actRS&gt;0,_xlpm.actDone&lt;_xlpm.actRS),"Training",IF(_xlpm.actRS&gt;0,"Active",IF(AND(_xlpm.decC&gt;0,_xlpm.inPlay+_xlpm.actC=0),"Dead",IF(AND($AJ852&lt;&gt;"",$AK852=FALSE),"Waiting on Dealer",IF(_xlpm.subC&gt;0,"Waiting on Lender",IF(AND(_xlpm.appC+_xlpm.actC&gt;0,_xlpm.nsC+_xlpm.wdC=0),"Rate Sheet","Application Submitted")))))))))</f>
        <v/>
      </c>
      <c r="M852" s="87"/>
      <c r="N852" s="87"/>
      <c r="O852" s="197"/>
      <c r="P852" s="87" t="str">
        <f>IF($A852="","",IF($AK852=TRUE,"Ready 2 Submit","Waiting on Dealer"))</f>
        <v/>
      </c>
      <c r="Q852" s="148"/>
      <c r="R852" s="87"/>
      <c r="S852" s="87"/>
      <c r="T852" s="87" t="str">
        <f>IF($A852="","",IF($AK852=TRUE,"Ready 2 Submit","Waiting on Dealer"))</f>
        <v/>
      </c>
      <c r="U852" s="148"/>
      <c r="V852" s="87"/>
      <c r="W852" s="87"/>
      <c r="X852" s="87" t="str">
        <f>IF($A852="","",IF($AK852=TRUE,"Ready 2 Submit","Waiting on Dealer"))</f>
        <v/>
      </c>
      <c r="Y852" s="148"/>
      <c r="Z852" s="87"/>
      <c r="AA852" s="87"/>
      <c r="AB852" s="87" t="str">
        <f>IF($A852="","",IF($AK852=TRUE,"Ready 2 Submit","Waiting on Dealer"))</f>
        <v/>
      </c>
      <c r="AC852" s="148"/>
      <c r="AD852" s="87"/>
      <c r="AE852" s="87"/>
      <c r="AF852" s="87" t="str">
        <f>IF($A852="","",IF($AK852=TRUE,"Ready 2 Submit","Waiting on Dealer"))</f>
        <v/>
      </c>
      <c r="AG852" s="148"/>
      <c r="AH852" s="87"/>
      <c r="AI852" s="87"/>
      <c r="AJ852" s="197"/>
      <c r="AK852" s="110" t="b">
        <v>0</v>
      </c>
      <c r="AL852" s="87" t="str" cm="1">
        <f t="array" ref="AL852">IF($A852="","",SUMPRODUCT((CHOOSE({1,2,3,4,5},$R852,$V852,$Z852,$AD852,$AH852)="Yes")*(((CHOOSE({1,2,3,4,5},$S852,$W852,$AA852,$AE852,$AI852)="Yes")+(CHOOSE({1,2,3,4,5},$S852,$W852,$AA852,$AE852,$AI852)=TRUE))&gt;0)))</f>
        <v/>
      </c>
      <c r="AM852" s="87"/>
      <c r="AN852" s="87" t="str">
        <f ca="1">IF(OR($A852="",$AM852=""),"",TODAY()-$AM852)</f>
        <v/>
      </c>
      <c r="AO852" s="87"/>
      <c r="AP852" s="106"/>
      <c r="AQ852" s="106"/>
      <c r="AR852" s="106"/>
      <c r="AS852" s="106"/>
      <c r="AT852" s="106"/>
      <c r="AU852" s="106"/>
      <c r="AV852" s="106"/>
      <c r="AW852" s="106"/>
      <c r="AX852" s="106"/>
      <c r="AY852" s="106"/>
    </row>
    <row r="853" spans="1:51" s="20" customFormat="1" ht="21" customHeight="1">
      <c r="A853" s="197"/>
      <c r="B853" s="87"/>
      <c r="C853" s="87"/>
      <c r="D853" s="196"/>
      <c r="E853" s="108"/>
      <c r="F853" s="196"/>
      <c r="G853" s="87"/>
      <c r="H853" s="197"/>
      <c r="I853" s="89"/>
      <c r="J853" s="204"/>
      <c r="K853" s="87"/>
      <c r="L853" s="87" t="str" cm="1">
        <f t="array" ref="L853">IF($A853="","",_xlfn.LET(_xlpm.stat,CHOOSE({1,2,3,4,5},$P853,$T853,$X853,$AB853,$AF853),_xlpm.rate,CHOOSE({1,2,3,4,5},$R853,$V853,$Z853,$AD853,$AH853),_xlpm.trn,CHOOSE({1,2,3,4,5},$S853,$W853,$AA853,$AE853,$AI853),_xlpm.nsC,SUMPRODUCT(--(_xlpm.stat="Ready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DLR",IF(AND(_xlpm.actRS&gt;0,_xlpm.actDone&lt;_xlpm.actRS),"Training",IF(_xlpm.actRS&gt;0,"Active",IF(AND(_xlpm.decC&gt;0,_xlpm.inPlay+_xlpm.actC=0),"Dead",IF(AND($AJ853&lt;&gt;"",$AK853=FALSE),"Waiting on Dealer",IF(_xlpm.subC&gt;0,"Waiting on Lender",IF(AND(_xlpm.appC+_xlpm.actC&gt;0,_xlpm.nsC+_xlpm.wdC=0),"Rate Sheet","Application Submitted")))))))))</f>
        <v/>
      </c>
      <c r="M853" s="87"/>
      <c r="N853" s="87"/>
      <c r="O853" s="197"/>
      <c r="P853" s="87" t="str">
        <f>IF($A853="","",IF($AK853=TRUE,"Ready 2 Submit","Waiting on Dealer"))</f>
        <v/>
      </c>
      <c r="Q853" s="148"/>
      <c r="R853" s="87"/>
      <c r="S853" s="87"/>
      <c r="T853" s="87" t="str">
        <f>IF($A853="","",IF($AK853=TRUE,"Ready 2 Submit","Waiting on Dealer"))</f>
        <v/>
      </c>
      <c r="U853" s="148"/>
      <c r="V853" s="87"/>
      <c r="W853" s="87"/>
      <c r="X853" s="87" t="str">
        <f>IF($A853="","",IF($AK853=TRUE,"Ready 2 Submit","Waiting on Dealer"))</f>
        <v/>
      </c>
      <c r="Y853" s="148"/>
      <c r="Z853" s="87"/>
      <c r="AA853" s="87"/>
      <c r="AB853" s="87" t="str">
        <f>IF($A853="","",IF($AK853=TRUE,"Ready 2 Submit","Waiting on Dealer"))</f>
        <v/>
      </c>
      <c r="AC853" s="148"/>
      <c r="AD853" s="87"/>
      <c r="AE853" s="87"/>
      <c r="AF853" s="87" t="str">
        <f>IF($A853="","",IF($AK853=TRUE,"Ready 2 Submit","Waiting on Dealer"))</f>
        <v/>
      </c>
      <c r="AG853" s="148"/>
      <c r="AH853" s="87"/>
      <c r="AI853" s="87"/>
      <c r="AJ853" s="197"/>
      <c r="AK853" s="110" t="b">
        <v>0</v>
      </c>
      <c r="AL853" s="87" t="str" cm="1">
        <f t="array" ref="AL853">IF($A853="","",SUMPRODUCT((CHOOSE({1,2,3,4,5},$R853,$V853,$Z853,$AD853,$AH853)="Yes")*(((CHOOSE({1,2,3,4,5},$S853,$W853,$AA853,$AE853,$AI853)="Yes")+(CHOOSE({1,2,3,4,5},$S853,$W853,$AA853,$AE853,$AI853)=TRUE))&gt;0)))</f>
        <v/>
      </c>
      <c r="AM853" s="87"/>
      <c r="AN853" s="87" t="str">
        <f ca="1">IF(OR($A853="",$AM853=""),"",TODAY()-$AM853)</f>
        <v/>
      </c>
      <c r="AO853" s="87"/>
      <c r="AP853" s="106"/>
      <c r="AQ853" s="106"/>
      <c r="AR853" s="106"/>
      <c r="AS853" s="106"/>
      <c r="AT853" s="106"/>
      <c r="AU853" s="106"/>
      <c r="AV853" s="106"/>
      <c r="AW853" s="106"/>
      <c r="AX853" s="106"/>
      <c r="AY853" s="106"/>
    </row>
    <row r="854" spans="1:51" s="20" customFormat="1" ht="21" customHeight="1">
      <c r="A854" s="197"/>
      <c r="B854" s="87"/>
      <c r="C854" s="87"/>
      <c r="D854" s="196"/>
      <c r="E854" s="108"/>
      <c r="F854" s="196"/>
      <c r="G854" s="87"/>
      <c r="H854" s="197"/>
      <c r="I854" s="89"/>
      <c r="J854" s="204"/>
      <c r="K854" s="87"/>
      <c r="L854" s="87" t="str" cm="1">
        <f t="array" ref="L854">IF($A854="","",_xlfn.LET(_xlpm.stat,CHOOSE({1,2,3,4,5},$P854,$T854,$X854,$AB854,$AF854),_xlpm.rate,CHOOSE({1,2,3,4,5},$R854,$V854,$Z854,$AD854,$AH854),_xlpm.trn,CHOOSE({1,2,3,4,5},$S854,$W854,$AA854,$AE854,$AI854),_xlpm.nsC,SUMPRODUCT(--(_xlpm.stat="Ready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DLR",IF(AND(_xlpm.actRS&gt;0,_xlpm.actDone&lt;_xlpm.actRS),"Training",IF(_xlpm.actRS&gt;0,"Active",IF(AND(_xlpm.decC&gt;0,_xlpm.inPlay+_xlpm.actC=0),"Dead",IF(AND($AJ854&lt;&gt;"",$AK854=FALSE),"Waiting on Dealer",IF(_xlpm.subC&gt;0,"Waiting on Lender",IF(AND(_xlpm.appC+_xlpm.actC&gt;0,_xlpm.nsC+_xlpm.wdC=0),"Rate Sheet","Application Submitted")))))))))</f>
        <v/>
      </c>
      <c r="M854" s="87"/>
      <c r="N854" s="87"/>
      <c r="O854" s="197"/>
      <c r="P854" s="87" t="str">
        <f>IF($A854="","",IF($AK854=TRUE,"Ready 2 Submit","Waiting on Dealer"))</f>
        <v/>
      </c>
      <c r="Q854" s="148"/>
      <c r="R854" s="87"/>
      <c r="S854" s="87"/>
      <c r="T854" s="87" t="str">
        <f>IF($A854="","",IF($AK854=TRUE,"Ready 2 Submit","Waiting on Dealer"))</f>
        <v/>
      </c>
      <c r="U854" s="148"/>
      <c r="V854" s="87"/>
      <c r="W854" s="87"/>
      <c r="X854" s="87" t="str">
        <f>IF($A854="","",IF($AK854=TRUE,"Ready 2 Submit","Waiting on Dealer"))</f>
        <v/>
      </c>
      <c r="Y854" s="148"/>
      <c r="Z854" s="87"/>
      <c r="AA854" s="87"/>
      <c r="AB854" s="87" t="str">
        <f>IF($A854="","",IF($AK854=TRUE,"Ready 2 Submit","Waiting on Dealer"))</f>
        <v/>
      </c>
      <c r="AC854" s="148"/>
      <c r="AD854" s="87"/>
      <c r="AE854" s="87"/>
      <c r="AF854" s="87" t="str">
        <f>IF($A854="","",IF($AK854=TRUE,"Ready 2 Submit","Waiting on Dealer"))</f>
        <v/>
      </c>
      <c r="AG854" s="148"/>
      <c r="AH854" s="87"/>
      <c r="AI854" s="87"/>
      <c r="AJ854" s="197"/>
      <c r="AK854" s="110" t="b">
        <v>0</v>
      </c>
      <c r="AL854" s="87" t="str" cm="1">
        <f t="array" ref="AL854">IF($A854="","",SUMPRODUCT((CHOOSE({1,2,3,4,5},$R854,$V854,$Z854,$AD854,$AH854)="Yes")*(((CHOOSE({1,2,3,4,5},$S854,$W854,$AA854,$AE854,$AI854)="Yes")+(CHOOSE({1,2,3,4,5},$S854,$W854,$AA854,$AE854,$AI854)=TRUE))&gt;0)))</f>
        <v/>
      </c>
      <c r="AM854" s="87"/>
      <c r="AN854" s="87" t="str">
        <f ca="1">IF(OR($A854="",$AM854=""),"",TODAY()-$AM854)</f>
        <v/>
      </c>
      <c r="AO854" s="87"/>
      <c r="AP854" s="106"/>
      <c r="AQ854" s="106"/>
      <c r="AR854" s="106"/>
      <c r="AS854" s="106"/>
      <c r="AT854" s="106"/>
      <c r="AU854" s="106"/>
      <c r="AV854" s="106"/>
      <c r="AW854" s="106"/>
      <c r="AX854" s="106"/>
      <c r="AY854" s="106"/>
    </row>
    <row r="855" spans="1:51" s="20" customFormat="1" ht="21" customHeight="1">
      <c r="A855" s="197"/>
      <c r="B855" s="87"/>
      <c r="C855" s="87"/>
      <c r="D855" s="196"/>
      <c r="E855" s="108"/>
      <c r="F855" s="196"/>
      <c r="G855" s="87"/>
      <c r="H855" s="197"/>
      <c r="I855" s="89"/>
      <c r="J855" s="204"/>
      <c r="K855" s="87"/>
      <c r="L855" s="87" t="str" cm="1">
        <f t="array" ref="L855">IF($A855="","",_xlfn.LET(_xlpm.stat,CHOOSE({1,2,3,4,5},$P855,$T855,$X855,$AB855,$AF855),_xlpm.rate,CHOOSE({1,2,3,4,5},$R855,$V855,$Z855,$AD855,$AH855),_xlpm.trn,CHOOSE({1,2,3,4,5},$S855,$W855,$AA855,$AE855,$AI855),_xlpm.nsC,SUMPRODUCT(--(_xlpm.stat="Ready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DLR",IF(AND(_xlpm.actRS&gt;0,_xlpm.actDone&lt;_xlpm.actRS),"Training",IF(_xlpm.actRS&gt;0,"Active",IF(AND(_xlpm.decC&gt;0,_xlpm.inPlay+_xlpm.actC=0),"Dead",IF(AND($AJ855&lt;&gt;"",$AK855=FALSE),"Waiting on Dealer",IF(_xlpm.subC&gt;0,"Waiting on Lender",IF(AND(_xlpm.appC+_xlpm.actC&gt;0,_xlpm.nsC+_xlpm.wdC=0),"Rate Sheet","Application Submitted")))))))))</f>
        <v/>
      </c>
      <c r="M855" s="87"/>
      <c r="N855" s="87"/>
      <c r="O855" s="197"/>
      <c r="P855" s="87" t="str">
        <f>IF($A855="","",IF($AK855=TRUE,"Ready 2 Submit","Waiting on Dealer"))</f>
        <v/>
      </c>
      <c r="Q855" s="148"/>
      <c r="R855" s="87"/>
      <c r="S855" s="87"/>
      <c r="T855" s="87" t="str">
        <f>IF($A855="","",IF($AK855=TRUE,"Ready 2 Submit","Waiting on Dealer"))</f>
        <v/>
      </c>
      <c r="U855" s="148"/>
      <c r="V855" s="87"/>
      <c r="W855" s="87"/>
      <c r="X855" s="87" t="str">
        <f>IF($A855="","",IF($AK855=TRUE,"Ready 2 Submit","Waiting on Dealer"))</f>
        <v/>
      </c>
      <c r="Y855" s="148"/>
      <c r="Z855" s="87"/>
      <c r="AA855" s="87"/>
      <c r="AB855" s="87" t="str">
        <f>IF($A855="","",IF($AK855=TRUE,"Ready 2 Submit","Waiting on Dealer"))</f>
        <v/>
      </c>
      <c r="AC855" s="148"/>
      <c r="AD855" s="87"/>
      <c r="AE855" s="87"/>
      <c r="AF855" s="87" t="str">
        <f>IF($A855="","",IF($AK855=TRUE,"Ready 2 Submit","Waiting on Dealer"))</f>
        <v/>
      </c>
      <c r="AG855" s="148"/>
      <c r="AH855" s="87"/>
      <c r="AI855" s="87"/>
      <c r="AJ855" s="197"/>
      <c r="AK855" s="110" t="b">
        <v>0</v>
      </c>
      <c r="AL855" s="87" t="str" cm="1">
        <f t="array" ref="AL855">IF($A855="","",SUMPRODUCT((CHOOSE({1,2,3,4,5},$R855,$V855,$Z855,$AD855,$AH855)="Yes")*(((CHOOSE({1,2,3,4,5},$S855,$W855,$AA855,$AE855,$AI855)="Yes")+(CHOOSE({1,2,3,4,5},$S855,$W855,$AA855,$AE855,$AI855)=TRUE))&gt;0)))</f>
        <v/>
      </c>
      <c r="AM855" s="87"/>
      <c r="AN855" s="87" t="str">
        <f ca="1">IF(OR($A855="",$AM855=""),"",TODAY()-$AM855)</f>
        <v/>
      </c>
      <c r="AO855" s="87"/>
      <c r="AP855" s="106"/>
      <c r="AQ855" s="106"/>
      <c r="AR855" s="106"/>
      <c r="AS855" s="106"/>
      <c r="AT855" s="106"/>
      <c r="AU855" s="106"/>
      <c r="AV855" s="106"/>
      <c r="AW855" s="106"/>
      <c r="AX855" s="106"/>
      <c r="AY855" s="106"/>
    </row>
    <row r="856" spans="1:51" s="20" customFormat="1" ht="21" customHeight="1">
      <c r="A856" s="197"/>
      <c r="B856" s="87"/>
      <c r="C856" s="87"/>
      <c r="D856" s="196"/>
      <c r="E856" s="108"/>
      <c r="F856" s="196"/>
      <c r="G856" s="87"/>
      <c r="H856" s="197"/>
      <c r="I856" s="89"/>
      <c r="J856" s="204"/>
      <c r="K856" s="87"/>
      <c r="L856" s="87" t="str" cm="1">
        <f t="array" ref="L856">IF($A856="","",_xlfn.LET(_xlpm.stat,CHOOSE({1,2,3,4,5},$P856,$T856,$X856,$AB856,$AF856),_xlpm.rate,CHOOSE({1,2,3,4,5},$R856,$V856,$Z856,$AD856,$AH856),_xlpm.trn,CHOOSE({1,2,3,4,5},$S856,$W856,$AA856,$AE856,$AI856),_xlpm.nsC,SUMPRODUCT(--(_xlpm.stat="Ready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DLR",IF(AND(_xlpm.actRS&gt;0,_xlpm.actDone&lt;_xlpm.actRS),"Training",IF(_xlpm.actRS&gt;0,"Active",IF(AND(_xlpm.decC&gt;0,_xlpm.inPlay+_xlpm.actC=0),"Dead",IF(AND($AJ856&lt;&gt;"",$AK856=FALSE),"Waiting on Dealer",IF(_xlpm.subC&gt;0,"Waiting on Lender",IF(AND(_xlpm.appC+_xlpm.actC&gt;0,_xlpm.nsC+_xlpm.wdC=0),"Rate Sheet","Application Submitted")))))))))</f>
        <v/>
      </c>
      <c r="M856" s="87"/>
      <c r="N856" s="87"/>
      <c r="O856" s="197"/>
      <c r="P856" s="87" t="str">
        <f>IF($A856="","",IF($AK856=TRUE,"Ready 2 Submit","Waiting on Dealer"))</f>
        <v/>
      </c>
      <c r="Q856" s="148"/>
      <c r="R856" s="87"/>
      <c r="S856" s="87"/>
      <c r="T856" s="87" t="str">
        <f>IF($A856="","",IF($AK856=TRUE,"Ready 2 Submit","Waiting on Dealer"))</f>
        <v/>
      </c>
      <c r="U856" s="148"/>
      <c r="V856" s="87"/>
      <c r="W856" s="87"/>
      <c r="X856" s="87" t="str">
        <f>IF($A856="","",IF($AK856=TRUE,"Ready 2 Submit","Waiting on Dealer"))</f>
        <v/>
      </c>
      <c r="Y856" s="148"/>
      <c r="Z856" s="87"/>
      <c r="AA856" s="87"/>
      <c r="AB856" s="87" t="str">
        <f>IF($A856="","",IF($AK856=TRUE,"Ready 2 Submit","Waiting on Dealer"))</f>
        <v/>
      </c>
      <c r="AC856" s="148"/>
      <c r="AD856" s="87"/>
      <c r="AE856" s="87"/>
      <c r="AF856" s="87" t="str">
        <f>IF($A856="","",IF($AK856=TRUE,"Ready 2 Submit","Waiting on Dealer"))</f>
        <v/>
      </c>
      <c r="AG856" s="148"/>
      <c r="AH856" s="87"/>
      <c r="AI856" s="87"/>
      <c r="AJ856" s="197"/>
      <c r="AK856" s="110" t="b">
        <v>0</v>
      </c>
      <c r="AL856" s="87" t="str" cm="1">
        <f t="array" ref="AL856">IF($A856="","",SUMPRODUCT((CHOOSE({1,2,3,4,5},$R856,$V856,$Z856,$AD856,$AH856)="Yes")*(((CHOOSE({1,2,3,4,5},$S856,$W856,$AA856,$AE856,$AI856)="Yes")+(CHOOSE({1,2,3,4,5},$S856,$W856,$AA856,$AE856,$AI856)=TRUE))&gt;0)))</f>
        <v/>
      </c>
      <c r="AM856" s="87"/>
      <c r="AN856" s="87" t="str">
        <f ca="1">IF(OR($A856="",$AM856=""),"",TODAY()-$AM856)</f>
        <v/>
      </c>
      <c r="AO856" s="87"/>
      <c r="AP856" s="106"/>
      <c r="AQ856" s="106"/>
      <c r="AR856" s="106"/>
      <c r="AS856" s="106"/>
      <c r="AT856" s="106"/>
      <c r="AU856" s="106"/>
      <c r="AV856" s="106"/>
      <c r="AW856" s="106"/>
      <c r="AX856" s="106"/>
      <c r="AY856" s="106"/>
    </row>
    <row r="857" spans="1:51" s="20" customFormat="1" ht="21" customHeight="1">
      <c r="A857" s="197"/>
      <c r="B857" s="87"/>
      <c r="C857" s="87"/>
      <c r="D857" s="196"/>
      <c r="E857" s="108"/>
      <c r="F857" s="196"/>
      <c r="G857" s="87"/>
      <c r="H857" s="197"/>
      <c r="I857" s="89"/>
      <c r="J857" s="204"/>
      <c r="K857" s="87"/>
      <c r="L857" s="87" t="str" cm="1">
        <f t="array" ref="L857">IF($A857="","",_xlfn.LET(_xlpm.stat,CHOOSE({1,2,3,4,5},$P857,$T857,$X857,$AB857,$AF857),_xlpm.rate,CHOOSE({1,2,3,4,5},$R857,$V857,$Z857,$AD857,$AH857),_xlpm.trn,CHOOSE({1,2,3,4,5},$S857,$W857,$AA857,$AE857,$AI857),_xlpm.nsC,SUMPRODUCT(--(_xlpm.stat="Ready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DLR",IF(AND(_xlpm.actRS&gt;0,_xlpm.actDone&lt;_xlpm.actRS),"Training",IF(_xlpm.actRS&gt;0,"Active",IF(AND(_xlpm.decC&gt;0,_xlpm.inPlay+_xlpm.actC=0),"Dead",IF(AND($AJ857&lt;&gt;"",$AK857=FALSE),"Waiting on Dealer",IF(_xlpm.subC&gt;0,"Waiting on Lender",IF(AND(_xlpm.appC+_xlpm.actC&gt;0,_xlpm.nsC+_xlpm.wdC=0),"Rate Sheet","Application Submitted")))))))))</f>
        <v/>
      </c>
      <c r="M857" s="87"/>
      <c r="N857" s="87"/>
      <c r="O857" s="197"/>
      <c r="P857" s="87" t="str">
        <f>IF($A857="","",IF($AK857=TRUE,"Ready 2 Submit","Waiting on Dealer"))</f>
        <v/>
      </c>
      <c r="Q857" s="148"/>
      <c r="R857" s="87"/>
      <c r="S857" s="87"/>
      <c r="T857" s="87" t="str">
        <f>IF($A857="","",IF($AK857=TRUE,"Ready 2 Submit","Waiting on Dealer"))</f>
        <v/>
      </c>
      <c r="U857" s="148"/>
      <c r="V857" s="87"/>
      <c r="W857" s="87"/>
      <c r="X857" s="87" t="str">
        <f>IF($A857="","",IF($AK857=TRUE,"Ready 2 Submit","Waiting on Dealer"))</f>
        <v/>
      </c>
      <c r="Y857" s="148"/>
      <c r="Z857" s="87"/>
      <c r="AA857" s="87"/>
      <c r="AB857" s="87" t="str">
        <f>IF($A857="","",IF($AK857=TRUE,"Ready 2 Submit","Waiting on Dealer"))</f>
        <v/>
      </c>
      <c r="AC857" s="148"/>
      <c r="AD857" s="87"/>
      <c r="AE857" s="87"/>
      <c r="AF857" s="87" t="str">
        <f>IF($A857="","",IF($AK857=TRUE,"Ready 2 Submit","Waiting on Dealer"))</f>
        <v/>
      </c>
      <c r="AG857" s="148"/>
      <c r="AH857" s="87"/>
      <c r="AI857" s="87"/>
      <c r="AJ857" s="197"/>
      <c r="AK857" s="110" t="b">
        <v>0</v>
      </c>
      <c r="AL857" s="87" t="str" cm="1">
        <f t="array" ref="AL857">IF($A857="","",SUMPRODUCT((CHOOSE({1,2,3,4,5},$R857,$V857,$Z857,$AD857,$AH857)="Yes")*(((CHOOSE({1,2,3,4,5},$S857,$W857,$AA857,$AE857,$AI857)="Yes")+(CHOOSE({1,2,3,4,5},$S857,$W857,$AA857,$AE857,$AI857)=TRUE))&gt;0)))</f>
        <v/>
      </c>
      <c r="AM857" s="87"/>
      <c r="AN857" s="87" t="str">
        <f ca="1">IF(OR($A857="",$AM857=""),"",TODAY()-$AM857)</f>
        <v/>
      </c>
      <c r="AO857" s="87"/>
      <c r="AP857" s="106"/>
      <c r="AQ857" s="106"/>
      <c r="AR857" s="106"/>
      <c r="AS857" s="106"/>
      <c r="AT857" s="106"/>
      <c r="AU857" s="106"/>
      <c r="AV857" s="106"/>
      <c r="AW857" s="106"/>
      <c r="AX857" s="106"/>
      <c r="AY857" s="106"/>
    </row>
    <row r="858" spans="1:51" s="20" customFormat="1" ht="21" customHeight="1">
      <c r="A858" s="197"/>
      <c r="B858" s="87"/>
      <c r="C858" s="87"/>
      <c r="D858" s="196"/>
      <c r="E858" s="108"/>
      <c r="F858" s="196"/>
      <c r="G858" s="87"/>
      <c r="H858" s="197"/>
      <c r="I858" s="89"/>
      <c r="J858" s="204"/>
      <c r="K858" s="87"/>
      <c r="L858" s="87" t="str" cm="1">
        <f t="array" ref="L858">IF($A858="","",_xlfn.LET(_xlpm.stat,CHOOSE({1,2,3,4,5},$P858,$T858,$X858,$AB858,$AF858),_xlpm.rate,CHOOSE({1,2,3,4,5},$R858,$V858,$Z858,$AD858,$AH858),_xlpm.trn,CHOOSE({1,2,3,4,5},$S858,$W858,$AA858,$AE858,$AI858),_xlpm.nsC,SUMPRODUCT(--(_xlpm.stat="Ready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DLR",IF(AND(_xlpm.actRS&gt;0,_xlpm.actDone&lt;_xlpm.actRS),"Training",IF(_xlpm.actRS&gt;0,"Active",IF(AND(_xlpm.decC&gt;0,_xlpm.inPlay+_xlpm.actC=0),"Dead",IF(AND($AJ858&lt;&gt;"",$AK858=FALSE),"Waiting on Dealer",IF(_xlpm.subC&gt;0,"Waiting on Lender",IF(AND(_xlpm.appC+_xlpm.actC&gt;0,_xlpm.nsC+_xlpm.wdC=0),"Rate Sheet","Application Submitted")))))))))</f>
        <v/>
      </c>
      <c r="M858" s="87"/>
      <c r="N858" s="87"/>
      <c r="O858" s="197"/>
      <c r="P858" s="87" t="str">
        <f>IF($A858="","",IF($AK858=TRUE,"Ready 2 Submit","Waiting on Dealer"))</f>
        <v/>
      </c>
      <c r="Q858" s="148"/>
      <c r="R858" s="87"/>
      <c r="S858" s="87"/>
      <c r="T858" s="87" t="str">
        <f>IF($A858="","",IF($AK858=TRUE,"Ready 2 Submit","Waiting on Dealer"))</f>
        <v/>
      </c>
      <c r="U858" s="148"/>
      <c r="V858" s="87"/>
      <c r="W858" s="87"/>
      <c r="X858" s="87" t="str">
        <f>IF($A858="","",IF($AK858=TRUE,"Ready 2 Submit","Waiting on Dealer"))</f>
        <v/>
      </c>
      <c r="Y858" s="148"/>
      <c r="Z858" s="87"/>
      <c r="AA858" s="87"/>
      <c r="AB858" s="87" t="str">
        <f>IF($A858="","",IF($AK858=TRUE,"Ready 2 Submit","Waiting on Dealer"))</f>
        <v/>
      </c>
      <c r="AC858" s="148"/>
      <c r="AD858" s="87"/>
      <c r="AE858" s="87"/>
      <c r="AF858" s="87" t="str">
        <f>IF($A858="","",IF($AK858=TRUE,"Ready 2 Submit","Waiting on Dealer"))</f>
        <v/>
      </c>
      <c r="AG858" s="148"/>
      <c r="AH858" s="87"/>
      <c r="AI858" s="87"/>
      <c r="AJ858" s="197"/>
      <c r="AK858" s="110" t="b">
        <v>0</v>
      </c>
      <c r="AL858" s="87" t="str" cm="1">
        <f t="array" ref="AL858">IF($A858="","",SUMPRODUCT((CHOOSE({1,2,3,4,5},$R858,$V858,$Z858,$AD858,$AH858)="Yes")*(((CHOOSE({1,2,3,4,5},$S858,$W858,$AA858,$AE858,$AI858)="Yes")+(CHOOSE({1,2,3,4,5},$S858,$W858,$AA858,$AE858,$AI858)=TRUE))&gt;0)))</f>
        <v/>
      </c>
      <c r="AM858" s="87"/>
      <c r="AN858" s="87" t="str">
        <f ca="1">IF(OR($A858="",$AM858=""),"",TODAY()-$AM858)</f>
        <v/>
      </c>
      <c r="AO858" s="87"/>
      <c r="AP858" s="106"/>
      <c r="AQ858" s="106"/>
      <c r="AR858" s="106"/>
      <c r="AS858" s="106"/>
      <c r="AT858" s="106"/>
      <c r="AU858" s="106"/>
      <c r="AV858" s="106"/>
      <c r="AW858" s="106"/>
      <c r="AX858" s="106"/>
      <c r="AY858" s="106"/>
    </row>
    <row r="859" spans="1:51" s="20" customFormat="1" ht="21" customHeight="1">
      <c r="A859" s="197"/>
      <c r="B859" s="87"/>
      <c r="C859" s="87"/>
      <c r="D859" s="196"/>
      <c r="E859" s="108"/>
      <c r="F859" s="196"/>
      <c r="G859" s="87"/>
      <c r="H859" s="197"/>
      <c r="I859" s="89"/>
      <c r="J859" s="204"/>
      <c r="K859" s="87"/>
      <c r="L859" s="87" t="str" cm="1">
        <f t="array" ref="L859">IF($A859="","",_xlfn.LET(_xlpm.stat,CHOOSE({1,2,3,4,5},$P859,$T859,$X859,$AB859,$AF859),_xlpm.rate,CHOOSE({1,2,3,4,5},$R859,$V859,$Z859,$AD859,$AH859),_xlpm.trn,CHOOSE({1,2,3,4,5},$S859,$W859,$AA859,$AE859,$AI859),_xlpm.nsC,SUMPRODUCT(--(_xlpm.stat="Ready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DLR",IF(AND(_xlpm.actRS&gt;0,_xlpm.actDone&lt;_xlpm.actRS),"Training",IF(_xlpm.actRS&gt;0,"Active",IF(AND(_xlpm.decC&gt;0,_xlpm.inPlay+_xlpm.actC=0),"Dead",IF(AND($AJ859&lt;&gt;"",$AK859=FALSE),"Waiting on Dealer",IF(_xlpm.subC&gt;0,"Waiting on Lender",IF(AND(_xlpm.appC+_xlpm.actC&gt;0,_xlpm.nsC+_xlpm.wdC=0),"Rate Sheet","Application Submitted")))))))))</f>
        <v/>
      </c>
      <c r="M859" s="87"/>
      <c r="N859" s="87"/>
      <c r="O859" s="197"/>
      <c r="P859" s="87" t="str">
        <f>IF($A859="","",IF($AK859=TRUE,"Ready 2 Submit","Waiting on Dealer"))</f>
        <v/>
      </c>
      <c r="Q859" s="148"/>
      <c r="R859" s="87"/>
      <c r="S859" s="87"/>
      <c r="T859" s="87" t="str">
        <f>IF($A859="","",IF($AK859=TRUE,"Ready 2 Submit","Waiting on Dealer"))</f>
        <v/>
      </c>
      <c r="U859" s="148"/>
      <c r="V859" s="87"/>
      <c r="W859" s="87"/>
      <c r="X859" s="87" t="str">
        <f>IF($A859="","",IF($AK859=TRUE,"Ready 2 Submit","Waiting on Dealer"))</f>
        <v/>
      </c>
      <c r="Y859" s="148"/>
      <c r="Z859" s="87"/>
      <c r="AA859" s="87"/>
      <c r="AB859" s="87" t="str">
        <f>IF($A859="","",IF($AK859=TRUE,"Ready 2 Submit","Waiting on Dealer"))</f>
        <v/>
      </c>
      <c r="AC859" s="148"/>
      <c r="AD859" s="87"/>
      <c r="AE859" s="87"/>
      <c r="AF859" s="87" t="str">
        <f>IF($A859="","",IF($AK859=TRUE,"Ready 2 Submit","Waiting on Dealer"))</f>
        <v/>
      </c>
      <c r="AG859" s="148"/>
      <c r="AH859" s="87"/>
      <c r="AI859" s="87"/>
      <c r="AJ859" s="197"/>
      <c r="AK859" s="110" t="b">
        <v>0</v>
      </c>
      <c r="AL859" s="87" t="str" cm="1">
        <f t="array" ref="AL859">IF($A859="","",SUMPRODUCT((CHOOSE({1,2,3,4,5},$R859,$V859,$Z859,$AD859,$AH859)="Yes")*(((CHOOSE({1,2,3,4,5},$S859,$W859,$AA859,$AE859,$AI859)="Yes")+(CHOOSE({1,2,3,4,5},$S859,$W859,$AA859,$AE859,$AI859)=TRUE))&gt;0)))</f>
        <v/>
      </c>
      <c r="AM859" s="87"/>
      <c r="AN859" s="87" t="str">
        <f ca="1">IF(OR($A859="",$AM859=""),"",TODAY()-$AM859)</f>
        <v/>
      </c>
      <c r="AO859" s="87"/>
      <c r="AP859" s="106"/>
      <c r="AQ859" s="106"/>
      <c r="AR859" s="106"/>
      <c r="AS859" s="106"/>
      <c r="AT859" s="106"/>
      <c r="AU859" s="106"/>
      <c r="AV859" s="106"/>
      <c r="AW859" s="106"/>
      <c r="AX859" s="106"/>
      <c r="AY859" s="106"/>
    </row>
    <row r="860" spans="1:51" s="20" customFormat="1" ht="21" customHeight="1">
      <c r="A860" s="197"/>
      <c r="B860" s="87"/>
      <c r="C860" s="87"/>
      <c r="D860" s="196"/>
      <c r="E860" s="108"/>
      <c r="F860" s="196"/>
      <c r="G860" s="87"/>
      <c r="H860" s="197"/>
      <c r="I860" s="89"/>
      <c r="J860" s="204"/>
      <c r="K860" s="87"/>
      <c r="L860" s="87" t="str" cm="1">
        <f t="array" ref="L860">IF($A860="","",_xlfn.LET(_xlpm.stat,CHOOSE({1,2,3,4,5},$P860,$T860,$X860,$AB860,$AF860),_xlpm.rate,CHOOSE({1,2,3,4,5},$R860,$V860,$Z860,$AD860,$AH860),_xlpm.trn,CHOOSE({1,2,3,4,5},$S860,$W860,$AA860,$AE860,$AI860),_xlpm.nsC,SUMPRODUCT(--(_xlpm.stat="Ready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DLR",IF(AND(_xlpm.actRS&gt;0,_xlpm.actDone&lt;_xlpm.actRS),"Training",IF(_xlpm.actRS&gt;0,"Active",IF(AND(_xlpm.decC&gt;0,_xlpm.inPlay+_xlpm.actC=0),"Dead",IF(AND($AJ860&lt;&gt;"",$AK860=FALSE),"Waiting on Dealer",IF(_xlpm.subC&gt;0,"Waiting on Lender",IF(AND(_xlpm.appC+_xlpm.actC&gt;0,_xlpm.nsC+_xlpm.wdC=0),"Rate Sheet","Application Submitted")))))))))</f>
        <v/>
      </c>
      <c r="M860" s="87"/>
      <c r="N860" s="87"/>
      <c r="O860" s="197"/>
      <c r="P860" s="87" t="str">
        <f>IF($A860="","",IF($AK860=TRUE,"Ready 2 Submit","Waiting on Dealer"))</f>
        <v/>
      </c>
      <c r="Q860" s="148"/>
      <c r="R860" s="87"/>
      <c r="S860" s="87"/>
      <c r="T860" s="87" t="str">
        <f>IF($A860="","",IF($AK860=TRUE,"Ready 2 Submit","Waiting on Dealer"))</f>
        <v/>
      </c>
      <c r="U860" s="148"/>
      <c r="V860" s="87"/>
      <c r="W860" s="87"/>
      <c r="X860" s="87" t="str">
        <f>IF($A860="","",IF($AK860=TRUE,"Ready 2 Submit","Waiting on Dealer"))</f>
        <v/>
      </c>
      <c r="Y860" s="148"/>
      <c r="Z860" s="87"/>
      <c r="AA860" s="87"/>
      <c r="AB860" s="87" t="str">
        <f>IF($A860="","",IF($AK860=TRUE,"Ready 2 Submit","Waiting on Dealer"))</f>
        <v/>
      </c>
      <c r="AC860" s="148"/>
      <c r="AD860" s="87"/>
      <c r="AE860" s="87"/>
      <c r="AF860" s="87" t="str">
        <f>IF($A860="","",IF($AK860=TRUE,"Ready 2 Submit","Waiting on Dealer"))</f>
        <v/>
      </c>
      <c r="AG860" s="148"/>
      <c r="AH860" s="87"/>
      <c r="AI860" s="87"/>
      <c r="AJ860" s="197"/>
      <c r="AK860" s="110" t="b">
        <v>0</v>
      </c>
      <c r="AL860" s="87" t="str" cm="1">
        <f t="array" ref="AL860">IF($A860="","",SUMPRODUCT((CHOOSE({1,2,3,4,5},$R860,$V860,$Z860,$AD860,$AH860)="Yes")*(((CHOOSE({1,2,3,4,5},$S860,$W860,$AA860,$AE860,$AI860)="Yes")+(CHOOSE({1,2,3,4,5},$S860,$W860,$AA860,$AE860,$AI860)=TRUE))&gt;0)))</f>
        <v/>
      </c>
      <c r="AM860" s="87"/>
      <c r="AN860" s="87" t="str">
        <f ca="1">IF(OR($A860="",$AM860=""),"",TODAY()-$AM860)</f>
        <v/>
      </c>
      <c r="AO860" s="87"/>
      <c r="AP860" s="106"/>
      <c r="AQ860" s="106"/>
      <c r="AR860" s="106"/>
      <c r="AS860" s="106"/>
      <c r="AT860" s="106"/>
      <c r="AU860" s="106"/>
      <c r="AV860" s="106"/>
      <c r="AW860" s="106"/>
      <c r="AX860" s="106"/>
      <c r="AY860" s="106"/>
    </row>
    <row r="861" spans="1:51" s="20" customFormat="1" ht="21" customHeight="1">
      <c r="A861" s="197"/>
      <c r="B861" s="87"/>
      <c r="C861" s="87"/>
      <c r="D861" s="196"/>
      <c r="E861" s="108"/>
      <c r="F861" s="196"/>
      <c r="G861" s="87"/>
      <c r="H861" s="197"/>
      <c r="I861" s="89"/>
      <c r="J861" s="204"/>
      <c r="K861" s="87"/>
      <c r="L861" s="87" t="str" cm="1">
        <f t="array" ref="L861">IF($A861="","",_xlfn.LET(_xlpm.stat,CHOOSE({1,2,3,4,5},$P861,$T861,$X861,$AB861,$AF861),_xlpm.rate,CHOOSE({1,2,3,4,5},$R861,$V861,$Z861,$AD861,$AH861),_xlpm.trn,CHOOSE({1,2,3,4,5},$S861,$W861,$AA861,$AE861,$AI861),_xlpm.nsC,SUMPRODUCT(--(_xlpm.stat="Ready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DLR",IF(AND(_xlpm.actRS&gt;0,_xlpm.actDone&lt;_xlpm.actRS),"Training",IF(_xlpm.actRS&gt;0,"Active",IF(AND(_xlpm.decC&gt;0,_xlpm.inPlay+_xlpm.actC=0),"Dead",IF(AND($AJ861&lt;&gt;"",$AK861=FALSE),"Waiting on Dealer",IF(_xlpm.subC&gt;0,"Waiting on Lender",IF(AND(_xlpm.appC+_xlpm.actC&gt;0,_xlpm.nsC+_xlpm.wdC=0),"Rate Sheet","Application Submitted")))))))))</f>
        <v/>
      </c>
      <c r="M861" s="87"/>
      <c r="N861" s="87"/>
      <c r="O861" s="197"/>
      <c r="P861" s="87" t="str">
        <f>IF($A861="","",IF($AK861=TRUE,"Ready 2 Submit","Waiting on Dealer"))</f>
        <v/>
      </c>
      <c r="Q861" s="148"/>
      <c r="R861" s="87"/>
      <c r="S861" s="87"/>
      <c r="T861" s="87" t="str">
        <f>IF($A861="","",IF($AK861=TRUE,"Ready 2 Submit","Waiting on Dealer"))</f>
        <v/>
      </c>
      <c r="U861" s="148"/>
      <c r="V861" s="87"/>
      <c r="W861" s="87"/>
      <c r="X861" s="87" t="str">
        <f>IF($A861="","",IF($AK861=TRUE,"Ready 2 Submit","Waiting on Dealer"))</f>
        <v/>
      </c>
      <c r="Y861" s="148"/>
      <c r="Z861" s="87"/>
      <c r="AA861" s="87"/>
      <c r="AB861" s="87" t="str">
        <f>IF($A861="","",IF($AK861=TRUE,"Ready 2 Submit","Waiting on Dealer"))</f>
        <v/>
      </c>
      <c r="AC861" s="148"/>
      <c r="AD861" s="87"/>
      <c r="AE861" s="87"/>
      <c r="AF861" s="87" t="str">
        <f>IF($A861="","",IF($AK861=TRUE,"Ready 2 Submit","Waiting on Dealer"))</f>
        <v/>
      </c>
      <c r="AG861" s="148"/>
      <c r="AH861" s="87"/>
      <c r="AI861" s="87"/>
      <c r="AJ861" s="197"/>
      <c r="AK861" s="110" t="b">
        <v>0</v>
      </c>
      <c r="AL861" s="87" t="str" cm="1">
        <f t="array" ref="AL861">IF($A861="","",SUMPRODUCT((CHOOSE({1,2,3,4,5},$R861,$V861,$Z861,$AD861,$AH861)="Yes")*(((CHOOSE({1,2,3,4,5},$S861,$W861,$AA861,$AE861,$AI861)="Yes")+(CHOOSE({1,2,3,4,5},$S861,$W861,$AA861,$AE861,$AI861)=TRUE))&gt;0)))</f>
        <v/>
      </c>
      <c r="AM861" s="87"/>
      <c r="AN861" s="87" t="str">
        <f ca="1">IF(OR($A861="",$AM861=""),"",TODAY()-$AM861)</f>
        <v/>
      </c>
      <c r="AO861" s="87"/>
      <c r="AP861" s="106"/>
      <c r="AQ861" s="106"/>
      <c r="AR861" s="106"/>
      <c r="AS861" s="106"/>
      <c r="AT861" s="106"/>
      <c r="AU861" s="106"/>
      <c r="AV861" s="106"/>
      <c r="AW861" s="106"/>
      <c r="AX861" s="106"/>
      <c r="AY861" s="106"/>
    </row>
    <row r="862" spans="1:51" s="20" customFormat="1" ht="21" customHeight="1">
      <c r="A862" s="197"/>
      <c r="B862" s="87"/>
      <c r="C862" s="87"/>
      <c r="D862" s="196"/>
      <c r="E862" s="108"/>
      <c r="F862" s="196"/>
      <c r="G862" s="87"/>
      <c r="H862" s="197"/>
      <c r="I862" s="89"/>
      <c r="J862" s="204"/>
      <c r="K862" s="87"/>
      <c r="L862" s="87" t="str" cm="1">
        <f t="array" ref="L862">IF($A862="","",_xlfn.LET(_xlpm.stat,CHOOSE({1,2,3,4,5},$P862,$T862,$X862,$AB862,$AF862),_xlpm.rate,CHOOSE({1,2,3,4,5},$R862,$V862,$Z862,$AD862,$AH862),_xlpm.trn,CHOOSE({1,2,3,4,5},$S862,$W862,$AA862,$AE862,$AI862),_xlpm.nsC,SUMPRODUCT(--(_xlpm.stat="Ready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DLR",IF(AND(_xlpm.actRS&gt;0,_xlpm.actDone&lt;_xlpm.actRS),"Training",IF(_xlpm.actRS&gt;0,"Active",IF(AND(_xlpm.decC&gt;0,_xlpm.inPlay+_xlpm.actC=0),"Dead",IF(AND($AJ862&lt;&gt;"",$AK862=FALSE),"Waiting on Dealer",IF(_xlpm.subC&gt;0,"Waiting on Lender",IF(AND(_xlpm.appC+_xlpm.actC&gt;0,_xlpm.nsC+_xlpm.wdC=0),"Rate Sheet","Application Submitted")))))))))</f>
        <v/>
      </c>
      <c r="M862" s="87"/>
      <c r="N862" s="87"/>
      <c r="O862" s="197"/>
      <c r="P862" s="87" t="str">
        <f>IF($A862="","",IF($AK862=TRUE,"Ready 2 Submit","Waiting on Dealer"))</f>
        <v/>
      </c>
      <c r="Q862" s="148"/>
      <c r="R862" s="87"/>
      <c r="S862" s="87"/>
      <c r="T862" s="87" t="str">
        <f>IF($A862="","",IF($AK862=TRUE,"Ready 2 Submit","Waiting on Dealer"))</f>
        <v/>
      </c>
      <c r="U862" s="148"/>
      <c r="V862" s="87"/>
      <c r="W862" s="87"/>
      <c r="X862" s="87" t="str">
        <f>IF($A862="","",IF($AK862=TRUE,"Ready 2 Submit","Waiting on Dealer"))</f>
        <v/>
      </c>
      <c r="Y862" s="148"/>
      <c r="Z862" s="87"/>
      <c r="AA862" s="87"/>
      <c r="AB862" s="87" t="str">
        <f>IF($A862="","",IF($AK862=TRUE,"Ready 2 Submit","Waiting on Dealer"))</f>
        <v/>
      </c>
      <c r="AC862" s="148"/>
      <c r="AD862" s="87"/>
      <c r="AE862" s="87"/>
      <c r="AF862" s="87" t="str">
        <f>IF($A862="","",IF($AK862=TRUE,"Ready 2 Submit","Waiting on Dealer"))</f>
        <v/>
      </c>
      <c r="AG862" s="148"/>
      <c r="AH862" s="87"/>
      <c r="AI862" s="87"/>
      <c r="AJ862" s="197"/>
      <c r="AK862" s="110" t="b">
        <v>0</v>
      </c>
      <c r="AL862" s="87" t="str" cm="1">
        <f t="array" ref="AL862">IF($A862="","",SUMPRODUCT((CHOOSE({1,2,3,4,5},$R862,$V862,$Z862,$AD862,$AH862)="Yes")*(((CHOOSE({1,2,3,4,5},$S862,$W862,$AA862,$AE862,$AI862)="Yes")+(CHOOSE({1,2,3,4,5},$S862,$W862,$AA862,$AE862,$AI862)=TRUE))&gt;0)))</f>
        <v/>
      </c>
      <c r="AM862" s="87"/>
      <c r="AN862" s="87" t="str">
        <f ca="1">IF(OR($A862="",$AM862=""),"",TODAY()-$AM862)</f>
        <v/>
      </c>
      <c r="AO862" s="87"/>
      <c r="AP862" s="106"/>
      <c r="AQ862" s="106"/>
      <c r="AR862" s="106"/>
      <c r="AS862" s="106"/>
      <c r="AT862" s="106"/>
      <c r="AU862" s="106"/>
      <c r="AV862" s="106"/>
      <c r="AW862" s="106"/>
      <c r="AX862" s="106"/>
      <c r="AY862" s="106"/>
    </row>
    <row r="863" spans="1:51" s="20" customFormat="1" ht="21" customHeight="1">
      <c r="A863" s="197"/>
      <c r="B863" s="87"/>
      <c r="C863" s="87"/>
      <c r="D863" s="196"/>
      <c r="E863" s="108"/>
      <c r="F863" s="196"/>
      <c r="G863" s="87"/>
      <c r="H863" s="197"/>
      <c r="I863" s="89"/>
      <c r="J863" s="204"/>
      <c r="K863" s="87"/>
      <c r="L863" s="87" t="str" cm="1">
        <f t="array" ref="L863">IF($A863="","",_xlfn.LET(_xlpm.stat,CHOOSE({1,2,3,4,5},$P863,$T863,$X863,$AB863,$AF863),_xlpm.rate,CHOOSE({1,2,3,4,5},$R863,$V863,$Z863,$AD863,$AH863),_xlpm.trn,CHOOSE({1,2,3,4,5},$S863,$W863,$AA863,$AE863,$AI863),_xlpm.nsC,SUMPRODUCT(--(_xlpm.stat="Ready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DLR",IF(AND(_xlpm.actRS&gt;0,_xlpm.actDone&lt;_xlpm.actRS),"Training",IF(_xlpm.actRS&gt;0,"Active",IF(AND(_xlpm.decC&gt;0,_xlpm.inPlay+_xlpm.actC=0),"Dead",IF(AND($AJ863&lt;&gt;"",$AK863=FALSE),"Waiting on Dealer",IF(_xlpm.subC&gt;0,"Waiting on Lender",IF(AND(_xlpm.appC+_xlpm.actC&gt;0,_xlpm.nsC+_xlpm.wdC=0),"Rate Sheet","Application Submitted")))))))))</f>
        <v/>
      </c>
      <c r="M863" s="87"/>
      <c r="N863" s="87"/>
      <c r="O863" s="197"/>
      <c r="P863" s="87" t="str">
        <f>IF($A863="","",IF($AK863=TRUE,"Ready 2 Submit","Waiting on Dealer"))</f>
        <v/>
      </c>
      <c r="Q863" s="148"/>
      <c r="R863" s="87"/>
      <c r="S863" s="87"/>
      <c r="T863" s="87" t="str">
        <f>IF($A863="","",IF($AK863=TRUE,"Ready 2 Submit","Waiting on Dealer"))</f>
        <v/>
      </c>
      <c r="U863" s="148"/>
      <c r="V863" s="87"/>
      <c r="W863" s="87"/>
      <c r="X863" s="87" t="str">
        <f>IF($A863="","",IF($AK863=TRUE,"Ready 2 Submit","Waiting on Dealer"))</f>
        <v/>
      </c>
      <c r="Y863" s="148"/>
      <c r="Z863" s="87"/>
      <c r="AA863" s="87"/>
      <c r="AB863" s="87" t="str">
        <f>IF($A863="","",IF($AK863=TRUE,"Ready 2 Submit","Waiting on Dealer"))</f>
        <v/>
      </c>
      <c r="AC863" s="148"/>
      <c r="AD863" s="87"/>
      <c r="AE863" s="87"/>
      <c r="AF863" s="87" t="str">
        <f>IF($A863="","",IF($AK863=TRUE,"Ready 2 Submit","Waiting on Dealer"))</f>
        <v/>
      </c>
      <c r="AG863" s="148"/>
      <c r="AH863" s="87"/>
      <c r="AI863" s="87"/>
      <c r="AJ863" s="197"/>
      <c r="AK863" s="110" t="b">
        <v>0</v>
      </c>
      <c r="AL863" s="87" t="str" cm="1">
        <f t="array" ref="AL863">IF($A863="","",SUMPRODUCT((CHOOSE({1,2,3,4,5},$R863,$V863,$Z863,$AD863,$AH863)="Yes")*(((CHOOSE({1,2,3,4,5},$S863,$W863,$AA863,$AE863,$AI863)="Yes")+(CHOOSE({1,2,3,4,5},$S863,$W863,$AA863,$AE863,$AI863)=TRUE))&gt;0)))</f>
        <v/>
      </c>
      <c r="AM863" s="87"/>
      <c r="AN863" s="87" t="str">
        <f ca="1">IF(OR($A863="",$AM863=""),"",TODAY()-$AM863)</f>
        <v/>
      </c>
      <c r="AO863" s="87"/>
      <c r="AP863" s="106"/>
      <c r="AQ863" s="106"/>
      <c r="AR863" s="106"/>
      <c r="AS863" s="106"/>
      <c r="AT863" s="106"/>
      <c r="AU863" s="106"/>
      <c r="AV863" s="106"/>
      <c r="AW863" s="106"/>
      <c r="AX863" s="106"/>
      <c r="AY863" s="106"/>
    </row>
    <row r="864" spans="1:51" s="20" customFormat="1" ht="21" customHeight="1">
      <c r="A864" s="197"/>
      <c r="B864" s="87"/>
      <c r="C864" s="87"/>
      <c r="D864" s="196"/>
      <c r="E864" s="108"/>
      <c r="F864" s="196"/>
      <c r="G864" s="87"/>
      <c r="H864" s="197"/>
      <c r="I864" s="89"/>
      <c r="J864" s="204"/>
      <c r="K864" s="87"/>
      <c r="L864" s="87" t="str" cm="1">
        <f t="array" ref="L864">IF($A864="","",_xlfn.LET(_xlpm.stat,CHOOSE({1,2,3,4,5},$P864,$T864,$X864,$AB864,$AF864),_xlpm.rate,CHOOSE({1,2,3,4,5},$R864,$V864,$Z864,$AD864,$AH864),_xlpm.trn,CHOOSE({1,2,3,4,5},$S864,$W864,$AA864,$AE864,$AI864),_xlpm.nsC,SUMPRODUCT(--(_xlpm.stat="Ready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DLR",IF(AND(_xlpm.actRS&gt;0,_xlpm.actDone&lt;_xlpm.actRS),"Training",IF(_xlpm.actRS&gt;0,"Active",IF(AND(_xlpm.decC&gt;0,_xlpm.inPlay+_xlpm.actC=0),"Dead",IF(AND($AJ864&lt;&gt;"",$AK864=FALSE),"Waiting on Dealer",IF(_xlpm.subC&gt;0,"Waiting on Lender",IF(AND(_xlpm.appC+_xlpm.actC&gt;0,_xlpm.nsC+_xlpm.wdC=0),"Rate Sheet","Application Submitted")))))))))</f>
        <v/>
      </c>
      <c r="M864" s="87"/>
      <c r="N864" s="87"/>
      <c r="O864" s="197"/>
      <c r="P864" s="87" t="str">
        <f>IF($A864="","",IF($AK864=TRUE,"Ready 2 Submit","Waiting on Dealer"))</f>
        <v/>
      </c>
      <c r="Q864" s="148"/>
      <c r="R864" s="87"/>
      <c r="S864" s="87"/>
      <c r="T864" s="87" t="str">
        <f>IF($A864="","",IF($AK864=TRUE,"Ready 2 Submit","Waiting on Dealer"))</f>
        <v/>
      </c>
      <c r="U864" s="148"/>
      <c r="V864" s="87"/>
      <c r="W864" s="87"/>
      <c r="X864" s="87" t="str">
        <f>IF($A864="","",IF($AK864=TRUE,"Ready 2 Submit","Waiting on Dealer"))</f>
        <v/>
      </c>
      <c r="Y864" s="148"/>
      <c r="Z864" s="87"/>
      <c r="AA864" s="87"/>
      <c r="AB864" s="87" t="str">
        <f>IF($A864="","",IF($AK864=TRUE,"Ready 2 Submit","Waiting on Dealer"))</f>
        <v/>
      </c>
      <c r="AC864" s="148"/>
      <c r="AD864" s="87"/>
      <c r="AE864" s="87"/>
      <c r="AF864" s="87" t="str">
        <f>IF($A864="","",IF($AK864=TRUE,"Ready 2 Submit","Waiting on Dealer"))</f>
        <v/>
      </c>
      <c r="AG864" s="148"/>
      <c r="AH864" s="87"/>
      <c r="AI864" s="87"/>
      <c r="AJ864" s="197"/>
      <c r="AK864" s="110" t="b">
        <v>0</v>
      </c>
      <c r="AL864" s="87" t="str" cm="1">
        <f t="array" ref="AL864">IF($A864="","",SUMPRODUCT((CHOOSE({1,2,3,4,5},$R864,$V864,$Z864,$AD864,$AH864)="Yes")*(((CHOOSE({1,2,3,4,5},$S864,$W864,$AA864,$AE864,$AI864)="Yes")+(CHOOSE({1,2,3,4,5},$S864,$W864,$AA864,$AE864,$AI864)=TRUE))&gt;0)))</f>
        <v/>
      </c>
      <c r="AM864" s="87"/>
      <c r="AN864" s="87" t="str">
        <f ca="1">IF(OR($A864="",$AM864=""),"",TODAY()-$AM864)</f>
        <v/>
      </c>
      <c r="AO864" s="87"/>
      <c r="AP864" s="106"/>
      <c r="AQ864" s="106"/>
      <c r="AR864" s="106"/>
      <c r="AS864" s="106"/>
      <c r="AT864" s="106"/>
      <c r="AU864" s="106"/>
      <c r="AV864" s="106"/>
      <c r="AW864" s="106"/>
      <c r="AX864" s="106"/>
      <c r="AY864" s="106"/>
    </row>
    <row r="865" spans="1:51" s="20" customFormat="1" ht="21" customHeight="1">
      <c r="A865" s="197"/>
      <c r="B865" s="87"/>
      <c r="C865" s="87"/>
      <c r="D865" s="196"/>
      <c r="E865" s="108"/>
      <c r="F865" s="196"/>
      <c r="G865" s="87"/>
      <c r="H865" s="197"/>
      <c r="I865" s="89"/>
      <c r="J865" s="204"/>
      <c r="K865" s="87"/>
      <c r="L865" s="87" t="str" cm="1">
        <f t="array" ref="L865">IF($A865="","",_xlfn.LET(_xlpm.stat,CHOOSE({1,2,3,4,5},$P865,$T865,$X865,$AB865,$AF865),_xlpm.rate,CHOOSE({1,2,3,4,5},$R865,$V865,$Z865,$AD865,$AH865),_xlpm.trn,CHOOSE({1,2,3,4,5},$S865,$W865,$AA865,$AE865,$AI865),_xlpm.nsC,SUMPRODUCT(--(_xlpm.stat="Ready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DLR",IF(AND(_xlpm.actRS&gt;0,_xlpm.actDone&lt;_xlpm.actRS),"Training",IF(_xlpm.actRS&gt;0,"Active",IF(AND(_xlpm.decC&gt;0,_xlpm.inPlay+_xlpm.actC=0),"Dead",IF(AND($AJ865&lt;&gt;"",$AK865=FALSE),"Waiting on Dealer",IF(_xlpm.subC&gt;0,"Waiting on Lender",IF(AND(_xlpm.appC+_xlpm.actC&gt;0,_xlpm.nsC+_xlpm.wdC=0),"Rate Sheet","Application Submitted")))))))))</f>
        <v/>
      </c>
      <c r="M865" s="87"/>
      <c r="N865" s="87"/>
      <c r="O865" s="197"/>
      <c r="P865" s="87" t="str">
        <f>IF($A865="","",IF($AK865=TRUE,"Ready 2 Submit","Waiting on Dealer"))</f>
        <v/>
      </c>
      <c r="Q865" s="148"/>
      <c r="R865" s="87"/>
      <c r="S865" s="87"/>
      <c r="T865" s="87" t="str">
        <f>IF($A865="","",IF($AK865=TRUE,"Ready 2 Submit","Waiting on Dealer"))</f>
        <v/>
      </c>
      <c r="U865" s="148"/>
      <c r="V865" s="87"/>
      <c r="W865" s="87"/>
      <c r="X865" s="87" t="str">
        <f>IF($A865="","",IF($AK865=TRUE,"Ready 2 Submit","Waiting on Dealer"))</f>
        <v/>
      </c>
      <c r="Y865" s="148"/>
      <c r="Z865" s="87"/>
      <c r="AA865" s="87"/>
      <c r="AB865" s="87" t="str">
        <f>IF($A865="","",IF($AK865=TRUE,"Ready 2 Submit","Waiting on Dealer"))</f>
        <v/>
      </c>
      <c r="AC865" s="148"/>
      <c r="AD865" s="87"/>
      <c r="AE865" s="87"/>
      <c r="AF865" s="87" t="str">
        <f>IF($A865="","",IF($AK865=TRUE,"Ready 2 Submit","Waiting on Dealer"))</f>
        <v/>
      </c>
      <c r="AG865" s="148"/>
      <c r="AH865" s="87"/>
      <c r="AI865" s="87"/>
      <c r="AJ865" s="197"/>
      <c r="AK865" s="110" t="b">
        <v>0</v>
      </c>
      <c r="AL865" s="87" t="str" cm="1">
        <f t="array" ref="AL865">IF($A865="","",SUMPRODUCT((CHOOSE({1,2,3,4,5},$R865,$V865,$Z865,$AD865,$AH865)="Yes")*(((CHOOSE({1,2,3,4,5},$S865,$W865,$AA865,$AE865,$AI865)="Yes")+(CHOOSE({1,2,3,4,5},$S865,$W865,$AA865,$AE865,$AI865)=TRUE))&gt;0)))</f>
        <v/>
      </c>
      <c r="AM865" s="87"/>
      <c r="AN865" s="87" t="str">
        <f ca="1">IF(OR($A865="",$AM865=""),"",TODAY()-$AM865)</f>
        <v/>
      </c>
      <c r="AO865" s="87"/>
      <c r="AP865" s="106"/>
      <c r="AQ865" s="106"/>
      <c r="AR865" s="106"/>
      <c r="AS865" s="106"/>
      <c r="AT865" s="106"/>
      <c r="AU865" s="106"/>
      <c r="AV865" s="106"/>
      <c r="AW865" s="106"/>
      <c r="AX865" s="106"/>
      <c r="AY865" s="106"/>
    </row>
    <row r="866" spans="1:51" s="20" customFormat="1" ht="21" customHeight="1">
      <c r="A866" s="197"/>
      <c r="B866" s="87"/>
      <c r="C866" s="87"/>
      <c r="D866" s="196"/>
      <c r="E866" s="108"/>
      <c r="F866" s="196"/>
      <c r="G866" s="87"/>
      <c r="H866" s="197"/>
      <c r="I866" s="89"/>
      <c r="J866" s="204"/>
      <c r="K866" s="87"/>
      <c r="L866" s="87" t="str" cm="1">
        <f t="array" ref="L866">IF($A866="","",_xlfn.LET(_xlpm.stat,CHOOSE({1,2,3,4,5},$P866,$T866,$X866,$AB866,$AF866),_xlpm.rate,CHOOSE({1,2,3,4,5},$R866,$V866,$Z866,$AD866,$AH866),_xlpm.trn,CHOOSE({1,2,3,4,5},$S866,$W866,$AA866,$AE866,$AI866),_xlpm.nsC,SUMPRODUCT(--(_xlpm.stat="Ready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DLR",IF(AND(_xlpm.actRS&gt;0,_xlpm.actDone&lt;_xlpm.actRS),"Training",IF(_xlpm.actRS&gt;0,"Active",IF(AND(_xlpm.decC&gt;0,_xlpm.inPlay+_xlpm.actC=0),"Dead",IF(AND($AJ866&lt;&gt;"",$AK866=FALSE),"Waiting on Dealer",IF(_xlpm.subC&gt;0,"Waiting on Lender",IF(AND(_xlpm.appC+_xlpm.actC&gt;0,_xlpm.nsC+_xlpm.wdC=0),"Rate Sheet","Application Submitted")))))))))</f>
        <v/>
      </c>
      <c r="M866" s="87"/>
      <c r="N866" s="87"/>
      <c r="O866" s="197"/>
      <c r="P866" s="87" t="str">
        <f>IF($A866="","",IF($AK866=TRUE,"Ready 2 Submit","Waiting on Dealer"))</f>
        <v/>
      </c>
      <c r="Q866" s="148"/>
      <c r="R866" s="87"/>
      <c r="S866" s="87"/>
      <c r="T866" s="87" t="str">
        <f>IF($A866="","",IF($AK866=TRUE,"Ready 2 Submit","Waiting on Dealer"))</f>
        <v/>
      </c>
      <c r="U866" s="148"/>
      <c r="V866" s="87"/>
      <c r="W866" s="87"/>
      <c r="X866" s="87" t="str">
        <f>IF($A866="","",IF($AK866=TRUE,"Ready 2 Submit","Waiting on Dealer"))</f>
        <v/>
      </c>
      <c r="Y866" s="148"/>
      <c r="Z866" s="87"/>
      <c r="AA866" s="87"/>
      <c r="AB866" s="87" t="str">
        <f>IF($A866="","",IF($AK866=TRUE,"Ready 2 Submit","Waiting on Dealer"))</f>
        <v/>
      </c>
      <c r="AC866" s="148"/>
      <c r="AD866" s="87"/>
      <c r="AE866" s="87"/>
      <c r="AF866" s="87" t="str">
        <f>IF($A866="","",IF($AK866=TRUE,"Ready 2 Submit","Waiting on Dealer"))</f>
        <v/>
      </c>
      <c r="AG866" s="148"/>
      <c r="AH866" s="87"/>
      <c r="AI866" s="87"/>
      <c r="AJ866" s="197"/>
      <c r="AK866" s="110" t="b">
        <v>0</v>
      </c>
      <c r="AL866" s="87" t="str" cm="1">
        <f t="array" ref="AL866">IF($A866="","",SUMPRODUCT((CHOOSE({1,2,3,4,5},$R866,$V866,$Z866,$AD866,$AH866)="Yes")*(((CHOOSE({1,2,3,4,5},$S866,$W866,$AA866,$AE866,$AI866)="Yes")+(CHOOSE({1,2,3,4,5},$S866,$W866,$AA866,$AE866,$AI866)=TRUE))&gt;0)))</f>
        <v/>
      </c>
      <c r="AM866" s="87"/>
      <c r="AN866" s="87" t="str">
        <f ca="1">IF(OR($A866="",$AM866=""),"",TODAY()-$AM866)</f>
        <v/>
      </c>
      <c r="AO866" s="87"/>
      <c r="AP866" s="106"/>
      <c r="AQ866" s="106"/>
      <c r="AR866" s="106"/>
      <c r="AS866" s="106"/>
      <c r="AT866" s="106"/>
      <c r="AU866" s="106"/>
      <c r="AV866" s="106"/>
      <c r="AW866" s="106"/>
      <c r="AX866" s="106"/>
      <c r="AY866" s="106"/>
    </row>
    <row r="867" spans="1:51" s="20" customFormat="1" ht="21" customHeight="1">
      <c r="A867" s="197"/>
      <c r="B867" s="87"/>
      <c r="C867" s="87"/>
      <c r="D867" s="196"/>
      <c r="E867" s="108"/>
      <c r="F867" s="196"/>
      <c r="G867" s="87"/>
      <c r="H867" s="197"/>
      <c r="I867" s="89"/>
      <c r="J867" s="204"/>
      <c r="K867" s="87"/>
      <c r="L867" s="87" t="str" cm="1">
        <f t="array" ref="L867">IF($A867="","",_xlfn.LET(_xlpm.stat,CHOOSE({1,2,3,4,5},$P867,$T867,$X867,$AB867,$AF867),_xlpm.rate,CHOOSE({1,2,3,4,5},$R867,$V867,$Z867,$AD867,$AH867),_xlpm.trn,CHOOSE({1,2,3,4,5},$S867,$W867,$AA867,$AE867,$AI867),_xlpm.nsC,SUMPRODUCT(--(_xlpm.stat="Ready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DLR",IF(AND(_xlpm.actRS&gt;0,_xlpm.actDone&lt;_xlpm.actRS),"Training",IF(_xlpm.actRS&gt;0,"Active",IF(AND(_xlpm.decC&gt;0,_xlpm.inPlay+_xlpm.actC=0),"Dead",IF(AND($AJ867&lt;&gt;"",$AK867=FALSE),"Waiting on Dealer",IF(_xlpm.subC&gt;0,"Waiting on Lender",IF(AND(_xlpm.appC+_xlpm.actC&gt;0,_xlpm.nsC+_xlpm.wdC=0),"Rate Sheet","Application Submitted")))))))))</f>
        <v/>
      </c>
      <c r="M867" s="87"/>
      <c r="N867" s="87"/>
      <c r="O867" s="197"/>
      <c r="P867" s="87" t="str">
        <f>IF($A867="","",IF($AK867=TRUE,"Ready 2 Submit","Waiting on Dealer"))</f>
        <v/>
      </c>
      <c r="Q867" s="148"/>
      <c r="R867" s="87"/>
      <c r="S867" s="87"/>
      <c r="T867" s="87" t="str">
        <f>IF($A867="","",IF($AK867=TRUE,"Ready 2 Submit","Waiting on Dealer"))</f>
        <v/>
      </c>
      <c r="U867" s="148"/>
      <c r="V867" s="87"/>
      <c r="W867" s="87"/>
      <c r="X867" s="87" t="str">
        <f>IF($A867="","",IF($AK867=TRUE,"Ready 2 Submit","Waiting on Dealer"))</f>
        <v/>
      </c>
      <c r="Y867" s="148"/>
      <c r="Z867" s="87"/>
      <c r="AA867" s="87"/>
      <c r="AB867" s="87" t="str">
        <f>IF($A867="","",IF($AK867=TRUE,"Ready 2 Submit","Waiting on Dealer"))</f>
        <v/>
      </c>
      <c r="AC867" s="148"/>
      <c r="AD867" s="87"/>
      <c r="AE867" s="87"/>
      <c r="AF867" s="87" t="str">
        <f>IF($A867="","",IF($AK867=TRUE,"Ready 2 Submit","Waiting on Dealer"))</f>
        <v/>
      </c>
      <c r="AG867" s="148"/>
      <c r="AH867" s="87"/>
      <c r="AI867" s="87"/>
      <c r="AJ867" s="197"/>
      <c r="AK867" s="110" t="b">
        <v>0</v>
      </c>
      <c r="AL867" s="87" t="str" cm="1">
        <f t="array" ref="AL867">IF($A867="","",SUMPRODUCT((CHOOSE({1,2,3,4,5},$R867,$V867,$Z867,$AD867,$AH867)="Yes")*(((CHOOSE({1,2,3,4,5},$S867,$W867,$AA867,$AE867,$AI867)="Yes")+(CHOOSE({1,2,3,4,5},$S867,$W867,$AA867,$AE867,$AI867)=TRUE))&gt;0)))</f>
        <v/>
      </c>
      <c r="AM867" s="87"/>
      <c r="AN867" s="87" t="str">
        <f ca="1">IF(OR($A867="",$AM867=""),"",TODAY()-$AM867)</f>
        <v/>
      </c>
      <c r="AO867" s="87"/>
      <c r="AP867" s="106"/>
      <c r="AQ867" s="106"/>
      <c r="AR867" s="106"/>
      <c r="AS867" s="106"/>
      <c r="AT867" s="106"/>
      <c r="AU867" s="106"/>
      <c r="AV867" s="106"/>
      <c r="AW867" s="106"/>
      <c r="AX867" s="106"/>
      <c r="AY867" s="106"/>
    </row>
    <row r="868" spans="1:51" s="20" customFormat="1" ht="21" customHeight="1">
      <c r="A868" s="197"/>
      <c r="B868" s="87"/>
      <c r="C868" s="87"/>
      <c r="D868" s="196"/>
      <c r="E868" s="108"/>
      <c r="F868" s="196"/>
      <c r="G868" s="87"/>
      <c r="H868" s="197"/>
      <c r="I868" s="89"/>
      <c r="J868" s="204"/>
      <c r="K868" s="87"/>
      <c r="L868" s="87" t="str" cm="1">
        <f t="array" ref="L868">IF($A868="","",_xlfn.LET(_xlpm.stat,CHOOSE({1,2,3,4,5},$P868,$T868,$X868,$AB868,$AF868),_xlpm.rate,CHOOSE({1,2,3,4,5},$R868,$V868,$Z868,$AD868,$AH868),_xlpm.trn,CHOOSE({1,2,3,4,5},$S868,$W868,$AA868,$AE868,$AI868),_xlpm.nsC,SUMPRODUCT(--(_xlpm.stat="Ready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DLR",IF(AND(_xlpm.actRS&gt;0,_xlpm.actDone&lt;_xlpm.actRS),"Training",IF(_xlpm.actRS&gt;0,"Active",IF(AND(_xlpm.decC&gt;0,_xlpm.inPlay+_xlpm.actC=0),"Dead",IF(AND($AJ868&lt;&gt;"",$AK868=FALSE),"Waiting on Dealer",IF(_xlpm.subC&gt;0,"Waiting on Lender",IF(AND(_xlpm.appC+_xlpm.actC&gt;0,_xlpm.nsC+_xlpm.wdC=0),"Rate Sheet","Application Submitted")))))))))</f>
        <v/>
      </c>
      <c r="M868" s="87"/>
      <c r="N868" s="87"/>
      <c r="O868" s="197"/>
      <c r="P868" s="87" t="str">
        <f>IF($A868="","",IF($AK868=TRUE,"Ready 2 Submit","Waiting on Dealer"))</f>
        <v/>
      </c>
      <c r="Q868" s="148"/>
      <c r="R868" s="87"/>
      <c r="S868" s="87"/>
      <c r="T868" s="87" t="str">
        <f>IF($A868="","",IF($AK868=TRUE,"Ready 2 Submit","Waiting on Dealer"))</f>
        <v/>
      </c>
      <c r="U868" s="148"/>
      <c r="V868" s="87"/>
      <c r="W868" s="87"/>
      <c r="X868" s="87" t="str">
        <f>IF($A868="","",IF($AK868=TRUE,"Ready 2 Submit","Waiting on Dealer"))</f>
        <v/>
      </c>
      <c r="Y868" s="148"/>
      <c r="Z868" s="87"/>
      <c r="AA868" s="87"/>
      <c r="AB868" s="87" t="str">
        <f>IF($A868="","",IF($AK868=TRUE,"Ready 2 Submit","Waiting on Dealer"))</f>
        <v/>
      </c>
      <c r="AC868" s="148"/>
      <c r="AD868" s="87"/>
      <c r="AE868" s="87"/>
      <c r="AF868" s="87" t="str">
        <f>IF($A868="","",IF($AK868=TRUE,"Ready 2 Submit","Waiting on Dealer"))</f>
        <v/>
      </c>
      <c r="AG868" s="148"/>
      <c r="AH868" s="87"/>
      <c r="AI868" s="87"/>
      <c r="AJ868" s="197"/>
      <c r="AK868" s="110" t="b">
        <v>0</v>
      </c>
      <c r="AL868" s="87" t="str" cm="1">
        <f t="array" ref="AL868">IF($A868="","",SUMPRODUCT((CHOOSE({1,2,3,4,5},$R868,$V868,$Z868,$AD868,$AH868)="Yes")*(((CHOOSE({1,2,3,4,5},$S868,$W868,$AA868,$AE868,$AI868)="Yes")+(CHOOSE({1,2,3,4,5},$S868,$W868,$AA868,$AE868,$AI868)=TRUE))&gt;0)))</f>
        <v/>
      </c>
      <c r="AM868" s="87"/>
      <c r="AN868" s="87" t="str">
        <f ca="1">IF(OR($A868="",$AM868=""),"",TODAY()-$AM868)</f>
        <v/>
      </c>
      <c r="AO868" s="87"/>
      <c r="AP868" s="106"/>
      <c r="AQ868" s="106"/>
      <c r="AR868" s="106"/>
      <c r="AS868" s="106"/>
      <c r="AT868" s="106"/>
      <c r="AU868" s="106"/>
      <c r="AV868" s="106"/>
      <c r="AW868" s="106"/>
      <c r="AX868" s="106"/>
      <c r="AY868" s="106"/>
    </row>
    <row r="869" spans="1:51" s="20" customFormat="1" ht="21" customHeight="1">
      <c r="A869" s="197"/>
      <c r="B869" s="87"/>
      <c r="C869" s="87"/>
      <c r="D869" s="196"/>
      <c r="E869" s="108"/>
      <c r="F869" s="196"/>
      <c r="G869" s="87"/>
      <c r="H869" s="197"/>
      <c r="I869" s="89"/>
      <c r="J869" s="204"/>
      <c r="K869" s="87"/>
      <c r="L869" s="87" t="str" cm="1">
        <f t="array" ref="L869">IF($A869="","",_xlfn.LET(_xlpm.stat,CHOOSE({1,2,3,4,5},$P869,$T869,$X869,$AB869,$AF869),_xlpm.rate,CHOOSE({1,2,3,4,5},$R869,$V869,$Z869,$AD869,$AH869),_xlpm.trn,CHOOSE({1,2,3,4,5},$S869,$W869,$AA869,$AE869,$AI869),_xlpm.nsC,SUMPRODUCT(--(_xlpm.stat="Ready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DLR",IF(AND(_xlpm.actRS&gt;0,_xlpm.actDone&lt;_xlpm.actRS),"Training",IF(_xlpm.actRS&gt;0,"Active",IF(AND(_xlpm.decC&gt;0,_xlpm.inPlay+_xlpm.actC=0),"Dead",IF(AND($AJ869&lt;&gt;"",$AK869=FALSE),"Waiting on Dealer",IF(_xlpm.subC&gt;0,"Waiting on Lender",IF(AND(_xlpm.appC+_xlpm.actC&gt;0,_xlpm.nsC+_xlpm.wdC=0),"Rate Sheet","Application Submitted")))))))))</f>
        <v/>
      </c>
      <c r="M869" s="87"/>
      <c r="N869" s="87"/>
      <c r="O869" s="197"/>
      <c r="P869" s="87" t="str">
        <f>IF($A869="","",IF($AK869=TRUE,"Ready 2 Submit","Waiting on Dealer"))</f>
        <v/>
      </c>
      <c r="Q869" s="148"/>
      <c r="R869" s="87"/>
      <c r="S869" s="87"/>
      <c r="T869" s="87" t="str">
        <f>IF($A869="","",IF($AK869=TRUE,"Ready 2 Submit","Waiting on Dealer"))</f>
        <v/>
      </c>
      <c r="U869" s="148"/>
      <c r="V869" s="87"/>
      <c r="W869" s="87"/>
      <c r="X869" s="87" t="str">
        <f>IF($A869="","",IF($AK869=TRUE,"Ready 2 Submit","Waiting on Dealer"))</f>
        <v/>
      </c>
      <c r="Y869" s="148"/>
      <c r="Z869" s="87"/>
      <c r="AA869" s="87"/>
      <c r="AB869" s="87" t="str">
        <f>IF($A869="","",IF($AK869=TRUE,"Ready 2 Submit","Waiting on Dealer"))</f>
        <v/>
      </c>
      <c r="AC869" s="148"/>
      <c r="AD869" s="87"/>
      <c r="AE869" s="87"/>
      <c r="AF869" s="87" t="str">
        <f>IF($A869="","",IF($AK869=TRUE,"Ready 2 Submit","Waiting on Dealer"))</f>
        <v/>
      </c>
      <c r="AG869" s="148"/>
      <c r="AH869" s="87"/>
      <c r="AI869" s="87"/>
      <c r="AJ869" s="197"/>
      <c r="AK869" s="110" t="b">
        <v>0</v>
      </c>
      <c r="AL869" s="87" t="str" cm="1">
        <f t="array" ref="AL869">IF($A869="","",SUMPRODUCT((CHOOSE({1,2,3,4,5},$R869,$V869,$Z869,$AD869,$AH869)="Yes")*(((CHOOSE({1,2,3,4,5},$S869,$W869,$AA869,$AE869,$AI869)="Yes")+(CHOOSE({1,2,3,4,5},$S869,$W869,$AA869,$AE869,$AI869)=TRUE))&gt;0)))</f>
        <v/>
      </c>
      <c r="AM869" s="87"/>
      <c r="AN869" s="87" t="str">
        <f ca="1">IF(OR($A869="",$AM869=""),"",TODAY()-$AM869)</f>
        <v/>
      </c>
      <c r="AO869" s="87"/>
      <c r="AP869" s="106"/>
      <c r="AQ869" s="106"/>
      <c r="AR869" s="106"/>
      <c r="AS869" s="106"/>
      <c r="AT869" s="106"/>
      <c r="AU869" s="106"/>
      <c r="AV869" s="106"/>
      <c r="AW869" s="106"/>
      <c r="AX869" s="106"/>
      <c r="AY869" s="106"/>
    </row>
    <row r="870" spans="1:51" s="20" customFormat="1" ht="21" customHeight="1">
      <c r="A870" s="197"/>
      <c r="B870" s="87"/>
      <c r="C870" s="87"/>
      <c r="D870" s="196"/>
      <c r="E870" s="108"/>
      <c r="F870" s="196"/>
      <c r="G870" s="87"/>
      <c r="H870" s="197"/>
      <c r="I870" s="89"/>
      <c r="J870" s="204"/>
      <c r="K870" s="87"/>
      <c r="L870" s="87" t="str" cm="1">
        <f t="array" ref="L870">IF($A870="","",_xlfn.LET(_xlpm.stat,CHOOSE({1,2,3,4,5},$P870,$T870,$X870,$AB870,$AF870),_xlpm.rate,CHOOSE({1,2,3,4,5},$R870,$V870,$Z870,$AD870,$AH870),_xlpm.trn,CHOOSE({1,2,3,4,5},$S870,$W870,$AA870,$AE870,$AI870),_xlpm.nsC,SUMPRODUCT(--(_xlpm.stat="Ready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DLR",IF(AND(_xlpm.actRS&gt;0,_xlpm.actDone&lt;_xlpm.actRS),"Training",IF(_xlpm.actRS&gt;0,"Active",IF(AND(_xlpm.decC&gt;0,_xlpm.inPlay+_xlpm.actC=0),"Dead",IF(AND($AJ870&lt;&gt;"",$AK870=FALSE),"Waiting on Dealer",IF(_xlpm.subC&gt;0,"Waiting on Lender",IF(AND(_xlpm.appC+_xlpm.actC&gt;0,_xlpm.nsC+_xlpm.wdC=0),"Rate Sheet","Application Submitted")))))))))</f>
        <v/>
      </c>
      <c r="M870" s="87"/>
      <c r="N870" s="87"/>
      <c r="O870" s="197"/>
      <c r="P870" s="87" t="str">
        <f>IF($A870="","",IF($AK870=TRUE,"Ready 2 Submit","Waiting on Dealer"))</f>
        <v/>
      </c>
      <c r="Q870" s="148"/>
      <c r="R870" s="87"/>
      <c r="S870" s="87"/>
      <c r="T870" s="87" t="str">
        <f>IF($A870="","",IF($AK870=TRUE,"Ready 2 Submit","Waiting on Dealer"))</f>
        <v/>
      </c>
      <c r="U870" s="148"/>
      <c r="V870" s="87"/>
      <c r="W870" s="87"/>
      <c r="X870" s="87" t="str">
        <f>IF($A870="","",IF($AK870=TRUE,"Ready 2 Submit","Waiting on Dealer"))</f>
        <v/>
      </c>
      <c r="Y870" s="148"/>
      <c r="Z870" s="87"/>
      <c r="AA870" s="87"/>
      <c r="AB870" s="87" t="str">
        <f>IF($A870="","",IF($AK870=TRUE,"Ready 2 Submit","Waiting on Dealer"))</f>
        <v/>
      </c>
      <c r="AC870" s="148"/>
      <c r="AD870" s="87"/>
      <c r="AE870" s="87"/>
      <c r="AF870" s="87" t="str">
        <f>IF($A870="","",IF($AK870=TRUE,"Ready 2 Submit","Waiting on Dealer"))</f>
        <v/>
      </c>
      <c r="AG870" s="148"/>
      <c r="AH870" s="87"/>
      <c r="AI870" s="87"/>
      <c r="AJ870" s="197"/>
      <c r="AK870" s="110" t="b">
        <v>0</v>
      </c>
      <c r="AL870" s="87" t="str" cm="1">
        <f t="array" ref="AL870">IF($A870="","",SUMPRODUCT((CHOOSE({1,2,3,4,5},$R870,$V870,$Z870,$AD870,$AH870)="Yes")*(((CHOOSE({1,2,3,4,5},$S870,$W870,$AA870,$AE870,$AI870)="Yes")+(CHOOSE({1,2,3,4,5},$S870,$W870,$AA870,$AE870,$AI870)=TRUE))&gt;0)))</f>
        <v/>
      </c>
      <c r="AM870" s="87"/>
      <c r="AN870" s="87" t="str">
        <f ca="1">IF(OR($A870="",$AM870=""),"",TODAY()-$AM870)</f>
        <v/>
      </c>
      <c r="AO870" s="87"/>
      <c r="AP870" s="106"/>
      <c r="AQ870" s="106"/>
      <c r="AR870" s="106"/>
      <c r="AS870" s="106"/>
      <c r="AT870" s="106"/>
      <c r="AU870" s="106"/>
      <c r="AV870" s="106"/>
      <c r="AW870" s="106"/>
      <c r="AX870" s="106"/>
      <c r="AY870" s="106"/>
    </row>
    <row r="871" spans="1:51" s="20" customFormat="1" ht="21" customHeight="1">
      <c r="A871" s="197"/>
      <c r="B871" s="87"/>
      <c r="C871" s="87"/>
      <c r="D871" s="196"/>
      <c r="E871" s="108"/>
      <c r="F871" s="196"/>
      <c r="G871" s="87"/>
      <c r="H871" s="197"/>
      <c r="I871" s="89"/>
      <c r="J871" s="204"/>
      <c r="K871" s="87"/>
      <c r="L871" s="87" t="str" cm="1">
        <f t="array" ref="L871">IF($A871="","",_xlfn.LET(_xlpm.stat,CHOOSE({1,2,3,4,5},$P871,$T871,$X871,$AB871,$AF871),_xlpm.rate,CHOOSE({1,2,3,4,5},$R871,$V871,$Z871,$AD871,$AH871),_xlpm.trn,CHOOSE({1,2,3,4,5},$S871,$W871,$AA871,$AE871,$AI871),_xlpm.nsC,SUMPRODUCT(--(_xlpm.stat="Ready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DLR",IF(AND(_xlpm.actRS&gt;0,_xlpm.actDone&lt;_xlpm.actRS),"Training",IF(_xlpm.actRS&gt;0,"Active",IF(AND(_xlpm.decC&gt;0,_xlpm.inPlay+_xlpm.actC=0),"Dead",IF(AND($AJ871&lt;&gt;"",$AK871=FALSE),"Waiting on Dealer",IF(_xlpm.subC&gt;0,"Waiting on Lender",IF(AND(_xlpm.appC+_xlpm.actC&gt;0,_xlpm.nsC+_xlpm.wdC=0),"Rate Sheet","Application Submitted")))))))))</f>
        <v/>
      </c>
      <c r="M871" s="87"/>
      <c r="N871" s="87"/>
      <c r="O871" s="197"/>
      <c r="P871" s="87" t="str">
        <f>IF($A871="","",IF($AK871=TRUE,"Ready 2 Submit","Waiting on Dealer"))</f>
        <v/>
      </c>
      <c r="Q871" s="148"/>
      <c r="R871" s="87"/>
      <c r="S871" s="87"/>
      <c r="T871" s="87" t="str">
        <f>IF($A871="","",IF($AK871=TRUE,"Ready 2 Submit","Waiting on Dealer"))</f>
        <v/>
      </c>
      <c r="U871" s="148"/>
      <c r="V871" s="87"/>
      <c r="W871" s="87"/>
      <c r="X871" s="87" t="str">
        <f>IF($A871="","",IF($AK871=TRUE,"Ready 2 Submit","Waiting on Dealer"))</f>
        <v/>
      </c>
      <c r="Y871" s="148"/>
      <c r="Z871" s="87"/>
      <c r="AA871" s="87"/>
      <c r="AB871" s="87" t="str">
        <f>IF($A871="","",IF($AK871=TRUE,"Ready 2 Submit","Waiting on Dealer"))</f>
        <v/>
      </c>
      <c r="AC871" s="148"/>
      <c r="AD871" s="87"/>
      <c r="AE871" s="87"/>
      <c r="AF871" s="87" t="str">
        <f>IF($A871="","",IF($AK871=TRUE,"Ready 2 Submit","Waiting on Dealer"))</f>
        <v/>
      </c>
      <c r="AG871" s="148"/>
      <c r="AH871" s="87"/>
      <c r="AI871" s="87"/>
      <c r="AJ871" s="197"/>
      <c r="AK871" s="110" t="b">
        <v>0</v>
      </c>
      <c r="AL871" s="87" t="str" cm="1">
        <f t="array" ref="AL871">IF($A871="","",SUMPRODUCT((CHOOSE({1,2,3,4,5},$R871,$V871,$Z871,$AD871,$AH871)="Yes")*(((CHOOSE({1,2,3,4,5},$S871,$W871,$AA871,$AE871,$AI871)="Yes")+(CHOOSE({1,2,3,4,5},$S871,$W871,$AA871,$AE871,$AI871)=TRUE))&gt;0)))</f>
        <v/>
      </c>
      <c r="AM871" s="87"/>
      <c r="AN871" s="87" t="str">
        <f ca="1">IF(OR($A871="",$AM871=""),"",TODAY()-$AM871)</f>
        <v/>
      </c>
      <c r="AO871" s="87"/>
      <c r="AP871" s="106"/>
      <c r="AQ871" s="106"/>
      <c r="AR871" s="106"/>
      <c r="AS871" s="106"/>
      <c r="AT871" s="106"/>
      <c r="AU871" s="106"/>
      <c r="AV871" s="106"/>
      <c r="AW871" s="106"/>
      <c r="AX871" s="106"/>
      <c r="AY871" s="106"/>
    </row>
    <row r="872" spans="1:51" s="20" customFormat="1" ht="21" customHeight="1">
      <c r="A872" s="197"/>
      <c r="B872" s="87"/>
      <c r="C872" s="87"/>
      <c r="D872" s="196"/>
      <c r="E872" s="108"/>
      <c r="F872" s="196"/>
      <c r="G872" s="87"/>
      <c r="H872" s="197"/>
      <c r="I872" s="89"/>
      <c r="J872" s="204"/>
      <c r="K872" s="87"/>
      <c r="L872" s="87" t="str" cm="1">
        <f t="array" ref="L872">IF($A872="","",_xlfn.LET(_xlpm.stat,CHOOSE({1,2,3,4,5},$P872,$T872,$X872,$AB872,$AF872),_xlpm.rate,CHOOSE({1,2,3,4,5},$R872,$V872,$Z872,$AD872,$AH872),_xlpm.trn,CHOOSE({1,2,3,4,5},$S872,$W872,$AA872,$AE872,$AI872),_xlpm.nsC,SUMPRODUCT(--(_xlpm.stat="Ready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DLR",IF(AND(_xlpm.actRS&gt;0,_xlpm.actDone&lt;_xlpm.actRS),"Training",IF(_xlpm.actRS&gt;0,"Active",IF(AND(_xlpm.decC&gt;0,_xlpm.inPlay+_xlpm.actC=0),"Dead",IF(AND($AJ872&lt;&gt;"",$AK872=FALSE),"Waiting on Dealer",IF(_xlpm.subC&gt;0,"Waiting on Lender",IF(AND(_xlpm.appC+_xlpm.actC&gt;0,_xlpm.nsC+_xlpm.wdC=0),"Rate Sheet","Application Submitted")))))))))</f>
        <v/>
      </c>
      <c r="M872" s="87"/>
      <c r="N872" s="87"/>
      <c r="O872" s="197"/>
      <c r="P872" s="87" t="str">
        <f>IF($A872="","",IF($AK872=TRUE,"Ready 2 Submit","Waiting on Dealer"))</f>
        <v/>
      </c>
      <c r="Q872" s="148"/>
      <c r="R872" s="87"/>
      <c r="S872" s="87"/>
      <c r="T872" s="87" t="str">
        <f>IF($A872="","",IF($AK872=TRUE,"Ready 2 Submit","Waiting on Dealer"))</f>
        <v/>
      </c>
      <c r="U872" s="148"/>
      <c r="V872" s="87"/>
      <c r="W872" s="87"/>
      <c r="X872" s="87" t="str">
        <f>IF($A872="","",IF($AK872=TRUE,"Ready 2 Submit","Waiting on Dealer"))</f>
        <v/>
      </c>
      <c r="Y872" s="148"/>
      <c r="Z872" s="87"/>
      <c r="AA872" s="87"/>
      <c r="AB872" s="87" t="str">
        <f>IF($A872="","",IF($AK872=TRUE,"Ready 2 Submit","Waiting on Dealer"))</f>
        <v/>
      </c>
      <c r="AC872" s="148"/>
      <c r="AD872" s="87"/>
      <c r="AE872" s="87"/>
      <c r="AF872" s="87" t="str">
        <f>IF($A872="","",IF($AK872=TRUE,"Ready 2 Submit","Waiting on Dealer"))</f>
        <v/>
      </c>
      <c r="AG872" s="148"/>
      <c r="AH872" s="87"/>
      <c r="AI872" s="87"/>
      <c r="AJ872" s="197"/>
      <c r="AK872" s="110" t="b">
        <v>0</v>
      </c>
      <c r="AL872" s="87" t="str" cm="1">
        <f t="array" ref="AL872">IF($A872="","",SUMPRODUCT((CHOOSE({1,2,3,4,5},$R872,$V872,$Z872,$AD872,$AH872)="Yes")*(((CHOOSE({1,2,3,4,5},$S872,$W872,$AA872,$AE872,$AI872)="Yes")+(CHOOSE({1,2,3,4,5},$S872,$W872,$AA872,$AE872,$AI872)=TRUE))&gt;0)))</f>
        <v/>
      </c>
      <c r="AM872" s="87"/>
      <c r="AN872" s="87" t="str">
        <f ca="1">IF(OR($A872="",$AM872=""),"",TODAY()-$AM872)</f>
        <v/>
      </c>
      <c r="AO872" s="87"/>
      <c r="AP872" s="106"/>
      <c r="AQ872" s="106"/>
      <c r="AR872" s="106"/>
      <c r="AS872" s="106"/>
      <c r="AT872" s="106"/>
      <c r="AU872" s="106"/>
      <c r="AV872" s="106"/>
      <c r="AW872" s="106"/>
      <c r="AX872" s="106"/>
      <c r="AY872" s="106"/>
    </row>
    <row r="873" spans="1:51" s="20" customFormat="1" ht="21" customHeight="1">
      <c r="A873" s="197"/>
      <c r="B873" s="87"/>
      <c r="C873" s="87"/>
      <c r="D873" s="196"/>
      <c r="E873" s="108"/>
      <c r="F873" s="196"/>
      <c r="G873" s="87"/>
      <c r="H873" s="197"/>
      <c r="I873" s="89"/>
      <c r="J873" s="204"/>
      <c r="K873" s="87"/>
      <c r="L873" s="87" t="str" cm="1">
        <f t="array" ref="L873">IF($A873="","",_xlfn.LET(_xlpm.stat,CHOOSE({1,2,3,4,5},$P873,$T873,$X873,$AB873,$AF873),_xlpm.rate,CHOOSE({1,2,3,4,5},$R873,$V873,$Z873,$AD873,$AH873),_xlpm.trn,CHOOSE({1,2,3,4,5},$S873,$W873,$AA873,$AE873,$AI873),_xlpm.nsC,SUMPRODUCT(--(_xlpm.stat="Ready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DLR",IF(AND(_xlpm.actRS&gt;0,_xlpm.actDone&lt;_xlpm.actRS),"Training",IF(_xlpm.actRS&gt;0,"Active",IF(AND(_xlpm.decC&gt;0,_xlpm.inPlay+_xlpm.actC=0),"Dead",IF(AND($AJ873&lt;&gt;"",$AK873=FALSE),"Waiting on Dealer",IF(_xlpm.subC&gt;0,"Waiting on Lender",IF(AND(_xlpm.appC+_xlpm.actC&gt;0,_xlpm.nsC+_xlpm.wdC=0),"Rate Sheet","Application Submitted")))))))))</f>
        <v/>
      </c>
      <c r="M873" s="87"/>
      <c r="N873" s="87"/>
      <c r="O873" s="197"/>
      <c r="P873" s="87" t="str">
        <f>IF($A873="","",IF($AK873=TRUE,"Ready 2 Submit","Waiting on Dealer"))</f>
        <v/>
      </c>
      <c r="Q873" s="148"/>
      <c r="R873" s="87"/>
      <c r="S873" s="87"/>
      <c r="T873" s="87" t="str">
        <f>IF($A873="","",IF($AK873=TRUE,"Ready 2 Submit","Waiting on Dealer"))</f>
        <v/>
      </c>
      <c r="U873" s="148"/>
      <c r="V873" s="87"/>
      <c r="W873" s="87"/>
      <c r="X873" s="87" t="str">
        <f>IF($A873="","",IF($AK873=TRUE,"Ready 2 Submit","Waiting on Dealer"))</f>
        <v/>
      </c>
      <c r="Y873" s="148"/>
      <c r="Z873" s="87"/>
      <c r="AA873" s="87"/>
      <c r="AB873" s="87" t="str">
        <f>IF($A873="","",IF($AK873=TRUE,"Ready 2 Submit","Waiting on Dealer"))</f>
        <v/>
      </c>
      <c r="AC873" s="148"/>
      <c r="AD873" s="87"/>
      <c r="AE873" s="87"/>
      <c r="AF873" s="87" t="str">
        <f>IF($A873="","",IF($AK873=TRUE,"Ready 2 Submit","Waiting on Dealer"))</f>
        <v/>
      </c>
      <c r="AG873" s="148"/>
      <c r="AH873" s="87"/>
      <c r="AI873" s="87"/>
      <c r="AJ873" s="197"/>
      <c r="AK873" s="110" t="b">
        <v>0</v>
      </c>
      <c r="AL873" s="87" t="str" cm="1">
        <f t="array" ref="AL873">IF($A873="","",SUMPRODUCT((CHOOSE({1,2,3,4,5},$R873,$V873,$Z873,$AD873,$AH873)="Yes")*(((CHOOSE({1,2,3,4,5},$S873,$W873,$AA873,$AE873,$AI873)="Yes")+(CHOOSE({1,2,3,4,5},$S873,$W873,$AA873,$AE873,$AI873)=TRUE))&gt;0)))</f>
        <v/>
      </c>
      <c r="AM873" s="87"/>
      <c r="AN873" s="87" t="str">
        <f ca="1">IF(OR($A873="",$AM873=""),"",TODAY()-$AM873)</f>
        <v/>
      </c>
      <c r="AO873" s="87"/>
      <c r="AP873" s="106"/>
      <c r="AQ873" s="106"/>
      <c r="AR873" s="106"/>
      <c r="AS873" s="106"/>
      <c r="AT873" s="106"/>
      <c r="AU873" s="106"/>
      <c r="AV873" s="106"/>
      <c r="AW873" s="106"/>
      <c r="AX873" s="106"/>
      <c r="AY873" s="106"/>
    </row>
    <row r="874" spans="1:51" s="20" customFormat="1" ht="21" customHeight="1">
      <c r="A874" s="197"/>
      <c r="B874" s="87"/>
      <c r="C874" s="87"/>
      <c r="D874" s="196"/>
      <c r="E874" s="108"/>
      <c r="F874" s="196"/>
      <c r="G874" s="87"/>
      <c r="H874" s="197"/>
      <c r="I874" s="89"/>
      <c r="J874" s="204"/>
      <c r="K874" s="87"/>
      <c r="L874" s="87" t="str" cm="1">
        <f t="array" ref="L874">IF($A874="","",_xlfn.LET(_xlpm.stat,CHOOSE({1,2,3,4,5},$P874,$T874,$X874,$AB874,$AF874),_xlpm.rate,CHOOSE({1,2,3,4,5},$R874,$V874,$Z874,$AD874,$AH874),_xlpm.trn,CHOOSE({1,2,3,4,5},$S874,$W874,$AA874,$AE874,$AI874),_xlpm.nsC,SUMPRODUCT(--(_xlpm.stat="Ready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DLR",IF(AND(_xlpm.actRS&gt;0,_xlpm.actDone&lt;_xlpm.actRS),"Training",IF(_xlpm.actRS&gt;0,"Active",IF(AND(_xlpm.decC&gt;0,_xlpm.inPlay+_xlpm.actC=0),"Dead",IF(AND($AJ874&lt;&gt;"",$AK874=FALSE),"Waiting on Dealer",IF(_xlpm.subC&gt;0,"Waiting on Lender",IF(AND(_xlpm.appC+_xlpm.actC&gt;0,_xlpm.nsC+_xlpm.wdC=0),"Rate Sheet","Application Submitted")))))))))</f>
        <v/>
      </c>
      <c r="M874" s="87"/>
      <c r="N874" s="87"/>
      <c r="O874" s="197"/>
      <c r="P874" s="87" t="str">
        <f>IF($A874="","",IF($AK874=TRUE,"Ready 2 Submit","Waiting on Dealer"))</f>
        <v/>
      </c>
      <c r="Q874" s="148"/>
      <c r="R874" s="87"/>
      <c r="S874" s="87"/>
      <c r="T874" s="87" t="str">
        <f>IF($A874="","",IF($AK874=TRUE,"Ready 2 Submit","Waiting on Dealer"))</f>
        <v/>
      </c>
      <c r="U874" s="148"/>
      <c r="V874" s="87"/>
      <c r="W874" s="87"/>
      <c r="X874" s="87" t="str">
        <f>IF($A874="","",IF($AK874=TRUE,"Ready 2 Submit","Waiting on Dealer"))</f>
        <v/>
      </c>
      <c r="Y874" s="148"/>
      <c r="Z874" s="87"/>
      <c r="AA874" s="87"/>
      <c r="AB874" s="87" t="str">
        <f>IF($A874="","",IF($AK874=TRUE,"Ready 2 Submit","Waiting on Dealer"))</f>
        <v/>
      </c>
      <c r="AC874" s="148"/>
      <c r="AD874" s="87"/>
      <c r="AE874" s="87"/>
      <c r="AF874" s="87" t="str">
        <f>IF($A874="","",IF($AK874=TRUE,"Ready 2 Submit","Waiting on Dealer"))</f>
        <v/>
      </c>
      <c r="AG874" s="148"/>
      <c r="AH874" s="87"/>
      <c r="AI874" s="87"/>
      <c r="AJ874" s="197"/>
      <c r="AK874" s="110" t="b">
        <v>0</v>
      </c>
      <c r="AL874" s="87" t="str" cm="1">
        <f t="array" ref="AL874">IF($A874="","",SUMPRODUCT((CHOOSE({1,2,3,4,5},$R874,$V874,$Z874,$AD874,$AH874)="Yes")*(((CHOOSE({1,2,3,4,5},$S874,$W874,$AA874,$AE874,$AI874)="Yes")+(CHOOSE({1,2,3,4,5},$S874,$W874,$AA874,$AE874,$AI874)=TRUE))&gt;0)))</f>
        <v/>
      </c>
      <c r="AM874" s="87"/>
      <c r="AN874" s="87" t="str">
        <f ca="1">IF(OR($A874="",$AM874=""),"",TODAY()-$AM874)</f>
        <v/>
      </c>
      <c r="AO874" s="87"/>
      <c r="AP874" s="106"/>
      <c r="AQ874" s="106"/>
      <c r="AR874" s="106"/>
      <c r="AS874" s="106"/>
      <c r="AT874" s="106"/>
      <c r="AU874" s="106"/>
      <c r="AV874" s="106"/>
      <c r="AW874" s="106"/>
      <c r="AX874" s="106"/>
      <c r="AY874" s="106"/>
    </row>
    <row r="875" spans="1:51" s="20" customFormat="1" ht="21" customHeight="1">
      <c r="A875" s="197"/>
      <c r="B875" s="87"/>
      <c r="C875" s="87"/>
      <c r="D875" s="196"/>
      <c r="E875" s="108"/>
      <c r="F875" s="196"/>
      <c r="G875" s="87"/>
      <c r="H875" s="197"/>
      <c r="I875" s="89"/>
      <c r="J875" s="204"/>
      <c r="K875" s="87"/>
      <c r="L875" s="87" t="str" cm="1">
        <f t="array" ref="L875">IF($A875="","",_xlfn.LET(_xlpm.stat,CHOOSE({1,2,3,4,5},$P875,$T875,$X875,$AB875,$AF875),_xlpm.rate,CHOOSE({1,2,3,4,5},$R875,$V875,$Z875,$AD875,$AH875),_xlpm.trn,CHOOSE({1,2,3,4,5},$S875,$W875,$AA875,$AE875,$AI875),_xlpm.nsC,SUMPRODUCT(--(_xlpm.stat="Ready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DLR",IF(AND(_xlpm.actRS&gt;0,_xlpm.actDone&lt;_xlpm.actRS),"Training",IF(_xlpm.actRS&gt;0,"Active",IF(AND(_xlpm.decC&gt;0,_xlpm.inPlay+_xlpm.actC=0),"Dead",IF(AND($AJ875&lt;&gt;"",$AK875=FALSE),"Waiting on Dealer",IF(_xlpm.subC&gt;0,"Waiting on Lender",IF(AND(_xlpm.appC+_xlpm.actC&gt;0,_xlpm.nsC+_xlpm.wdC=0),"Rate Sheet","Application Submitted")))))))))</f>
        <v/>
      </c>
      <c r="M875" s="87"/>
      <c r="N875" s="87"/>
      <c r="O875" s="197"/>
      <c r="P875" s="87" t="str">
        <f>IF($A875="","",IF($AK875=TRUE,"Ready 2 Submit","Waiting on Dealer"))</f>
        <v/>
      </c>
      <c r="Q875" s="148"/>
      <c r="R875" s="87"/>
      <c r="S875" s="87"/>
      <c r="T875" s="87" t="str">
        <f>IF($A875="","",IF($AK875=TRUE,"Ready 2 Submit","Waiting on Dealer"))</f>
        <v/>
      </c>
      <c r="U875" s="148"/>
      <c r="V875" s="87"/>
      <c r="W875" s="87"/>
      <c r="X875" s="87" t="str">
        <f>IF($A875="","",IF($AK875=TRUE,"Ready 2 Submit","Waiting on Dealer"))</f>
        <v/>
      </c>
      <c r="Y875" s="148"/>
      <c r="Z875" s="87"/>
      <c r="AA875" s="87"/>
      <c r="AB875" s="87" t="str">
        <f>IF($A875="","",IF($AK875=TRUE,"Ready 2 Submit","Waiting on Dealer"))</f>
        <v/>
      </c>
      <c r="AC875" s="148"/>
      <c r="AD875" s="87"/>
      <c r="AE875" s="87"/>
      <c r="AF875" s="87" t="str">
        <f>IF($A875="","",IF($AK875=TRUE,"Ready 2 Submit","Waiting on Dealer"))</f>
        <v/>
      </c>
      <c r="AG875" s="148"/>
      <c r="AH875" s="87"/>
      <c r="AI875" s="87"/>
      <c r="AJ875" s="197"/>
      <c r="AK875" s="110" t="b">
        <v>0</v>
      </c>
      <c r="AL875" s="87" t="str" cm="1">
        <f t="array" ref="AL875">IF($A875="","",SUMPRODUCT((CHOOSE({1,2,3,4,5},$R875,$V875,$Z875,$AD875,$AH875)="Yes")*(((CHOOSE({1,2,3,4,5},$S875,$W875,$AA875,$AE875,$AI875)="Yes")+(CHOOSE({1,2,3,4,5},$S875,$W875,$AA875,$AE875,$AI875)=TRUE))&gt;0)))</f>
        <v/>
      </c>
      <c r="AM875" s="87"/>
      <c r="AN875" s="87" t="str">
        <f ca="1">IF(OR($A875="",$AM875=""),"",TODAY()-$AM875)</f>
        <v/>
      </c>
      <c r="AO875" s="87"/>
      <c r="AP875" s="106"/>
      <c r="AQ875" s="106"/>
      <c r="AR875" s="106"/>
      <c r="AS875" s="106"/>
      <c r="AT875" s="106"/>
      <c r="AU875" s="106"/>
      <c r="AV875" s="106"/>
      <c r="AW875" s="106"/>
      <c r="AX875" s="106"/>
      <c r="AY875" s="106"/>
    </row>
    <row r="876" spans="1:51" s="20" customFormat="1" ht="21" customHeight="1">
      <c r="A876" s="197"/>
      <c r="B876" s="87"/>
      <c r="C876" s="87"/>
      <c r="D876" s="196"/>
      <c r="E876" s="108"/>
      <c r="F876" s="196"/>
      <c r="G876" s="87"/>
      <c r="H876" s="197"/>
      <c r="I876" s="89"/>
      <c r="J876" s="204"/>
      <c r="K876" s="87"/>
      <c r="L876" s="87" t="str" cm="1">
        <f t="array" ref="L876">IF($A876="","",_xlfn.LET(_xlpm.stat,CHOOSE({1,2,3,4,5},$P876,$T876,$X876,$AB876,$AF876),_xlpm.rate,CHOOSE({1,2,3,4,5},$R876,$V876,$Z876,$AD876,$AH876),_xlpm.trn,CHOOSE({1,2,3,4,5},$S876,$W876,$AA876,$AE876,$AI876),_xlpm.nsC,SUMPRODUCT(--(_xlpm.stat="Ready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DLR",IF(AND(_xlpm.actRS&gt;0,_xlpm.actDone&lt;_xlpm.actRS),"Training",IF(_xlpm.actRS&gt;0,"Active",IF(AND(_xlpm.decC&gt;0,_xlpm.inPlay+_xlpm.actC=0),"Dead",IF(AND($AJ876&lt;&gt;"",$AK876=FALSE),"Waiting on Dealer",IF(_xlpm.subC&gt;0,"Waiting on Lender",IF(AND(_xlpm.appC+_xlpm.actC&gt;0,_xlpm.nsC+_xlpm.wdC=0),"Rate Sheet","Application Submitted")))))))))</f>
        <v/>
      </c>
      <c r="M876" s="87"/>
      <c r="N876" s="87"/>
      <c r="O876" s="197"/>
      <c r="P876" s="87" t="str">
        <f>IF($A876="","",IF($AK876=TRUE,"Ready 2 Submit","Waiting on Dealer"))</f>
        <v/>
      </c>
      <c r="Q876" s="148"/>
      <c r="R876" s="87"/>
      <c r="S876" s="87"/>
      <c r="T876" s="87" t="str">
        <f>IF($A876="","",IF($AK876=TRUE,"Ready 2 Submit","Waiting on Dealer"))</f>
        <v/>
      </c>
      <c r="U876" s="148"/>
      <c r="V876" s="87"/>
      <c r="W876" s="87"/>
      <c r="X876" s="87" t="str">
        <f>IF($A876="","",IF($AK876=TRUE,"Ready 2 Submit","Waiting on Dealer"))</f>
        <v/>
      </c>
      <c r="Y876" s="148"/>
      <c r="Z876" s="87"/>
      <c r="AA876" s="87"/>
      <c r="AB876" s="87" t="str">
        <f>IF($A876="","",IF($AK876=TRUE,"Ready 2 Submit","Waiting on Dealer"))</f>
        <v/>
      </c>
      <c r="AC876" s="148"/>
      <c r="AD876" s="87"/>
      <c r="AE876" s="87"/>
      <c r="AF876" s="87" t="str">
        <f>IF($A876="","",IF($AK876=TRUE,"Ready 2 Submit","Waiting on Dealer"))</f>
        <v/>
      </c>
      <c r="AG876" s="148"/>
      <c r="AH876" s="87"/>
      <c r="AI876" s="87"/>
      <c r="AJ876" s="197"/>
      <c r="AK876" s="110" t="b">
        <v>0</v>
      </c>
      <c r="AL876" s="87" t="str" cm="1">
        <f t="array" ref="AL876">IF($A876="","",SUMPRODUCT((CHOOSE({1,2,3,4,5},$R876,$V876,$Z876,$AD876,$AH876)="Yes")*(((CHOOSE({1,2,3,4,5},$S876,$W876,$AA876,$AE876,$AI876)="Yes")+(CHOOSE({1,2,3,4,5},$S876,$W876,$AA876,$AE876,$AI876)=TRUE))&gt;0)))</f>
        <v/>
      </c>
      <c r="AM876" s="87"/>
      <c r="AN876" s="87" t="str">
        <f ca="1">IF(OR($A876="",$AM876=""),"",TODAY()-$AM876)</f>
        <v/>
      </c>
      <c r="AO876" s="87"/>
      <c r="AP876" s="106"/>
      <c r="AQ876" s="106"/>
      <c r="AR876" s="106"/>
      <c r="AS876" s="106"/>
      <c r="AT876" s="106"/>
      <c r="AU876" s="106"/>
      <c r="AV876" s="106"/>
      <c r="AW876" s="106"/>
      <c r="AX876" s="106"/>
      <c r="AY876" s="106"/>
    </row>
    <row r="877" spans="1:51" s="20" customFormat="1" ht="21" customHeight="1">
      <c r="A877" s="197"/>
      <c r="B877" s="87"/>
      <c r="C877" s="87"/>
      <c r="D877" s="196"/>
      <c r="E877" s="108"/>
      <c r="F877" s="196"/>
      <c r="G877" s="87"/>
      <c r="H877" s="197"/>
      <c r="I877" s="89"/>
      <c r="J877" s="204"/>
      <c r="K877" s="87"/>
      <c r="L877" s="87" t="str" cm="1">
        <f t="array" ref="L877">IF($A877="","",_xlfn.LET(_xlpm.stat,CHOOSE({1,2,3,4,5},$P877,$T877,$X877,$AB877,$AF877),_xlpm.rate,CHOOSE({1,2,3,4,5},$R877,$V877,$Z877,$AD877,$AH877),_xlpm.trn,CHOOSE({1,2,3,4,5},$S877,$W877,$AA877,$AE877,$AI877),_xlpm.nsC,SUMPRODUCT(--(_xlpm.stat="Ready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DLR",IF(AND(_xlpm.actRS&gt;0,_xlpm.actDone&lt;_xlpm.actRS),"Training",IF(_xlpm.actRS&gt;0,"Active",IF(AND(_xlpm.decC&gt;0,_xlpm.inPlay+_xlpm.actC=0),"Dead",IF(AND($AJ877&lt;&gt;"",$AK877=FALSE),"Waiting on Dealer",IF(_xlpm.subC&gt;0,"Waiting on Lender",IF(AND(_xlpm.appC+_xlpm.actC&gt;0,_xlpm.nsC+_xlpm.wdC=0),"Rate Sheet","Application Submitted")))))))))</f>
        <v/>
      </c>
      <c r="M877" s="87"/>
      <c r="N877" s="87"/>
      <c r="O877" s="197"/>
      <c r="P877" s="87" t="str">
        <f>IF($A877="","",IF($AK877=TRUE,"Ready 2 Submit","Waiting on Dealer"))</f>
        <v/>
      </c>
      <c r="Q877" s="148"/>
      <c r="R877" s="87"/>
      <c r="S877" s="87"/>
      <c r="T877" s="87" t="str">
        <f>IF($A877="","",IF($AK877=TRUE,"Ready 2 Submit","Waiting on Dealer"))</f>
        <v/>
      </c>
      <c r="U877" s="148"/>
      <c r="V877" s="87"/>
      <c r="W877" s="87"/>
      <c r="X877" s="87" t="str">
        <f>IF($A877="","",IF($AK877=TRUE,"Ready 2 Submit","Waiting on Dealer"))</f>
        <v/>
      </c>
      <c r="Y877" s="148"/>
      <c r="Z877" s="87"/>
      <c r="AA877" s="87"/>
      <c r="AB877" s="87" t="str">
        <f>IF($A877="","",IF($AK877=TRUE,"Ready 2 Submit","Waiting on Dealer"))</f>
        <v/>
      </c>
      <c r="AC877" s="148"/>
      <c r="AD877" s="87"/>
      <c r="AE877" s="87"/>
      <c r="AF877" s="87" t="str">
        <f>IF($A877="","",IF($AK877=TRUE,"Ready 2 Submit","Waiting on Dealer"))</f>
        <v/>
      </c>
      <c r="AG877" s="148"/>
      <c r="AH877" s="87"/>
      <c r="AI877" s="87"/>
      <c r="AJ877" s="197"/>
      <c r="AK877" s="110" t="b">
        <v>0</v>
      </c>
      <c r="AL877" s="87" t="str" cm="1">
        <f t="array" ref="AL877">IF($A877="","",SUMPRODUCT((CHOOSE({1,2,3,4,5},$R877,$V877,$Z877,$AD877,$AH877)="Yes")*(((CHOOSE({1,2,3,4,5},$S877,$W877,$AA877,$AE877,$AI877)="Yes")+(CHOOSE({1,2,3,4,5},$S877,$W877,$AA877,$AE877,$AI877)=TRUE))&gt;0)))</f>
        <v/>
      </c>
      <c r="AM877" s="87"/>
      <c r="AN877" s="87" t="str">
        <f ca="1">IF(OR($A877="",$AM877=""),"",TODAY()-$AM877)</f>
        <v/>
      </c>
      <c r="AO877" s="87"/>
      <c r="AP877" s="106"/>
      <c r="AQ877" s="106"/>
      <c r="AR877" s="106"/>
      <c r="AS877" s="106"/>
      <c r="AT877" s="106"/>
      <c r="AU877" s="106"/>
      <c r="AV877" s="106"/>
      <c r="AW877" s="106"/>
      <c r="AX877" s="106"/>
      <c r="AY877" s="106"/>
    </row>
    <row r="878" spans="1:51" s="20" customFormat="1" ht="21" customHeight="1">
      <c r="A878" s="197"/>
      <c r="B878" s="87"/>
      <c r="C878" s="87"/>
      <c r="D878" s="196"/>
      <c r="E878" s="108"/>
      <c r="F878" s="196"/>
      <c r="G878" s="87"/>
      <c r="H878" s="197"/>
      <c r="I878" s="89"/>
      <c r="J878" s="204"/>
      <c r="K878" s="87"/>
      <c r="L878" s="87" t="str" cm="1">
        <f t="array" ref="L878">IF($A878="","",_xlfn.LET(_xlpm.stat,CHOOSE({1,2,3,4,5},$P878,$T878,$X878,$AB878,$AF878),_xlpm.rate,CHOOSE({1,2,3,4,5},$R878,$V878,$Z878,$AD878,$AH878),_xlpm.trn,CHOOSE({1,2,3,4,5},$S878,$W878,$AA878,$AE878,$AI878),_xlpm.nsC,SUMPRODUCT(--(_xlpm.stat="Ready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DLR",IF(AND(_xlpm.actRS&gt;0,_xlpm.actDone&lt;_xlpm.actRS),"Training",IF(_xlpm.actRS&gt;0,"Active",IF(AND(_xlpm.decC&gt;0,_xlpm.inPlay+_xlpm.actC=0),"Dead",IF(AND($AJ878&lt;&gt;"",$AK878=FALSE),"Waiting on Dealer",IF(_xlpm.subC&gt;0,"Waiting on Lender",IF(AND(_xlpm.appC+_xlpm.actC&gt;0,_xlpm.nsC+_xlpm.wdC=0),"Rate Sheet","Application Submitted")))))))))</f>
        <v/>
      </c>
      <c r="M878" s="87"/>
      <c r="N878" s="87"/>
      <c r="O878" s="197"/>
      <c r="P878" s="87" t="str">
        <f>IF($A878="","",IF($AK878=TRUE,"Ready 2 Submit","Waiting on Dealer"))</f>
        <v/>
      </c>
      <c r="Q878" s="148"/>
      <c r="R878" s="87"/>
      <c r="S878" s="87"/>
      <c r="T878" s="87" t="str">
        <f>IF($A878="","",IF($AK878=TRUE,"Ready 2 Submit","Waiting on Dealer"))</f>
        <v/>
      </c>
      <c r="U878" s="148"/>
      <c r="V878" s="87"/>
      <c r="W878" s="87"/>
      <c r="X878" s="87" t="str">
        <f>IF($A878="","",IF($AK878=TRUE,"Ready 2 Submit","Waiting on Dealer"))</f>
        <v/>
      </c>
      <c r="Y878" s="148"/>
      <c r="Z878" s="87"/>
      <c r="AA878" s="87"/>
      <c r="AB878" s="87" t="str">
        <f>IF($A878="","",IF($AK878=TRUE,"Ready 2 Submit","Waiting on Dealer"))</f>
        <v/>
      </c>
      <c r="AC878" s="148"/>
      <c r="AD878" s="87"/>
      <c r="AE878" s="87"/>
      <c r="AF878" s="87" t="str">
        <f>IF($A878="","",IF($AK878=TRUE,"Ready 2 Submit","Waiting on Dealer"))</f>
        <v/>
      </c>
      <c r="AG878" s="148"/>
      <c r="AH878" s="87"/>
      <c r="AI878" s="87"/>
      <c r="AJ878" s="197"/>
      <c r="AK878" s="110" t="b">
        <v>0</v>
      </c>
      <c r="AL878" s="87" t="str" cm="1">
        <f t="array" ref="AL878">IF($A878="","",SUMPRODUCT((CHOOSE({1,2,3,4,5},$R878,$V878,$Z878,$AD878,$AH878)="Yes")*(((CHOOSE({1,2,3,4,5},$S878,$W878,$AA878,$AE878,$AI878)="Yes")+(CHOOSE({1,2,3,4,5},$S878,$W878,$AA878,$AE878,$AI878)=TRUE))&gt;0)))</f>
        <v/>
      </c>
      <c r="AM878" s="87"/>
      <c r="AN878" s="87" t="str">
        <f ca="1">IF(OR($A878="",$AM878=""),"",TODAY()-$AM878)</f>
        <v/>
      </c>
      <c r="AO878" s="87"/>
      <c r="AP878" s="106"/>
      <c r="AQ878" s="106"/>
      <c r="AR878" s="106"/>
      <c r="AS878" s="106"/>
      <c r="AT878" s="106"/>
      <c r="AU878" s="106"/>
      <c r="AV878" s="106"/>
      <c r="AW878" s="106"/>
      <c r="AX878" s="106"/>
      <c r="AY878" s="106"/>
    </row>
    <row r="879" spans="1:51" s="20" customFormat="1" ht="21" customHeight="1">
      <c r="A879" s="197"/>
      <c r="B879" s="87"/>
      <c r="C879" s="87"/>
      <c r="D879" s="196"/>
      <c r="E879" s="108"/>
      <c r="F879" s="196"/>
      <c r="G879" s="87"/>
      <c r="H879" s="197"/>
      <c r="I879" s="89"/>
      <c r="J879" s="204"/>
      <c r="K879" s="87"/>
      <c r="L879" s="87" t="str" cm="1">
        <f t="array" ref="L879">IF($A879="","",_xlfn.LET(_xlpm.stat,CHOOSE({1,2,3,4,5},$P879,$T879,$X879,$AB879,$AF879),_xlpm.rate,CHOOSE({1,2,3,4,5},$R879,$V879,$Z879,$AD879,$AH879),_xlpm.trn,CHOOSE({1,2,3,4,5},$S879,$W879,$AA879,$AE879,$AI879),_xlpm.nsC,SUMPRODUCT(--(_xlpm.stat="Ready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DLR",IF(AND(_xlpm.actRS&gt;0,_xlpm.actDone&lt;_xlpm.actRS),"Training",IF(_xlpm.actRS&gt;0,"Active",IF(AND(_xlpm.decC&gt;0,_xlpm.inPlay+_xlpm.actC=0),"Dead",IF(AND($AJ879&lt;&gt;"",$AK879=FALSE),"Waiting on Dealer",IF(_xlpm.subC&gt;0,"Waiting on Lender",IF(AND(_xlpm.appC+_xlpm.actC&gt;0,_xlpm.nsC+_xlpm.wdC=0),"Rate Sheet","Application Submitted")))))))))</f>
        <v/>
      </c>
      <c r="M879" s="87"/>
      <c r="N879" s="87"/>
      <c r="O879" s="197"/>
      <c r="P879" s="87" t="str">
        <f>IF($A879="","",IF($AK879=TRUE,"Ready 2 Submit","Waiting on Dealer"))</f>
        <v/>
      </c>
      <c r="Q879" s="148"/>
      <c r="R879" s="87"/>
      <c r="S879" s="87"/>
      <c r="T879" s="87" t="str">
        <f>IF($A879="","",IF($AK879=TRUE,"Ready 2 Submit","Waiting on Dealer"))</f>
        <v/>
      </c>
      <c r="U879" s="148"/>
      <c r="V879" s="87"/>
      <c r="W879" s="87"/>
      <c r="X879" s="87" t="str">
        <f>IF($A879="","",IF($AK879=TRUE,"Ready 2 Submit","Waiting on Dealer"))</f>
        <v/>
      </c>
      <c r="Y879" s="148"/>
      <c r="Z879" s="87"/>
      <c r="AA879" s="87"/>
      <c r="AB879" s="87" t="str">
        <f>IF($A879="","",IF($AK879=TRUE,"Ready 2 Submit","Waiting on Dealer"))</f>
        <v/>
      </c>
      <c r="AC879" s="148"/>
      <c r="AD879" s="87"/>
      <c r="AE879" s="87"/>
      <c r="AF879" s="87" t="str">
        <f>IF($A879="","",IF($AK879=TRUE,"Ready 2 Submit","Waiting on Dealer"))</f>
        <v/>
      </c>
      <c r="AG879" s="148"/>
      <c r="AH879" s="87"/>
      <c r="AI879" s="87"/>
      <c r="AJ879" s="197"/>
      <c r="AK879" s="110" t="b">
        <v>0</v>
      </c>
      <c r="AL879" s="87" t="str" cm="1">
        <f t="array" ref="AL879">IF($A879="","",SUMPRODUCT((CHOOSE({1,2,3,4,5},$R879,$V879,$Z879,$AD879,$AH879)="Yes")*(((CHOOSE({1,2,3,4,5},$S879,$W879,$AA879,$AE879,$AI879)="Yes")+(CHOOSE({1,2,3,4,5},$S879,$W879,$AA879,$AE879,$AI879)=TRUE))&gt;0)))</f>
        <v/>
      </c>
      <c r="AM879" s="87"/>
      <c r="AN879" s="87" t="str">
        <f ca="1">IF(OR($A879="",$AM879=""),"",TODAY()-$AM879)</f>
        <v/>
      </c>
      <c r="AO879" s="87"/>
      <c r="AP879" s="106"/>
      <c r="AQ879" s="106"/>
      <c r="AR879" s="106"/>
      <c r="AS879" s="106"/>
      <c r="AT879" s="106"/>
      <c r="AU879" s="106"/>
      <c r="AV879" s="106"/>
      <c r="AW879" s="106"/>
      <c r="AX879" s="106"/>
      <c r="AY879" s="106"/>
    </row>
    <row r="880" spans="1:51" s="20" customFormat="1" ht="21" customHeight="1">
      <c r="A880" s="197"/>
      <c r="B880" s="87"/>
      <c r="C880" s="87"/>
      <c r="D880" s="196"/>
      <c r="E880" s="108"/>
      <c r="F880" s="196"/>
      <c r="G880" s="87"/>
      <c r="H880" s="197"/>
      <c r="I880" s="89"/>
      <c r="J880" s="204"/>
      <c r="K880" s="87"/>
      <c r="L880" s="87" t="str" cm="1">
        <f t="array" ref="L880">IF($A880="","",_xlfn.LET(_xlpm.stat,CHOOSE({1,2,3,4,5},$P880,$T880,$X880,$AB880,$AF880),_xlpm.rate,CHOOSE({1,2,3,4,5},$R880,$V880,$Z880,$AD880,$AH880),_xlpm.trn,CHOOSE({1,2,3,4,5},$S880,$W880,$AA880,$AE880,$AI880),_xlpm.nsC,SUMPRODUCT(--(_xlpm.stat="Ready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DLR",IF(AND(_xlpm.actRS&gt;0,_xlpm.actDone&lt;_xlpm.actRS),"Training",IF(_xlpm.actRS&gt;0,"Active",IF(AND(_xlpm.decC&gt;0,_xlpm.inPlay+_xlpm.actC=0),"Dead",IF(AND($AJ880&lt;&gt;"",$AK880=FALSE),"Waiting on Dealer",IF(_xlpm.subC&gt;0,"Waiting on Lender",IF(AND(_xlpm.appC+_xlpm.actC&gt;0,_xlpm.nsC+_xlpm.wdC=0),"Rate Sheet","Application Submitted")))))))))</f>
        <v/>
      </c>
      <c r="M880" s="87"/>
      <c r="N880" s="87"/>
      <c r="O880" s="197"/>
      <c r="P880" s="87" t="str">
        <f>IF($A880="","",IF($AK880=TRUE,"Ready 2 Submit","Waiting on Dealer"))</f>
        <v/>
      </c>
      <c r="Q880" s="148"/>
      <c r="R880" s="87"/>
      <c r="S880" s="87"/>
      <c r="T880" s="87" t="str">
        <f>IF($A880="","",IF($AK880=TRUE,"Ready 2 Submit","Waiting on Dealer"))</f>
        <v/>
      </c>
      <c r="U880" s="148"/>
      <c r="V880" s="87"/>
      <c r="W880" s="87"/>
      <c r="X880" s="87" t="str">
        <f>IF($A880="","",IF($AK880=TRUE,"Ready 2 Submit","Waiting on Dealer"))</f>
        <v/>
      </c>
      <c r="Y880" s="148"/>
      <c r="Z880" s="87"/>
      <c r="AA880" s="87"/>
      <c r="AB880" s="87" t="str">
        <f>IF($A880="","",IF($AK880=TRUE,"Ready 2 Submit","Waiting on Dealer"))</f>
        <v/>
      </c>
      <c r="AC880" s="148"/>
      <c r="AD880" s="87"/>
      <c r="AE880" s="87"/>
      <c r="AF880" s="87" t="str">
        <f>IF($A880="","",IF($AK880=TRUE,"Ready 2 Submit","Waiting on Dealer"))</f>
        <v/>
      </c>
      <c r="AG880" s="148"/>
      <c r="AH880" s="87"/>
      <c r="AI880" s="87"/>
      <c r="AJ880" s="197"/>
      <c r="AK880" s="110" t="b">
        <v>0</v>
      </c>
      <c r="AL880" s="87" t="str" cm="1">
        <f t="array" ref="AL880">IF($A880="","",SUMPRODUCT((CHOOSE({1,2,3,4,5},$R880,$V880,$Z880,$AD880,$AH880)="Yes")*(((CHOOSE({1,2,3,4,5},$S880,$W880,$AA880,$AE880,$AI880)="Yes")+(CHOOSE({1,2,3,4,5},$S880,$W880,$AA880,$AE880,$AI880)=TRUE))&gt;0)))</f>
        <v/>
      </c>
      <c r="AM880" s="87"/>
      <c r="AN880" s="87" t="str">
        <f ca="1">IF(OR($A880="",$AM880=""),"",TODAY()-$AM880)</f>
        <v/>
      </c>
      <c r="AO880" s="87"/>
      <c r="AP880" s="106"/>
      <c r="AQ880" s="106"/>
      <c r="AR880" s="106"/>
      <c r="AS880" s="106"/>
      <c r="AT880" s="106"/>
      <c r="AU880" s="106"/>
      <c r="AV880" s="106"/>
      <c r="AW880" s="106"/>
      <c r="AX880" s="106"/>
      <c r="AY880" s="106"/>
    </row>
    <row r="881" spans="1:51" s="20" customFormat="1" ht="21" customHeight="1">
      <c r="A881" s="197"/>
      <c r="B881" s="87"/>
      <c r="C881" s="87"/>
      <c r="D881" s="196"/>
      <c r="E881" s="108"/>
      <c r="F881" s="196"/>
      <c r="G881" s="87"/>
      <c r="H881" s="197"/>
      <c r="I881" s="89"/>
      <c r="J881" s="204"/>
      <c r="K881" s="87"/>
      <c r="L881" s="87" t="str" cm="1">
        <f t="array" ref="L881">IF($A881="","",_xlfn.LET(_xlpm.stat,CHOOSE({1,2,3,4,5},$P881,$T881,$X881,$AB881,$AF881),_xlpm.rate,CHOOSE({1,2,3,4,5},$R881,$V881,$Z881,$AD881,$AH881),_xlpm.trn,CHOOSE({1,2,3,4,5},$S881,$W881,$AA881,$AE881,$AI881),_xlpm.nsC,SUMPRODUCT(--(_xlpm.stat="Ready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DLR",IF(AND(_xlpm.actRS&gt;0,_xlpm.actDone&lt;_xlpm.actRS),"Training",IF(_xlpm.actRS&gt;0,"Active",IF(AND(_xlpm.decC&gt;0,_xlpm.inPlay+_xlpm.actC=0),"Dead",IF(AND($AJ881&lt;&gt;"",$AK881=FALSE),"Waiting on Dealer",IF(_xlpm.subC&gt;0,"Waiting on Lender",IF(AND(_xlpm.appC+_xlpm.actC&gt;0,_xlpm.nsC+_xlpm.wdC=0),"Rate Sheet","Application Submitted")))))))))</f>
        <v/>
      </c>
      <c r="M881" s="87"/>
      <c r="N881" s="87"/>
      <c r="O881" s="197"/>
      <c r="P881" s="87" t="str">
        <f>IF($A881="","",IF($AK881=TRUE,"Ready 2 Submit","Waiting on Dealer"))</f>
        <v/>
      </c>
      <c r="Q881" s="148"/>
      <c r="R881" s="87"/>
      <c r="S881" s="87"/>
      <c r="T881" s="87" t="str">
        <f>IF($A881="","",IF($AK881=TRUE,"Ready 2 Submit","Waiting on Dealer"))</f>
        <v/>
      </c>
      <c r="U881" s="148"/>
      <c r="V881" s="87"/>
      <c r="W881" s="87"/>
      <c r="X881" s="87" t="str">
        <f>IF($A881="","",IF($AK881=TRUE,"Ready 2 Submit","Waiting on Dealer"))</f>
        <v/>
      </c>
      <c r="Y881" s="148"/>
      <c r="Z881" s="87"/>
      <c r="AA881" s="87"/>
      <c r="AB881" s="87" t="str">
        <f>IF($A881="","",IF($AK881=TRUE,"Ready 2 Submit","Waiting on Dealer"))</f>
        <v/>
      </c>
      <c r="AC881" s="148"/>
      <c r="AD881" s="87"/>
      <c r="AE881" s="87"/>
      <c r="AF881" s="87" t="str">
        <f>IF($A881="","",IF($AK881=TRUE,"Ready 2 Submit","Waiting on Dealer"))</f>
        <v/>
      </c>
      <c r="AG881" s="148"/>
      <c r="AH881" s="87"/>
      <c r="AI881" s="87"/>
      <c r="AJ881" s="197"/>
      <c r="AK881" s="110" t="b">
        <v>0</v>
      </c>
      <c r="AL881" s="87" t="str" cm="1">
        <f t="array" ref="AL881">IF($A881="","",SUMPRODUCT((CHOOSE({1,2,3,4,5},$R881,$V881,$Z881,$AD881,$AH881)="Yes")*(((CHOOSE({1,2,3,4,5},$S881,$W881,$AA881,$AE881,$AI881)="Yes")+(CHOOSE({1,2,3,4,5},$S881,$W881,$AA881,$AE881,$AI881)=TRUE))&gt;0)))</f>
        <v/>
      </c>
      <c r="AM881" s="87"/>
      <c r="AN881" s="87" t="str">
        <f ca="1">IF(OR($A881="",$AM881=""),"",TODAY()-$AM881)</f>
        <v/>
      </c>
      <c r="AO881" s="87"/>
      <c r="AP881" s="106"/>
      <c r="AQ881" s="106"/>
      <c r="AR881" s="106"/>
      <c r="AS881" s="106"/>
      <c r="AT881" s="106"/>
      <c r="AU881" s="106"/>
      <c r="AV881" s="106"/>
      <c r="AW881" s="106"/>
      <c r="AX881" s="106"/>
      <c r="AY881" s="106"/>
    </row>
    <row r="882" spans="1:51" s="20" customFormat="1" ht="21" customHeight="1">
      <c r="A882" s="197"/>
      <c r="B882" s="87"/>
      <c r="C882" s="87"/>
      <c r="D882" s="196"/>
      <c r="E882" s="108"/>
      <c r="F882" s="196"/>
      <c r="G882" s="87"/>
      <c r="H882" s="197"/>
      <c r="I882" s="89"/>
      <c r="J882" s="204"/>
      <c r="K882" s="87"/>
      <c r="L882" s="87" t="str" cm="1">
        <f t="array" ref="L882">IF($A882="","",_xlfn.LET(_xlpm.stat,CHOOSE({1,2,3,4,5},$P882,$T882,$X882,$AB882,$AF882),_xlpm.rate,CHOOSE({1,2,3,4,5},$R882,$V882,$Z882,$AD882,$AH882),_xlpm.trn,CHOOSE({1,2,3,4,5},$S882,$W882,$AA882,$AE882,$AI882),_xlpm.nsC,SUMPRODUCT(--(_xlpm.stat="Ready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DLR",IF(AND(_xlpm.actRS&gt;0,_xlpm.actDone&lt;_xlpm.actRS),"Training",IF(_xlpm.actRS&gt;0,"Active",IF(AND(_xlpm.decC&gt;0,_xlpm.inPlay+_xlpm.actC=0),"Dead",IF(AND($AJ882&lt;&gt;"",$AK882=FALSE),"Waiting on Dealer",IF(_xlpm.subC&gt;0,"Waiting on Lender",IF(AND(_xlpm.appC+_xlpm.actC&gt;0,_xlpm.nsC+_xlpm.wdC=0),"Rate Sheet","Application Submitted")))))))))</f>
        <v/>
      </c>
      <c r="M882" s="87"/>
      <c r="N882" s="87"/>
      <c r="O882" s="197"/>
      <c r="P882" s="87" t="str">
        <f>IF($A882="","",IF($AK882=TRUE,"Ready 2 Submit","Waiting on Dealer"))</f>
        <v/>
      </c>
      <c r="Q882" s="148"/>
      <c r="R882" s="87"/>
      <c r="S882" s="87"/>
      <c r="T882" s="87" t="str">
        <f>IF($A882="","",IF($AK882=TRUE,"Ready 2 Submit","Waiting on Dealer"))</f>
        <v/>
      </c>
      <c r="U882" s="148"/>
      <c r="V882" s="87"/>
      <c r="W882" s="87"/>
      <c r="X882" s="87" t="str">
        <f>IF($A882="","",IF($AK882=TRUE,"Ready 2 Submit","Waiting on Dealer"))</f>
        <v/>
      </c>
      <c r="Y882" s="148"/>
      <c r="Z882" s="87"/>
      <c r="AA882" s="87"/>
      <c r="AB882" s="87" t="str">
        <f>IF($A882="","",IF($AK882=TRUE,"Ready 2 Submit","Waiting on Dealer"))</f>
        <v/>
      </c>
      <c r="AC882" s="148"/>
      <c r="AD882" s="87"/>
      <c r="AE882" s="87"/>
      <c r="AF882" s="87" t="str">
        <f>IF($A882="","",IF($AK882=TRUE,"Ready 2 Submit","Waiting on Dealer"))</f>
        <v/>
      </c>
      <c r="AG882" s="148"/>
      <c r="AH882" s="87"/>
      <c r="AI882" s="87"/>
      <c r="AJ882" s="197"/>
      <c r="AK882" s="110" t="b">
        <v>0</v>
      </c>
      <c r="AL882" s="87" t="str" cm="1">
        <f t="array" ref="AL882">IF($A882="","",SUMPRODUCT((CHOOSE({1,2,3,4,5},$R882,$V882,$Z882,$AD882,$AH882)="Yes")*(((CHOOSE({1,2,3,4,5},$S882,$W882,$AA882,$AE882,$AI882)="Yes")+(CHOOSE({1,2,3,4,5},$S882,$W882,$AA882,$AE882,$AI882)=TRUE))&gt;0)))</f>
        <v/>
      </c>
      <c r="AM882" s="87"/>
      <c r="AN882" s="87" t="str">
        <f ca="1">IF(OR($A882="",$AM882=""),"",TODAY()-$AM882)</f>
        <v/>
      </c>
      <c r="AO882" s="87"/>
      <c r="AP882" s="106"/>
      <c r="AQ882" s="106"/>
      <c r="AR882" s="106"/>
      <c r="AS882" s="106"/>
      <c r="AT882" s="106"/>
      <c r="AU882" s="106"/>
      <c r="AV882" s="106"/>
      <c r="AW882" s="106"/>
      <c r="AX882" s="106"/>
      <c r="AY882" s="106"/>
    </row>
    <row r="883" spans="1:51" s="20" customFormat="1" ht="21" customHeight="1">
      <c r="A883" s="197"/>
      <c r="B883" s="87"/>
      <c r="C883" s="87"/>
      <c r="D883" s="196"/>
      <c r="E883" s="108"/>
      <c r="F883" s="196"/>
      <c r="G883" s="87"/>
      <c r="H883" s="197"/>
      <c r="I883" s="89"/>
      <c r="J883" s="204"/>
      <c r="K883" s="87"/>
      <c r="L883" s="87" t="str" cm="1">
        <f t="array" ref="L883">IF($A883="","",_xlfn.LET(_xlpm.stat,CHOOSE({1,2,3,4,5},$P883,$T883,$X883,$AB883,$AF883),_xlpm.rate,CHOOSE({1,2,3,4,5},$R883,$V883,$Z883,$AD883,$AH883),_xlpm.trn,CHOOSE({1,2,3,4,5},$S883,$W883,$AA883,$AE883,$AI883),_xlpm.nsC,SUMPRODUCT(--(_xlpm.stat="Ready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DLR",IF(AND(_xlpm.actRS&gt;0,_xlpm.actDone&lt;_xlpm.actRS),"Training",IF(_xlpm.actRS&gt;0,"Active",IF(AND(_xlpm.decC&gt;0,_xlpm.inPlay+_xlpm.actC=0),"Dead",IF(AND($AJ883&lt;&gt;"",$AK883=FALSE),"Waiting on Dealer",IF(_xlpm.subC&gt;0,"Waiting on Lender",IF(AND(_xlpm.appC+_xlpm.actC&gt;0,_xlpm.nsC+_xlpm.wdC=0),"Rate Sheet","Application Submitted")))))))))</f>
        <v/>
      </c>
      <c r="M883" s="87"/>
      <c r="N883" s="87"/>
      <c r="O883" s="197"/>
      <c r="P883" s="87" t="str">
        <f>IF($A883="","",IF($AK883=TRUE,"Ready 2 Submit","Waiting on Dealer"))</f>
        <v/>
      </c>
      <c r="Q883" s="148"/>
      <c r="R883" s="87"/>
      <c r="S883" s="87"/>
      <c r="T883" s="87" t="str">
        <f>IF($A883="","",IF($AK883=TRUE,"Ready 2 Submit","Waiting on Dealer"))</f>
        <v/>
      </c>
      <c r="U883" s="148"/>
      <c r="V883" s="87"/>
      <c r="W883" s="87"/>
      <c r="X883" s="87" t="str">
        <f>IF($A883="","",IF($AK883=TRUE,"Ready 2 Submit","Waiting on Dealer"))</f>
        <v/>
      </c>
      <c r="Y883" s="148"/>
      <c r="Z883" s="87"/>
      <c r="AA883" s="87"/>
      <c r="AB883" s="87" t="str">
        <f>IF($A883="","",IF($AK883=TRUE,"Ready 2 Submit","Waiting on Dealer"))</f>
        <v/>
      </c>
      <c r="AC883" s="148"/>
      <c r="AD883" s="87"/>
      <c r="AE883" s="87"/>
      <c r="AF883" s="87" t="str">
        <f>IF($A883="","",IF($AK883=TRUE,"Ready 2 Submit","Waiting on Dealer"))</f>
        <v/>
      </c>
      <c r="AG883" s="148"/>
      <c r="AH883" s="87"/>
      <c r="AI883" s="87"/>
      <c r="AJ883" s="197"/>
      <c r="AK883" s="110" t="b">
        <v>0</v>
      </c>
      <c r="AL883" s="87" t="str" cm="1">
        <f t="array" ref="AL883">IF($A883="","",SUMPRODUCT((CHOOSE({1,2,3,4,5},$R883,$V883,$Z883,$AD883,$AH883)="Yes")*(((CHOOSE({1,2,3,4,5},$S883,$W883,$AA883,$AE883,$AI883)="Yes")+(CHOOSE({1,2,3,4,5},$S883,$W883,$AA883,$AE883,$AI883)=TRUE))&gt;0)))</f>
        <v/>
      </c>
      <c r="AM883" s="87"/>
      <c r="AN883" s="87" t="str">
        <f ca="1">IF(OR($A883="",$AM883=""),"",TODAY()-$AM883)</f>
        <v/>
      </c>
      <c r="AO883" s="87"/>
      <c r="AP883" s="106"/>
      <c r="AQ883" s="106"/>
      <c r="AR883" s="106"/>
      <c r="AS883" s="106"/>
      <c r="AT883" s="106"/>
      <c r="AU883" s="106"/>
      <c r="AV883" s="106"/>
      <c r="AW883" s="106"/>
      <c r="AX883" s="106"/>
      <c r="AY883" s="106"/>
    </row>
    <row r="884" spans="1:51" s="20" customFormat="1" ht="21" customHeight="1">
      <c r="A884" s="197"/>
      <c r="B884" s="87"/>
      <c r="C884" s="87"/>
      <c r="D884" s="196"/>
      <c r="E884" s="108"/>
      <c r="F884" s="196"/>
      <c r="G884" s="87"/>
      <c r="H884" s="197"/>
      <c r="I884" s="89"/>
      <c r="J884" s="204"/>
      <c r="K884" s="87"/>
      <c r="L884" s="87" t="str" cm="1">
        <f t="array" ref="L884">IF($A884="","",_xlfn.LET(_xlpm.stat,CHOOSE({1,2,3,4,5},$P884,$T884,$X884,$AB884,$AF884),_xlpm.rate,CHOOSE({1,2,3,4,5},$R884,$V884,$Z884,$AD884,$AH884),_xlpm.trn,CHOOSE({1,2,3,4,5},$S884,$W884,$AA884,$AE884,$AI884),_xlpm.nsC,SUMPRODUCT(--(_xlpm.stat="Ready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DLR",IF(AND(_xlpm.actRS&gt;0,_xlpm.actDone&lt;_xlpm.actRS),"Training",IF(_xlpm.actRS&gt;0,"Active",IF(AND(_xlpm.decC&gt;0,_xlpm.inPlay+_xlpm.actC=0),"Dead",IF(AND($AJ884&lt;&gt;"",$AK884=FALSE),"Waiting on Dealer",IF(_xlpm.subC&gt;0,"Waiting on Lender",IF(AND(_xlpm.appC+_xlpm.actC&gt;0,_xlpm.nsC+_xlpm.wdC=0),"Rate Sheet","Application Submitted")))))))))</f>
        <v/>
      </c>
      <c r="M884" s="87"/>
      <c r="N884" s="87"/>
      <c r="O884" s="197"/>
      <c r="P884" s="87" t="str">
        <f>IF($A884="","",IF($AK884=TRUE,"Ready 2 Submit","Waiting on Dealer"))</f>
        <v/>
      </c>
      <c r="Q884" s="148"/>
      <c r="R884" s="87"/>
      <c r="S884" s="87"/>
      <c r="T884" s="87" t="str">
        <f>IF($A884="","",IF($AK884=TRUE,"Ready 2 Submit","Waiting on Dealer"))</f>
        <v/>
      </c>
      <c r="U884" s="148"/>
      <c r="V884" s="87"/>
      <c r="W884" s="87"/>
      <c r="X884" s="87" t="str">
        <f>IF($A884="","",IF($AK884=TRUE,"Ready 2 Submit","Waiting on Dealer"))</f>
        <v/>
      </c>
      <c r="Y884" s="148"/>
      <c r="Z884" s="87"/>
      <c r="AA884" s="87"/>
      <c r="AB884" s="87" t="str">
        <f>IF($A884="","",IF($AK884=TRUE,"Ready 2 Submit","Waiting on Dealer"))</f>
        <v/>
      </c>
      <c r="AC884" s="148"/>
      <c r="AD884" s="87"/>
      <c r="AE884" s="87"/>
      <c r="AF884" s="87" t="str">
        <f>IF($A884="","",IF($AK884=TRUE,"Ready 2 Submit","Waiting on Dealer"))</f>
        <v/>
      </c>
      <c r="AG884" s="148"/>
      <c r="AH884" s="87"/>
      <c r="AI884" s="87"/>
      <c r="AJ884" s="197"/>
      <c r="AK884" s="110" t="b">
        <v>0</v>
      </c>
      <c r="AL884" s="87" t="str" cm="1">
        <f t="array" ref="AL884">IF($A884="","",SUMPRODUCT((CHOOSE({1,2,3,4,5},$R884,$V884,$Z884,$AD884,$AH884)="Yes")*(((CHOOSE({1,2,3,4,5},$S884,$W884,$AA884,$AE884,$AI884)="Yes")+(CHOOSE({1,2,3,4,5},$S884,$W884,$AA884,$AE884,$AI884)=TRUE))&gt;0)))</f>
        <v/>
      </c>
      <c r="AM884" s="87"/>
      <c r="AN884" s="87" t="str">
        <f ca="1">IF(OR($A884="",$AM884=""),"",TODAY()-$AM884)</f>
        <v/>
      </c>
      <c r="AO884" s="87"/>
      <c r="AP884" s="106"/>
      <c r="AQ884" s="106"/>
      <c r="AR884" s="106"/>
      <c r="AS884" s="106"/>
      <c r="AT884" s="106"/>
      <c r="AU884" s="106"/>
      <c r="AV884" s="106"/>
      <c r="AW884" s="106"/>
      <c r="AX884" s="106"/>
      <c r="AY884" s="106"/>
    </row>
    <row r="885" spans="1:51" s="20" customFormat="1" ht="21" customHeight="1">
      <c r="A885" s="197"/>
      <c r="B885" s="87"/>
      <c r="C885" s="87"/>
      <c r="D885" s="196"/>
      <c r="E885" s="108"/>
      <c r="F885" s="196"/>
      <c r="G885" s="87"/>
      <c r="H885" s="197"/>
      <c r="I885" s="89"/>
      <c r="J885" s="204"/>
      <c r="K885" s="87"/>
      <c r="L885" s="87" t="str" cm="1">
        <f t="array" ref="L885">IF($A885="","",_xlfn.LET(_xlpm.stat,CHOOSE({1,2,3,4,5},$P885,$T885,$X885,$AB885,$AF885),_xlpm.rate,CHOOSE({1,2,3,4,5},$R885,$V885,$Z885,$AD885,$AH885),_xlpm.trn,CHOOSE({1,2,3,4,5},$S885,$W885,$AA885,$AE885,$AI885),_xlpm.nsC,SUMPRODUCT(--(_xlpm.stat="Ready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DLR",IF(AND(_xlpm.actRS&gt;0,_xlpm.actDone&lt;_xlpm.actRS),"Training",IF(_xlpm.actRS&gt;0,"Active",IF(AND(_xlpm.decC&gt;0,_xlpm.inPlay+_xlpm.actC=0),"Dead",IF(AND($AJ885&lt;&gt;"",$AK885=FALSE),"Waiting on Dealer",IF(_xlpm.subC&gt;0,"Waiting on Lender",IF(AND(_xlpm.appC+_xlpm.actC&gt;0,_xlpm.nsC+_xlpm.wdC=0),"Rate Sheet","Application Submitted")))))))))</f>
        <v/>
      </c>
      <c r="M885" s="87"/>
      <c r="N885" s="87"/>
      <c r="O885" s="197"/>
      <c r="P885" s="87" t="str">
        <f>IF($A885="","",IF($AK885=TRUE,"Ready 2 Submit","Waiting on Dealer"))</f>
        <v/>
      </c>
      <c r="Q885" s="148"/>
      <c r="R885" s="87"/>
      <c r="S885" s="87"/>
      <c r="T885" s="87" t="str">
        <f>IF($A885="","",IF($AK885=TRUE,"Ready 2 Submit","Waiting on Dealer"))</f>
        <v/>
      </c>
      <c r="U885" s="148"/>
      <c r="V885" s="87"/>
      <c r="W885" s="87"/>
      <c r="X885" s="87" t="str">
        <f>IF($A885="","",IF($AK885=TRUE,"Ready 2 Submit","Waiting on Dealer"))</f>
        <v/>
      </c>
      <c r="Y885" s="148"/>
      <c r="Z885" s="87"/>
      <c r="AA885" s="87"/>
      <c r="AB885" s="87" t="str">
        <f>IF($A885="","",IF($AK885=TRUE,"Ready 2 Submit","Waiting on Dealer"))</f>
        <v/>
      </c>
      <c r="AC885" s="148"/>
      <c r="AD885" s="87"/>
      <c r="AE885" s="87"/>
      <c r="AF885" s="87" t="str">
        <f>IF($A885="","",IF($AK885=TRUE,"Ready 2 Submit","Waiting on Dealer"))</f>
        <v/>
      </c>
      <c r="AG885" s="148"/>
      <c r="AH885" s="87"/>
      <c r="AI885" s="87"/>
      <c r="AJ885" s="197"/>
      <c r="AK885" s="110" t="b">
        <v>0</v>
      </c>
      <c r="AL885" s="87" t="str" cm="1">
        <f t="array" ref="AL885">IF($A885="","",SUMPRODUCT((CHOOSE({1,2,3,4,5},$R885,$V885,$Z885,$AD885,$AH885)="Yes")*(((CHOOSE({1,2,3,4,5},$S885,$W885,$AA885,$AE885,$AI885)="Yes")+(CHOOSE({1,2,3,4,5},$S885,$W885,$AA885,$AE885,$AI885)=TRUE))&gt;0)))</f>
        <v/>
      </c>
      <c r="AM885" s="87"/>
      <c r="AN885" s="87" t="str">
        <f ca="1">IF(OR($A885="",$AM885=""),"",TODAY()-$AM885)</f>
        <v/>
      </c>
      <c r="AO885" s="87"/>
      <c r="AP885" s="106"/>
      <c r="AQ885" s="106"/>
      <c r="AR885" s="106"/>
      <c r="AS885" s="106"/>
      <c r="AT885" s="106"/>
      <c r="AU885" s="106"/>
      <c r="AV885" s="106"/>
      <c r="AW885" s="106"/>
      <c r="AX885" s="106"/>
      <c r="AY885" s="106"/>
    </row>
    <row r="886" spans="1:51" s="20" customFormat="1" ht="21" customHeight="1">
      <c r="A886" s="197"/>
      <c r="B886" s="87"/>
      <c r="C886" s="87"/>
      <c r="D886" s="196"/>
      <c r="E886" s="108"/>
      <c r="F886" s="196"/>
      <c r="G886" s="87"/>
      <c r="H886" s="197"/>
      <c r="I886" s="89"/>
      <c r="J886" s="204"/>
      <c r="K886" s="87"/>
      <c r="L886" s="87" t="str" cm="1">
        <f t="array" ref="L886">IF($A886="","",_xlfn.LET(_xlpm.stat,CHOOSE({1,2,3,4,5},$P886,$T886,$X886,$AB886,$AF886),_xlpm.rate,CHOOSE({1,2,3,4,5},$R886,$V886,$Z886,$AD886,$AH886),_xlpm.trn,CHOOSE({1,2,3,4,5},$S886,$W886,$AA886,$AE886,$AI886),_xlpm.nsC,SUMPRODUCT(--(_xlpm.stat="Ready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DLR",IF(AND(_xlpm.actRS&gt;0,_xlpm.actDone&lt;_xlpm.actRS),"Training",IF(_xlpm.actRS&gt;0,"Active",IF(AND(_xlpm.decC&gt;0,_xlpm.inPlay+_xlpm.actC=0),"Dead",IF(AND($AJ886&lt;&gt;"",$AK886=FALSE),"Waiting on Dealer",IF(_xlpm.subC&gt;0,"Waiting on Lender",IF(AND(_xlpm.appC+_xlpm.actC&gt;0,_xlpm.nsC+_xlpm.wdC=0),"Rate Sheet","Application Submitted")))))))))</f>
        <v/>
      </c>
      <c r="M886" s="87"/>
      <c r="N886" s="87"/>
      <c r="O886" s="197"/>
      <c r="P886" s="87" t="str">
        <f>IF($A886="","",IF($AK886=TRUE,"Ready 2 Submit","Waiting on Dealer"))</f>
        <v/>
      </c>
      <c r="Q886" s="148"/>
      <c r="R886" s="87"/>
      <c r="S886" s="87"/>
      <c r="T886" s="87" t="str">
        <f>IF($A886="","",IF($AK886=TRUE,"Ready 2 Submit","Waiting on Dealer"))</f>
        <v/>
      </c>
      <c r="U886" s="148"/>
      <c r="V886" s="87"/>
      <c r="W886" s="87"/>
      <c r="X886" s="87" t="str">
        <f>IF($A886="","",IF($AK886=TRUE,"Ready 2 Submit","Waiting on Dealer"))</f>
        <v/>
      </c>
      <c r="Y886" s="148"/>
      <c r="Z886" s="87"/>
      <c r="AA886" s="87"/>
      <c r="AB886" s="87" t="str">
        <f>IF($A886="","",IF($AK886=TRUE,"Ready 2 Submit","Waiting on Dealer"))</f>
        <v/>
      </c>
      <c r="AC886" s="148"/>
      <c r="AD886" s="87"/>
      <c r="AE886" s="87"/>
      <c r="AF886" s="87" t="str">
        <f>IF($A886="","",IF($AK886=TRUE,"Ready 2 Submit","Waiting on Dealer"))</f>
        <v/>
      </c>
      <c r="AG886" s="148"/>
      <c r="AH886" s="87"/>
      <c r="AI886" s="87"/>
      <c r="AJ886" s="197"/>
      <c r="AK886" s="110" t="b">
        <v>0</v>
      </c>
      <c r="AL886" s="87" t="str" cm="1">
        <f t="array" ref="AL886">IF($A886="","",SUMPRODUCT((CHOOSE({1,2,3,4,5},$R886,$V886,$Z886,$AD886,$AH886)="Yes")*(((CHOOSE({1,2,3,4,5},$S886,$W886,$AA886,$AE886,$AI886)="Yes")+(CHOOSE({1,2,3,4,5},$S886,$W886,$AA886,$AE886,$AI886)=TRUE))&gt;0)))</f>
        <v/>
      </c>
      <c r="AM886" s="87"/>
      <c r="AN886" s="87" t="str">
        <f ca="1">IF(OR($A886="",$AM886=""),"",TODAY()-$AM886)</f>
        <v/>
      </c>
      <c r="AO886" s="87"/>
      <c r="AP886" s="106"/>
      <c r="AQ886" s="106"/>
      <c r="AR886" s="106"/>
      <c r="AS886" s="106"/>
      <c r="AT886" s="106"/>
      <c r="AU886" s="106"/>
      <c r="AV886" s="106"/>
      <c r="AW886" s="106"/>
      <c r="AX886" s="106"/>
      <c r="AY886" s="106"/>
    </row>
    <row r="887" spans="1:51" s="20" customFormat="1" ht="21" customHeight="1">
      <c r="A887" s="197"/>
      <c r="B887" s="87"/>
      <c r="C887" s="87"/>
      <c r="D887" s="196"/>
      <c r="E887" s="108"/>
      <c r="F887" s="196"/>
      <c r="G887" s="87"/>
      <c r="H887" s="197"/>
      <c r="I887" s="89"/>
      <c r="J887" s="204"/>
      <c r="K887" s="87"/>
      <c r="L887" s="87" t="str" cm="1">
        <f t="array" ref="L887">IF($A887="","",_xlfn.LET(_xlpm.stat,CHOOSE({1,2,3,4,5},$P887,$T887,$X887,$AB887,$AF887),_xlpm.rate,CHOOSE({1,2,3,4,5},$R887,$V887,$Z887,$AD887,$AH887),_xlpm.trn,CHOOSE({1,2,3,4,5},$S887,$W887,$AA887,$AE887,$AI887),_xlpm.nsC,SUMPRODUCT(--(_xlpm.stat="Ready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DLR",IF(AND(_xlpm.actRS&gt;0,_xlpm.actDone&lt;_xlpm.actRS),"Training",IF(_xlpm.actRS&gt;0,"Active",IF(AND(_xlpm.decC&gt;0,_xlpm.inPlay+_xlpm.actC=0),"Dead",IF(AND($AJ887&lt;&gt;"",$AK887=FALSE),"Waiting on Dealer",IF(_xlpm.subC&gt;0,"Waiting on Lender",IF(AND(_xlpm.appC+_xlpm.actC&gt;0,_xlpm.nsC+_xlpm.wdC=0),"Rate Sheet","Application Submitted")))))))))</f>
        <v/>
      </c>
      <c r="M887" s="87"/>
      <c r="N887" s="87"/>
      <c r="O887" s="197"/>
      <c r="P887" s="87" t="str">
        <f>IF($A887="","",IF($AK887=TRUE,"Ready 2 Submit","Waiting on Dealer"))</f>
        <v/>
      </c>
      <c r="Q887" s="148"/>
      <c r="R887" s="87"/>
      <c r="S887" s="87"/>
      <c r="T887" s="87" t="str">
        <f>IF($A887="","",IF($AK887=TRUE,"Ready 2 Submit","Waiting on Dealer"))</f>
        <v/>
      </c>
      <c r="U887" s="148"/>
      <c r="V887" s="87"/>
      <c r="W887" s="87"/>
      <c r="X887" s="87" t="str">
        <f>IF($A887="","",IF($AK887=TRUE,"Ready 2 Submit","Waiting on Dealer"))</f>
        <v/>
      </c>
      <c r="Y887" s="148"/>
      <c r="Z887" s="87"/>
      <c r="AA887" s="87"/>
      <c r="AB887" s="87" t="str">
        <f>IF($A887="","",IF($AK887=TRUE,"Ready 2 Submit","Waiting on Dealer"))</f>
        <v/>
      </c>
      <c r="AC887" s="148"/>
      <c r="AD887" s="87"/>
      <c r="AE887" s="87"/>
      <c r="AF887" s="87" t="str">
        <f>IF($A887="","",IF($AK887=TRUE,"Ready 2 Submit","Waiting on Dealer"))</f>
        <v/>
      </c>
      <c r="AG887" s="148"/>
      <c r="AH887" s="87"/>
      <c r="AI887" s="87"/>
      <c r="AJ887" s="197"/>
      <c r="AK887" s="110" t="b">
        <v>0</v>
      </c>
      <c r="AL887" s="87" t="str" cm="1">
        <f t="array" ref="AL887">IF($A887="","",SUMPRODUCT((CHOOSE({1,2,3,4,5},$R887,$V887,$Z887,$AD887,$AH887)="Yes")*(((CHOOSE({1,2,3,4,5},$S887,$W887,$AA887,$AE887,$AI887)="Yes")+(CHOOSE({1,2,3,4,5},$S887,$W887,$AA887,$AE887,$AI887)=TRUE))&gt;0)))</f>
        <v/>
      </c>
      <c r="AM887" s="87"/>
      <c r="AN887" s="87" t="str">
        <f ca="1">IF(OR($A887="",$AM887=""),"",TODAY()-$AM887)</f>
        <v/>
      </c>
      <c r="AO887" s="87"/>
      <c r="AP887" s="106"/>
      <c r="AQ887" s="106"/>
      <c r="AR887" s="106"/>
      <c r="AS887" s="106"/>
      <c r="AT887" s="106"/>
      <c r="AU887" s="106"/>
      <c r="AV887" s="106"/>
      <c r="AW887" s="106"/>
      <c r="AX887" s="106"/>
      <c r="AY887" s="106"/>
    </row>
    <row r="888" spans="1:51" s="20" customFormat="1" ht="21" customHeight="1">
      <c r="A888" s="197"/>
      <c r="B888" s="87"/>
      <c r="C888" s="87"/>
      <c r="D888" s="196"/>
      <c r="E888" s="108"/>
      <c r="F888" s="196"/>
      <c r="G888" s="87"/>
      <c r="H888" s="197"/>
      <c r="I888" s="89"/>
      <c r="J888" s="204"/>
      <c r="K888" s="87"/>
      <c r="L888" s="87" t="str" cm="1">
        <f t="array" ref="L888">IF($A888="","",_xlfn.LET(_xlpm.stat,CHOOSE({1,2,3,4,5},$P888,$T888,$X888,$AB888,$AF888),_xlpm.rate,CHOOSE({1,2,3,4,5},$R888,$V888,$Z888,$AD888,$AH888),_xlpm.trn,CHOOSE({1,2,3,4,5},$S888,$W888,$AA888,$AE888,$AI888),_xlpm.nsC,SUMPRODUCT(--(_xlpm.stat="Ready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DLR",IF(AND(_xlpm.actRS&gt;0,_xlpm.actDone&lt;_xlpm.actRS),"Training",IF(_xlpm.actRS&gt;0,"Active",IF(AND(_xlpm.decC&gt;0,_xlpm.inPlay+_xlpm.actC=0),"Dead",IF(AND($AJ888&lt;&gt;"",$AK888=FALSE),"Waiting on Dealer",IF(_xlpm.subC&gt;0,"Waiting on Lender",IF(AND(_xlpm.appC+_xlpm.actC&gt;0,_xlpm.nsC+_xlpm.wdC=0),"Rate Sheet","Application Submitted")))))))))</f>
        <v/>
      </c>
      <c r="M888" s="87"/>
      <c r="N888" s="87"/>
      <c r="O888" s="197"/>
      <c r="P888" s="87" t="str">
        <f>IF($A888="","",IF($AK888=TRUE,"Ready 2 Submit","Waiting on Dealer"))</f>
        <v/>
      </c>
      <c r="Q888" s="148"/>
      <c r="R888" s="87"/>
      <c r="S888" s="87"/>
      <c r="T888" s="87" t="str">
        <f>IF($A888="","",IF($AK888=TRUE,"Ready 2 Submit","Waiting on Dealer"))</f>
        <v/>
      </c>
      <c r="U888" s="148"/>
      <c r="V888" s="87"/>
      <c r="W888" s="87"/>
      <c r="X888" s="87" t="str">
        <f>IF($A888="","",IF($AK888=TRUE,"Ready 2 Submit","Waiting on Dealer"))</f>
        <v/>
      </c>
      <c r="Y888" s="148"/>
      <c r="Z888" s="87"/>
      <c r="AA888" s="87"/>
      <c r="AB888" s="87" t="str">
        <f>IF($A888="","",IF($AK888=TRUE,"Ready 2 Submit","Waiting on Dealer"))</f>
        <v/>
      </c>
      <c r="AC888" s="148"/>
      <c r="AD888" s="87"/>
      <c r="AE888" s="87"/>
      <c r="AF888" s="87" t="str">
        <f>IF($A888="","",IF($AK888=TRUE,"Ready 2 Submit","Waiting on Dealer"))</f>
        <v/>
      </c>
      <c r="AG888" s="148"/>
      <c r="AH888" s="87"/>
      <c r="AI888" s="87"/>
      <c r="AJ888" s="197"/>
      <c r="AK888" s="110" t="b">
        <v>0</v>
      </c>
      <c r="AL888" s="87" t="str" cm="1">
        <f t="array" ref="AL888">IF($A888="","",SUMPRODUCT((CHOOSE({1,2,3,4,5},$R888,$V888,$Z888,$AD888,$AH888)="Yes")*(((CHOOSE({1,2,3,4,5},$S888,$W888,$AA888,$AE888,$AI888)="Yes")+(CHOOSE({1,2,3,4,5},$S888,$W888,$AA888,$AE888,$AI888)=TRUE))&gt;0)))</f>
        <v/>
      </c>
      <c r="AM888" s="87"/>
      <c r="AN888" s="87" t="str">
        <f ca="1">IF(OR($A888="",$AM888=""),"",TODAY()-$AM888)</f>
        <v/>
      </c>
      <c r="AO888" s="87"/>
      <c r="AP888" s="106"/>
      <c r="AQ888" s="106"/>
      <c r="AR888" s="106"/>
      <c r="AS888" s="106"/>
      <c r="AT888" s="106"/>
      <c r="AU888" s="106"/>
      <c r="AV888" s="106"/>
      <c r="AW888" s="106"/>
      <c r="AX888" s="106"/>
      <c r="AY888" s="106"/>
    </row>
    <row r="889" spans="1:51" s="20" customFormat="1" ht="21" customHeight="1">
      <c r="A889" s="197"/>
      <c r="B889" s="87"/>
      <c r="C889" s="87"/>
      <c r="D889" s="196"/>
      <c r="E889" s="108"/>
      <c r="F889" s="196"/>
      <c r="G889" s="87"/>
      <c r="H889" s="197"/>
      <c r="I889" s="89"/>
      <c r="J889" s="204"/>
      <c r="K889" s="87"/>
      <c r="L889" s="87" t="str" cm="1">
        <f t="array" ref="L889">IF($A889="","",_xlfn.LET(_xlpm.stat,CHOOSE({1,2,3,4,5},$P889,$T889,$X889,$AB889,$AF889),_xlpm.rate,CHOOSE({1,2,3,4,5},$R889,$V889,$Z889,$AD889,$AH889),_xlpm.trn,CHOOSE({1,2,3,4,5},$S889,$W889,$AA889,$AE889,$AI889),_xlpm.nsC,SUMPRODUCT(--(_xlpm.stat="Ready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DLR",IF(AND(_xlpm.actRS&gt;0,_xlpm.actDone&lt;_xlpm.actRS),"Training",IF(_xlpm.actRS&gt;0,"Active",IF(AND(_xlpm.decC&gt;0,_xlpm.inPlay+_xlpm.actC=0),"Dead",IF(AND($AJ889&lt;&gt;"",$AK889=FALSE),"Waiting on Dealer",IF(_xlpm.subC&gt;0,"Waiting on Lender",IF(AND(_xlpm.appC+_xlpm.actC&gt;0,_xlpm.nsC+_xlpm.wdC=0),"Rate Sheet","Application Submitted")))))))))</f>
        <v/>
      </c>
      <c r="M889" s="87"/>
      <c r="N889" s="87"/>
      <c r="O889" s="197"/>
      <c r="P889" s="87" t="str">
        <f>IF($A889="","",IF($AK889=TRUE,"Ready 2 Submit","Waiting on Dealer"))</f>
        <v/>
      </c>
      <c r="Q889" s="148"/>
      <c r="R889" s="87"/>
      <c r="S889" s="87"/>
      <c r="T889" s="87" t="str">
        <f>IF($A889="","",IF($AK889=TRUE,"Ready 2 Submit","Waiting on Dealer"))</f>
        <v/>
      </c>
      <c r="U889" s="148"/>
      <c r="V889" s="87"/>
      <c r="W889" s="87"/>
      <c r="X889" s="87" t="str">
        <f>IF($A889="","",IF($AK889=TRUE,"Ready 2 Submit","Waiting on Dealer"))</f>
        <v/>
      </c>
      <c r="Y889" s="148"/>
      <c r="Z889" s="87"/>
      <c r="AA889" s="87"/>
      <c r="AB889" s="87" t="str">
        <f>IF($A889="","",IF($AK889=TRUE,"Ready 2 Submit","Waiting on Dealer"))</f>
        <v/>
      </c>
      <c r="AC889" s="148"/>
      <c r="AD889" s="87"/>
      <c r="AE889" s="87"/>
      <c r="AF889" s="87" t="str">
        <f>IF($A889="","",IF($AK889=TRUE,"Ready 2 Submit","Waiting on Dealer"))</f>
        <v/>
      </c>
      <c r="AG889" s="148"/>
      <c r="AH889" s="87"/>
      <c r="AI889" s="87"/>
      <c r="AJ889" s="197"/>
      <c r="AK889" s="110" t="b">
        <v>0</v>
      </c>
      <c r="AL889" s="87" t="str" cm="1">
        <f t="array" ref="AL889">IF($A889="","",SUMPRODUCT((CHOOSE({1,2,3,4,5},$R889,$V889,$Z889,$AD889,$AH889)="Yes")*(((CHOOSE({1,2,3,4,5},$S889,$W889,$AA889,$AE889,$AI889)="Yes")+(CHOOSE({1,2,3,4,5},$S889,$W889,$AA889,$AE889,$AI889)=TRUE))&gt;0)))</f>
        <v/>
      </c>
      <c r="AM889" s="87"/>
      <c r="AN889" s="87" t="str">
        <f ca="1">IF(OR($A889="",$AM889=""),"",TODAY()-$AM889)</f>
        <v/>
      </c>
      <c r="AO889" s="87"/>
      <c r="AP889" s="106"/>
      <c r="AQ889" s="106"/>
      <c r="AR889" s="106"/>
      <c r="AS889" s="106"/>
      <c r="AT889" s="106"/>
      <c r="AU889" s="106"/>
      <c r="AV889" s="106"/>
      <c r="AW889" s="106"/>
      <c r="AX889" s="106"/>
      <c r="AY889" s="106"/>
    </row>
    <row r="890" spans="1:51" s="20" customFormat="1" ht="21" customHeight="1">
      <c r="A890" s="197"/>
      <c r="B890" s="87"/>
      <c r="C890" s="87"/>
      <c r="D890" s="196"/>
      <c r="E890" s="108"/>
      <c r="F890" s="196"/>
      <c r="G890" s="87"/>
      <c r="H890" s="197"/>
      <c r="I890" s="89"/>
      <c r="J890" s="204"/>
      <c r="K890" s="87"/>
      <c r="L890" s="87" t="str" cm="1">
        <f t="array" ref="L890">IF($A890="","",_xlfn.LET(_xlpm.stat,CHOOSE({1,2,3,4,5},$P890,$T890,$X890,$AB890,$AF890),_xlpm.rate,CHOOSE({1,2,3,4,5},$R890,$V890,$Z890,$AD890,$AH890),_xlpm.trn,CHOOSE({1,2,3,4,5},$S890,$W890,$AA890,$AE890,$AI890),_xlpm.nsC,SUMPRODUCT(--(_xlpm.stat="Ready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DLR",IF(AND(_xlpm.actRS&gt;0,_xlpm.actDone&lt;_xlpm.actRS),"Training",IF(_xlpm.actRS&gt;0,"Active",IF(AND(_xlpm.decC&gt;0,_xlpm.inPlay+_xlpm.actC=0),"Dead",IF(AND($AJ890&lt;&gt;"",$AK890=FALSE),"Waiting on Dealer",IF(_xlpm.subC&gt;0,"Waiting on Lender",IF(AND(_xlpm.appC+_xlpm.actC&gt;0,_xlpm.nsC+_xlpm.wdC=0),"Rate Sheet","Application Submitted")))))))))</f>
        <v/>
      </c>
      <c r="M890" s="87"/>
      <c r="N890" s="87"/>
      <c r="O890" s="197"/>
      <c r="P890" s="87" t="str">
        <f>IF($A890="","",IF($AK890=TRUE,"Ready 2 Submit","Waiting on Dealer"))</f>
        <v/>
      </c>
      <c r="Q890" s="148"/>
      <c r="R890" s="87"/>
      <c r="S890" s="87"/>
      <c r="T890" s="87" t="str">
        <f>IF($A890="","",IF($AK890=TRUE,"Ready 2 Submit","Waiting on Dealer"))</f>
        <v/>
      </c>
      <c r="U890" s="148"/>
      <c r="V890" s="87"/>
      <c r="W890" s="87"/>
      <c r="X890" s="87" t="str">
        <f>IF($A890="","",IF($AK890=TRUE,"Ready 2 Submit","Waiting on Dealer"))</f>
        <v/>
      </c>
      <c r="Y890" s="148"/>
      <c r="Z890" s="87"/>
      <c r="AA890" s="87"/>
      <c r="AB890" s="87" t="str">
        <f>IF($A890="","",IF($AK890=TRUE,"Ready 2 Submit","Waiting on Dealer"))</f>
        <v/>
      </c>
      <c r="AC890" s="148"/>
      <c r="AD890" s="87"/>
      <c r="AE890" s="87"/>
      <c r="AF890" s="87" t="str">
        <f>IF($A890="","",IF($AK890=TRUE,"Ready 2 Submit","Waiting on Dealer"))</f>
        <v/>
      </c>
      <c r="AG890" s="148"/>
      <c r="AH890" s="87"/>
      <c r="AI890" s="87"/>
      <c r="AJ890" s="197"/>
      <c r="AK890" s="110" t="b">
        <v>0</v>
      </c>
      <c r="AL890" s="87" t="str" cm="1">
        <f t="array" ref="AL890">IF($A890="","",SUMPRODUCT((CHOOSE({1,2,3,4,5},$R890,$V890,$Z890,$AD890,$AH890)="Yes")*(((CHOOSE({1,2,3,4,5},$S890,$W890,$AA890,$AE890,$AI890)="Yes")+(CHOOSE({1,2,3,4,5},$S890,$W890,$AA890,$AE890,$AI890)=TRUE))&gt;0)))</f>
        <v/>
      </c>
      <c r="AM890" s="87"/>
      <c r="AN890" s="87" t="str">
        <f ca="1">IF(OR($A890="",$AM890=""),"",TODAY()-$AM890)</f>
        <v/>
      </c>
      <c r="AO890" s="87"/>
      <c r="AP890" s="106"/>
      <c r="AQ890" s="106"/>
      <c r="AR890" s="106"/>
      <c r="AS890" s="106"/>
      <c r="AT890" s="106"/>
      <c r="AU890" s="106"/>
      <c r="AV890" s="106"/>
      <c r="AW890" s="106"/>
      <c r="AX890" s="106"/>
      <c r="AY890" s="106"/>
    </row>
    <row r="891" spans="1:51" s="20" customFormat="1" ht="21" customHeight="1">
      <c r="A891" s="197"/>
      <c r="B891" s="87"/>
      <c r="C891" s="87"/>
      <c r="D891" s="196"/>
      <c r="E891" s="108"/>
      <c r="F891" s="196"/>
      <c r="G891" s="87"/>
      <c r="H891" s="197"/>
      <c r="I891" s="89"/>
      <c r="J891" s="204"/>
      <c r="K891" s="87"/>
      <c r="L891" s="87" t="str" cm="1">
        <f t="array" ref="L891">IF($A891="","",_xlfn.LET(_xlpm.stat,CHOOSE({1,2,3,4,5},$P891,$T891,$X891,$AB891,$AF891),_xlpm.rate,CHOOSE({1,2,3,4,5},$R891,$V891,$Z891,$AD891,$AH891),_xlpm.trn,CHOOSE({1,2,3,4,5},$S891,$W891,$AA891,$AE891,$AI891),_xlpm.nsC,SUMPRODUCT(--(_xlpm.stat="Ready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DLR",IF(AND(_xlpm.actRS&gt;0,_xlpm.actDone&lt;_xlpm.actRS),"Training",IF(_xlpm.actRS&gt;0,"Active",IF(AND(_xlpm.decC&gt;0,_xlpm.inPlay+_xlpm.actC=0),"Dead",IF(AND($AJ891&lt;&gt;"",$AK891=FALSE),"Waiting on Dealer",IF(_xlpm.subC&gt;0,"Waiting on Lender",IF(AND(_xlpm.appC+_xlpm.actC&gt;0,_xlpm.nsC+_xlpm.wdC=0),"Rate Sheet","Application Submitted")))))))))</f>
        <v/>
      </c>
      <c r="M891" s="87"/>
      <c r="N891" s="87"/>
      <c r="O891" s="197"/>
      <c r="P891" s="87" t="str">
        <f>IF($A891="","",IF($AK891=TRUE,"Ready 2 Submit","Waiting on Dealer"))</f>
        <v/>
      </c>
      <c r="Q891" s="148"/>
      <c r="R891" s="87"/>
      <c r="S891" s="87"/>
      <c r="T891" s="87" t="str">
        <f>IF($A891="","",IF($AK891=TRUE,"Ready 2 Submit","Waiting on Dealer"))</f>
        <v/>
      </c>
      <c r="U891" s="148"/>
      <c r="V891" s="87"/>
      <c r="W891" s="87"/>
      <c r="X891" s="87" t="str">
        <f>IF($A891="","",IF($AK891=TRUE,"Ready 2 Submit","Waiting on Dealer"))</f>
        <v/>
      </c>
      <c r="Y891" s="148"/>
      <c r="Z891" s="87"/>
      <c r="AA891" s="87"/>
      <c r="AB891" s="87" t="str">
        <f>IF($A891="","",IF($AK891=TRUE,"Ready 2 Submit","Waiting on Dealer"))</f>
        <v/>
      </c>
      <c r="AC891" s="148"/>
      <c r="AD891" s="87"/>
      <c r="AE891" s="87"/>
      <c r="AF891" s="87" t="str">
        <f>IF($A891="","",IF($AK891=TRUE,"Ready 2 Submit","Waiting on Dealer"))</f>
        <v/>
      </c>
      <c r="AG891" s="148"/>
      <c r="AH891" s="87"/>
      <c r="AI891" s="87"/>
      <c r="AJ891" s="197"/>
      <c r="AK891" s="110" t="b">
        <v>0</v>
      </c>
      <c r="AL891" s="87" t="str" cm="1">
        <f t="array" ref="AL891">IF($A891="","",SUMPRODUCT((CHOOSE({1,2,3,4,5},$R891,$V891,$Z891,$AD891,$AH891)="Yes")*(((CHOOSE({1,2,3,4,5},$S891,$W891,$AA891,$AE891,$AI891)="Yes")+(CHOOSE({1,2,3,4,5},$S891,$W891,$AA891,$AE891,$AI891)=TRUE))&gt;0)))</f>
        <v/>
      </c>
      <c r="AM891" s="87"/>
      <c r="AN891" s="87" t="str">
        <f ca="1">IF(OR($A891="",$AM891=""),"",TODAY()-$AM891)</f>
        <v/>
      </c>
      <c r="AO891" s="87"/>
      <c r="AP891" s="106"/>
      <c r="AQ891" s="106"/>
      <c r="AR891" s="106"/>
      <c r="AS891" s="106"/>
      <c r="AT891" s="106"/>
      <c r="AU891" s="106"/>
      <c r="AV891" s="106"/>
      <c r="AW891" s="106"/>
      <c r="AX891" s="106"/>
      <c r="AY891" s="106"/>
    </row>
    <row r="892" spans="1:51" s="20" customFormat="1" ht="21" customHeight="1">
      <c r="A892" s="197"/>
      <c r="B892" s="87"/>
      <c r="C892" s="87"/>
      <c r="D892" s="196"/>
      <c r="E892" s="108"/>
      <c r="F892" s="196"/>
      <c r="G892" s="87"/>
      <c r="H892" s="197"/>
      <c r="I892" s="89"/>
      <c r="J892" s="204"/>
      <c r="K892" s="87"/>
      <c r="L892" s="87" t="str" cm="1">
        <f t="array" ref="L892">IF($A892="","",_xlfn.LET(_xlpm.stat,CHOOSE({1,2,3,4,5},$P892,$T892,$X892,$AB892,$AF892),_xlpm.rate,CHOOSE({1,2,3,4,5},$R892,$V892,$Z892,$AD892,$AH892),_xlpm.trn,CHOOSE({1,2,3,4,5},$S892,$W892,$AA892,$AE892,$AI892),_xlpm.nsC,SUMPRODUCT(--(_xlpm.stat="Ready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DLR",IF(AND(_xlpm.actRS&gt;0,_xlpm.actDone&lt;_xlpm.actRS),"Training",IF(_xlpm.actRS&gt;0,"Active",IF(AND(_xlpm.decC&gt;0,_xlpm.inPlay+_xlpm.actC=0),"Dead",IF(AND($AJ892&lt;&gt;"",$AK892=FALSE),"Waiting on Dealer",IF(_xlpm.subC&gt;0,"Waiting on Lender",IF(AND(_xlpm.appC+_xlpm.actC&gt;0,_xlpm.nsC+_xlpm.wdC=0),"Rate Sheet","Application Submitted")))))))))</f>
        <v/>
      </c>
      <c r="M892" s="87"/>
      <c r="N892" s="87"/>
      <c r="O892" s="197"/>
      <c r="P892" s="87" t="str">
        <f>IF($A892="","",IF($AK892=TRUE,"Ready 2 Submit","Waiting on Dealer"))</f>
        <v/>
      </c>
      <c r="Q892" s="148"/>
      <c r="R892" s="87"/>
      <c r="S892" s="87"/>
      <c r="T892" s="87" t="str">
        <f>IF($A892="","",IF($AK892=TRUE,"Ready 2 Submit","Waiting on Dealer"))</f>
        <v/>
      </c>
      <c r="U892" s="148"/>
      <c r="V892" s="87"/>
      <c r="W892" s="87"/>
      <c r="X892" s="87" t="str">
        <f>IF($A892="","",IF($AK892=TRUE,"Ready 2 Submit","Waiting on Dealer"))</f>
        <v/>
      </c>
      <c r="Y892" s="148"/>
      <c r="Z892" s="87"/>
      <c r="AA892" s="87"/>
      <c r="AB892" s="87" t="str">
        <f>IF($A892="","",IF($AK892=TRUE,"Ready 2 Submit","Waiting on Dealer"))</f>
        <v/>
      </c>
      <c r="AC892" s="148"/>
      <c r="AD892" s="87"/>
      <c r="AE892" s="87"/>
      <c r="AF892" s="87" t="str">
        <f>IF($A892="","",IF($AK892=TRUE,"Ready 2 Submit","Waiting on Dealer"))</f>
        <v/>
      </c>
      <c r="AG892" s="148"/>
      <c r="AH892" s="87"/>
      <c r="AI892" s="87"/>
      <c r="AJ892" s="197"/>
      <c r="AK892" s="110" t="b">
        <v>0</v>
      </c>
      <c r="AL892" s="87" t="str" cm="1">
        <f t="array" ref="AL892">IF($A892="","",SUMPRODUCT((CHOOSE({1,2,3,4,5},$R892,$V892,$Z892,$AD892,$AH892)="Yes")*(((CHOOSE({1,2,3,4,5},$S892,$W892,$AA892,$AE892,$AI892)="Yes")+(CHOOSE({1,2,3,4,5},$S892,$W892,$AA892,$AE892,$AI892)=TRUE))&gt;0)))</f>
        <v/>
      </c>
      <c r="AM892" s="87"/>
      <c r="AN892" s="87" t="str">
        <f ca="1">IF(OR($A892="",$AM892=""),"",TODAY()-$AM892)</f>
        <v/>
      </c>
      <c r="AO892" s="87"/>
      <c r="AP892" s="106"/>
      <c r="AQ892" s="106"/>
      <c r="AR892" s="106"/>
      <c r="AS892" s="106"/>
      <c r="AT892" s="106"/>
      <c r="AU892" s="106"/>
      <c r="AV892" s="106"/>
      <c r="AW892" s="106"/>
      <c r="AX892" s="106"/>
      <c r="AY892" s="106"/>
    </row>
    <row r="893" spans="1:51" s="20" customFormat="1" ht="21" customHeight="1">
      <c r="A893" s="197"/>
      <c r="B893" s="87"/>
      <c r="C893" s="87"/>
      <c r="D893" s="196"/>
      <c r="E893" s="108"/>
      <c r="F893" s="196"/>
      <c r="G893" s="87"/>
      <c r="H893" s="197"/>
      <c r="I893" s="89"/>
      <c r="J893" s="204"/>
      <c r="K893" s="87"/>
      <c r="L893" s="87" t="str" cm="1">
        <f t="array" ref="L893">IF($A893="","",_xlfn.LET(_xlpm.stat,CHOOSE({1,2,3,4,5},$P893,$T893,$X893,$AB893,$AF893),_xlpm.rate,CHOOSE({1,2,3,4,5},$R893,$V893,$Z893,$AD893,$AH893),_xlpm.trn,CHOOSE({1,2,3,4,5},$S893,$W893,$AA893,$AE893,$AI893),_xlpm.nsC,SUMPRODUCT(--(_xlpm.stat="Ready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DLR",IF(AND(_xlpm.actRS&gt;0,_xlpm.actDone&lt;_xlpm.actRS),"Training",IF(_xlpm.actRS&gt;0,"Active",IF(AND(_xlpm.decC&gt;0,_xlpm.inPlay+_xlpm.actC=0),"Dead",IF(AND($AJ893&lt;&gt;"",$AK893=FALSE),"Waiting on Dealer",IF(_xlpm.subC&gt;0,"Waiting on Lender",IF(AND(_xlpm.appC+_xlpm.actC&gt;0,_xlpm.nsC+_xlpm.wdC=0),"Rate Sheet","Application Submitted")))))))))</f>
        <v/>
      </c>
      <c r="M893" s="87"/>
      <c r="N893" s="87"/>
      <c r="O893" s="197"/>
      <c r="P893" s="87" t="str">
        <f>IF($A893="","",IF($AK893=TRUE,"Ready 2 Submit","Waiting on Dealer"))</f>
        <v/>
      </c>
      <c r="Q893" s="148"/>
      <c r="R893" s="87"/>
      <c r="S893" s="87"/>
      <c r="T893" s="87" t="str">
        <f>IF($A893="","",IF($AK893=TRUE,"Ready 2 Submit","Waiting on Dealer"))</f>
        <v/>
      </c>
      <c r="U893" s="148"/>
      <c r="V893" s="87"/>
      <c r="W893" s="87"/>
      <c r="X893" s="87" t="str">
        <f>IF($A893="","",IF($AK893=TRUE,"Ready 2 Submit","Waiting on Dealer"))</f>
        <v/>
      </c>
      <c r="Y893" s="148"/>
      <c r="Z893" s="87"/>
      <c r="AA893" s="87"/>
      <c r="AB893" s="87" t="str">
        <f>IF($A893="","",IF($AK893=TRUE,"Ready 2 Submit","Waiting on Dealer"))</f>
        <v/>
      </c>
      <c r="AC893" s="148"/>
      <c r="AD893" s="87"/>
      <c r="AE893" s="87"/>
      <c r="AF893" s="87" t="str">
        <f>IF($A893="","",IF($AK893=TRUE,"Ready 2 Submit","Waiting on Dealer"))</f>
        <v/>
      </c>
      <c r="AG893" s="148"/>
      <c r="AH893" s="87"/>
      <c r="AI893" s="87"/>
      <c r="AJ893" s="197"/>
      <c r="AK893" s="110" t="b">
        <v>0</v>
      </c>
      <c r="AL893" s="87" t="str" cm="1">
        <f t="array" ref="AL893">IF($A893="","",SUMPRODUCT((CHOOSE({1,2,3,4,5},$R893,$V893,$Z893,$AD893,$AH893)="Yes")*(((CHOOSE({1,2,3,4,5},$S893,$W893,$AA893,$AE893,$AI893)="Yes")+(CHOOSE({1,2,3,4,5},$S893,$W893,$AA893,$AE893,$AI893)=TRUE))&gt;0)))</f>
        <v/>
      </c>
      <c r="AM893" s="87"/>
      <c r="AN893" s="87" t="str">
        <f ca="1">IF(OR($A893="",$AM893=""),"",TODAY()-$AM893)</f>
        <v/>
      </c>
      <c r="AO893" s="87"/>
      <c r="AP893" s="106"/>
      <c r="AQ893" s="106"/>
      <c r="AR893" s="106"/>
      <c r="AS893" s="106"/>
      <c r="AT893" s="106"/>
      <c r="AU893" s="106"/>
      <c r="AV893" s="106"/>
      <c r="AW893" s="106"/>
      <c r="AX893" s="106"/>
      <c r="AY893" s="106"/>
    </row>
    <row r="894" spans="1:51" s="20" customFormat="1" ht="21" customHeight="1">
      <c r="A894" s="197"/>
      <c r="B894" s="87"/>
      <c r="C894" s="87"/>
      <c r="D894" s="196"/>
      <c r="E894" s="108"/>
      <c r="F894" s="196"/>
      <c r="G894" s="87"/>
      <c r="H894" s="197"/>
      <c r="I894" s="89"/>
      <c r="J894" s="204"/>
      <c r="K894" s="87"/>
      <c r="L894" s="87" t="str" cm="1">
        <f t="array" ref="L894">IF($A894="","",_xlfn.LET(_xlpm.stat,CHOOSE({1,2,3,4,5},$P894,$T894,$X894,$AB894,$AF894),_xlpm.rate,CHOOSE({1,2,3,4,5},$R894,$V894,$Z894,$AD894,$AH894),_xlpm.trn,CHOOSE({1,2,3,4,5},$S894,$W894,$AA894,$AE894,$AI894),_xlpm.nsC,SUMPRODUCT(--(_xlpm.stat="Ready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DLR",IF(AND(_xlpm.actRS&gt;0,_xlpm.actDone&lt;_xlpm.actRS),"Training",IF(_xlpm.actRS&gt;0,"Active",IF(AND(_xlpm.decC&gt;0,_xlpm.inPlay+_xlpm.actC=0),"Dead",IF(AND($AJ894&lt;&gt;"",$AK894=FALSE),"Waiting on Dealer",IF(_xlpm.subC&gt;0,"Waiting on Lender",IF(AND(_xlpm.appC+_xlpm.actC&gt;0,_xlpm.nsC+_xlpm.wdC=0),"Rate Sheet","Application Submitted")))))))))</f>
        <v/>
      </c>
      <c r="M894" s="87"/>
      <c r="N894" s="87"/>
      <c r="O894" s="197"/>
      <c r="P894" s="87" t="str">
        <f>IF($A894="","",IF($AK894=TRUE,"Ready 2 Submit","Waiting on Dealer"))</f>
        <v/>
      </c>
      <c r="Q894" s="148"/>
      <c r="R894" s="87"/>
      <c r="S894" s="87"/>
      <c r="T894" s="87" t="str">
        <f>IF($A894="","",IF($AK894=TRUE,"Ready 2 Submit","Waiting on Dealer"))</f>
        <v/>
      </c>
      <c r="U894" s="148"/>
      <c r="V894" s="87"/>
      <c r="W894" s="87"/>
      <c r="X894" s="87" t="str">
        <f>IF($A894="","",IF($AK894=TRUE,"Ready 2 Submit","Waiting on Dealer"))</f>
        <v/>
      </c>
      <c r="Y894" s="148"/>
      <c r="Z894" s="87"/>
      <c r="AA894" s="87"/>
      <c r="AB894" s="87" t="str">
        <f>IF($A894="","",IF($AK894=TRUE,"Ready 2 Submit","Waiting on Dealer"))</f>
        <v/>
      </c>
      <c r="AC894" s="148"/>
      <c r="AD894" s="87"/>
      <c r="AE894" s="87"/>
      <c r="AF894" s="87" t="str">
        <f>IF($A894="","",IF($AK894=TRUE,"Ready 2 Submit","Waiting on Dealer"))</f>
        <v/>
      </c>
      <c r="AG894" s="148"/>
      <c r="AH894" s="87"/>
      <c r="AI894" s="87"/>
      <c r="AJ894" s="197"/>
      <c r="AK894" s="110" t="b">
        <v>0</v>
      </c>
      <c r="AL894" s="87" t="str" cm="1">
        <f t="array" ref="AL894">IF($A894="","",SUMPRODUCT((CHOOSE({1,2,3,4,5},$R894,$V894,$Z894,$AD894,$AH894)="Yes")*(((CHOOSE({1,2,3,4,5},$S894,$W894,$AA894,$AE894,$AI894)="Yes")+(CHOOSE({1,2,3,4,5},$S894,$W894,$AA894,$AE894,$AI894)=TRUE))&gt;0)))</f>
        <v/>
      </c>
      <c r="AM894" s="87"/>
      <c r="AN894" s="87" t="str">
        <f ca="1">IF(OR($A894="",$AM894=""),"",TODAY()-$AM894)</f>
        <v/>
      </c>
      <c r="AO894" s="87"/>
      <c r="AP894" s="106"/>
      <c r="AQ894" s="106"/>
      <c r="AR894" s="106"/>
      <c r="AS894" s="106"/>
      <c r="AT894" s="106"/>
      <c r="AU894" s="106"/>
      <c r="AV894" s="106"/>
      <c r="AW894" s="106"/>
      <c r="AX894" s="106"/>
      <c r="AY894" s="106"/>
    </row>
    <row r="895" spans="1:51" s="20" customFormat="1" ht="21" customHeight="1">
      <c r="A895" s="197"/>
      <c r="B895" s="87"/>
      <c r="C895" s="87"/>
      <c r="D895" s="196"/>
      <c r="E895" s="108"/>
      <c r="F895" s="196"/>
      <c r="G895" s="87"/>
      <c r="H895" s="197"/>
      <c r="I895" s="89"/>
      <c r="J895" s="204"/>
      <c r="K895" s="87"/>
      <c r="L895" s="87" t="str" cm="1">
        <f t="array" ref="L895">IF($A895="","",_xlfn.LET(_xlpm.stat,CHOOSE({1,2,3,4,5},$P895,$T895,$X895,$AB895,$AF895),_xlpm.rate,CHOOSE({1,2,3,4,5},$R895,$V895,$Z895,$AD895,$AH895),_xlpm.trn,CHOOSE({1,2,3,4,5},$S895,$W895,$AA895,$AE895,$AI895),_xlpm.nsC,SUMPRODUCT(--(_xlpm.stat="Ready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DLR",IF(AND(_xlpm.actRS&gt;0,_xlpm.actDone&lt;_xlpm.actRS),"Training",IF(_xlpm.actRS&gt;0,"Active",IF(AND(_xlpm.decC&gt;0,_xlpm.inPlay+_xlpm.actC=0),"Dead",IF(AND($AJ895&lt;&gt;"",$AK895=FALSE),"Waiting on Dealer",IF(_xlpm.subC&gt;0,"Waiting on Lender",IF(AND(_xlpm.appC+_xlpm.actC&gt;0,_xlpm.nsC+_xlpm.wdC=0),"Rate Sheet","Application Submitted")))))))))</f>
        <v/>
      </c>
      <c r="M895" s="87"/>
      <c r="N895" s="87"/>
      <c r="O895" s="197"/>
      <c r="P895" s="87" t="str">
        <f>IF($A895="","",IF($AK895=TRUE,"Ready 2 Submit","Waiting on Dealer"))</f>
        <v/>
      </c>
      <c r="Q895" s="148"/>
      <c r="R895" s="87"/>
      <c r="S895" s="87"/>
      <c r="T895" s="87" t="str">
        <f>IF($A895="","",IF($AK895=TRUE,"Ready 2 Submit","Waiting on Dealer"))</f>
        <v/>
      </c>
      <c r="U895" s="148"/>
      <c r="V895" s="87"/>
      <c r="W895" s="87"/>
      <c r="X895" s="87" t="str">
        <f>IF($A895="","",IF($AK895=TRUE,"Ready 2 Submit","Waiting on Dealer"))</f>
        <v/>
      </c>
      <c r="Y895" s="148"/>
      <c r="Z895" s="87"/>
      <c r="AA895" s="87"/>
      <c r="AB895" s="87" t="str">
        <f>IF($A895="","",IF($AK895=TRUE,"Ready 2 Submit","Waiting on Dealer"))</f>
        <v/>
      </c>
      <c r="AC895" s="148"/>
      <c r="AD895" s="87"/>
      <c r="AE895" s="87"/>
      <c r="AF895" s="87" t="str">
        <f>IF($A895="","",IF($AK895=TRUE,"Ready 2 Submit","Waiting on Dealer"))</f>
        <v/>
      </c>
      <c r="AG895" s="148"/>
      <c r="AH895" s="87"/>
      <c r="AI895" s="87"/>
      <c r="AJ895" s="197"/>
      <c r="AK895" s="110" t="b">
        <v>0</v>
      </c>
      <c r="AL895" s="87" t="str" cm="1">
        <f t="array" ref="AL895">IF($A895="","",SUMPRODUCT((CHOOSE({1,2,3,4,5},$R895,$V895,$Z895,$AD895,$AH895)="Yes")*(((CHOOSE({1,2,3,4,5},$S895,$W895,$AA895,$AE895,$AI895)="Yes")+(CHOOSE({1,2,3,4,5},$S895,$W895,$AA895,$AE895,$AI895)=TRUE))&gt;0)))</f>
        <v/>
      </c>
      <c r="AM895" s="87"/>
      <c r="AN895" s="87" t="str">
        <f ca="1">IF(OR($A895="",$AM895=""),"",TODAY()-$AM895)</f>
        <v/>
      </c>
      <c r="AO895" s="87"/>
      <c r="AP895" s="106"/>
      <c r="AQ895" s="106"/>
      <c r="AR895" s="106"/>
      <c r="AS895" s="106"/>
      <c r="AT895" s="106"/>
      <c r="AU895" s="106"/>
      <c r="AV895" s="106"/>
      <c r="AW895" s="106"/>
      <c r="AX895" s="106"/>
      <c r="AY895" s="106"/>
    </row>
    <row r="896" spans="1:51" s="20" customFormat="1" ht="21" customHeight="1">
      <c r="A896" s="197"/>
      <c r="B896" s="87"/>
      <c r="C896" s="87"/>
      <c r="D896" s="196"/>
      <c r="E896" s="108"/>
      <c r="F896" s="196"/>
      <c r="G896" s="87"/>
      <c r="H896" s="197"/>
      <c r="I896" s="89"/>
      <c r="J896" s="204"/>
      <c r="K896" s="87"/>
      <c r="L896" s="87" t="str" cm="1">
        <f t="array" ref="L896">IF($A896="","",_xlfn.LET(_xlpm.stat,CHOOSE({1,2,3,4,5},$P896,$T896,$X896,$AB896,$AF896),_xlpm.rate,CHOOSE({1,2,3,4,5},$R896,$V896,$Z896,$AD896,$AH896),_xlpm.trn,CHOOSE({1,2,3,4,5},$S896,$W896,$AA896,$AE896,$AI896),_xlpm.nsC,SUMPRODUCT(--(_xlpm.stat="Ready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DLR",IF(AND(_xlpm.actRS&gt;0,_xlpm.actDone&lt;_xlpm.actRS),"Training",IF(_xlpm.actRS&gt;0,"Active",IF(AND(_xlpm.decC&gt;0,_xlpm.inPlay+_xlpm.actC=0),"Dead",IF(AND($AJ896&lt;&gt;"",$AK896=FALSE),"Waiting on Dealer",IF(_xlpm.subC&gt;0,"Waiting on Lender",IF(AND(_xlpm.appC+_xlpm.actC&gt;0,_xlpm.nsC+_xlpm.wdC=0),"Rate Sheet","Application Submitted")))))))))</f>
        <v/>
      </c>
      <c r="M896" s="87"/>
      <c r="N896" s="87"/>
      <c r="O896" s="197"/>
      <c r="P896" s="87" t="str">
        <f>IF($A896="","",IF($AK896=TRUE,"Ready 2 Submit","Waiting on Dealer"))</f>
        <v/>
      </c>
      <c r="Q896" s="148"/>
      <c r="R896" s="87"/>
      <c r="S896" s="87"/>
      <c r="T896" s="87" t="str">
        <f>IF($A896="","",IF($AK896=TRUE,"Ready 2 Submit","Waiting on Dealer"))</f>
        <v/>
      </c>
      <c r="U896" s="148"/>
      <c r="V896" s="87"/>
      <c r="W896" s="87"/>
      <c r="X896" s="87" t="str">
        <f>IF($A896="","",IF($AK896=TRUE,"Ready 2 Submit","Waiting on Dealer"))</f>
        <v/>
      </c>
      <c r="Y896" s="148"/>
      <c r="Z896" s="87"/>
      <c r="AA896" s="87"/>
      <c r="AB896" s="87" t="str">
        <f>IF($A896="","",IF($AK896=TRUE,"Ready 2 Submit","Waiting on Dealer"))</f>
        <v/>
      </c>
      <c r="AC896" s="148"/>
      <c r="AD896" s="87"/>
      <c r="AE896" s="87"/>
      <c r="AF896" s="87" t="str">
        <f>IF($A896="","",IF($AK896=TRUE,"Ready 2 Submit","Waiting on Dealer"))</f>
        <v/>
      </c>
      <c r="AG896" s="148"/>
      <c r="AH896" s="87"/>
      <c r="AI896" s="87"/>
      <c r="AJ896" s="197"/>
      <c r="AK896" s="110" t="b">
        <v>0</v>
      </c>
      <c r="AL896" s="87" t="str" cm="1">
        <f t="array" ref="AL896">IF($A896="","",SUMPRODUCT((CHOOSE({1,2,3,4,5},$R896,$V896,$Z896,$AD896,$AH896)="Yes")*(((CHOOSE({1,2,3,4,5},$S896,$W896,$AA896,$AE896,$AI896)="Yes")+(CHOOSE({1,2,3,4,5},$S896,$W896,$AA896,$AE896,$AI896)=TRUE))&gt;0)))</f>
        <v/>
      </c>
      <c r="AM896" s="87"/>
      <c r="AN896" s="87" t="str">
        <f ca="1">IF(OR($A896="",$AM896=""),"",TODAY()-$AM896)</f>
        <v/>
      </c>
      <c r="AO896" s="87"/>
      <c r="AP896" s="106"/>
      <c r="AQ896" s="106"/>
      <c r="AR896" s="106"/>
      <c r="AS896" s="106"/>
      <c r="AT896" s="106"/>
      <c r="AU896" s="106"/>
      <c r="AV896" s="106"/>
      <c r="AW896" s="106"/>
      <c r="AX896" s="106"/>
      <c r="AY896" s="106"/>
    </row>
    <row r="897" spans="1:51" s="20" customFormat="1" ht="21" customHeight="1">
      <c r="A897" s="197"/>
      <c r="B897" s="87"/>
      <c r="C897" s="87"/>
      <c r="D897" s="196"/>
      <c r="E897" s="108"/>
      <c r="F897" s="196"/>
      <c r="G897" s="87"/>
      <c r="H897" s="197"/>
      <c r="I897" s="89"/>
      <c r="J897" s="204"/>
      <c r="K897" s="87"/>
      <c r="L897" s="87" t="str" cm="1">
        <f t="array" ref="L897">IF($A897="","",_xlfn.LET(_xlpm.stat,CHOOSE({1,2,3,4,5},$P897,$T897,$X897,$AB897,$AF897),_xlpm.rate,CHOOSE({1,2,3,4,5},$R897,$V897,$Z897,$AD897,$AH897),_xlpm.trn,CHOOSE({1,2,3,4,5},$S897,$W897,$AA897,$AE897,$AI897),_xlpm.nsC,SUMPRODUCT(--(_xlpm.stat="Ready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DLR",IF(AND(_xlpm.actRS&gt;0,_xlpm.actDone&lt;_xlpm.actRS),"Training",IF(_xlpm.actRS&gt;0,"Active",IF(AND(_xlpm.decC&gt;0,_xlpm.inPlay+_xlpm.actC=0),"Dead",IF(AND($AJ897&lt;&gt;"",$AK897=FALSE),"Waiting on Dealer",IF(_xlpm.subC&gt;0,"Waiting on Lender",IF(AND(_xlpm.appC+_xlpm.actC&gt;0,_xlpm.nsC+_xlpm.wdC=0),"Rate Sheet","Application Submitted")))))))))</f>
        <v/>
      </c>
      <c r="M897" s="87"/>
      <c r="N897" s="87"/>
      <c r="O897" s="197"/>
      <c r="P897" s="87" t="str">
        <f>IF($A897="","",IF($AK897=TRUE,"Ready 2 Submit","Waiting on Dealer"))</f>
        <v/>
      </c>
      <c r="Q897" s="148"/>
      <c r="R897" s="87"/>
      <c r="S897" s="87"/>
      <c r="T897" s="87" t="str">
        <f>IF($A897="","",IF($AK897=TRUE,"Ready 2 Submit","Waiting on Dealer"))</f>
        <v/>
      </c>
      <c r="U897" s="148"/>
      <c r="V897" s="87"/>
      <c r="W897" s="87"/>
      <c r="X897" s="87" t="str">
        <f>IF($A897="","",IF($AK897=TRUE,"Ready 2 Submit","Waiting on Dealer"))</f>
        <v/>
      </c>
      <c r="Y897" s="148"/>
      <c r="Z897" s="87"/>
      <c r="AA897" s="87"/>
      <c r="AB897" s="87" t="str">
        <f>IF($A897="","",IF($AK897=TRUE,"Ready 2 Submit","Waiting on Dealer"))</f>
        <v/>
      </c>
      <c r="AC897" s="148"/>
      <c r="AD897" s="87"/>
      <c r="AE897" s="87"/>
      <c r="AF897" s="87" t="str">
        <f>IF($A897="","",IF($AK897=TRUE,"Ready 2 Submit","Waiting on Dealer"))</f>
        <v/>
      </c>
      <c r="AG897" s="148"/>
      <c r="AH897" s="87"/>
      <c r="AI897" s="87"/>
      <c r="AJ897" s="197"/>
      <c r="AK897" s="110" t="b">
        <v>0</v>
      </c>
      <c r="AL897" s="87" t="str" cm="1">
        <f t="array" ref="AL897">IF($A897="","",SUMPRODUCT((CHOOSE({1,2,3,4,5},$R897,$V897,$Z897,$AD897,$AH897)="Yes")*(((CHOOSE({1,2,3,4,5},$S897,$W897,$AA897,$AE897,$AI897)="Yes")+(CHOOSE({1,2,3,4,5},$S897,$W897,$AA897,$AE897,$AI897)=TRUE))&gt;0)))</f>
        <v/>
      </c>
      <c r="AM897" s="87"/>
      <c r="AN897" s="87" t="str">
        <f ca="1">IF(OR($A897="",$AM897=""),"",TODAY()-$AM897)</f>
        <v/>
      </c>
      <c r="AO897" s="87"/>
      <c r="AP897" s="106"/>
      <c r="AQ897" s="106"/>
      <c r="AR897" s="106"/>
      <c r="AS897" s="106"/>
      <c r="AT897" s="106"/>
      <c r="AU897" s="106"/>
      <c r="AV897" s="106"/>
      <c r="AW897" s="106"/>
      <c r="AX897" s="106"/>
      <c r="AY897" s="106"/>
    </row>
    <row r="898" spans="1:51" s="20" customFormat="1" ht="21" customHeight="1">
      <c r="A898" s="197"/>
      <c r="B898" s="87"/>
      <c r="C898" s="87"/>
      <c r="D898" s="196"/>
      <c r="E898" s="108"/>
      <c r="F898" s="196"/>
      <c r="G898" s="87"/>
      <c r="H898" s="197"/>
      <c r="I898" s="89"/>
      <c r="J898" s="204"/>
      <c r="K898" s="87"/>
      <c r="L898" s="87" t="str" cm="1">
        <f t="array" ref="L898">IF($A898="","",_xlfn.LET(_xlpm.stat,CHOOSE({1,2,3,4,5},$P898,$T898,$X898,$AB898,$AF898),_xlpm.rate,CHOOSE({1,2,3,4,5},$R898,$V898,$Z898,$AD898,$AH898),_xlpm.trn,CHOOSE({1,2,3,4,5},$S898,$W898,$AA898,$AE898,$AI898),_xlpm.nsC,SUMPRODUCT(--(_xlpm.stat="Ready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DLR",IF(AND(_xlpm.actRS&gt;0,_xlpm.actDone&lt;_xlpm.actRS),"Training",IF(_xlpm.actRS&gt;0,"Active",IF(AND(_xlpm.decC&gt;0,_xlpm.inPlay+_xlpm.actC=0),"Dead",IF(AND($AJ898&lt;&gt;"",$AK898=FALSE),"Waiting on Dealer",IF(_xlpm.subC&gt;0,"Waiting on Lender",IF(AND(_xlpm.appC+_xlpm.actC&gt;0,_xlpm.nsC+_xlpm.wdC=0),"Rate Sheet","Application Submitted")))))))))</f>
        <v/>
      </c>
      <c r="M898" s="87"/>
      <c r="N898" s="87"/>
      <c r="O898" s="197"/>
      <c r="P898" s="87" t="str">
        <f>IF($A898="","",IF($AK898=TRUE,"Ready 2 Submit","Waiting on Dealer"))</f>
        <v/>
      </c>
      <c r="Q898" s="148"/>
      <c r="R898" s="87"/>
      <c r="S898" s="87"/>
      <c r="T898" s="87" t="str">
        <f>IF($A898="","",IF($AK898=TRUE,"Ready 2 Submit","Waiting on Dealer"))</f>
        <v/>
      </c>
      <c r="U898" s="148"/>
      <c r="V898" s="87"/>
      <c r="W898" s="87"/>
      <c r="X898" s="87" t="str">
        <f>IF($A898="","",IF($AK898=TRUE,"Ready 2 Submit","Waiting on Dealer"))</f>
        <v/>
      </c>
      <c r="Y898" s="148"/>
      <c r="Z898" s="87"/>
      <c r="AA898" s="87"/>
      <c r="AB898" s="87" t="str">
        <f>IF($A898="","",IF($AK898=TRUE,"Ready 2 Submit","Waiting on Dealer"))</f>
        <v/>
      </c>
      <c r="AC898" s="148"/>
      <c r="AD898" s="87"/>
      <c r="AE898" s="87"/>
      <c r="AF898" s="87" t="str">
        <f>IF($A898="","",IF($AK898=TRUE,"Ready 2 Submit","Waiting on Dealer"))</f>
        <v/>
      </c>
      <c r="AG898" s="148"/>
      <c r="AH898" s="87"/>
      <c r="AI898" s="87"/>
      <c r="AJ898" s="197"/>
      <c r="AK898" s="110" t="b">
        <v>0</v>
      </c>
      <c r="AL898" s="87" t="str" cm="1">
        <f t="array" ref="AL898">IF($A898="","",SUMPRODUCT((CHOOSE({1,2,3,4,5},$R898,$V898,$Z898,$AD898,$AH898)="Yes")*(((CHOOSE({1,2,3,4,5},$S898,$W898,$AA898,$AE898,$AI898)="Yes")+(CHOOSE({1,2,3,4,5},$S898,$W898,$AA898,$AE898,$AI898)=TRUE))&gt;0)))</f>
        <v/>
      </c>
      <c r="AM898" s="87"/>
      <c r="AN898" s="87" t="str">
        <f ca="1">IF(OR($A898="",$AM898=""),"",TODAY()-$AM898)</f>
        <v/>
      </c>
      <c r="AO898" s="87"/>
      <c r="AP898" s="106"/>
      <c r="AQ898" s="106"/>
      <c r="AR898" s="106"/>
      <c r="AS898" s="106"/>
      <c r="AT898" s="106"/>
      <c r="AU898" s="106"/>
      <c r="AV898" s="106"/>
      <c r="AW898" s="106"/>
      <c r="AX898" s="106"/>
      <c r="AY898" s="106"/>
    </row>
    <row r="899" spans="1:51" s="20" customFormat="1" ht="21" customHeight="1">
      <c r="A899" s="197"/>
      <c r="B899" s="87"/>
      <c r="C899" s="87"/>
      <c r="D899" s="196"/>
      <c r="E899" s="108"/>
      <c r="F899" s="196"/>
      <c r="G899" s="87"/>
      <c r="H899" s="197"/>
      <c r="I899" s="89"/>
      <c r="J899" s="204"/>
      <c r="K899" s="87"/>
      <c r="L899" s="87" t="str" cm="1">
        <f t="array" ref="L899">IF($A899="","",_xlfn.LET(_xlpm.stat,CHOOSE({1,2,3,4,5},$P899,$T899,$X899,$AB899,$AF899),_xlpm.rate,CHOOSE({1,2,3,4,5},$R899,$V899,$Z899,$AD899,$AH899),_xlpm.trn,CHOOSE({1,2,3,4,5},$S899,$W899,$AA899,$AE899,$AI899),_xlpm.nsC,SUMPRODUCT(--(_xlpm.stat="Ready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DLR",IF(AND(_xlpm.actRS&gt;0,_xlpm.actDone&lt;_xlpm.actRS),"Training",IF(_xlpm.actRS&gt;0,"Active",IF(AND(_xlpm.decC&gt;0,_xlpm.inPlay+_xlpm.actC=0),"Dead",IF(AND($AJ899&lt;&gt;"",$AK899=FALSE),"Waiting on Dealer",IF(_xlpm.subC&gt;0,"Waiting on Lender",IF(AND(_xlpm.appC+_xlpm.actC&gt;0,_xlpm.nsC+_xlpm.wdC=0),"Rate Sheet","Application Submitted")))))))))</f>
        <v/>
      </c>
      <c r="M899" s="87"/>
      <c r="N899" s="87"/>
      <c r="O899" s="197"/>
      <c r="P899" s="87" t="str">
        <f>IF($A899="","",IF($AK899=TRUE,"Ready 2 Submit","Waiting on Dealer"))</f>
        <v/>
      </c>
      <c r="Q899" s="148"/>
      <c r="R899" s="87"/>
      <c r="S899" s="87"/>
      <c r="T899" s="87" t="str">
        <f>IF($A899="","",IF($AK899=TRUE,"Ready 2 Submit","Waiting on Dealer"))</f>
        <v/>
      </c>
      <c r="U899" s="148"/>
      <c r="V899" s="87"/>
      <c r="W899" s="87"/>
      <c r="X899" s="87" t="str">
        <f>IF($A899="","",IF($AK899=TRUE,"Ready 2 Submit","Waiting on Dealer"))</f>
        <v/>
      </c>
      <c r="Y899" s="148"/>
      <c r="Z899" s="87"/>
      <c r="AA899" s="87"/>
      <c r="AB899" s="87" t="str">
        <f>IF($A899="","",IF($AK899=TRUE,"Ready 2 Submit","Waiting on Dealer"))</f>
        <v/>
      </c>
      <c r="AC899" s="148"/>
      <c r="AD899" s="87"/>
      <c r="AE899" s="87"/>
      <c r="AF899" s="87" t="str">
        <f>IF($A899="","",IF($AK899=TRUE,"Ready 2 Submit","Waiting on Dealer"))</f>
        <v/>
      </c>
      <c r="AG899" s="148"/>
      <c r="AH899" s="87"/>
      <c r="AI899" s="87"/>
      <c r="AJ899" s="197"/>
      <c r="AK899" s="110" t="b">
        <v>0</v>
      </c>
      <c r="AL899" s="87" t="str" cm="1">
        <f t="array" ref="AL899">IF($A899="","",SUMPRODUCT((CHOOSE({1,2,3,4,5},$R899,$V899,$Z899,$AD899,$AH899)="Yes")*(((CHOOSE({1,2,3,4,5},$S899,$W899,$AA899,$AE899,$AI899)="Yes")+(CHOOSE({1,2,3,4,5},$S899,$W899,$AA899,$AE899,$AI899)=TRUE))&gt;0)))</f>
        <v/>
      </c>
      <c r="AM899" s="87"/>
      <c r="AN899" s="87" t="str">
        <f ca="1">IF(OR($A899="",$AM899=""),"",TODAY()-$AM899)</f>
        <v/>
      </c>
      <c r="AO899" s="87"/>
      <c r="AP899" s="106"/>
      <c r="AQ899" s="106"/>
      <c r="AR899" s="106"/>
      <c r="AS899" s="106"/>
      <c r="AT899" s="106"/>
      <c r="AU899" s="106"/>
      <c r="AV899" s="106"/>
      <c r="AW899" s="106"/>
      <c r="AX899" s="106"/>
      <c r="AY899" s="106"/>
    </row>
    <row r="900" spans="1:51" s="20" customFormat="1" ht="21" customHeight="1">
      <c r="A900" s="197"/>
      <c r="B900" s="87"/>
      <c r="C900" s="87"/>
      <c r="D900" s="196"/>
      <c r="E900" s="108"/>
      <c r="F900" s="196"/>
      <c r="G900" s="87"/>
      <c r="H900" s="197"/>
      <c r="I900" s="89"/>
      <c r="J900" s="204"/>
      <c r="K900" s="87"/>
      <c r="L900" s="87" t="str" cm="1">
        <f t="array" ref="L900">IF($A900="","",_xlfn.LET(_xlpm.stat,CHOOSE({1,2,3,4,5},$P900,$T900,$X900,$AB900,$AF900),_xlpm.rate,CHOOSE({1,2,3,4,5},$R900,$V900,$Z900,$AD900,$AH900),_xlpm.trn,CHOOSE({1,2,3,4,5},$S900,$W900,$AA900,$AE900,$AI900),_xlpm.nsC,SUMPRODUCT(--(_xlpm.stat="Ready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DLR",IF(AND(_xlpm.actRS&gt;0,_xlpm.actDone&lt;_xlpm.actRS),"Training",IF(_xlpm.actRS&gt;0,"Active",IF(AND(_xlpm.decC&gt;0,_xlpm.inPlay+_xlpm.actC=0),"Dead",IF(AND($AJ900&lt;&gt;"",$AK900=FALSE),"Waiting on Dealer",IF(_xlpm.subC&gt;0,"Waiting on Lender",IF(AND(_xlpm.appC+_xlpm.actC&gt;0,_xlpm.nsC+_xlpm.wdC=0),"Rate Sheet","Application Submitted")))))))))</f>
        <v/>
      </c>
      <c r="M900" s="87"/>
      <c r="N900" s="87"/>
      <c r="O900" s="197"/>
      <c r="P900" s="87" t="str">
        <f>IF($A900="","",IF($AK900=TRUE,"Ready 2 Submit","Waiting on Dealer"))</f>
        <v/>
      </c>
      <c r="Q900" s="148"/>
      <c r="R900" s="87"/>
      <c r="S900" s="87"/>
      <c r="T900" s="87" t="str">
        <f>IF($A900="","",IF($AK900=TRUE,"Ready 2 Submit","Waiting on Dealer"))</f>
        <v/>
      </c>
      <c r="U900" s="148"/>
      <c r="V900" s="87"/>
      <c r="W900" s="87"/>
      <c r="X900" s="87" t="str">
        <f>IF($A900="","",IF($AK900=TRUE,"Ready 2 Submit","Waiting on Dealer"))</f>
        <v/>
      </c>
      <c r="Y900" s="148"/>
      <c r="Z900" s="87"/>
      <c r="AA900" s="87"/>
      <c r="AB900" s="87" t="str">
        <f>IF($A900="","",IF($AK900=TRUE,"Ready 2 Submit","Waiting on Dealer"))</f>
        <v/>
      </c>
      <c r="AC900" s="148"/>
      <c r="AD900" s="87"/>
      <c r="AE900" s="87"/>
      <c r="AF900" s="87" t="str">
        <f>IF($A900="","",IF($AK900=TRUE,"Ready 2 Submit","Waiting on Dealer"))</f>
        <v/>
      </c>
      <c r="AG900" s="148"/>
      <c r="AH900" s="87"/>
      <c r="AI900" s="87"/>
      <c r="AJ900" s="197"/>
      <c r="AK900" s="110" t="b">
        <v>0</v>
      </c>
      <c r="AL900" s="87" t="str" cm="1">
        <f t="array" ref="AL900">IF($A900="","",SUMPRODUCT((CHOOSE({1,2,3,4,5},$R900,$V900,$Z900,$AD900,$AH900)="Yes")*(((CHOOSE({1,2,3,4,5},$S900,$W900,$AA900,$AE900,$AI900)="Yes")+(CHOOSE({1,2,3,4,5},$S900,$W900,$AA900,$AE900,$AI900)=TRUE))&gt;0)))</f>
        <v/>
      </c>
      <c r="AM900" s="87"/>
      <c r="AN900" s="87" t="str">
        <f ca="1">IF(OR($A900="",$AM900=""),"",TODAY()-$AM900)</f>
        <v/>
      </c>
      <c r="AO900" s="87"/>
      <c r="AP900" s="106"/>
      <c r="AQ900" s="106"/>
      <c r="AR900" s="106"/>
      <c r="AS900" s="106"/>
      <c r="AT900" s="106"/>
      <c r="AU900" s="106"/>
      <c r="AV900" s="106"/>
      <c r="AW900" s="106"/>
      <c r="AX900" s="106"/>
      <c r="AY900" s="106"/>
    </row>
    <row r="901" spans="1:51" s="20" customFormat="1" ht="21" customHeight="1">
      <c r="A901" s="197"/>
      <c r="B901" s="87"/>
      <c r="C901" s="87"/>
      <c r="D901" s="196"/>
      <c r="E901" s="108"/>
      <c r="F901" s="196"/>
      <c r="G901" s="87"/>
      <c r="H901" s="197"/>
      <c r="I901" s="89"/>
      <c r="J901" s="204"/>
      <c r="K901" s="87"/>
      <c r="L901" s="87" t="str" cm="1">
        <f t="array" ref="L901">IF($A901="","",_xlfn.LET(_xlpm.stat,CHOOSE({1,2,3,4,5},$P901,$T901,$X901,$AB901,$AF901),_xlpm.rate,CHOOSE({1,2,3,4,5},$R901,$V901,$Z901,$AD901,$AH901),_xlpm.trn,CHOOSE({1,2,3,4,5},$S901,$W901,$AA901,$AE901,$AI901),_xlpm.nsC,SUMPRODUCT(--(_xlpm.stat="Ready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DLR",IF(AND(_xlpm.actRS&gt;0,_xlpm.actDone&lt;_xlpm.actRS),"Training",IF(_xlpm.actRS&gt;0,"Active",IF(AND(_xlpm.decC&gt;0,_xlpm.inPlay+_xlpm.actC=0),"Dead",IF(AND($AJ901&lt;&gt;"",$AK901=FALSE),"Waiting on Dealer",IF(_xlpm.subC&gt;0,"Waiting on Lender",IF(AND(_xlpm.appC+_xlpm.actC&gt;0,_xlpm.nsC+_xlpm.wdC=0),"Rate Sheet","Application Submitted")))))))))</f>
        <v/>
      </c>
      <c r="M901" s="87"/>
      <c r="N901" s="87"/>
      <c r="O901" s="197"/>
      <c r="P901" s="87" t="str">
        <f>IF($A901="","",IF($AK901=TRUE,"Ready 2 Submit","Waiting on Dealer"))</f>
        <v/>
      </c>
      <c r="Q901" s="148"/>
      <c r="R901" s="87"/>
      <c r="S901" s="87"/>
      <c r="T901" s="87" t="str">
        <f>IF($A901="","",IF($AK901=TRUE,"Ready 2 Submit","Waiting on Dealer"))</f>
        <v/>
      </c>
      <c r="U901" s="148"/>
      <c r="V901" s="87"/>
      <c r="W901" s="87"/>
      <c r="X901" s="87" t="str">
        <f>IF($A901="","",IF($AK901=TRUE,"Ready 2 Submit","Waiting on Dealer"))</f>
        <v/>
      </c>
      <c r="Y901" s="148"/>
      <c r="Z901" s="87"/>
      <c r="AA901" s="87"/>
      <c r="AB901" s="87" t="str">
        <f>IF($A901="","",IF($AK901=TRUE,"Ready 2 Submit","Waiting on Dealer"))</f>
        <v/>
      </c>
      <c r="AC901" s="148"/>
      <c r="AD901" s="87"/>
      <c r="AE901" s="87"/>
      <c r="AF901" s="87" t="str">
        <f>IF($A901="","",IF($AK901=TRUE,"Ready 2 Submit","Waiting on Dealer"))</f>
        <v/>
      </c>
      <c r="AG901" s="148"/>
      <c r="AH901" s="87"/>
      <c r="AI901" s="87"/>
      <c r="AJ901" s="197"/>
      <c r="AK901" s="110" t="b">
        <v>0</v>
      </c>
      <c r="AL901" s="87" t="str" cm="1">
        <f t="array" ref="AL901">IF($A901="","",SUMPRODUCT((CHOOSE({1,2,3,4,5},$R901,$V901,$Z901,$AD901,$AH901)="Yes")*(((CHOOSE({1,2,3,4,5},$S901,$W901,$AA901,$AE901,$AI901)="Yes")+(CHOOSE({1,2,3,4,5},$S901,$W901,$AA901,$AE901,$AI901)=TRUE))&gt;0)))</f>
        <v/>
      </c>
      <c r="AM901" s="87"/>
      <c r="AN901" s="87" t="str">
        <f ca="1">IF(OR($A901="",$AM901=""),"",TODAY()-$AM901)</f>
        <v/>
      </c>
      <c r="AO901" s="87"/>
      <c r="AP901" s="106"/>
      <c r="AQ901" s="106"/>
      <c r="AR901" s="106"/>
      <c r="AS901" s="106"/>
      <c r="AT901" s="106"/>
      <c r="AU901" s="106"/>
      <c r="AV901" s="106"/>
      <c r="AW901" s="106"/>
      <c r="AX901" s="106"/>
      <c r="AY901" s="106"/>
    </row>
    <row r="902" spans="1:51" s="20" customFormat="1" ht="21" customHeight="1">
      <c r="A902" s="197"/>
      <c r="B902" s="87"/>
      <c r="C902" s="87"/>
      <c r="D902" s="196"/>
      <c r="E902" s="108"/>
      <c r="F902" s="196"/>
      <c r="G902" s="87"/>
      <c r="H902" s="197"/>
      <c r="I902" s="89"/>
      <c r="J902" s="204"/>
      <c r="K902" s="87"/>
      <c r="L902" s="87" t="str" cm="1">
        <f t="array" ref="L902">IF($A902="","",_xlfn.LET(_xlpm.stat,CHOOSE({1,2,3,4,5},$P902,$T902,$X902,$AB902,$AF902),_xlpm.rate,CHOOSE({1,2,3,4,5},$R902,$V902,$Z902,$AD902,$AH902),_xlpm.trn,CHOOSE({1,2,3,4,5},$S902,$W902,$AA902,$AE902,$AI902),_xlpm.nsC,SUMPRODUCT(--(_xlpm.stat="Ready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DLR",IF(AND(_xlpm.actRS&gt;0,_xlpm.actDone&lt;_xlpm.actRS),"Training",IF(_xlpm.actRS&gt;0,"Active",IF(AND(_xlpm.decC&gt;0,_xlpm.inPlay+_xlpm.actC=0),"Dead",IF(AND($AJ902&lt;&gt;"",$AK902=FALSE),"Waiting on Dealer",IF(_xlpm.subC&gt;0,"Waiting on Lender",IF(AND(_xlpm.appC+_xlpm.actC&gt;0,_xlpm.nsC+_xlpm.wdC=0),"Rate Sheet","Application Submitted")))))))))</f>
        <v/>
      </c>
      <c r="M902" s="87"/>
      <c r="N902" s="87"/>
      <c r="O902" s="197"/>
      <c r="P902" s="87" t="str">
        <f>IF($A902="","",IF($AK902=TRUE,"Ready 2 Submit","Waiting on Dealer"))</f>
        <v/>
      </c>
      <c r="Q902" s="148"/>
      <c r="R902" s="87"/>
      <c r="S902" s="87"/>
      <c r="T902" s="87" t="str">
        <f>IF($A902="","",IF($AK902=TRUE,"Ready 2 Submit","Waiting on Dealer"))</f>
        <v/>
      </c>
      <c r="U902" s="148"/>
      <c r="V902" s="87"/>
      <c r="W902" s="87"/>
      <c r="X902" s="87" t="str">
        <f>IF($A902="","",IF($AK902=TRUE,"Ready 2 Submit","Waiting on Dealer"))</f>
        <v/>
      </c>
      <c r="Y902" s="148"/>
      <c r="Z902" s="87"/>
      <c r="AA902" s="87"/>
      <c r="AB902" s="87" t="str">
        <f>IF($A902="","",IF($AK902=TRUE,"Ready 2 Submit","Waiting on Dealer"))</f>
        <v/>
      </c>
      <c r="AC902" s="148"/>
      <c r="AD902" s="87"/>
      <c r="AE902" s="87"/>
      <c r="AF902" s="87" t="str">
        <f>IF($A902="","",IF($AK902=TRUE,"Ready 2 Submit","Waiting on Dealer"))</f>
        <v/>
      </c>
      <c r="AG902" s="148"/>
      <c r="AH902" s="87"/>
      <c r="AI902" s="87"/>
      <c r="AJ902" s="197"/>
      <c r="AK902" s="110" t="b">
        <v>0</v>
      </c>
      <c r="AL902" s="87" t="str" cm="1">
        <f t="array" ref="AL902">IF($A902="","",SUMPRODUCT((CHOOSE({1,2,3,4,5},$R902,$V902,$Z902,$AD902,$AH902)="Yes")*(((CHOOSE({1,2,3,4,5},$S902,$W902,$AA902,$AE902,$AI902)="Yes")+(CHOOSE({1,2,3,4,5},$S902,$W902,$AA902,$AE902,$AI902)=TRUE))&gt;0)))</f>
        <v/>
      </c>
      <c r="AM902" s="87"/>
      <c r="AN902" s="87" t="str">
        <f ca="1">IF(OR($A902="",$AM902=""),"",TODAY()-$AM902)</f>
        <v/>
      </c>
      <c r="AO902" s="87"/>
      <c r="AP902" s="106"/>
      <c r="AQ902" s="106"/>
      <c r="AR902" s="106"/>
      <c r="AS902" s="106"/>
      <c r="AT902" s="106"/>
      <c r="AU902" s="106"/>
      <c r="AV902" s="106"/>
      <c r="AW902" s="106"/>
      <c r="AX902" s="106"/>
      <c r="AY902" s="106"/>
    </row>
    <row r="903" spans="1:51" s="20" customFormat="1" ht="21" customHeight="1">
      <c r="A903" s="197"/>
      <c r="B903" s="87"/>
      <c r="C903" s="87"/>
      <c r="D903" s="196"/>
      <c r="E903" s="108"/>
      <c r="F903" s="196"/>
      <c r="G903" s="87"/>
      <c r="H903" s="197"/>
      <c r="I903" s="89"/>
      <c r="J903" s="204"/>
      <c r="K903" s="87"/>
      <c r="L903" s="87" t="str" cm="1">
        <f t="array" ref="L903">IF($A903="","",_xlfn.LET(_xlpm.stat,CHOOSE({1,2,3,4,5},$P903,$T903,$X903,$AB903,$AF903),_xlpm.rate,CHOOSE({1,2,3,4,5},$R903,$V903,$Z903,$AD903,$AH903),_xlpm.trn,CHOOSE({1,2,3,4,5},$S903,$W903,$AA903,$AE903,$AI903),_xlpm.nsC,SUMPRODUCT(--(_xlpm.stat="Ready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DLR",IF(AND(_xlpm.actRS&gt;0,_xlpm.actDone&lt;_xlpm.actRS),"Training",IF(_xlpm.actRS&gt;0,"Active",IF(AND(_xlpm.decC&gt;0,_xlpm.inPlay+_xlpm.actC=0),"Dead",IF(AND($AJ903&lt;&gt;"",$AK903=FALSE),"Waiting on Dealer",IF(_xlpm.subC&gt;0,"Waiting on Lender",IF(AND(_xlpm.appC+_xlpm.actC&gt;0,_xlpm.nsC+_xlpm.wdC=0),"Rate Sheet","Application Submitted")))))))))</f>
        <v/>
      </c>
      <c r="M903" s="87"/>
      <c r="N903" s="87"/>
      <c r="O903" s="197"/>
      <c r="P903" s="87" t="str">
        <f>IF($A903="","",IF($AK903=TRUE,"Ready 2 Submit","Waiting on Dealer"))</f>
        <v/>
      </c>
      <c r="Q903" s="148"/>
      <c r="R903" s="87"/>
      <c r="S903" s="87"/>
      <c r="T903" s="87" t="str">
        <f>IF($A903="","",IF($AK903=TRUE,"Ready 2 Submit","Waiting on Dealer"))</f>
        <v/>
      </c>
      <c r="U903" s="148"/>
      <c r="V903" s="87"/>
      <c r="W903" s="87"/>
      <c r="X903" s="87" t="str">
        <f>IF($A903="","",IF($AK903=TRUE,"Ready 2 Submit","Waiting on Dealer"))</f>
        <v/>
      </c>
      <c r="Y903" s="148"/>
      <c r="Z903" s="87"/>
      <c r="AA903" s="87"/>
      <c r="AB903" s="87" t="str">
        <f>IF($A903="","",IF($AK903=TRUE,"Ready 2 Submit","Waiting on Dealer"))</f>
        <v/>
      </c>
      <c r="AC903" s="148"/>
      <c r="AD903" s="87"/>
      <c r="AE903" s="87"/>
      <c r="AF903" s="87" t="str">
        <f>IF($A903="","",IF($AK903=TRUE,"Ready 2 Submit","Waiting on Dealer"))</f>
        <v/>
      </c>
      <c r="AG903" s="148"/>
      <c r="AH903" s="87"/>
      <c r="AI903" s="87"/>
      <c r="AJ903" s="197"/>
      <c r="AK903" s="110" t="b">
        <v>0</v>
      </c>
      <c r="AL903" s="87" t="str" cm="1">
        <f t="array" ref="AL903">IF($A903="","",SUMPRODUCT((CHOOSE({1,2,3,4,5},$R903,$V903,$Z903,$AD903,$AH903)="Yes")*(((CHOOSE({1,2,3,4,5},$S903,$W903,$AA903,$AE903,$AI903)="Yes")+(CHOOSE({1,2,3,4,5},$S903,$W903,$AA903,$AE903,$AI903)=TRUE))&gt;0)))</f>
        <v/>
      </c>
      <c r="AM903" s="87"/>
      <c r="AN903" s="87" t="str">
        <f ca="1">IF(OR($A903="",$AM903=""),"",TODAY()-$AM903)</f>
        <v/>
      </c>
      <c r="AO903" s="87"/>
      <c r="AP903" s="106"/>
      <c r="AQ903" s="106"/>
      <c r="AR903" s="106"/>
      <c r="AS903" s="106"/>
      <c r="AT903" s="106"/>
      <c r="AU903" s="106"/>
      <c r="AV903" s="106"/>
      <c r="AW903" s="106"/>
      <c r="AX903" s="106"/>
      <c r="AY903" s="106"/>
    </row>
    <row r="904" spans="1:51" s="20" customFormat="1" ht="21" customHeight="1">
      <c r="A904" s="197"/>
      <c r="B904" s="87"/>
      <c r="C904" s="87"/>
      <c r="D904" s="196"/>
      <c r="E904" s="108"/>
      <c r="F904" s="196"/>
      <c r="G904" s="87"/>
      <c r="H904" s="197"/>
      <c r="I904" s="89"/>
      <c r="J904" s="204"/>
      <c r="K904" s="87"/>
      <c r="L904" s="87" t="str" cm="1">
        <f t="array" ref="L904">IF($A904="","",_xlfn.LET(_xlpm.stat,CHOOSE({1,2,3,4,5},$P904,$T904,$X904,$AB904,$AF904),_xlpm.rate,CHOOSE({1,2,3,4,5},$R904,$V904,$Z904,$AD904,$AH904),_xlpm.trn,CHOOSE({1,2,3,4,5},$S904,$W904,$AA904,$AE904,$AI904),_xlpm.nsC,SUMPRODUCT(--(_xlpm.stat="Ready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DLR",IF(AND(_xlpm.actRS&gt;0,_xlpm.actDone&lt;_xlpm.actRS),"Training",IF(_xlpm.actRS&gt;0,"Active",IF(AND(_xlpm.decC&gt;0,_xlpm.inPlay+_xlpm.actC=0),"Dead",IF(AND($AJ904&lt;&gt;"",$AK904=FALSE),"Waiting on Dealer",IF(_xlpm.subC&gt;0,"Waiting on Lender",IF(AND(_xlpm.appC+_xlpm.actC&gt;0,_xlpm.nsC+_xlpm.wdC=0),"Rate Sheet","Application Submitted")))))))))</f>
        <v/>
      </c>
      <c r="M904" s="87"/>
      <c r="N904" s="87"/>
      <c r="O904" s="197"/>
      <c r="P904" s="87" t="str">
        <f>IF($A904="","",IF($AK904=TRUE,"Ready 2 Submit","Waiting on Dealer"))</f>
        <v/>
      </c>
      <c r="Q904" s="148"/>
      <c r="R904" s="87"/>
      <c r="S904" s="87"/>
      <c r="T904" s="87" t="str">
        <f>IF($A904="","",IF($AK904=TRUE,"Ready 2 Submit","Waiting on Dealer"))</f>
        <v/>
      </c>
      <c r="U904" s="148"/>
      <c r="V904" s="87"/>
      <c r="W904" s="87"/>
      <c r="X904" s="87" t="str">
        <f>IF($A904="","",IF($AK904=TRUE,"Ready 2 Submit","Waiting on Dealer"))</f>
        <v/>
      </c>
      <c r="Y904" s="148"/>
      <c r="Z904" s="87"/>
      <c r="AA904" s="87"/>
      <c r="AB904" s="87" t="str">
        <f>IF($A904="","",IF($AK904=TRUE,"Ready 2 Submit","Waiting on Dealer"))</f>
        <v/>
      </c>
      <c r="AC904" s="148"/>
      <c r="AD904" s="87"/>
      <c r="AE904" s="87"/>
      <c r="AF904" s="87" t="str">
        <f>IF($A904="","",IF($AK904=TRUE,"Ready 2 Submit","Waiting on Dealer"))</f>
        <v/>
      </c>
      <c r="AG904" s="148"/>
      <c r="AH904" s="87"/>
      <c r="AI904" s="87"/>
      <c r="AJ904" s="197"/>
      <c r="AK904" s="110" t="b">
        <v>0</v>
      </c>
      <c r="AL904" s="87" t="str" cm="1">
        <f t="array" ref="AL904">IF($A904="","",SUMPRODUCT((CHOOSE({1,2,3,4,5},$R904,$V904,$Z904,$AD904,$AH904)="Yes")*(((CHOOSE({1,2,3,4,5},$S904,$W904,$AA904,$AE904,$AI904)="Yes")+(CHOOSE({1,2,3,4,5},$S904,$W904,$AA904,$AE904,$AI904)=TRUE))&gt;0)))</f>
        <v/>
      </c>
      <c r="AM904" s="87"/>
      <c r="AN904" s="87" t="str">
        <f ca="1">IF(OR($A904="",$AM904=""),"",TODAY()-$AM904)</f>
        <v/>
      </c>
      <c r="AO904" s="87"/>
      <c r="AP904" s="106"/>
      <c r="AQ904" s="106"/>
      <c r="AR904" s="106"/>
      <c r="AS904" s="106"/>
      <c r="AT904" s="106"/>
      <c r="AU904" s="106"/>
      <c r="AV904" s="106"/>
      <c r="AW904" s="106"/>
      <c r="AX904" s="106"/>
      <c r="AY904" s="106"/>
    </row>
    <row r="905" spans="1:51" s="20" customFormat="1" ht="21" customHeight="1">
      <c r="A905" s="197"/>
      <c r="B905" s="87"/>
      <c r="C905" s="87"/>
      <c r="D905" s="196"/>
      <c r="E905" s="108"/>
      <c r="F905" s="196"/>
      <c r="G905" s="87"/>
      <c r="H905" s="197"/>
      <c r="I905" s="89"/>
      <c r="J905" s="204"/>
      <c r="K905" s="87"/>
      <c r="L905" s="87" t="str" cm="1">
        <f t="array" ref="L905">IF($A905="","",_xlfn.LET(_xlpm.stat,CHOOSE({1,2,3,4,5},$P905,$T905,$X905,$AB905,$AF905),_xlpm.rate,CHOOSE({1,2,3,4,5},$R905,$V905,$Z905,$AD905,$AH905),_xlpm.trn,CHOOSE({1,2,3,4,5},$S905,$W905,$AA905,$AE905,$AI905),_xlpm.nsC,SUMPRODUCT(--(_xlpm.stat="Ready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DLR",IF(AND(_xlpm.actRS&gt;0,_xlpm.actDone&lt;_xlpm.actRS),"Training",IF(_xlpm.actRS&gt;0,"Active",IF(AND(_xlpm.decC&gt;0,_xlpm.inPlay+_xlpm.actC=0),"Dead",IF(AND($AJ905&lt;&gt;"",$AK905=FALSE),"Waiting on Dealer",IF(_xlpm.subC&gt;0,"Waiting on Lender",IF(AND(_xlpm.appC+_xlpm.actC&gt;0,_xlpm.nsC+_xlpm.wdC=0),"Rate Sheet","Application Submitted")))))))))</f>
        <v/>
      </c>
      <c r="M905" s="87"/>
      <c r="N905" s="87"/>
      <c r="O905" s="197"/>
      <c r="P905" s="87" t="str">
        <f>IF($A905="","",IF($AK905=TRUE,"Ready 2 Submit","Waiting on Dealer"))</f>
        <v/>
      </c>
      <c r="Q905" s="148"/>
      <c r="R905" s="87"/>
      <c r="S905" s="87"/>
      <c r="T905" s="87" t="str">
        <f>IF($A905="","",IF($AK905=TRUE,"Ready 2 Submit","Waiting on Dealer"))</f>
        <v/>
      </c>
      <c r="U905" s="148"/>
      <c r="V905" s="87"/>
      <c r="W905" s="87"/>
      <c r="X905" s="87" t="str">
        <f>IF($A905="","",IF($AK905=TRUE,"Ready 2 Submit","Waiting on Dealer"))</f>
        <v/>
      </c>
      <c r="Y905" s="148"/>
      <c r="Z905" s="87"/>
      <c r="AA905" s="87"/>
      <c r="AB905" s="87" t="str">
        <f>IF($A905="","",IF($AK905=TRUE,"Ready 2 Submit","Waiting on Dealer"))</f>
        <v/>
      </c>
      <c r="AC905" s="148"/>
      <c r="AD905" s="87"/>
      <c r="AE905" s="87"/>
      <c r="AF905" s="87" t="str">
        <f>IF($A905="","",IF($AK905=TRUE,"Ready 2 Submit","Waiting on Dealer"))</f>
        <v/>
      </c>
      <c r="AG905" s="148"/>
      <c r="AH905" s="87"/>
      <c r="AI905" s="87"/>
      <c r="AJ905" s="197"/>
      <c r="AK905" s="110" t="b">
        <v>0</v>
      </c>
      <c r="AL905" s="87" t="str" cm="1">
        <f t="array" ref="AL905">IF($A905="","",SUMPRODUCT((CHOOSE({1,2,3,4,5},$R905,$V905,$Z905,$AD905,$AH905)="Yes")*(((CHOOSE({1,2,3,4,5},$S905,$W905,$AA905,$AE905,$AI905)="Yes")+(CHOOSE({1,2,3,4,5},$S905,$W905,$AA905,$AE905,$AI905)=TRUE))&gt;0)))</f>
        <v/>
      </c>
      <c r="AM905" s="87"/>
      <c r="AN905" s="87" t="str">
        <f ca="1">IF(OR($A905="",$AM905=""),"",TODAY()-$AM905)</f>
        <v/>
      </c>
      <c r="AO905" s="87"/>
      <c r="AP905" s="106"/>
      <c r="AQ905" s="106"/>
      <c r="AR905" s="106"/>
      <c r="AS905" s="106"/>
      <c r="AT905" s="106"/>
      <c r="AU905" s="106"/>
      <c r="AV905" s="106"/>
      <c r="AW905" s="106"/>
      <c r="AX905" s="106"/>
      <c r="AY905" s="106"/>
    </row>
    <row r="906" spans="1:51" s="20" customFormat="1" ht="21" customHeight="1">
      <c r="A906" s="197"/>
      <c r="B906" s="87"/>
      <c r="C906" s="87"/>
      <c r="D906" s="196"/>
      <c r="E906" s="108"/>
      <c r="F906" s="196"/>
      <c r="G906" s="87"/>
      <c r="H906" s="197"/>
      <c r="I906" s="89"/>
      <c r="J906" s="204"/>
      <c r="K906" s="87"/>
      <c r="L906" s="87" t="str" cm="1">
        <f t="array" ref="L906">IF($A906="","",_xlfn.LET(_xlpm.stat,CHOOSE({1,2,3,4,5},$P906,$T906,$X906,$AB906,$AF906),_xlpm.rate,CHOOSE({1,2,3,4,5},$R906,$V906,$Z906,$AD906,$AH906),_xlpm.trn,CHOOSE({1,2,3,4,5},$S906,$W906,$AA906,$AE906,$AI906),_xlpm.nsC,SUMPRODUCT(--(_xlpm.stat="Ready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DLR",IF(AND(_xlpm.actRS&gt;0,_xlpm.actDone&lt;_xlpm.actRS),"Training",IF(_xlpm.actRS&gt;0,"Active",IF(AND(_xlpm.decC&gt;0,_xlpm.inPlay+_xlpm.actC=0),"Dead",IF(AND($AJ906&lt;&gt;"",$AK906=FALSE),"Waiting on Dealer",IF(_xlpm.subC&gt;0,"Waiting on Lender",IF(AND(_xlpm.appC+_xlpm.actC&gt;0,_xlpm.nsC+_xlpm.wdC=0),"Rate Sheet","Application Submitted")))))))))</f>
        <v/>
      </c>
      <c r="M906" s="87"/>
      <c r="N906" s="87"/>
      <c r="O906" s="197"/>
      <c r="P906" s="87" t="str">
        <f>IF($A906="","",IF($AK906=TRUE,"Ready 2 Submit","Waiting on Dealer"))</f>
        <v/>
      </c>
      <c r="Q906" s="148"/>
      <c r="R906" s="87"/>
      <c r="S906" s="87"/>
      <c r="T906" s="87" t="str">
        <f>IF($A906="","",IF($AK906=TRUE,"Ready 2 Submit","Waiting on Dealer"))</f>
        <v/>
      </c>
      <c r="U906" s="148"/>
      <c r="V906" s="87"/>
      <c r="W906" s="87"/>
      <c r="X906" s="87" t="str">
        <f>IF($A906="","",IF($AK906=TRUE,"Ready 2 Submit","Waiting on Dealer"))</f>
        <v/>
      </c>
      <c r="Y906" s="148"/>
      <c r="Z906" s="87"/>
      <c r="AA906" s="87"/>
      <c r="AB906" s="87" t="str">
        <f>IF($A906="","",IF($AK906=TRUE,"Ready 2 Submit","Waiting on Dealer"))</f>
        <v/>
      </c>
      <c r="AC906" s="148"/>
      <c r="AD906" s="87"/>
      <c r="AE906" s="87"/>
      <c r="AF906" s="87" t="str">
        <f>IF($A906="","",IF($AK906=TRUE,"Ready 2 Submit","Waiting on Dealer"))</f>
        <v/>
      </c>
      <c r="AG906" s="148"/>
      <c r="AH906" s="87"/>
      <c r="AI906" s="87"/>
      <c r="AJ906" s="197"/>
      <c r="AK906" s="110" t="b">
        <v>0</v>
      </c>
      <c r="AL906" s="87" t="str" cm="1">
        <f t="array" ref="AL906">IF($A906="","",SUMPRODUCT((CHOOSE({1,2,3,4,5},$R906,$V906,$Z906,$AD906,$AH906)="Yes")*(((CHOOSE({1,2,3,4,5},$S906,$W906,$AA906,$AE906,$AI906)="Yes")+(CHOOSE({1,2,3,4,5},$S906,$W906,$AA906,$AE906,$AI906)=TRUE))&gt;0)))</f>
        <v/>
      </c>
      <c r="AM906" s="87"/>
      <c r="AN906" s="87" t="str">
        <f ca="1">IF(OR($A906="",$AM906=""),"",TODAY()-$AM906)</f>
        <v/>
      </c>
      <c r="AO906" s="87"/>
      <c r="AP906" s="106"/>
      <c r="AQ906" s="106"/>
      <c r="AR906" s="106"/>
      <c r="AS906" s="106"/>
      <c r="AT906" s="106"/>
      <c r="AU906" s="106"/>
      <c r="AV906" s="106"/>
      <c r="AW906" s="106"/>
      <c r="AX906" s="106"/>
      <c r="AY906" s="106"/>
    </row>
    <row r="907" spans="1:51" s="20" customFormat="1" ht="21" customHeight="1">
      <c r="A907" s="197"/>
      <c r="B907" s="87"/>
      <c r="C907" s="87"/>
      <c r="D907" s="196"/>
      <c r="E907" s="108"/>
      <c r="F907" s="196"/>
      <c r="G907" s="87"/>
      <c r="H907" s="197"/>
      <c r="I907" s="89"/>
      <c r="J907" s="204"/>
      <c r="K907" s="87"/>
      <c r="L907" s="87" t="str" cm="1">
        <f t="array" ref="L907">IF($A907="","",_xlfn.LET(_xlpm.stat,CHOOSE({1,2,3,4,5},$P907,$T907,$X907,$AB907,$AF907),_xlpm.rate,CHOOSE({1,2,3,4,5},$R907,$V907,$Z907,$AD907,$AH907),_xlpm.trn,CHOOSE({1,2,3,4,5},$S907,$W907,$AA907,$AE907,$AI907),_xlpm.nsC,SUMPRODUCT(--(_xlpm.stat="Ready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DLR",IF(AND(_xlpm.actRS&gt;0,_xlpm.actDone&lt;_xlpm.actRS),"Training",IF(_xlpm.actRS&gt;0,"Active",IF(AND(_xlpm.decC&gt;0,_xlpm.inPlay+_xlpm.actC=0),"Dead",IF(AND($AJ907&lt;&gt;"",$AK907=FALSE),"Waiting on Dealer",IF(_xlpm.subC&gt;0,"Waiting on Lender",IF(AND(_xlpm.appC+_xlpm.actC&gt;0,_xlpm.nsC+_xlpm.wdC=0),"Rate Sheet","Application Submitted")))))))))</f>
        <v/>
      </c>
      <c r="M907" s="87"/>
      <c r="N907" s="87"/>
      <c r="O907" s="197"/>
      <c r="P907" s="87" t="str">
        <f>IF($A907="","",IF($AK907=TRUE,"Ready 2 Submit","Waiting on Dealer"))</f>
        <v/>
      </c>
      <c r="Q907" s="148"/>
      <c r="R907" s="87"/>
      <c r="S907" s="87"/>
      <c r="T907" s="87" t="str">
        <f>IF($A907="","",IF($AK907=TRUE,"Ready 2 Submit","Waiting on Dealer"))</f>
        <v/>
      </c>
      <c r="U907" s="148"/>
      <c r="V907" s="87"/>
      <c r="W907" s="87"/>
      <c r="X907" s="87" t="str">
        <f>IF($A907="","",IF($AK907=TRUE,"Ready 2 Submit","Waiting on Dealer"))</f>
        <v/>
      </c>
      <c r="Y907" s="148"/>
      <c r="Z907" s="87"/>
      <c r="AA907" s="87"/>
      <c r="AB907" s="87" t="str">
        <f>IF($A907="","",IF($AK907=TRUE,"Ready 2 Submit","Waiting on Dealer"))</f>
        <v/>
      </c>
      <c r="AC907" s="148"/>
      <c r="AD907" s="87"/>
      <c r="AE907" s="87"/>
      <c r="AF907" s="87" t="str">
        <f>IF($A907="","",IF($AK907=TRUE,"Ready 2 Submit","Waiting on Dealer"))</f>
        <v/>
      </c>
      <c r="AG907" s="148"/>
      <c r="AH907" s="87"/>
      <c r="AI907" s="87"/>
      <c r="AJ907" s="197"/>
      <c r="AK907" s="110" t="b">
        <v>0</v>
      </c>
      <c r="AL907" s="87" t="str" cm="1">
        <f t="array" ref="AL907">IF($A907="","",SUMPRODUCT((CHOOSE({1,2,3,4,5},$R907,$V907,$Z907,$AD907,$AH907)="Yes")*(((CHOOSE({1,2,3,4,5},$S907,$W907,$AA907,$AE907,$AI907)="Yes")+(CHOOSE({1,2,3,4,5},$S907,$W907,$AA907,$AE907,$AI907)=TRUE))&gt;0)))</f>
        <v/>
      </c>
      <c r="AM907" s="87"/>
      <c r="AN907" s="87" t="str">
        <f ca="1">IF(OR($A907="",$AM907=""),"",TODAY()-$AM907)</f>
        <v/>
      </c>
      <c r="AO907" s="87"/>
      <c r="AP907" s="106"/>
      <c r="AQ907" s="106"/>
      <c r="AR907" s="106"/>
      <c r="AS907" s="106"/>
      <c r="AT907" s="106"/>
      <c r="AU907" s="106"/>
      <c r="AV907" s="106"/>
      <c r="AW907" s="106"/>
      <c r="AX907" s="106"/>
      <c r="AY907" s="106"/>
    </row>
    <row r="908" spans="1:51" s="20" customFormat="1" ht="21" customHeight="1">
      <c r="A908" s="197"/>
      <c r="B908" s="87"/>
      <c r="C908" s="87"/>
      <c r="D908" s="196"/>
      <c r="E908" s="108"/>
      <c r="F908" s="196"/>
      <c r="G908" s="87"/>
      <c r="H908" s="197"/>
      <c r="I908" s="89"/>
      <c r="J908" s="204"/>
      <c r="K908" s="87"/>
      <c r="L908" s="87" t="str" cm="1">
        <f t="array" ref="L908">IF($A908="","",_xlfn.LET(_xlpm.stat,CHOOSE({1,2,3,4,5},$P908,$T908,$X908,$AB908,$AF908),_xlpm.rate,CHOOSE({1,2,3,4,5},$R908,$V908,$Z908,$AD908,$AH908),_xlpm.trn,CHOOSE({1,2,3,4,5},$S908,$W908,$AA908,$AE908,$AI908),_xlpm.nsC,SUMPRODUCT(--(_xlpm.stat="Ready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DLR",IF(AND(_xlpm.actRS&gt;0,_xlpm.actDone&lt;_xlpm.actRS),"Training",IF(_xlpm.actRS&gt;0,"Active",IF(AND(_xlpm.decC&gt;0,_xlpm.inPlay+_xlpm.actC=0),"Dead",IF(AND($AJ908&lt;&gt;"",$AK908=FALSE),"Waiting on Dealer",IF(_xlpm.subC&gt;0,"Waiting on Lender",IF(AND(_xlpm.appC+_xlpm.actC&gt;0,_xlpm.nsC+_xlpm.wdC=0),"Rate Sheet","Application Submitted")))))))))</f>
        <v/>
      </c>
      <c r="M908" s="87"/>
      <c r="N908" s="87"/>
      <c r="O908" s="197"/>
      <c r="P908" s="87" t="str">
        <f>IF($A908="","",IF($AK908=TRUE,"Ready 2 Submit","Waiting on Dealer"))</f>
        <v/>
      </c>
      <c r="Q908" s="148"/>
      <c r="R908" s="87"/>
      <c r="S908" s="87"/>
      <c r="T908" s="87" t="str">
        <f>IF($A908="","",IF($AK908=TRUE,"Ready 2 Submit","Waiting on Dealer"))</f>
        <v/>
      </c>
      <c r="U908" s="148"/>
      <c r="V908" s="87"/>
      <c r="W908" s="87"/>
      <c r="X908" s="87" t="str">
        <f>IF($A908="","",IF($AK908=TRUE,"Ready 2 Submit","Waiting on Dealer"))</f>
        <v/>
      </c>
      <c r="Y908" s="148"/>
      <c r="Z908" s="87"/>
      <c r="AA908" s="87"/>
      <c r="AB908" s="87" t="str">
        <f>IF($A908="","",IF($AK908=TRUE,"Ready 2 Submit","Waiting on Dealer"))</f>
        <v/>
      </c>
      <c r="AC908" s="148"/>
      <c r="AD908" s="87"/>
      <c r="AE908" s="87"/>
      <c r="AF908" s="87" t="str">
        <f>IF($A908="","",IF($AK908=TRUE,"Ready 2 Submit","Waiting on Dealer"))</f>
        <v/>
      </c>
      <c r="AG908" s="148"/>
      <c r="AH908" s="87"/>
      <c r="AI908" s="87"/>
      <c r="AJ908" s="197"/>
      <c r="AK908" s="110" t="b">
        <v>0</v>
      </c>
      <c r="AL908" s="87" t="str" cm="1">
        <f t="array" ref="AL908">IF($A908="","",SUMPRODUCT((CHOOSE({1,2,3,4,5},$R908,$V908,$Z908,$AD908,$AH908)="Yes")*(((CHOOSE({1,2,3,4,5},$S908,$W908,$AA908,$AE908,$AI908)="Yes")+(CHOOSE({1,2,3,4,5},$S908,$W908,$AA908,$AE908,$AI908)=TRUE))&gt;0)))</f>
        <v/>
      </c>
      <c r="AM908" s="87"/>
      <c r="AN908" s="87" t="str">
        <f ca="1">IF(OR($A908="",$AM908=""),"",TODAY()-$AM908)</f>
        <v/>
      </c>
      <c r="AO908" s="87"/>
      <c r="AP908" s="106"/>
      <c r="AQ908" s="106"/>
      <c r="AR908" s="106"/>
      <c r="AS908" s="106"/>
      <c r="AT908" s="106"/>
      <c r="AU908" s="106"/>
      <c r="AV908" s="106"/>
      <c r="AW908" s="106"/>
      <c r="AX908" s="106"/>
      <c r="AY908" s="106"/>
    </row>
    <row r="909" spans="1:51" s="20" customFormat="1" ht="21" customHeight="1">
      <c r="A909" s="197"/>
      <c r="B909" s="87"/>
      <c r="C909" s="87"/>
      <c r="D909" s="196"/>
      <c r="E909" s="108"/>
      <c r="F909" s="196"/>
      <c r="G909" s="87"/>
      <c r="H909" s="197"/>
      <c r="I909" s="89"/>
      <c r="J909" s="204"/>
      <c r="K909" s="87"/>
      <c r="L909" s="87" t="str" cm="1">
        <f t="array" ref="L909">IF($A909="","",_xlfn.LET(_xlpm.stat,CHOOSE({1,2,3,4,5},$P909,$T909,$X909,$AB909,$AF909),_xlpm.rate,CHOOSE({1,2,3,4,5},$R909,$V909,$Z909,$AD909,$AH909),_xlpm.trn,CHOOSE({1,2,3,4,5},$S909,$W909,$AA909,$AE909,$AI909),_xlpm.nsC,SUMPRODUCT(--(_xlpm.stat="Ready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DLR",IF(AND(_xlpm.actRS&gt;0,_xlpm.actDone&lt;_xlpm.actRS),"Training",IF(_xlpm.actRS&gt;0,"Active",IF(AND(_xlpm.decC&gt;0,_xlpm.inPlay+_xlpm.actC=0),"Dead",IF(AND($AJ909&lt;&gt;"",$AK909=FALSE),"Waiting on Dealer",IF(_xlpm.subC&gt;0,"Waiting on Lender",IF(AND(_xlpm.appC+_xlpm.actC&gt;0,_xlpm.nsC+_xlpm.wdC=0),"Rate Sheet","Application Submitted")))))))))</f>
        <v/>
      </c>
      <c r="M909" s="87"/>
      <c r="N909" s="87"/>
      <c r="O909" s="197"/>
      <c r="P909" s="87" t="str">
        <f>IF($A909="","",IF($AK909=TRUE,"Ready 2 Submit","Waiting on Dealer"))</f>
        <v/>
      </c>
      <c r="Q909" s="148"/>
      <c r="R909" s="87"/>
      <c r="S909" s="87"/>
      <c r="T909" s="87" t="str">
        <f>IF($A909="","",IF($AK909=TRUE,"Ready 2 Submit","Waiting on Dealer"))</f>
        <v/>
      </c>
      <c r="U909" s="148"/>
      <c r="V909" s="87"/>
      <c r="W909" s="87"/>
      <c r="X909" s="87" t="str">
        <f>IF($A909="","",IF($AK909=TRUE,"Ready 2 Submit","Waiting on Dealer"))</f>
        <v/>
      </c>
      <c r="Y909" s="148"/>
      <c r="Z909" s="87"/>
      <c r="AA909" s="87"/>
      <c r="AB909" s="87" t="str">
        <f>IF($A909="","",IF($AK909=TRUE,"Ready 2 Submit","Waiting on Dealer"))</f>
        <v/>
      </c>
      <c r="AC909" s="148"/>
      <c r="AD909" s="87"/>
      <c r="AE909" s="87"/>
      <c r="AF909" s="87" t="str">
        <f>IF($A909="","",IF($AK909=TRUE,"Ready 2 Submit","Waiting on Dealer"))</f>
        <v/>
      </c>
      <c r="AG909" s="148"/>
      <c r="AH909" s="87"/>
      <c r="AI909" s="87"/>
      <c r="AJ909" s="197"/>
      <c r="AK909" s="110" t="b">
        <v>0</v>
      </c>
      <c r="AL909" s="87" t="str" cm="1">
        <f t="array" ref="AL909">IF($A909="","",SUMPRODUCT((CHOOSE({1,2,3,4,5},$R909,$V909,$Z909,$AD909,$AH909)="Yes")*(((CHOOSE({1,2,3,4,5},$S909,$W909,$AA909,$AE909,$AI909)="Yes")+(CHOOSE({1,2,3,4,5},$S909,$W909,$AA909,$AE909,$AI909)=TRUE))&gt;0)))</f>
        <v/>
      </c>
      <c r="AM909" s="87"/>
      <c r="AN909" s="87" t="str">
        <f ca="1">IF(OR($A909="",$AM909=""),"",TODAY()-$AM909)</f>
        <v/>
      </c>
      <c r="AO909" s="87"/>
      <c r="AP909" s="106"/>
      <c r="AQ909" s="106"/>
      <c r="AR909" s="106"/>
      <c r="AS909" s="106"/>
      <c r="AT909" s="106"/>
      <c r="AU909" s="106"/>
      <c r="AV909" s="106"/>
      <c r="AW909" s="106"/>
      <c r="AX909" s="106"/>
      <c r="AY909" s="106"/>
    </row>
    <row r="910" spans="1:51" s="20" customFormat="1" ht="21" customHeight="1">
      <c r="A910" s="197"/>
      <c r="B910" s="87"/>
      <c r="C910" s="87"/>
      <c r="D910" s="196"/>
      <c r="E910" s="108"/>
      <c r="F910" s="196"/>
      <c r="G910" s="87"/>
      <c r="H910" s="197"/>
      <c r="I910" s="89"/>
      <c r="J910" s="204"/>
      <c r="K910" s="87"/>
      <c r="L910" s="87" t="str" cm="1">
        <f t="array" ref="L910">IF($A910="","",_xlfn.LET(_xlpm.stat,CHOOSE({1,2,3,4,5},$P910,$T910,$X910,$AB910,$AF910),_xlpm.rate,CHOOSE({1,2,3,4,5},$R910,$V910,$Z910,$AD910,$AH910),_xlpm.trn,CHOOSE({1,2,3,4,5},$S910,$W910,$AA910,$AE910,$AI910),_xlpm.nsC,SUMPRODUCT(--(_xlpm.stat="Ready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DLR",IF(AND(_xlpm.actRS&gt;0,_xlpm.actDone&lt;_xlpm.actRS),"Training",IF(_xlpm.actRS&gt;0,"Active",IF(AND(_xlpm.decC&gt;0,_xlpm.inPlay+_xlpm.actC=0),"Dead",IF(AND($AJ910&lt;&gt;"",$AK910=FALSE),"Waiting on Dealer",IF(_xlpm.subC&gt;0,"Waiting on Lender",IF(AND(_xlpm.appC+_xlpm.actC&gt;0,_xlpm.nsC+_xlpm.wdC=0),"Rate Sheet","Application Submitted")))))))))</f>
        <v/>
      </c>
      <c r="M910" s="87"/>
      <c r="N910" s="87"/>
      <c r="O910" s="197"/>
      <c r="P910" s="87" t="str">
        <f>IF($A910="","",IF($AK910=TRUE,"Ready 2 Submit","Waiting on Dealer"))</f>
        <v/>
      </c>
      <c r="Q910" s="148"/>
      <c r="R910" s="87"/>
      <c r="S910" s="87"/>
      <c r="T910" s="87" t="str">
        <f>IF($A910="","",IF($AK910=TRUE,"Ready 2 Submit","Waiting on Dealer"))</f>
        <v/>
      </c>
      <c r="U910" s="148"/>
      <c r="V910" s="87"/>
      <c r="W910" s="87"/>
      <c r="X910" s="87" t="str">
        <f>IF($A910="","",IF($AK910=TRUE,"Ready 2 Submit","Waiting on Dealer"))</f>
        <v/>
      </c>
      <c r="Y910" s="148"/>
      <c r="Z910" s="87"/>
      <c r="AA910" s="87"/>
      <c r="AB910" s="87" t="str">
        <f>IF($A910="","",IF($AK910=TRUE,"Ready 2 Submit","Waiting on Dealer"))</f>
        <v/>
      </c>
      <c r="AC910" s="148"/>
      <c r="AD910" s="87"/>
      <c r="AE910" s="87"/>
      <c r="AF910" s="87" t="str">
        <f>IF($A910="","",IF($AK910=TRUE,"Ready 2 Submit","Waiting on Dealer"))</f>
        <v/>
      </c>
      <c r="AG910" s="148"/>
      <c r="AH910" s="87"/>
      <c r="AI910" s="87"/>
      <c r="AJ910" s="197"/>
      <c r="AK910" s="110" t="b">
        <v>0</v>
      </c>
      <c r="AL910" s="87" t="str" cm="1">
        <f t="array" ref="AL910">IF($A910="","",SUMPRODUCT((CHOOSE({1,2,3,4,5},$R910,$V910,$Z910,$AD910,$AH910)="Yes")*(((CHOOSE({1,2,3,4,5},$S910,$W910,$AA910,$AE910,$AI910)="Yes")+(CHOOSE({1,2,3,4,5},$S910,$W910,$AA910,$AE910,$AI910)=TRUE))&gt;0)))</f>
        <v/>
      </c>
      <c r="AM910" s="87"/>
      <c r="AN910" s="87" t="str">
        <f ca="1">IF(OR($A910="",$AM910=""),"",TODAY()-$AM910)</f>
        <v/>
      </c>
      <c r="AO910" s="87"/>
      <c r="AP910" s="106"/>
      <c r="AQ910" s="106"/>
      <c r="AR910" s="106"/>
      <c r="AS910" s="106"/>
      <c r="AT910" s="106"/>
      <c r="AU910" s="106"/>
      <c r="AV910" s="106"/>
      <c r="AW910" s="106"/>
      <c r="AX910" s="106"/>
      <c r="AY910" s="106"/>
    </row>
    <row r="911" spans="1:51" s="20" customFormat="1" ht="21" customHeight="1">
      <c r="A911" s="197"/>
      <c r="B911" s="87"/>
      <c r="C911" s="87"/>
      <c r="D911" s="196"/>
      <c r="E911" s="108"/>
      <c r="F911" s="196"/>
      <c r="G911" s="87"/>
      <c r="H911" s="197"/>
      <c r="I911" s="89"/>
      <c r="J911" s="204"/>
      <c r="K911" s="87"/>
      <c r="L911" s="87" t="str" cm="1">
        <f t="array" ref="L911">IF($A911="","",_xlfn.LET(_xlpm.stat,CHOOSE({1,2,3,4,5},$P911,$T911,$X911,$AB911,$AF911),_xlpm.rate,CHOOSE({1,2,3,4,5},$R911,$V911,$Z911,$AD911,$AH911),_xlpm.trn,CHOOSE({1,2,3,4,5},$S911,$W911,$AA911,$AE911,$AI911),_xlpm.nsC,SUMPRODUCT(--(_xlpm.stat="Ready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DLR",IF(AND(_xlpm.actRS&gt;0,_xlpm.actDone&lt;_xlpm.actRS),"Training",IF(_xlpm.actRS&gt;0,"Active",IF(AND(_xlpm.decC&gt;0,_xlpm.inPlay+_xlpm.actC=0),"Dead",IF(AND($AJ911&lt;&gt;"",$AK911=FALSE),"Waiting on Dealer",IF(_xlpm.subC&gt;0,"Waiting on Lender",IF(AND(_xlpm.appC+_xlpm.actC&gt;0,_xlpm.nsC+_xlpm.wdC=0),"Rate Sheet","Application Submitted")))))))))</f>
        <v/>
      </c>
      <c r="M911" s="87"/>
      <c r="N911" s="87"/>
      <c r="O911" s="197"/>
      <c r="P911" s="87" t="str">
        <f>IF($A911="","",IF($AK911=TRUE,"Ready 2 Submit","Waiting on Dealer"))</f>
        <v/>
      </c>
      <c r="Q911" s="148"/>
      <c r="R911" s="87"/>
      <c r="S911" s="87"/>
      <c r="T911" s="87" t="str">
        <f>IF($A911="","",IF($AK911=TRUE,"Ready 2 Submit","Waiting on Dealer"))</f>
        <v/>
      </c>
      <c r="U911" s="148"/>
      <c r="V911" s="87"/>
      <c r="W911" s="87"/>
      <c r="X911" s="87" t="str">
        <f>IF($A911="","",IF($AK911=TRUE,"Ready 2 Submit","Waiting on Dealer"))</f>
        <v/>
      </c>
      <c r="Y911" s="148"/>
      <c r="Z911" s="87"/>
      <c r="AA911" s="87"/>
      <c r="AB911" s="87" t="str">
        <f>IF($A911="","",IF($AK911=TRUE,"Ready 2 Submit","Waiting on Dealer"))</f>
        <v/>
      </c>
      <c r="AC911" s="148"/>
      <c r="AD911" s="87"/>
      <c r="AE911" s="87"/>
      <c r="AF911" s="87" t="str">
        <f>IF($A911="","",IF($AK911=TRUE,"Ready 2 Submit","Waiting on Dealer"))</f>
        <v/>
      </c>
      <c r="AG911" s="148"/>
      <c r="AH911" s="87"/>
      <c r="AI911" s="87"/>
      <c r="AJ911" s="197"/>
      <c r="AK911" s="110" t="b">
        <v>0</v>
      </c>
      <c r="AL911" s="87" t="str" cm="1">
        <f t="array" ref="AL911">IF($A911="","",SUMPRODUCT((CHOOSE({1,2,3,4,5},$R911,$V911,$Z911,$AD911,$AH911)="Yes")*(((CHOOSE({1,2,3,4,5},$S911,$W911,$AA911,$AE911,$AI911)="Yes")+(CHOOSE({1,2,3,4,5},$S911,$W911,$AA911,$AE911,$AI911)=TRUE))&gt;0)))</f>
        <v/>
      </c>
      <c r="AM911" s="87"/>
      <c r="AN911" s="87" t="str">
        <f ca="1">IF(OR($A911="",$AM911=""),"",TODAY()-$AM911)</f>
        <v/>
      </c>
      <c r="AO911" s="87"/>
      <c r="AP911" s="106"/>
      <c r="AQ911" s="106"/>
      <c r="AR911" s="106"/>
      <c r="AS911" s="106"/>
      <c r="AT911" s="106"/>
      <c r="AU911" s="106"/>
      <c r="AV911" s="106"/>
      <c r="AW911" s="106"/>
      <c r="AX911" s="106"/>
      <c r="AY911" s="106"/>
    </row>
    <row r="912" spans="1:51" s="20" customFormat="1" ht="21" customHeight="1">
      <c r="A912" s="197"/>
      <c r="B912" s="87"/>
      <c r="C912" s="87"/>
      <c r="D912" s="196"/>
      <c r="E912" s="108"/>
      <c r="F912" s="196"/>
      <c r="G912" s="87"/>
      <c r="H912" s="197"/>
      <c r="I912" s="89"/>
      <c r="J912" s="204"/>
      <c r="K912" s="87"/>
      <c r="L912" s="87" t="str" cm="1">
        <f t="array" ref="L912">IF($A912="","",_xlfn.LET(_xlpm.stat,CHOOSE({1,2,3,4,5},$P912,$T912,$X912,$AB912,$AF912),_xlpm.rate,CHOOSE({1,2,3,4,5},$R912,$V912,$Z912,$AD912,$AH912),_xlpm.trn,CHOOSE({1,2,3,4,5},$S912,$W912,$AA912,$AE912,$AI912),_xlpm.nsC,SUMPRODUCT(--(_xlpm.stat="Ready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DLR",IF(AND(_xlpm.actRS&gt;0,_xlpm.actDone&lt;_xlpm.actRS),"Training",IF(_xlpm.actRS&gt;0,"Active",IF(AND(_xlpm.decC&gt;0,_xlpm.inPlay+_xlpm.actC=0),"Dead",IF(AND($AJ912&lt;&gt;"",$AK912=FALSE),"Waiting on Dealer",IF(_xlpm.subC&gt;0,"Waiting on Lender",IF(AND(_xlpm.appC+_xlpm.actC&gt;0,_xlpm.nsC+_xlpm.wdC=0),"Rate Sheet","Application Submitted")))))))))</f>
        <v/>
      </c>
      <c r="M912" s="87"/>
      <c r="N912" s="87"/>
      <c r="O912" s="197"/>
      <c r="P912" s="87" t="str">
        <f>IF($A912="","",IF($AK912=TRUE,"Ready 2 Submit","Waiting on Dealer"))</f>
        <v/>
      </c>
      <c r="Q912" s="148"/>
      <c r="R912" s="87"/>
      <c r="S912" s="87"/>
      <c r="T912" s="87" t="str">
        <f>IF($A912="","",IF($AK912=TRUE,"Ready 2 Submit","Waiting on Dealer"))</f>
        <v/>
      </c>
      <c r="U912" s="148"/>
      <c r="V912" s="87"/>
      <c r="W912" s="87"/>
      <c r="X912" s="87" t="str">
        <f>IF($A912="","",IF($AK912=TRUE,"Ready 2 Submit","Waiting on Dealer"))</f>
        <v/>
      </c>
      <c r="Y912" s="148"/>
      <c r="Z912" s="87"/>
      <c r="AA912" s="87"/>
      <c r="AB912" s="87" t="str">
        <f>IF($A912="","",IF($AK912=TRUE,"Ready 2 Submit","Waiting on Dealer"))</f>
        <v/>
      </c>
      <c r="AC912" s="148"/>
      <c r="AD912" s="87"/>
      <c r="AE912" s="87"/>
      <c r="AF912" s="87" t="str">
        <f>IF($A912="","",IF($AK912=TRUE,"Ready 2 Submit","Waiting on Dealer"))</f>
        <v/>
      </c>
      <c r="AG912" s="148"/>
      <c r="AH912" s="87"/>
      <c r="AI912" s="87"/>
      <c r="AJ912" s="197"/>
      <c r="AK912" s="110" t="b">
        <v>0</v>
      </c>
      <c r="AL912" s="87" t="str" cm="1">
        <f t="array" ref="AL912">IF($A912="","",SUMPRODUCT((CHOOSE({1,2,3,4,5},$R912,$V912,$Z912,$AD912,$AH912)="Yes")*(((CHOOSE({1,2,3,4,5},$S912,$W912,$AA912,$AE912,$AI912)="Yes")+(CHOOSE({1,2,3,4,5},$S912,$W912,$AA912,$AE912,$AI912)=TRUE))&gt;0)))</f>
        <v/>
      </c>
      <c r="AM912" s="87"/>
      <c r="AN912" s="87" t="str">
        <f ca="1">IF(OR($A912="",$AM912=""),"",TODAY()-$AM912)</f>
        <v/>
      </c>
      <c r="AO912" s="87"/>
      <c r="AP912" s="106"/>
      <c r="AQ912" s="106"/>
      <c r="AR912" s="106"/>
      <c r="AS912" s="106"/>
      <c r="AT912" s="106"/>
      <c r="AU912" s="106"/>
      <c r="AV912" s="106"/>
      <c r="AW912" s="106"/>
      <c r="AX912" s="106"/>
      <c r="AY912" s="106"/>
    </row>
    <row r="913" spans="1:51" s="20" customFormat="1" ht="21" customHeight="1">
      <c r="A913" s="197"/>
      <c r="B913" s="87"/>
      <c r="C913" s="87"/>
      <c r="D913" s="196"/>
      <c r="E913" s="108"/>
      <c r="F913" s="196"/>
      <c r="G913" s="87"/>
      <c r="H913" s="197"/>
      <c r="I913" s="89"/>
      <c r="J913" s="204"/>
      <c r="K913" s="87"/>
      <c r="L913" s="87" t="str" cm="1">
        <f t="array" ref="L913">IF($A913="","",_xlfn.LET(_xlpm.stat,CHOOSE({1,2,3,4,5},$P913,$T913,$X913,$AB913,$AF913),_xlpm.rate,CHOOSE({1,2,3,4,5},$R913,$V913,$Z913,$AD913,$AH913),_xlpm.trn,CHOOSE({1,2,3,4,5},$S913,$W913,$AA913,$AE913,$AI913),_xlpm.nsC,SUMPRODUCT(--(_xlpm.stat="Ready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DLR",IF(AND(_xlpm.actRS&gt;0,_xlpm.actDone&lt;_xlpm.actRS),"Training",IF(_xlpm.actRS&gt;0,"Active",IF(AND(_xlpm.decC&gt;0,_xlpm.inPlay+_xlpm.actC=0),"Dead",IF(AND($AJ913&lt;&gt;"",$AK913=FALSE),"Waiting on Dealer",IF(_xlpm.subC&gt;0,"Waiting on Lender",IF(AND(_xlpm.appC+_xlpm.actC&gt;0,_xlpm.nsC+_xlpm.wdC=0),"Rate Sheet","Application Submitted")))))))))</f>
        <v/>
      </c>
      <c r="M913" s="87"/>
      <c r="N913" s="87"/>
      <c r="O913" s="197"/>
      <c r="P913" s="87" t="str">
        <f>IF($A913="","",IF($AK913=TRUE,"Ready 2 Submit","Waiting on Dealer"))</f>
        <v/>
      </c>
      <c r="Q913" s="148"/>
      <c r="R913" s="87"/>
      <c r="S913" s="87"/>
      <c r="T913" s="87" t="str">
        <f>IF($A913="","",IF($AK913=TRUE,"Ready 2 Submit","Waiting on Dealer"))</f>
        <v/>
      </c>
      <c r="U913" s="148"/>
      <c r="V913" s="87"/>
      <c r="W913" s="87"/>
      <c r="X913" s="87" t="str">
        <f>IF($A913="","",IF($AK913=TRUE,"Ready 2 Submit","Waiting on Dealer"))</f>
        <v/>
      </c>
      <c r="Y913" s="148"/>
      <c r="Z913" s="87"/>
      <c r="AA913" s="87"/>
      <c r="AB913" s="87" t="str">
        <f>IF($A913="","",IF($AK913=TRUE,"Ready 2 Submit","Waiting on Dealer"))</f>
        <v/>
      </c>
      <c r="AC913" s="148"/>
      <c r="AD913" s="87"/>
      <c r="AE913" s="87"/>
      <c r="AF913" s="87" t="str">
        <f>IF($A913="","",IF($AK913=TRUE,"Ready 2 Submit","Waiting on Dealer"))</f>
        <v/>
      </c>
      <c r="AG913" s="148"/>
      <c r="AH913" s="87"/>
      <c r="AI913" s="87"/>
      <c r="AJ913" s="197"/>
      <c r="AK913" s="110" t="b">
        <v>0</v>
      </c>
      <c r="AL913" s="87" t="str" cm="1">
        <f t="array" ref="AL913">IF($A913="","",SUMPRODUCT((CHOOSE({1,2,3,4,5},$R913,$V913,$Z913,$AD913,$AH913)="Yes")*(((CHOOSE({1,2,3,4,5},$S913,$W913,$AA913,$AE913,$AI913)="Yes")+(CHOOSE({1,2,3,4,5},$S913,$W913,$AA913,$AE913,$AI913)=TRUE))&gt;0)))</f>
        <v/>
      </c>
      <c r="AM913" s="87"/>
      <c r="AN913" s="87" t="str">
        <f ca="1">IF(OR($A913="",$AM913=""),"",TODAY()-$AM913)</f>
        <v/>
      </c>
      <c r="AO913" s="87"/>
      <c r="AP913" s="106"/>
      <c r="AQ913" s="106"/>
      <c r="AR913" s="106"/>
      <c r="AS913" s="106"/>
      <c r="AT913" s="106"/>
      <c r="AU913" s="106"/>
      <c r="AV913" s="106"/>
      <c r="AW913" s="106"/>
      <c r="AX913" s="106"/>
      <c r="AY913" s="106"/>
    </row>
    <row r="914" spans="1:51" s="20" customFormat="1" ht="21" customHeight="1">
      <c r="A914" s="197"/>
      <c r="B914" s="87"/>
      <c r="C914" s="87"/>
      <c r="D914" s="196"/>
      <c r="E914" s="108"/>
      <c r="F914" s="196"/>
      <c r="G914" s="87"/>
      <c r="H914" s="197"/>
      <c r="I914" s="89"/>
      <c r="J914" s="204"/>
      <c r="K914" s="87"/>
      <c r="L914" s="87" t="str" cm="1">
        <f t="array" ref="L914">IF($A914="","",_xlfn.LET(_xlpm.stat,CHOOSE({1,2,3,4,5},$P914,$T914,$X914,$AB914,$AF914),_xlpm.rate,CHOOSE({1,2,3,4,5},$R914,$V914,$Z914,$AD914,$AH914),_xlpm.trn,CHOOSE({1,2,3,4,5},$S914,$W914,$AA914,$AE914,$AI914),_xlpm.nsC,SUMPRODUCT(--(_xlpm.stat="Ready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DLR",IF(AND(_xlpm.actRS&gt;0,_xlpm.actDone&lt;_xlpm.actRS),"Training",IF(_xlpm.actRS&gt;0,"Active",IF(AND(_xlpm.decC&gt;0,_xlpm.inPlay+_xlpm.actC=0),"Dead",IF(AND($AJ914&lt;&gt;"",$AK914=FALSE),"Waiting on Dealer",IF(_xlpm.subC&gt;0,"Waiting on Lender",IF(AND(_xlpm.appC+_xlpm.actC&gt;0,_xlpm.nsC+_xlpm.wdC=0),"Rate Sheet","Application Submitted")))))))))</f>
        <v/>
      </c>
      <c r="M914" s="87"/>
      <c r="N914" s="87"/>
      <c r="O914" s="197"/>
      <c r="P914" s="87" t="str">
        <f>IF($A914="","",IF($AK914=TRUE,"Ready 2 Submit","Waiting on Dealer"))</f>
        <v/>
      </c>
      <c r="Q914" s="148"/>
      <c r="R914" s="87"/>
      <c r="S914" s="87"/>
      <c r="T914" s="87" t="str">
        <f>IF($A914="","",IF($AK914=TRUE,"Ready 2 Submit","Waiting on Dealer"))</f>
        <v/>
      </c>
      <c r="U914" s="148"/>
      <c r="V914" s="87"/>
      <c r="W914" s="87"/>
      <c r="X914" s="87" t="str">
        <f>IF($A914="","",IF($AK914=TRUE,"Ready 2 Submit","Waiting on Dealer"))</f>
        <v/>
      </c>
      <c r="Y914" s="148"/>
      <c r="Z914" s="87"/>
      <c r="AA914" s="87"/>
      <c r="AB914" s="87" t="str">
        <f>IF($A914="","",IF($AK914=TRUE,"Ready 2 Submit","Waiting on Dealer"))</f>
        <v/>
      </c>
      <c r="AC914" s="148"/>
      <c r="AD914" s="87"/>
      <c r="AE914" s="87"/>
      <c r="AF914" s="87" t="str">
        <f>IF($A914="","",IF($AK914=TRUE,"Ready 2 Submit","Waiting on Dealer"))</f>
        <v/>
      </c>
      <c r="AG914" s="148"/>
      <c r="AH914" s="87"/>
      <c r="AI914" s="87"/>
      <c r="AJ914" s="197"/>
      <c r="AK914" s="110" t="b">
        <v>0</v>
      </c>
      <c r="AL914" s="87" t="str" cm="1">
        <f t="array" ref="AL914">IF($A914="","",SUMPRODUCT((CHOOSE({1,2,3,4,5},$R914,$V914,$Z914,$AD914,$AH914)="Yes")*(((CHOOSE({1,2,3,4,5},$S914,$W914,$AA914,$AE914,$AI914)="Yes")+(CHOOSE({1,2,3,4,5},$S914,$W914,$AA914,$AE914,$AI914)=TRUE))&gt;0)))</f>
        <v/>
      </c>
      <c r="AM914" s="87"/>
      <c r="AN914" s="87" t="str">
        <f ca="1">IF(OR($A914="",$AM914=""),"",TODAY()-$AM914)</f>
        <v/>
      </c>
      <c r="AO914" s="87"/>
      <c r="AP914" s="106"/>
      <c r="AQ914" s="106"/>
      <c r="AR914" s="106"/>
      <c r="AS914" s="106"/>
      <c r="AT914" s="106"/>
      <c r="AU914" s="106"/>
      <c r="AV914" s="106"/>
      <c r="AW914" s="106"/>
      <c r="AX914" s="106"/>
      <c r="AY914" s="106"/>
    </row>
    <row r="915" spans="1:51" s="20" customFormat="1" ht="21" customHeight="1">
      <c r="A915" s="197"/>
      <c r="B915" s="87"/>
      <c r="C915" s="87"/>
      <c r="D915" s="196"/>
      <c r="E915" s="108"/>
      <c r="F915" s="196"/>
      <c r="G915" s="87"/>
      <c r="H915" s="197"/>
      <c r="I915" s="89"/>
      <c r="J915" s="204"/>
      <c r="K915" s="87"/>
      <c r="L915" s="87" t="str" cm="1">
        <f t="array" ref="L915">IF($A915="","",_xlfn.LET(_xlpm.stat,CHOOSE({1,2,3,4,5},$P915,$T915,$X915,$AB915,$AF915),_xlpm.rate,CHOOSE({1,2,3,4,5},$R915,$V915,$Z915,$AD915,$AH915),_xlpm.trn,CHOOSE({1,2,3,4,5},$S915,$W915,$AA915,$AE915,$AI915),_xlpm.nsC,SUMPRODUCT(--(_xlpm.stat="Ready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DLR",IF(AND(_xlpm.actRS&gt;0,_xlpm.actDone&lt;_xlpm.actRS),"Training",IF(_xlpm.actRS&gt;0,"Active",IF(AND(_xlpm.decC&gt;0,_xlpm.inPlay+_xlpm.actC=0),"Dead",IF(AND($AJ915&lt;&gt;"",$AK915=FALSE),"Waiting on Dealer",IF(_xlpm.subC&gt;0,"Waiting on Lender",IF(AND(_xlpm.appC+_xlpm.actC&gt;0,_xlpm.nsC+_xlpm.wdC=0),"Rate Sheet","Application Submitted")))))))))</f>
        <v/>
      </c>
      <c r="M915" s="87"/>
      <c r="N915" s="87"/>
      <c r="O915" s="197"/>
      <c r="P915" s="87" t="str">
        <f>IF($A915="","",IF($AK915=TRUE,"Ready 2 Submit","Waiting on Dealer"))</f>
        <v/>
      </c>
      <c r="Q915" s="148"/>
      <c r="R915" s="87"/>
      <c r="S915" s="87"/>
      <c r="T915" s="87" t="str">
        <f>IF($A915="","",IF($AK915=TRUE,"Ready 2 Submit","Waiting on Dealer"))</f>
        <v/>
      </c>
      <c r="U915" s="148"/>
      <c r="V915" s="87"/>
      <c r="W915" s="87"/>
      <c r="X915" s="87" t="str">
        <f>IF($A915="","",IF($AK915=TRUE,"Ready 2 Submit","Waiting on Dealer"))</f>
        <v/>
      </c>
      <c r="Y915" s="148"/>
      <c r="Z915" s="87"/>
      <c r="AA915" s="87"/>
      <c r="AB915" s="87" t="str">
        <f>IF($A915="","",IF($AK915=TRUE,"Ready 2 Submit","Waiting on Dealer"))</f>
        <v/>
      </c>
      <c r="AC915" s="148"/>
      <c r="AD915" s="87"/>
      <c r="AE915" s="87"/>
      <c r="AF915" s="87" t="str">
        <f>IF($A915="","",IF($AK915=TRUE,"Ready 2 Submit","Waiting on Dealer"))</f>
        <v/>
      </c>
      <c r="AG915" s="148"/>
      <c r="AH915" s="87"/>
      <c r="AI915" s="87"/>
      <c r="AJ915" s="197"/>
      <c r="AK915" s="110" t="b">
        <v>0</v>
      </c>
      <c r="AL915" s="87" t="str" cm="1">
        <f t="array" ref="AL915">IF($A915="","",SUMPRODUCT((CHOOSE({1,2,3,4,5},$R915,$V915,$Z915,$AD915,$AH915)="Yes")*(((CHOOSE({1,2,3,4,5},$S915,$W915,$AA915,$AE915,$AI915)="Yes")+(CHOOSE({1,2,3,4,5},$S915,$W915,$AA915,$AE915,$AI915)=TRUE))&gt;0)))</f>
        <v/>
      </c>
      <c r="AM915" s="87"/>
      <c r="AN915" s="87" t="str">
        <f ca="1">IF(OR($A915="",$AM915=""),"",TODAY()-$AM915)</f>
        <v/>
      </c>
      <c r="AO915" s="87"/>
      <c r="AP915" s="106"/>
      <c r="AQ915" s="106"/>
      <c r="AR915" s="106"/>
      <c r="AS915" s="106"/>
      <c r="AT915" s="106"/>
      <c r="AU915" s="106"/>
      <c r="AV915" s="106"/>
      <c r="AW915" s="106"/>
      <c r="AX915" s="106"/>
      <c r="AY915" s="106"/>
    </row>
    <row r="916" spans="1:51" s="20" customFormat="1" ht="21" customHeight="1">
      <c r="A916" s="197"/>
      <c r="B916" s="87"/>
      <c r="C916" s="87"/>
      <c r="D916" s="196"/>
      <c r="E916" s="108"/>
      <c r="F916" s="196"/>
      <c r="G916" s="87"/>
      <c r="H916" s="197"/>
      <c r="I916" s="89"/>
      <c r="J916" s="204"/>
      <c r="K916" s="87"/>
      <c r="L916" s="87" t="str" cm="1">
        <f t="array" ref="L916">IF($A916="","",_xlfn.LET(_xlpm.stat,CHOOSE({1,2,3,4,5},$P916,$T916,$X916,$AB916,$AF916),_xlpm.rate,CHOOSE({1,2,3,4,5},$R916,$V916,$Z916,$AD916,$AH916),_xlpm.trn,CHOOSE({1,2,3,4,5},$S916,$W916,$AA916,$AE916,$AI916),_xlpm.nsC,SUMPRODUCT(--(_xlpm.stat="Ready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DLR",IF(AND(_xlpm.actRS&gt;0,_xlpm.actDone&lt;_xlpm.actRS),"Training",IF(_xlpm.actRS&gt;0,"Active",IF(AND(_xlpm.decC&gt;0,_xlpm.inPlay+_xlpm.actC=0),"Dead",IF(AND($AJ916&lt;&gt;"",$AK916=FALSE),"Waiting on Dealer",IF(_xlpm.subC&gt;0,"Waiting on Lender",IF(AND(_xlpm.appC+_xlpm.actC&gt;0,_xlpm.nsC+_xlpm.wdC=0),"Rate Sheet","Application Submitted")))))))))</f>
        <v/>
      </c>
      <c r="M916" s="87"/>
      <c r="N916" s="87"/>
      <c r="O916" s="197"/>
      <c r="P916" s="87" t="str">
        <f>IF($A916="","",IF($AK916=TRUE,"Ready 2 Submit","Waiting on Dealer"))</f>
        <v/>
      </c>
      <c r="Q916" s="148"/>
      <c r="R916" s="87"/>
      <c r="S916" s="87"/>
      <c r="T916" s="87" t="str">
        <f>IF($A916="","",IF($AK916=TRUE,"Ready 2 Submit","Waiting on Dealer"))</f>
        <v/>
      </c>
      <c r="U916" s="148"/>
      <c r="V916" s="87"/>
      <c r="W916" s="87"/>
      <c r="X916" s="87" t="str">
        <f>IF($A916="","",IF($AK916=TRUE,"Ready 2 Submit","Waiting on Dealer"))</f>
        <v/>
      </c>
      <c r="Y916" s="148"/>
      <c r="Z916" s="87"/>
      <c r="AA916" s="87"/>
      <c r="AB916" s="87" t="str">
        <f>IF($A916="","",IF($AK916=TRUE,"Ready 2 Submit","Waiting on Dealer"))</f>
        <v/>
      </c>
      <c r="AC916" s="148"/>
      <c r="AD916" s="87"/>
      <c r="AE916" s="87"/>
      <c r="AF916" s="87" t="str">
        <f>IF($A916="","",IF($AK916=TRUE,"Ready 2 Submit","Waiting on Dealer"))</f>
        <v/>
      </c>
      <c r="AG916" s="148"/>
      <c r="AH916" s="87"/>
      <c r="AI916" s="87"/>
      <c r="AJ916" s="197"/>
      <c r="AK916" s="110" t="b">
        <v>0</v>
      </c>
      <c r="AL916" s="87" t="str" cm="1">
        <f t="array" ref="AL916">IF($A916="","",SUMPRODUCT((CHOOSE({1,2,3,4,5},$R916,$V916,$Z916,$AD916,$AH916)="Yes")*(((CHOOSE({1,2,3,4,5},$S916,$W916,$AA916,$AE916,$AI916)="Yes")+(CHOOSE({1,2,3,4,5},$S916,$W916,$AA916,$AE916,$AI916)=TRUE))&gt;0)))</f>
        <v/>
      </c>
      <c r="AM916" s="87"/>
      <c r="AN916" s="87" t="str">
        <f ca="1">IF(OR($A916="",$AM916=""),"",TODAY()-$AM916)</f>
        <v/>
      </c>
      <c r="AO916" s="87"/>
      <c r="AP916" s="106"/>
      <c r="AQ916" s="106"/>
      <c r="AR916" s="106"/>
      <c r="AS916" s="106"/>
      <c r="AT916" s="106"/>
      <c r="AU916" s="106"/>
      <c r="AV916" s="106"/>
      <c r="AW916" s="106"/>
      <c r="AX916" s="106"/>
      <c r="AY916" s="106"/>
    </row>
    <row r="917" spans="1:51" s="20" customFormat="1" ht="21" customHeight="1">
      <c r="A917" s="197"/>
      <c r="B917" s="87"/>
      <c r="C917" s="87"/>
      <c r="D917" s="196"/>
      <c r="E917" s="108"/>
      <c r="F917" s="196"/>
      <c r="G917" s="87"/>
      <c r="H917" s="197"/>
      <c r="I917" s="89"/>
      <c r="J917" s="204"/>
      <c r="K917" s="87"/>
      <c r="L917" s="87" t="str" cm="1">
        <f t="array" ref="L917">IF($A917="","",_xlfn.LET(_xlpm.stat,CHOOSE({1,2,3,4,5},$P917,$T917,$X917,$AB917,$AF917),_xlpm.rate,CHOOSE({1,2,3,4,5},$R917,$V917,$Z917,$AD917,$AH917),_xlpm.trn,CHOOSE({1,2,3,4,5},$S917,$W917,$AA917,$AE917,$AI917),_xlpm.nsC,SUMPRODUCT(--(_xlpm.stat="Ready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DLR",IF(AND(_xlpm.actRS&gt;0,_xlpm.actDone&lt;_xlpm.actRS),"Training",IF(_xlpm.actRS&gt;0,"Active",IF(AND(_xlpm.decC&gt;0,_xlpm.inPlay+_xlpm.actC=0),"Dead",IF(AND($AJ917&lt;&gt;"",$AK917=FALSE),"Waiting on Dealer",IF(_xlpm.subC&gt;0,"Waiting on Lender",IF(AND(_xlpm.appC+_xlpm.actC&gt;0,_xlpm.nsC+_xlpm.wdC=0),"Rate Sheet","Application Submitted")))))))))</f>
        <v/>
      </c>
      <c r="M917" s="87"/>
      <c r="N917" s="87"/>
      <c r="O917" s="197"/>
      <c r="P917" s="87" t="str">
        <f>IF($A917="","",IF($AK917=TRUE,"Ready 2 Submit","Waiting on Dealer"))</f>
        <v/>
      </c>
      <c r="Q917" s="148"/>
      <c r="R917" s="87"/>
      <c r="S917" s="87"/>
      <c r="T917" s="87" t="str">
        <f>IF($A917="","",IF($AK917=TRUE,"Ready 2 Submit","Waiting on Dealer"))</f>
        <v/>
      </c>
      <c r="U917" s="148"/>
      <c r="V917" s="87"/>
      <c r="W917" s="87"/>
      <c r="X917" s="87" t="str">
        <f>IF($A917="","",IF($AK917=TRUE,"Ready 2 Submit","Waiting on Dealer"))</f>
        <v/>
      </c>
      <c r="Y917" s="148"/>
      <c r="Z917" s="87"/>
      <c r="AA917" s="87"/>
      <c r="AB917" s="87" t="str">
        <f>IF($A917="","",IF($AK917=TRUE,"Ready 2 Submit","Waiting on Dealer"))</f>
        <v/>
      </c>
      <c r="AC917" s="148"/>
      <c r="AD917" s="87"/>
      <c r="AE917" s="87"/>
      <c r="AF917" s="87" t="str">
        <f>IF($A917="","",IF($AK917=TRUE,"Ready 2 Submit","Waiting on Dealer"))</f>
        <v/>
      </c>
      <c r="AG917" s="148"/>
      <c r="AH917" s="87"/>
      <c r="AI917" s="87"/>
      <c r="AJ917" s="197"/>
      <c r="AK917" s="110" t="b">
        <v>0</v>
      </c>
      <c r="AL917" s="87" t="str" cm="1">
        <f t="array" ref="AL917">IF($A917="","",SUMPRODUCT((CHOOSE({1,2,3,4,5},$R917,$V917,$Z917,$AD917,$AH917)="Yes")*(((CHOOSE({1,2,3,4,5},$S917,$W917,$AA917,$AE917,$AI917)="Yes")+(CHOOSE({1,2,3,4,5},$S917,$W917,$AA917,$AE917,$AI917)=TRUE))&gt;0)))</f>
        <v/>
      </c>
      <c r="AM917" s="87"/>
      <c r="AN917" s="87" t="str">
        <f ca="1">IF(OR($A917="",$AM917=""),"",TODAY()-$AM917)</f>
        <v/>
      </c>
      <c r="AO917" s="87"/>
      <c r="AP917" s="106"/>
      <c r="AQ917" s="106"/>
      <c r="AR917" s="106"/>
      <c r="AS917" s="106"/>
      <c r="AT917" s="106"/>
      <c r="AU917" s="106"/>
      <c r="AV917" s="106"/>
      <c r="AW917" s="106"/>
      <c r="AX917" s="106"/>
      <c r="AY917" s="106"/>
    </row>
    <row r="918" spans="1:51" s="20" customFormat="1" ht="21" customHeight="1">
      <c r="A918" s="197"/>
      <c r="B918" s="87"/>
      <c r="C918" s="87"/>
      <c r="D918" s="196"/>
      <c r="E918" s="108"/>
      <c r="F918" s="196"/>
      <c r="G918" s="87"/>
      <c r="H918" s="197"/>
      <c r="I918" s="89"/>
      <c r="J918" s="204"/>
      <c r="K918" s="87"/>
      <c r="L918" s="87" t="str" cm="1">
        <f t="array" ref="L918">IF($A918="","",_xlfn.LET(_xlpm.stat,CHOOSE({1,2,3,4,5},$P918,$T918,$X918,$AB918,$AF918),_xlpm.rate,CHOOSE({1,2,3,4,5},$R918,$V918,$Z918,$AD918,$AH918),_xlpm.trn,CHOOSE({1,2,3,4,5},$S918,$W918,$AA918,$AE918,$AI918),_xlpm.nsC,SUMPRODUCT(--(_xlpm.stat="Ready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DLR",IF(AND(_xlpm.actRS&gt;0,_xlpm.actDone&lt;_xlpm.actRS),"Training",IF(_xlpm.actRS&gt;0,"Active",IF(AND(_xlpm.decC&gt;0,_xlpm.inPlay+_xlpm.actC=0),"Dead",IF(AND($AJ918&lt;&gt;"",$AK918=FALSE),"Waiting on Dealer",IF(_xlpm.subC&gt;0,"Waiting on Lender",IF(AND(_xlpm.appC+_xlpm.actC&gt;0,_xlpm.nsC+_xlpm.wdC=0),"Rate Sheet","Application Submitted")))))))))</f>
        <v/>
      </c>
      <c r="M918" s="87"/>
      <c r="N918" s="87"/>
      <c r="O918" s="197"/>
      <c r="P918" s="87" t="str">
        <f>IF($A918="","",IF($AK918=TRUE,"Ready 2 Submit","Waiting on Dealer"))</f>
        <v/>
      </c>
      <c r="Q918" s="148"/>
      <c r="R918" s="87"/>
      <c r="S918" s="87"/>
      <c r="T918" s="87" t="str">
        <f>IF($A918="","",IF($AK918=TRUE,"Ready 2 Submit","Waiting on Dealer"))</f>
        <v/>
      </c>
      <c r="U918" s="148"/>
      <c r="V918" s="87"/>
      <c r="W918" s="87"/>
      <c r="X918" s="87" t="str">
        <f>IF($A918="","",IF($AK918=TRUE,"Ready 2 Submit","Waiting on Dealer"))</f>
        <v/>
      </c>
      <c r="Y918" s="148"/>
      <c r="Z918" s="87"/>
      <c r="AA918" s="87"/>
      <c r="AB918" s="87" t="str">
        <f>IF($A918="","",IF($AK918=TRUE,"Ready 2 Submit","Waiting on Dealer"))</f>
        <v/>
      </c>
      <c r="AC918" s="148"/>
      <c r="AD918" s="87"/>
      <c r="AE918" s="87"/>
      <c r="AF918" s="87" t="str">
        <f>IF($A918="","",IF($AK918=TRUE,"Ready 2 Submit","Waiting on Dealer"))</f>
        <v/>
      </c>
      <c r="AG918" s="148"/>
      <c r="AH918" s="87"/>
      <c r="AI918" s="87"/>
      <c r="AJ918" s="197"/>
      <c r="AK918" s="110" t="b">
        <v>0</v>
      </c>
      <c r="AL918" s="87" t="str" cm="1">
        <f t="array" ref="AL918">IF($A918="","",SUMPRODUCT((CHOOSE({1,2,3,4,5},$R918,$V918,$Z918,$AD918,$AH918)="Yes")*(((CHOOSE({1,2,3,4,5},$S918,$W918,$AA918,$AE918,$AI918)="Yes")+(CHOOSE({1,2,3,4,5},$S918,$W918,$AA918,$AE918,$AI918)=TRUE))&gt;0)))</f>
        <v/>
      </c>
      <c r="AM918" s="87"/>
      <c r="AN918" s="87" t="str">
        <f ca="1">IF(OR($A918="",$AM918=""),"",TODAY()-$AM918)</f>
        <v/>
      </c>
      <c r="AO918" s="87"/>
      <c r="AP918" s="106"/>
      <c r="AQ918" s="106"/>
      <c r="AR918" s="106"/>
      <c r="AS918" s="106"/>
      <c r="AT918" s="106"/>
      <c r="AU918" s="106"/>
      <c r="AV918" s="106"/>
      <c r="AW918" s="106"/>
      <c r="AX918" s="106"/>
      <c r="AY918" s="106"/>
    </row>
    <row r="919" spans="1:51" s="20" customFormat="1" ht="21" customHeight="1">
      <c r="A919" s="197"/>
      <c r="B919" s="87"/>
      <c r="C919" s="87"/>
      <c r="D919" s="196"/>
      <c r="E919" s="108"/>
      <c r="F919" s="196"/>
      <c r="G919" s="87"/>
      <c r="H919" s="197"/>
      <c r="I919" s="89"/>
      <c r="J919" s="204"/>
      <c r="K919" s="87"/>
      <c r="L919" s="87" t="str" cm="1">
        <f t="array" ref="L919">IF($A919="","",_xlfn.LET(_xlpm.stat,CHOOSE({1,2,3,4,5},$P919,$T919,$X919,$AB919,$AF919),_xlpm.rate,CHOOSE({1,2,3,4,5},$R919,$V919,$Z919,$AD919,$AH919),_xlpm.trn,CHOOSE({1,2,3,4,5},$S919,$W919,$AA919,$AE919,$AI919),_xlpm.nsC,SUMPRODUCT(--(_xlpm.stat="Ready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DLR",IF(AND(_xlpm.actRS&gt;0,_xlpm.actDone&lt;_xlpm.actRS),"Training",IF(_xlpm.actRS&gt;0,"Active",IF(AND(_xlpm.decC&gt;0,_xlpm.inPlay+_xlpm.actC=0),"Dead",IF(AND($AJ919&lt;&gt;"",$AK919=FALSE),"Waiting on Dealer",IF(_xlpm.subC&gt;0,"Waiting on Lender",IF(AND(_xlpm.appC+_xlpm.actC&gt;0,_xlpm.nsC+_xlpm.wdC=0),"Rate Sheet","Application Submitted")))))))))</f>
        <v/>
      </c>
      <c r="M919" s="87"/>
      <c r="N919" s="87"/>
      <c r="O919" s="197"/>
      <c r="P919" s="87" t="str">
        <f>IF($A919="","",IF($AK919=TRUE,"Ready 2 Submit","Waiting on Dealer"))</f>
        <v/>
      </c>
      <c r="Q919" s="148"/>
      <c r="R919" s="87"/>
      <c r="S919" s="87"/>
      <c r="T919" s="87" t="str">
        <f>IF($A919="","",IF($AK919=TRUE,"Ready 2 Submit","Waiting on Dealer"))</f>
        <v/>
      </c>
      <c r="U919" s="148"/>
      <c r="V919" s="87"/>
      <c r="W919" s="87"/>
      <c r="X919" s="87" t="str">
        <f>IF($A919="","",IF($AK919=TRUE,"Ready 2 Submit","Waiting on Dealer"))</f>
        <v/>
      </c>
      <c r="Y919" s="148"/>
      <c r="Z919" s="87"/>
      <c r="AA919" s="87"/>
      <c r="AB919" s="87" t="str">
        <f>IF($A919="","",IF($AK919=TRUE,"Ready 2 Submit","Waiting on Dealer"))</f>
        <v/>
      </c>
      <c r="AC919" s="148"/>
      <c r="AD919" s="87"/>
      <c r="AE919" s="87"/>
      <c r="AF919" s="87" t="str">
        <f>IF($A919="","",IF($AK919=TRUE,"Ready 2 Submit","Waiting on Dealer"))</f>
        <v/>
      </c>
      <c r="AG919" s="148"/>
      <c r="AH919" s="87"/>
      <c r="AI919" s="87"/>
      <c r="AJ919" s="197"/>
      <c r="AK919" s="110" t="b">
        <v>0</v>
      </c>
      <c r="AL919" s="87" t="str" cm="1">
        <f t="array" ref="AL919">IF($A919="","",SUMPRODUCT((CHOOSE({1,2,3,4,5},$R919,$V919,$Z919,$AD919,$AH919)="Yes")*(((CHOOSE({1,2,3,4,5},$S919,$W919,$AA919,$AE919,$AI919)="Yes")+(CHOOSE({1,2,3,4,5},$S919,$W919,$AA919,$AE919,$AI919)=TRUE))&gt;0)))</f>
        <v/>
      </c>
      <c r="AM919" s="87"/>
      <c r="AN919" s="87" t="str">
        <f ca="1">IF(OR($A919="",$AM919=""),"",TODAY()-$AM919)</f>
        <v/>
      </c>
      <c r="AO919" s="87"/>
      <c r="AP919" s="106"/>
      <c r="AQ919" s="106"/>
      <c r="AR919" s="106"/>
      <c r="AS919" s="106"/>
      <c r="AT919" s="106"/>
      <c r="AU919" s="106"/>
      <c r="AV919" s="106"/>
      <c r="AW919" s="106"/>
      <c r="AX919" s="106"/>
      <c r="AY919" s="106"/>
    </row>
    <row r="920" spans="1:51" s="20" customFormat="1" ht="21" customHeight="1">
      <c r="A920" s="197"/>
      <c r="B920" s="87"/>
      <c r="C920" s="87"/>
      <c r="D920" s="196"/>
      <c r="E920" s="108"/>
      <c r="F920" s="196"/>
      <c r="G920" s="87"/>
      <c r="H920" s="197"/>
      <c r="I920" s="89"/>
      <c r="J920" s="204"/>
      <c r="K920" s="87"/>
      <c r="L920" s="87" t="str" cm="1">
        <f t="array" ref="L920">IF($A920="","",_xlfn.LET(_xlpm.stat,CHOOSE({1,2,3,4,5},$P920,$T920,$X920,$AB920,$AF920),_xlpm.rate,CHOOSE({1,2,3,4,5},$R920,$V920,$Z920,$AD920,$AH920),_xlpm.trn,CHOOSE({1,2,3,4,5},$S920,$W920,$AA920,$AE920,$AI920),_xlpm.nsC,SUMPRODUCT(--(_xlpm.stat="Ready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DLR",IF(AND(_xlpm.actRS&gt;0,_xlpm.actDone&lt;_xlpm.actRS),"Training",IF(_xlpm.actRS&gt;0,"Active",IF(AND(_xlpm.decC&gt;0,_xlpm.inPlay+_xlpm.actC=0),"Dead",IF(AND($AJ920&lt;&gt;"",$AK920=FALSE),"Waiting on Dealer",IF(_xlpm.subC&gt;0,"Waiting on Lender",IF(AND(_xlpm.appC+_xlpm.actC&gt;0,_xlpm.nsC+_xlpm.wdC=0),"Rate Sheet","Application Submitted")))))))))</f>
        <v/>
      </c>
      <c r="M920" s="87"/>
      <c r="N920" s="87"/>
      <c r="O920" s="197"/>
      <c r="P920" s="87" t="str">
        <f>IF($A920="","",IF($AK920=TRUE,"Ready 2 Submit","Waiting on Dealer"))</f>
        <v/>
      </c>
      <c r="Q920" s="148"/>
      <c r="R920" s="87"/>
      <c r="S920" s="87"/>
      <c r="T920" s="87" t="str">
        <f>IF($A920="","",IF($AK920=TRUE,"Ready 2 Submit","Waiting on Dealer"))</f>
        <v/>
      </c>
      <c r="U920" s="148"/>
      <c r="V920" s="87"/>
      <c r="W920" s="87"/>
      <c r="X920" s="87" t="str">
        <f>IF($A920="","",IF($AK920=TRUE,"Ready 2 Submit","Waiting on Dealer"))</f>
        <v/>
      </c>
      <c r="Y920" s="148"/>
      <c r="Z920" s="87"/>
      <c r="AA920" s="87"/>
      <c r="AB920" s="87" t="str">
        <f>IF($A920="","",IF($AK920=TRUE,"Ready 2 Submit","Waiting on Dealer"))</f>
        <v/>
      </c>
      <c r="AC920" s="148"/>
      <c r="AD920" s="87"/>
      <c r="AE920" s="87"/>
      <c r="AF920" s="87" t="str">
        <f>IF($A920="","",IF($AK920=TRUE,"Ready 2 Submit","Waiting on Dealer"))</f>
        <v/>
      </c>
      <c r="AG920" s="148"/>
      <c r="AH920" s="87"/>
      <c r="AI920" s="87"/>
      <c r="AJ920" s="197"/>
      <c r="AK920" s="110" t="b">
        <v>0</v>
      </c>
      <c r="AL920" s="87" t="str" cm="1">
        <f t="array" ref="AL920">IF($A920="","",SUMPRODUCT((CHOOSE({1,2,3,4,5},$R920,$V920,$Z920,$AD920,$AH920)="Yes")*(((CHOOSE({1,2,3,4,5},$S920,$W920,$AA920,$AE920,$AI920)="Yes")+(CHOOSE({1,2,3,4,5},$S920,$W920,$AA920,$AE920,$AI920)=TRUE))&gt;0)))</f>
        <v/>
      </c>
      <c r="AM920" s="87"/>
      <c r="AN920" s="87" t="str">
        <f ca="1">IF(OR($A920="",$AM920=""),"",TODAY()-$AM920)</f>
        <v/>
      </c>
      <c r="AO920" s="87"/>
      <c r="AP920" s="106"/>
      <c r="AQ920" s="106"/>
      <c r="AR920" s="106"/>
      <c r="AS920" s="106"/>
      <c r="AT920" s="106"/>
      <c r="AU920" s="106"/>
      <c r="AV920" s="106"/>
      <c r="AW920" s="106"/>
      <c r="AX920" s="106"/>
      <c r="AY920" s="106"/>
    </row>
    <row r="921" spans="1:51" s="20" customFormat="1" ht="21" customHeight="1">
      <c r="A921" s="197"/>
      <c r="B921" s="87"/>
      <c r="C921" s="87"/>
      <c r="D921" s="196"/>
      <c r="E921" s="108"/>
      <c r="F921" s="196"/>
      <c r="G921" s="87"/>
      <c r="H921" s="197"/>
      <c r="I921" s="89"/>
      <c r="J921" s="204"/>
      <c r="K921" s="87"/>
      <c r="L921" s="87" t="str" cm="1">
        <f t="array" ref="L921">IF($A921="","",_xlfn.LET(_xlpm.stat,CHOOSE({1,2,3,4,5},$P921,$T921,$X921,$AB921,$AF921),_xlpm.rate,CHOOSE({1,2,3,4,5},$R921,$V921,$Z921,$AD921,$AH921),_xlpm.trn,CHOOSE({1,2,3,4,5},$S921,$W921,$AA921,$AE921,$AI921),_xlpm.nsC,SUMPRODUCT(--(_xlpm.stat="Ready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DLR",IF(AND(_xlpm.actRS&gt;0,_xlpm.actDone&lt;_xlpm.actRS),"Training",IF(_xlpm.actRS&gt;0,"Active",IF(AND(_xlpm.decC&gt;0,_xlpm.inPlay+_xlpm.actC=0),"Dead",IF(AND($AJ921&lt;&gt;"",$AK921=FALSE),"Waiting on Dealer",IF(_xlpm.subC&gt;0,"Waiting on Lender",IF(AND(_xlpm.appC+_xlpm.actC&gt;0,_xlpm.nsC+_xlpm.wdC=0),"Rate Sheet","Application Submitted")))))))))</f>
        <v/>
      </c>
      <c r="M921" s="87"/>
      <c r="N921" s="87"/>
      <c r="O921" s="197"/>
      <c r="P921" s="87" t="str">
        <f>IF($A921="","",IF($AK921=TRUE,"Ready 2 Submit","Waiting on Dealer"))</f>
        <v/>
      </c>
      <c r="Q921" s="148"/>
      <c r="R921" s="87"/>
      <c r="S921" s="87"/>
      <c r="T921" s="87" t="str">
        <f>IF($A921="","",IF($AK921=TRUE,"Ready 2 Submit","Waiting on Dealer"))</f>
        <v/>
      </c>
      <c r="U921" s="148"/>
      <c r="V921" s="87"/>
      <c r="W921" s="87"/>
      <c r="X921" s="87" t="str">
        <f>IF($A921="","",IF($AK921=TRUE,"Ready 2 Submit","Waiting on Dealer"))</f>
        <v/>
      </c>
      <c r="Y921" s="148"/>
      <c r="Z921" s="87"/>
      <c r="AA921" s="87"/>
      <c r="AB921" s="87" t="str">
        <f>IF($A921="","",IF($AK921=TRUE,"Ready 2 Submit","Waiting on Dealer"))</f>
        <v/>
      </c>
      <c r="AC921" s="148"/>
      <c r="AD921" s="87"/>
      <c r="AE921" s="87"/>
      <c r="AF921" s="87" t="str">
        <f>IF($A921="","",IF($AK921=TRUE,"Ready 2 Submit","Waiting on Dealer"))</f>
        <v/>
      </c>
      <c r="AG921" s="148"/>
      <c r="AH921" s="87"/>
      <c r="AI921" s="87"/>
      <c r="AJ921" s="197"/>
      <c r="AK921" s="110" t="b">
        <v>0</v>
      </c>
      <c r="AL921" s="87" t="str" cm="1">
        <f t="array" ref="AL921">IF($A921="","",SUMPRODUCT((CHOOSE({1,2,3,4,5},$R921,$V921,$Z921,$AD921,$AH921)="Yes")*(((CHOOSE({1,2,3,4,5},$S921,$W921,$AA921,$AE921,$AI921)="Yes")+(CHOOSE({1,2,3,4,5},$S921,$W921,$AA921,$AE921,$AI921)=TRUE))&gt;0)))</f>
        <v/>
      </c>
      <c r="AM921" s="87"/>
      <c r="AN921" s="87" t="str">
        <f ca="1">IF(OR($A921="",$AM921=""),"",TODAY()-$AM921)</f>
        <v/>
      </c>
      <c r="AO921" s="87"/>
      <c r="AP921" s="106"/>
      <c r="AQ921" s="106"/>
      <c r="AR921" s="106"/>
      <c r="AS921" s="106"/>
      <c r="AT921" s="106"/>
      <c r="AU921" s="106"/>
      <c r="AV921" s="106"/>
      <c r="AW921" s="106"/>
      <c r="AX921" s="106"/>
      <c r="AY921" s="106"/>
    </row>
    <row r="922" spans="1:51" s="20" customFormat="1" ht="21" customHeight="1">
      <c r="A922" s="197"/>
      <c r="B922" s="87"/>
      <c r="C922" s="87"/>
      <c r="D922" s="196"/>
      <c r="E922" s="108"/>
      <c r="F922" s="196"/>
      <c r="G922" s="87"/>
      <c r="H922" s="197"/>
      <c r="I922" s="89"/>
      <c r="J922" s="204"/>
      <c r="K922" s="87"/>
      <c r="L922" s="87" t="str" cm="1">
        <f t="array" ref="L922">IF($A922="","",_xlfn.LET(_xlpm.stat,CHOOSE({1,2,3,4,5},$P922,$T922,$X922,$AB922,$AF922),_xlpm.rate,CHOOSE({1,2,3,4,5},$R922,$V922,$Z922,$AD922,$AH922),_xlpm.trn,CHOOSE({1,2,3,4,5},$S922,$W922,$AA922,$AE922,$AI922),_xlpm.nsC,SUMPRODUCT(--(_xlpm.stat="Ready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DLR",IF(AND(_xlpm.actRS&gt;0,_xlpm.actDone&lt;_xlpm.actRS),"Training",IF(_xlpm.actRS&gt;0,"Active",IF(AND(_xlpm.decC&gt;0,_xlpm.inPlay+_xlpm.actC=0),"Dead",IF(AND($AJ922&lt;&gt;"",$AK922=FALSE),"Waiting on Dealer",IF(_xlpm.subC&gt;0,"Waiting on Lender",IF(AND(_xlpm.appC+_xlpm.actC&gt;0,_xlpm.nsC+_xlpm.wdC=0),"Rate Sheet","Application Submitted")))))))))</f>
        <v/>
      </c>
      <c r="M922" s="87"/>
      <c r="N922" s="87"/>
      <c r="O922" s="197"/>
      <c r="P922" s="87" t="str">
        <f>IF($A922="","",IF($AK922=TRUE,"Ready 2 Submit","Waiting on Dealer"))</f>
        <v/>
      </c>
      <c r="Q922" s="148"/>
      <c r="R922" s="87"/>
      <c r="S922" s="87"/>
      <c r="T922" s="87" t="str">
        <f>IF($A922="","",IF($AK922=TRUE,"Ready 2 Submit","Waiting on Dealer"))</f>
        <v/>
      </c>
      <c r="U922" s="148"/>
      <c r="V922" s="87"/>
      <c r="W922" s="87"/>
      <c r="X922" s="87" t="str">
        <f>IF($A922="","",IF($AK922=TRUE,"Ready 2 Submit","Waiting on Dealer"))</f>
        <v/>
      </c>
      <c r="Y922" s="148"/>
      <c r="Z922" s="87"/>
      <c r="AA922" s="87"/>
      <c r="AB922" s="87" t="str">
        <f>IF($A922="","",IF($AK922=TRUE,"Ready 2 Submit","Waiting on Dealer"))</f>
        <v/>
      </c>
      <c r="AC922" s="148"/>
      <c r="AD922" s="87"/>
      <c r="AE922" s="87"/>
      <c r="AF922" s="87" t="str">
        <f>IF($A922="","",IF($AK922=TRUE,"Ready 2 Submit","Waiting on Dealer"))</f>
        <v/>
      </c>
      <c r="AG922" s="148"/>
      <c r="AH922" s="87"/>
      <c r="AI922" s="87"/>
      <c r="AJ922" s="197"/>
      <c r="AK922" s="110" t="b">
        <v>0</v>
      </c>
      <c r="AL922" s="87" t="str" cm="1">
        <f t="array" ref="AL922">IF($A922="","",SUMPRODUCT((CHOOSE({1,2,3,4,5},$R922,$V922,$Z922,$AD922,$AH922)="Yes")*(((CHOOSE({1,2,3,4,5},$S922,$W922,$AA922,$AE922,$AI922)="Yes")+(CHOOSE({1,2,3,4,5},$S922,$W922,$AA922,$AE922,$AI922)=TRUE))&gt;0)))</f>
        <v/>
      </c>
      <c r="AM922" s="87"/>
      <c r="AN922" s="87" t="str">
        <f ca="1">IF(OR($A922="",$AM922=""),"",TODAY()-$AM922)</f>
        <v/>
      </c>
      <c r="AO922" s="87"/>
      <c r="AP922" s="106"/>
      <c r="AQ922" s="106"/>
      <c r="AR922" s="106"/>
      <c r="AS922" s="106"/>
      <c r="AT922" s="106"/>
      <c r="AU922" s="106"/>
      <c r="AV922" s="106"/>
      <c r="AW922" s="106"/>
      <c r="AX922" s="106"/>
      <c r="AY922" s="106"/>
    </row>
    <row r="923" spans="1:51" s="20" customFormat="1" ht="21" customHeight="1">
      <c r="A923" s="197"/>
      <c r="B923" s="87"/>
      <c r="C923" s="87"/>
      <c r="D923" s="196"/>
      <c r="E923" s="108"/>
      <c r="F923" s="196"/>
      <c r="G923" s="87"/>
      <c r="H923" s="197"/>
      <c r="I923" s="89"/>
      <c r="J923" s="204"/>
      <c r="K923" s="87"/>
      <c r="L923" s="87" t="str" cm="1">
        <f t="array" ref="L923">IF($A923="","",_xlfn.LET(_xlpm.stat,CHOOSE({1,2,3,4,5},$P923,$T923,$X923,$AB923,$AF923),_xlpm.rate,CHOOSE({1,2,3,4,5},$R923,$V923,$Z923,$AD923,$AH923),_xlpm.trn,CHOOSE({1,2,3,4,5},$S923,$W923,$AA923,$AE923,$AI923),_xlpm.nsC,SUMPRODUCT(--(_xlpm.stat="Ready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DLR",IF(AND(_xlpm.actRS&gt;0,_xlpm.actDone&lt;_xlpm.actRS),"Training",IF(_xlpm.actRS&gt;0,"Active",IF(AND(_xlpm.decC&gt;0,_xlpm.inPlay+_xlpm.actC=0),"Dead",IF(AND($AJ923&lt;&gt;"",$AK923=FALSE),"Waiting on Dealer",IF(_xlpm.subC&gt;0,"Waiting on Lender",IF(AND(_xlpm.appC+_xlpm.actC&gt;0,_xlpm.nsC+_xlpm.wdC=0),"Rate Sheet","Application Submitted")))))))))</f>
        <v/>
      </c>
      <c r="M923" s="87"/>
      <c r="N923" s="87"/>
      <c r="O923" s="197"/>
      <c r="P923" s="87" t="str">
        <f>IF($A923="","",IF($AK923=TRUE,"Ready 2 Submit","Waiting on Dealer"))</f>
        <v/>
      </c>
      <c r="Q923" s="148"/>
      <c r="R923" s="87"/>
      <c r="S923" s="87"/>
      <c r="T923" s="87" t="str">
        <f>IF($A923="","",IF($AK923=TRUE,"Ready 2 Submit","Waiting on Dealer"))</f>
        <v/>
      </c>
      <c r="U923" s="148"/>
      <c r="V923" s="87"/>
      <c r="W923" s="87"/>
      <c r="X923" s="87" t="str">
        <f>IF($A923="","",IF($AK923=TRUE,"Ready 2 Submit","Waiting on Dealer"))</f>
        <v/>
      </c>
      <c r="Y923" s="148"/>
      <c r="Z923" s="87"/>
      <c r="AA923" s="87"/>
      <c r="AB923" s="87" t="str">
        <f>IF($A923="","",IF($AK923=TRUE,"Ready 2 Submit","Waiting on Dealer"))</f>
        <v/>
      </c>
      <c r="AC923" s="148"/>
      <c r="AD923" s="87"/>
      <c r="AE923" s="87"/>
      <c r="AF923" s="87" t="str">
        <f>IF($A923="","",IF($AK923=TRUE,"Ready 2 Submit","Waiting on Dealer"))</f>
        <v/>
      </c>
      <c r="AG923" s="148"/>
      <c r="AH923" s="87"/>
      <c r="AI923" s="87"/>
      <c r="AJ923" s="197"/>
      <c r="AK923" s="110" t="b">
        <v>0</v>
      </c>
      <c r="AL923" s="87" t="str" cm="1">
        <f t="array" ref="AL923">IF($A923="","",SUMPRODUCT((CHOOSE({1,2,3,4,5},$R923,$V923,$Z923,$AD923,$AH923)="Yes")*(((CHOOSE({1,2,3,4,5},$S923,$W923,$AA923,$AE923,$AI923)="Yes")+(CHOOSE({1,2,3,4,5},$S923,$W923,$AA923,$AE923,$AI923)=TRUE))&gt;0)))</f>
        <v/>
      </c>
      <c r="AM923" s="87"/>
      <c r="AN923" s="87" t="str">
        <f ca="1">IF(OR($A923="",$AM923=""),"",TODAY()-$AM923)</f>
        <v/>
      </c>
      <c r="AO923" s="87"/>
      <c r="AP923" s="106"/>
      <c r="AQ923" s="106"/>
      <c r="AR923" s="106"/>
      <c r="AS923" s="106"/>
      <c r="AT923" s="106"/>
      <c r="AU923" s="106"/>
      <c r="AV923" s="106"/>
      <c r="AW923" s="106"/>
      <c r="AX923" s="106"/>
      <c r="AY923" s="106"/>
    </row>
    <row r="924" spans="1:51" s="20" customFormat="1" ht="21" customHeight="1">
      <c r="A924" s="197"/>
      <c r="B924" s="87"/>
      <c r="C924" s="87"/>
      <c r="D924" s="196"/>
      <c r="E924" s="108"/>
      <c r="F924" s="196"/>
      <c r="G924" s="87"/>
      <c r="H924" s="197"/>
      <c r="I924" s="89"/>
      <c r="J924" s="204"/>
      <c r="K924" s="87"/>
      <c r="L924" s="87" t="str" cm="1">
        <f t="array" ref="L924">IF($A924="","",_xlfn.LET(_xlpm.stat,CHOOSE({1,2,3,4,5},$P924,$T924,$X924,$AB924,$AF924),_xlpm.rate,CHOOSE({1,2,3,4,5},$R924,$V924,$Z924,$AD924,$AH924),_xlpm.trn,CHOOSE({1,2,3,4,5},$S924,$W924,$AA924,$AE924,$AI924),_xlpm.nsC,SUMPRODUCT(--(_xlpm.stat="Ready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DLR",IF(AND(_xlpm.actRS&gt;0,_xlpm.actDone&lt;_xlpm.actRS),"Training",IF(_xlpm.actRS&gt;0,"Active",IF(AND(_xlpm.decC&gt;0,_xlpm.inPlay+_xlpm.actC=0),"Dead",IF(AND($AJ924&lt;&gt;"",$AK924=FALSE),"Waiting on Dealer",IF(_xlpm.subC&gt;0,"Waiting on Lender",IF(AND(_xlpm.appC+_xlpm.actC&gt;0,_xlpm.nsC+_xlpm.wdC=0),"Rate Sheet","Application Submitted")))))))))</f>
        <v/>
      </c>
      <c r="M924" s="87"/>
      <c r="N924" s="87"/>
      <c r="O924" s="197"/>
      <c r="P924" s="87" t="str">
        <f>IF($A924="","",IF($AK924=TRUE,"Ready 2 Submit","Waiting on Dealer"))</f>
        <v/>
      </c>
      <c r="Q924" s="148"/>
      <c r="R924" s="87"/>
      <c r="S924" s="87"/>
      <c r="T924" s="87" t="str">
        <f>IF($A924="","",IF($AK924=TRUE,"Ready 2 Submit","Waiting on Dealer"))</f>
        <v/>
      </c>
      <c r="U924" s="148"/>
      <c r="V924" s="87"/>
      <c r="W924" s="87"/>
      <c r="X924" s="87" t="str">
        <f>IF($A924="","",IF($AK924=TRUE,"Ready 2 Submit","Waiting on Dealer"))</f>
        <v/>
      </c>
      <c r="Y924" s="148"/>
      <c r="Z924" s="87"/>
      <c r="AA924" s="87"/>
      <c r="AB924" s="87" t="str">
        <f>IF($A924="","",IF($AK924=TRUE,"Ready 2 Submit","Waiting on Dealer"))</f>
        <v/>
      </c>
      <c r="AC924" s="148"/>
      <c r="AD924" s="87"/>
      <c r="AE924" s="87"/>
      <c r="AF924" s="87" t="str">
        <f>IF($A924="","",IF($AK924=TRUE,"Ready 2 Submit","Waiting on Dealer"))</f>
        <v/>
      </c>
      <c r="AG924" s="148"/>
      <c r="AH924" s="87"/>
      <c r="AI924" s="87"/>
      <c r="AJ924" s="197"/>
      <c r="AK924" s="110" t="b">
        <v>0</v>
      </c>
      <c r="AL924" s="87" t="str" cm="1">
        <f t="array" ref="AL924">IF($A924="","",SUMPRODUCT((CHOOSE({1,2,3,4,5},$R924,$V924,$Z924,$AD924,$AH924)="Yes")*(((CHOOSE({1,2,3,4,5},$S924,$W924,$AA924,$AE924,$AI924)="Yes")+(CHOOSE({1,2,3,4,5},$S924,$W924,$AA924,$AE924,$AI924)=TRUE))&gt;0)))</f>
        <v/>
      </c>
      <c r="AM924" s="87"/>
      <c r="AN924" s="87" t="str">
        <f ca="1">IF(OR($A924="",$AM924=""),"",TODAY()-$AM924)</f>
        <v/>
      </c>
      <c r="AO924" s="87"/>
      <c r="AP924" s="106"/>
      <c r="AQ924" s="106"/>
      <c r="AR924" s="106"/>
      <c r="AS924" s="106"/>
      <c r="AT924" s="106"/>
      <c r="AU924" s="106"/>
      <c r="AV924" s="106"/>
      <c r="AW924" s="106"/>
      <c r="AX924" s="106"/>
      <c r="AY924" s="106"/>
    </row>
    <row r="925" spans="1:51" s="20" customFormat="1" ht="21" customHeight="1">
      <c r="A925" s="197"/>
      <c r="B925" s="87"/>
      <c r="C925" s="87"/>
      <c r="D925" s="196"/>
      <c r="E925" s="108"/>
      <c r="F925" s="196"/>
      <c r="G925" s="87"/>
      <c r="H925" s="197"/>
      <c r="I925" s="89"/>
      <c r="J925" s="204"/>
      <c r="K925" s="87"/>
      <c r="L925" s="87" t="str" cm="1">
        <f t="array" ref="L925">IF($A925="","",_xlfn.LET(_xlpm.stat,CHOOSE({1,2,3,4,5},$P925,$T925,$X925,$AB925,$AF925),_xlpm.rate,CHOOSE({1,2,3,4,5},$R925,$V925,$Z925,$AD925,$AH925),_xlpm.trn,CHOOSE({1,2,3,4,5},$S925,$W925,$AA925,$AE925,$AI925),_xlpm.nsC,SUMPRODUCT(--(_xlpm.stat="Ready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DLR",IF(AND(_xlpm.actRS&gt;0,_xlpm.actDone&lt;_xlpm.actRS),"Training",IF(_xlpm.actRS&gt;0,"Active",IF(AND(_xlpm.decC&gt;0,_xlpm.inPlay+_xlpm.actC=0),"Dead",IF(AND($AJ925&lt;&gt;"",$AK925=FALSE),"Waiting on Dealer",IF(_xlpm.subC&gt;0,"Waiting on Lender",IF(AND(_xlpm.appC+_xlpm.actC&gt;0,_xlpm.nsC+_xlpm.wdC=0),"Rate Sheet","Application Submitted")))))))))</f>
        <v/>
      </c>
      <c r="M925" s="87"/>
      <c r="N925" s="87"/>
      <c r="O925" s="197"/>
      <c r="P925" s="87" t="str">
        <f>IF($A925="","",IF($AK925=TRUE,"Ready 2 Submit","Waiting on Dealer"))</f>
        <v/>
      </c>
      <c r="Q925" s="148"/>
      <c r="R925" s="87"/>
      <c r="S925" s="87"/>
      <c r="T925" s="87" t="str">
        <f>IF($A925="","",IF($AK925=TRUE,"Ready 2 Submit","Waiting on Dealer"))</f>
        <v/>
      </c>
      <c r="U925" s="148"/>
      <c r="V925" s="87"/>
      <c r="W925" s="87"/>
      <c r="X925" s="87" t="str">
        <f>IF($A925="","",IF($AK925=TRUE,"Ready 2 Submit","Waiting on Dealer"))</f>
        <v/>
      </c>
      <c r="Y925" s="148"/>
      <c r="Z925" s="87"/>
      <c r="AA925" s="87"/>
      <c r="AB925" s="87" t="str">
        <f>IF($A925="","",IF($AK925=TRUE,"Ready 2 Submit","Waiting on Dealer"))</f>
        <v/>
      </c>
      <c r="AC925" s="148"/>
      <c r="AD925" s="87"/>
      <c r="AE925" s="87"/>
      <c r="AF925" s="87" t="str">
        <f>IF($A925="","",IF($AK925=TRUE,"Ready 2 Submit","Waiting on Dealer"))</f>
        <v/>
      </c>
      <c r="AG925" s="148"/>
      <c r="AH925" s="87"/>
      <c r="AI925" s="87"/>
      <c r="AJ925" s="197"/>
      <c r="AK925" s="110" t="b">
        <v>0</v>
      </c>
      <c r="AL925" s="87" t="str" cm="1">
        <f t="array" ref="AL925">IF($A925="","",SUMPRODUCT((CHOOSE({1,2,3,4,5},$R925,$V925,$Z925,$AD925,$AH925)="Yes")*(((CHOOSE({1,2,3,4,5},$S925,$W925,$AA925,$AE925,$AI925)="Yes")+(CHOOSE({1,2,3,4,5},$S925,$W925,$AA925,$AE925,$AI925)=TRUE))&gt;0)))</f>
        <v/>
      </c>
      <c r="AM925" s="87"/>
      <c r="AN925" s="87" t="str">
        <f ca="1">IF(OR($A925="",$AM925=""),"",TODAY()-$AM925)</f>
        <v/>
      </c>
      <c r="AO925" s="87"/>
      <c r="AP925" s="106"/>
      <c r="AQ925" s="106"/>
      <c r="AR925" s="106"/>
      <c r="AS925" s="106"/>
      <c r="AT925" s="106"/>
      <c r="AU925" s="106"/>
      <c r="AV925" s="106"/>
      <c r="AW925" s="106"/>
      <c r="AX925" s="106"/>
      <c r="AY925" s="106"/>
    </row>
    <row r="926" spans="1:51" s="20" customFormat="1" ht="21" customHeight="1">
      <c r="A926" s="197"/>
      <c r="B926" s="87"/>
      <c r="C926" s="87"/>
      <c r="D926" s="196"/>
      <c r="E926" s="108"/>
      <c r="F926" s="196"/>
      <c r="G926" s="87"/>
      <c r="H926" s="197"/>
      <c r="I926" s="89"/>
      <c r="J926" s="204"/>
      <c r="K926" s="87"/>
      <c r="L926" s="87" t="str" cm="1">
        <f t="array" ref="L926">IF($A926="","",_xlfn.LET(_xlpm.stat,CHOOSE({1,2,3,4,5},$P926,$T926,$X926,$AB926,$AF926),_xlpm.rate,CHOOSE({1,2,3,4,5},$R926,$V926,$Z926,$AD926,$AH926),_xlpm.trn,CHOOSE({1,2,3,4,5},$S926,$W926,$AA926,$AE926,$AI926),_xlpm.nsC,SUMPRODUCT(--(_xlpm.stat="Ready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DLR",IF(AND(_xlpm.actRS&gt;0,_xlpm.actDone&lt;_xlpm.actRS),"Training",IF(_xlpm.actRS&gt;0,"Active",IF(AND(_xlpm.decC&gt;0,_xlpm.inPlay+_xlpm.actC=0),"Dead",IF(AND($AJ926&lt;&gt;"",$AK926=FALSE),"Waiting on Dealer",IF(_xlpm.subC&gt;0,"Waiting on Lender",IF(AND(_xlpm.appC+_xlpm.actC&gt;0,_xlpm.nsC+_xlpm.wdC=0),"Rate Sheet","Application Submitted")))))))))</f>
        <v/>
      </c>
      <c r="M926" s="87"/>
      <c r="N926" s="87"/>
      <c r="O926" s="197"/>
      <c r="P926" s="87" t="str">
        <f>IF($A926="","",IF($AK926=TRUE,"Ready 2 Submit","Waiting on Dealer"))</f>
        <v/>
      </c>
      <c r="Q926" s="148"/>
      <c r="R926" s="87"/>
      <c r="S926" s="87"/>
      <c r="T926" s="87" t="str">
        <f>IF($A926="","",IF($AK926=TRUE,"Ready 2 Submit","Waiting on Dealer"))</f>
        <v/>
      </c>
      <c r="U926" s="148"/>
      <c r="V926" s="87"/>
      <c r="W926" s="87"/>
      <c r="X926" s="87" t="str">
        <f>IF($A926="","",IF($AK926=TRUE,"Ready 2 Submit","Waiting on Dealer"))</f>
        <v/>
      </c>
      <c r="Y926" s="148"/>
      <c r="Z926" s="87"/>
      <c r="AA926" s="87"/>
      <c r="AB926" s="87" t="str">
        <f>IF($A926="","",IF($AK926=TRUE,"Ready 2 Submit","Waiting on Dealer"))</f>
        <v/>
      </c>
      <c r="AC926" s="148"/>
      <c r="AD926" s="87"/>
      <c r="AE926" s="87"/>
      <c r="AF926" s="87" t="str">
        <f>IF($A926="","",IF($AK926=TRUE,"Ready 2 Submit","Waiting on Dealer"))</f>
        <v/>
      </c>
      <c r="AG926" s="148"/>
      <c r="AH926" s="87"/>
      <c r="AI926" s="87"/>
      <c r="AJ926" s="197"/>
      <c r="AK926" s="110" t="b">
        <v>0</v>
      </c>
      <c r="AL926" s="87" t="str" cm="1">
        <f t="array" ref="AL926">IF($A926="","",SUMPRODUCT((CHOOSE({1,2,3,4,5},$R926,$V926,$Z926,$AD926,$AH926)="Yes")*(((CHOOSE({1,2,3,4,5},$S926,$W926,$AA926,$AE926,$AI926)="Yes")+(CHOOSE({1,2,3,4,5},$S926,$W926,$AA926,$AE926,$AI926)=TRUE))&gt;0)))</f>
        <v/>
      </c>
      <c r="AM926" s="87"/>
      <c r="AN926" s="87" t="str">
        <f ca="1">IF(OR($A926="",$AM926=""),"",TODAY()-$AM926)</f>
        <v/>
      </c>
      <c r="AO926" s="87"/>
      <c r="AP926" s="106"/>
      <c r="AQ926" s="106"/>
      <c r="AR926" s="106"/>
      <c r="AS926" s="106"/>
      <c r="AT926" s="106"/>
      <c r="AU926" s="106"/>
      <c r="AV926" s="106"/>
      <c r="AW926" s="106"/>
      <c r="AX926" s="106"/>
      <c r="AY926" s="106"/>
    </row>
    <row r="927" spans="1:51" s="20" customFormat="1" ht="21" customHeight="1">
      <c r="A927" s="197"/>
      <c r="B927" s="87"/>
      <c r="C927" s="87"/>
      <c r="D927" s="196"/>
      <c r="E927" s="108"/>
      <c r="F927" s="196"/>
      <c r="G927" s="87"/>
      <c r="H927" s="197"/>
      <c r="I927" s="89"/>
      <c r="J927" s="204"/>
      <c r="K927" s="87"/>
      <c r="L927" s="87" t="str" cm="1">
        <f t="array" ref="L927">IF($A927="","",_xlfn.LET(_xlpm.stat,CHOOSE({1,2,3,4,5},$P927,$T927,$X927,$AB927,$AF927),_xlpm.rate,CHOOSE({1,2,3,4,5},$R927,$V927,$Z927,$AD927,$AH927),_xlpm.trn,CHOOSE({1,2,3,4,5},$S927,$W927,$AA927,$AE927,$AI927),_xlpm.nsC,SUMPRODUCT(--(_xlpm.stat="Ready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DLR",IF(AND(_xlpm.actRS&gt;0,_xlpm.actDone&lt;_xlpm.actRS),"Training",IF(_xlpm.actRS&gt;0,"Active",IF(AND(_xlpm.decC&gt;0,_xlpm.inPlay+_xlpm.actC=0),"Dead",IF(AND($AJ927&lt;&gt;"",$AK927=FALSE),"Waiting on Dealer",IF(_xlpm.subC&gt;0,"Waiting on Lender",IF(AND(_xlpm.appC+_xlpm.actC&gt;0,_xlpm.nsC+_xlpm.wdC=0),"Rate Sheet","Application Submitted")))))))))</f>
        <v/>
      </c>
      <c r="M927" s="87"/>
      <c r="N927" s="87"/>
      <c r="O927" s="197"/>
      <c r="P927" s="87" t="str">
        <f>IF($A927="","",IF($AK927=TRUE,"Ready 2 Submit","Waiting on Dealer"))</f>
        <v/>
      </c>
      <c r="Q927" s="148"/>
      <c r="R927" s="87"/>
      <c r="S927" s="87"/>
      <c r="T927" s="87" t="str">
        <f>IF($A927="","",IF($AK927=TRUE,"Ready 2 Submit","Waiting on Dealer"))</f>
        <v/>
      </c>
      <c r="U927" s="148"/>
      <c r="V927" s="87"/>
      <c r="W927" s="87"/>
      <c r="X927" s="87" t="str">
        <f>IF($A927="","",IF($AK927=TRUE,"Ready 2 Submit","Waiting on Dealer"))</f>
        <v/>
      </c>
      <c r="Y927" s="148"/>
      <c r="Z927" s="87"/>
      <c r="AA927" s="87"/>
      <c r="AB927" s="87" t="str">
        <f>IF($A927="","",IF($AK927=TRUE,"Ready 2 Submit","Waiting on Dealer"))</f>
        <v/>
      </c>
      <c r="AC927" s="148"/>
      <c r="AD927" s="87"/>
      <c r="AE927" s="87"/>
      <c r="AF927" s="87" t="str">
        <f>IF($A927="","",IF($AK927=TRUE,"Ready 2 Submit","Waiting on Dealer"))</f>
        <v/>
      </c>
      <c r="AG927" s="148"/>
      <c r="AH927" s="87"/>
      <c r="AI927" s="87"/>
      <c r="AJ927" s="197"/>
      <c r="AK927" s="110" t="b">
        <v>0</v>
      </c>
      <c r="AL927" s="87" t="str" cm="1">
        <f t="array" ref="AL927">IF($A927="","",SUMPRODUCT((CHOOSE({1,2,3,4,5},$R927,$V927,$Z927,$AD927,$AH927)="Yes")*(((CHOOSE({1,2,3,4,5},$S927,$W927,$AA927,$AE927,$AI927)="Yes")+(CHOOSE({1,2,3,4,5},$S927,$W927,$AA927,$AE927,$AI927)=TRUE))&gt;0)))</f>
        <v/>
      </c>
      <c r="AM927" s="87"/>
      <c r="AN927" s="87" t="str">
        <f ca="1">IF(OR($A927="",$AM927=""),"",TODAY()-$AM927)</f>
        <v/>
      </c>
      <c r="AO927" s="87"/>
      <c r="AP927" s="106"/>
      <c r="AQ927" s="106"/>
      <c r="AR927" s="106"/>
      <c r="AS927" s="106"/>
      <c r="AT927" s="106"/>
      <c r="AU927" s="106"/>
      <c r="AV927" s="106"/>
      <c r="AW927" s="106"/>
      <c r="AX927" s="106"/>
      <c r="AY927" s="106"/>
    </row>
    <row r="928" spans="1:51" s="20" customFormat="1" ht="21" customHeight="1">
      <c r="A928" s="197"/>
      <c r="B928" s="87"/>
      <c r="C928" s="87"/>
      <c r="D928" s="196"/>
      <c r="E928" s="108"/>
      <c r="F928" s="196"/>
      <c r="G928" s="87"/>
      <c r="H928" s="197"/>
      <c r="I928" s="89"/>
      <c r="J928" s="204"/>
      <c r="K928" s="87"/>
      <c r="L928" s="87" t="str" cm="1">
        <f t="array" ref="L928">IF($A928="","",_xlfn.LET(_xlpm.stat,CHOOSE({1,2,3,4,5},$P928,$T928,$X928,$AB928,$AF928),_xlpm.rate,CHOOSE({1,2,3,4,5},$R928,$V928,$Z928,$AD928,$AH928),_xlpm.trn,CHOOSE({1,2,3,4,5},$S928,$W928,$AA928,$AE928,$AI928),_xlpm.nsC,SUMPRODUCT(--(_xlpm.stat="Ready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DLR",IF(AND(_xlpm.actRS&gt;0,_xlpm.actDone&lt;_xlpm.actRS),"Training",IF(_xlpm.actRS&gt;0,"Active",IF(AND(_xlpm.decC&gt;0,_xlpm.inPlay+_xlpm.actC=0),"Dead",IF(AND($AJ928&lt;&gt;"",$AK928=FALSE),"Waiting on Dealer",IF(_xlpm.subC&gt;0,"Waiting on Lender",IF(AND(_xlpm.appC+_xlpm.actC&gt;0,_xlpm.nsC+_xlpm.wdC=0),"Rate Sheet","Application Submitted")))))))))</f>
        <v/>
      </c>
      <c r="M928" s="87"/>
      <c r="N928" s="87"/>
      <c r="O928" s="197"/>
      <c r="P928" s="87" t="str">
        <f>IF($A928="","",IF($AK928=TRUE,"Ready 2 Submit","Waiting on Dealer"))</f>
        <v/>
      </c>
      <c r="Q928" s="148"/>
      <c r="R928" s="87"/>
      <c r="S928" s="87"/>
      <c r="T928" s="87" t="str">
        <f>IF($A928="","",IF($AK928=TRUE,"Ready 2 Submit","Waiting on Dealer"))</f>
        <v/>
      </c>
      <c r="U928" s="148"/>
      <c r="V928" s="87"/>
      <c r="W928" s="87"/>
      <c r="X928" s="87" t="str">
        <f>IF($A928="","",IF($AK928=TRUE,"Ready 2 Submit","Waiting on Dealer"))</f>
        <v/>
      </c>
      <c r="Y928" s="148"/>
      <c r="Z928" s="87"/>
      <c r="AA928" s="87"/>
      <c r="AB928" s="87" t="str">
        <f>IF($A928="","",IF($AK928=TRUE,"Ready 2 Submit","Waiting on Dealer"))</f>
        <v/>
      </c>
      <c r="AC928" s="148"/>
      <c r="AD928" s="87"/>
      <c r="AE928" s="87"/>
      <c r="AF928" s="87" t="str">
        <f>IF($A928="","",IF($AK928=TRUE,"Ready 2 Submit","Waiting on Dealer"))</f>
        <v/>
      </c>
      <c r="AG928" s="148"/>
      <c r="AH928" s="87"/>
      <c r="AI928" s="87"/>
      <c r="AJ928" s="197"/>
      <c r="AK928" s="110" t="b">
        <v>0</v>
      </c>
      <c r="AL928" s="87" t="str" cm="1">
        <f t="array" ref="AL928">IF($A928="","",SUMPRODUCT((CHOOSE({1,2,3,4,5},$R928,$V928,$Z928,$AD928,$AH928)="Yes")*(((CHOOSE({1,2,3,4,5},$S928,$W928,$AA928,$AE928,$AI928)="Yes")+(CHOOSE({1,2,3,4,5},$S928,$W928,$AA928,$AE928,$AI928)=TRUE))&gt;0)))</f>
        <v/>
      </c>
      <c r="AM928" s="87"/>
      <c r="AN928" s="87" t="str">
        <f ca="1">IF(OR($A928="",$AM928=""),"",TODAY()-$AM928)</f>
        <v/>
      </c>
      <c r="AO928" s="87"/>
      <c r="AP928" s="106"/>
      <c r="AQ928" s="106"/>
      <c r="AR928" s="106"/>
      <c r="AS928" s="106"/>
      <c r="AT928" s="106"/>
      <c r="AU928" s="106"/>
      <c r="AV928" s="106"/>
      <c r="AW928" s="106"/>
      <c r="AX928" s="106"/>
      <c r="AY928" s="106"/>
    </row>
    <row r="929" spans="1:51" s="20" customFormat="1" ht="21" customHeight="1">
      <c r="A929" s="197"/>
      <c r="B929" s="87"/>
      <c r="C929" s="87"/>
      <c r="D929" s="196"/>
      <c r="E929" s="108"/>
      <c r="F929" s="196"/>
      <c r="G929" s="87"/>
      <c r="H929" s="197"/>
      <c r="I929" s="89"/>
      <c r="J929" s="204"/>
      <c r="K929" s="87"/>
      <c r="L929" s="87" t="str" cm="1">
        <f t="array" ref="L929">IF($A929="","",_xlfn.LET(_xlpm.stat,CHOOSE({1,2,3,4,5},$P929,$T929,$X929,$AB929,$AF929),_xlpm.rate,CHOOSE({1,2,3,4,5},$R929,$V929,$Z929,$AD929,$AH929),_xlpm.trn,CHOOSE({1,2,3,4,5},$S929,$W929,$AA929,$AE929,$AI929),_xlpm.nsC,SUMPRODUCT(--(_xlpm.stat="Ready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DLR",IF(AND(_xlpm.actRS&gt;0,_xlpm.actDone&lt;_xlpm.actRS),"Training",IF(_xlpm.actRS&gt;0,"Active",IF(AND(_xlpm.decC&gt;0,_xlpm.inPlay+_xlpm.actC=0),"Dead",IF(AND($AJ929&lt;&gt;"",$AK929=FALSE),"Waiting on Dealer",IF(_xlpm.subC&gt;0,"Waiting on Lender",IF(AND(_xlpm.appC+_xlpm.actC&gt;0,_xlpm.nsC+_xlpm.wdC=0),"Rate Sheet","Application Submitted")))))))))</f>
        <v/>
      </c>
      <c r="M929" s="87"/>
      <c r="N929" s="87"/>
      <c r="O929" s="197"/>
      <c r="P929" s="87" t="str">
        <f>IF($A929="","",IF($AK929=TRUE,"Ready 2 Submit","Waiting on Dealer"))</f>
        <v/>
      </c>
      <c r="Q929" s="148"/>
      <c r="R929" s="87"/>
      <c r="S929" s="87"/>
      <c r="T929" s="87" t="str">
        <f>IF($A929="","",IF($AK929=TRUE,"Ready 2 Submit","Waiting on Dealer"))</f>
        <v/>
      </c>
      <c r="U929" s="148"/>
      <c r="V929" s="87"/>
      <c r="W929" s="87"/>
      <c r="X929" s="87" t="str">
        <f>IF($A929="","",IF($AK929=TRUE,"Ready 2 Submit","Waiting on Dealer"))</f>
        <v/>
      </c>
      <c r="Y929" s="148"/>
      <c r="Z929" s="87"/>
      <c r="AA929" s="87"/>
      <c r="AB929" s="87" t="str">
        <f>IF($A929="","",IF($AK929=TRUE,"Ready 2 Submit","Waiting on Dealer"))</f>
        <v/>
      </c>
      <c r="AC929" s="148"/>
      <c r="AD929" s="87"/>
      <c r="AE929" s="87"/>
      <c r="AF929" s="87" t="str">
        <f>IF($A929="","",IF($AK929=TRUE,"Ready 2 Submit","Waiting on Dealer"))</f>
        <v/>
      </c>
      <c r="AG929" s="148"/>
      <c r="AH929" s="87"/>
      <c r="AI929" s="87"/>
      <c r="AJ929" s="197"/>
      <c r="AK929" s="110" t="b">
        <v>0</v>
      </c>
      <c r="AL929" s="87" t="str" cm="1">
        <f t="array" ref="AL929">IF($A929="","",SUMPRODUCT((CHOOSE({1,2,3,4,5},$R929,$V929,$Z929,$AD929,$AH929)="Yes")*(((CHOOSE({1,2,3,4,5},$S929,$W929,$AA929,$AE929,$AI929)="Yes")+(CHOOSE({1,2,3,4,5},$S929,$W929,$AA929,$AE929,$AI929)=TRUE))&gt;0)))</f>
        <v/>
      </c>
      <c r="AM929" s="87"/>
      <c r="AN929" s="87" t="str">
        <f ca="1">IF(OR($A929="",$AM929=""),"",TODAY()-$AM929)</f>
        <v/>
      </c>
      <c r="AO929" s="87"/>
      <c r="AP929" s="106"/>
      <c r="AQ929" s="106"/>
      <c r="AR929" s="106"/>
      <c r="AS929" s="106"/>
      <c r="AT929" s="106"/>
      <c r="AU929" s="106"/>
      <c r="AV929" s="106"/>
      <c r="AW929" s="106"/>
      <c r="AX929" s="106"/>
      <c r="AY929" s="106"/>
    </row>
    <row r="930" spans="1:51" s="20" customFormat="1" ht="21" customHeight="1">
      <c r="A930" s="197"/>
      <c r="B930" s="87"/>
      <c r="C930" s="87"/>
      <c r="D930" s="196"/>
      <c r="E930" s="108"/>
      <c r="F930" s="196"/>
      <c r="G930" s="87"/>
      <c r="H930" s="197"/>
      <c r="I930" s="89"/>
      <c r="J930" s="204"/>
      <c r="K930" s="87"/>
      <c r="L930" s="87" t="str" cm="1">
        <f t="array" ref="L930">IF($A930="","",_xlfn.LET(_xlpm.stat,CHOOSE({1,2,3,4,5},$P930,$T930,$X930,$AB930,$AF930),_xlpm.rate,CHOOSE({1,2,3,4,5},$R930,$V930,$Z930,$AD930,$AH930),_xlpm.trn,CHOOSE({1,2,3,4,5},$S930,$W930,$AA930,$AE930,$AI930),_xlpm.nsC,SUMPRODUCT(--(_xlpm.stat="Ready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DLR",IF(AND(_xlpm.actRS&gt;0,_xlpm.actDone&lt;_xlpm.actRS),"Training",IF(_xlpm.actRS&gt;0,"Active",IF(AND(_xlpm.decC&gt;0,_xlpm.inPlay+_xlpm.actC=0),"Dead",IF(AND($AJ930&lt;&gt;"",$AK930=FALSE),"Waiting on Dealer",IF(_xlpm.subC&gt;0,"Waiting on Lender",IF(AND(_xlpm.appC+_xlpm.actC&gt;0,_xlpm.nsC+_xlpm.wdC=0),"Rate Sheet","Application Submitted")))))))))</f>
        <v/>
      </c>
      <c r="M930" s="87"/>
      <c r="N930" s="87"/>
      <c r="O930" s="197"/>
      <c r="P930" s="87" t="str">
        <f>IF($A930="","",IF($AK930=TRUE,"Ready 2 Submit","Waiting on Dealer"))</f>
        <v/>
      </c>
      <c r="Q930" s="148"/>
      <c r="R930" s="87"/>
      <c r="S930" s="87"/>
      <c r="T930" s="87" t="str">
        <f>IF($A930="","",IF($AK930=TRUE,"Ready 2 Submit","Waiting on Dealer"))</f>
        <v/>
      </c>
      <c r="U930" s="148"/>
      <c r="V930" s="87"/>
      <c r="W930" s="87"/>
      <c r="X930" s="87" t="str">
        <f>IF($A930="","",IF($AK930=TRUE,"Ready 2 Submit","Waiting on Dealer"))</f>
        <v/>
      </c>
      <c r="Y930" s="148"/>
      <c r="Z930" s="87"/>
      <c r="AA930" s="87"/>
      <c r="AB930" s="87" t="str">
        <f>IF($A930="","",IF($AK930=TRUE,"Ready 2 Submit","Waiting on Dealer"))</f>
        <v/>
      </c>
      <c r="AC930" s="148"/>
      <c r="AD930" s="87"/>
      <c r="AE930" s="87"/>
      <c r="AF930" s="87" t="str">
        <f>IF($A930="","",IF($AK930=TRUE,"Ready 2 Submit","Waiting on Dealer"))</f>
        <v/>
      </c>
      <c r="AG930" s="148"/>
      <c r="AH930" s="87"/>
      <c r="AI930" s="87"/>
      <c r="AJ930" s="197"/>
      <c r="AK930" s="110" t="b">
        <v>0</v>
      </c>
      <c r="AL930" s="87" t="str" cm="1">
        <f t="array" ref="AL930">IF($A930="","",SUMPRODUCT((CHOOSE({1,2,3,4,5},$R930,$V930,$Z930,$AD930,$AH930)="Yes")*(((CHOOSE({1,2,3,4,5},$S930,$W930,$AA930,$AE930,$AI930)="Yes")+(CHOOSE({1,2,3,4,5},$S930,$W930,$AA930,$AE930,$AI930)=TRUE))&gt;0)))</f>
        <v/>
      </c>
      <c r="AM930" s="87"/>
      <c r="AN930" s="87" t="str">
        <f ca="1">IF(OR($A930="",$AM930=""),"",TODAY()-$AM930)</f>
        <v/>
      </c>
      <c r="AO930" s="87"/>
      <c r="AP930" s="106"/>
      <c r="AQ930" s="106"/>
      <c r="AR930" s="106"/>
      <c r="AS930" s="106"/>
      <c r="AT930" s="106"/>
      <c r="AU930" s="106"/>
      <c r="AV930" s="106"/>
      <c r="AW930" s="106"/>
      <c r="AX930" s="106"/>
      <c r="AY930" s="106"/>
    </row>
    <row r="931" spans="1:51" s="20" customFormat="1" ht="21" customHeight="1">
      <c r="A931" s="197"/>
      <c r="B931" s="87"/>
      <c r="C931" s="87"/>
      <c r="D931" s="196"/>
      <c r="E931" s="108"/>
      <c r="F931" s="196"/>
      <c r="G931" s="87"/>
      <c r="H931" s="197"/>
      <c r="I931" s="89"/>
      <c r="J931" s="204"/>
      <c r="K931" s="87"/>
      <c r="L931" s="87" t="str" cm="1">
        <f t="array" ref="L931">IF($A931="","",_xlfn.LET(_xlpm.stat,CHOOSE({1,2,3,4,5},$P931,$T931,$X931,$AB931,$AF931),_xlpm.rate,CHOOSE({1,2,3,4,5},$R931,$V931,$Z931,$AD931,$AH931),_xlpm.trn,CHOOSE({1,2,3,4,5},$S931,$W931,$AA931,$AE931,$AI931),_xlpm.nsC,SUMPRODUCT(--(_xlpm.stat="Ready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DLR",IF(AND(_xlpm.actRS&gt;0,_xlpm.actDone&lt;_xlpm.actRS),"Training",IF(_xlpm.actRS&gt;0,"Active",IF(AND(_xlpm.decC&gt;0,_xlpm.inPlay+_xlpm.actC=0),"Dead",IF(AND($AJ931&lt;&gt;"",$AK931=FALSE),"Waiting on Dealer",IF(_xlpm.subC&gt;0,"Waiting on Lender",IF(AND(_xlpm.appC+_xlpm.actC&gt;0,_xlpm.nsC+_xlpm.wdC=0),"Rate Sheet","Application Submitted")))))))))</f>
        <v/>
      </c>
      <c r="M931" s="87"/>
      <c r="N931" s="87"/>
      <c r="O931" s="197"/>
      <c r="P931" s="87" t="str">
        <f>IF($A931="","",IF($AK931=TRUE,"Ready 2 Submit","Waiting on Dealer"))</f>
        <v/>
      </c>
      <c r="Q931" s="148"/>
      <c r="R931" s="87"/>
      <c r="S931" s="87"/>
      <c r="T931" s="87" t="str">
        <f>IF($A931="","",IF($AK931=TRUE,"Ready 2 Submit","Waiting on Dealer"))</f>
        <v/>
      </c>
      <c r="U931" s="148"/>
      <c r="V931" s="87"/>
      <c r="W931" s="87"/>
      <c r="X931" s="87" t="str">
        <f>IF($A931="","",IF($AK931=TRUE,"Ready 2 Submit","Waiting on Dealer"))</f>
        <v/>
      </c>
      <c r="Y931" s="148"/>
      <c r="Z931" s="87"/>
      <c r="AA931" s="87"/>
      <c r="AB931" s="87" t="str">
        <f>IF($A931="","",IF($AK931=TRUE,"Ready 2 Submit","Waiting on Dealer"))</f>
        <v/>
      </c>
      <c r="AC931" s="148"/>
      <c r="AD931" s="87"/>
      <c r="AE931" s="87"/>
      <c r="AF931" s="87" t="str">
        <f>IF($A931="","",IF($AK931=TRUE,"Ready 2 Submit","Waiting on Dealer"))</f>
        <v/>
      </c>
      <c r="AG931" s="148"/>
      <c r="AH931" s="87"/>
      <c r="AI931" s="87"/>
      <c r="AJ931" s="197"/>
      <c r="AK931" s="110" t="b">
        <v>0</v>
      </c>
      <c r="AL931" s="87" t="str" cm="1">
        <f t="array" ref="AL931">IF($A931="","",SUMPRODUCT((CHOOSE({1,2,3,4,5},$R931,$V931,$Z931,$AD931,$AH931)="Yes")*(((CHOOSE({1,2,3,4,5},$S931,$W931,$AA931,$AE931,$AI931)="Yes")+(CHOOSE({1,2,3,4,5},$S931,$W931,$AA931,$AE931,$AI931)=TRUE))&gt;0)))</f>
        <v/>
      </c>
      <c r="AM931" s="87"/>
      <c r="AN931" s="87" t="str">
        <f ca="1">IF(OR($A931="",$AM931=""),"",TODAY()-$AM931)</f>
        <v/>
      </c>
      <c r="AO931" s="87"/>
      <c r="AP931" s="106"/>
      <c r="AQ931" s="106"/>
      <c r="AR931" s="106"/>
      <c r="AS931" s="106"/>
      <c r="AT931" s="106"/>
      <c r="AU931" s="106"/>
      <c r="AV931" s="106"/>
      <c r="AW931" s="106"/>
      <c r="AX931" s="106"/>
      <c r="AY931" s="106"/>
    </row>
    <row r="932" spans="1:51" s="20" customFormat="1" ht="21" customHeight="1">
      <c r="A932" s="197"/>
      <c r="B932" s="87"/>
      <c r="C932" s="87"/>
      <c r="D932" s="196"/>
      <c r="E932" s="108"/>
      <c r="F932" s="196"/>
      <c r="G932" s="87"/>
      <c r="H932" s="197"/>
      <c r="I932" s="89"/>
      <c r="J932" s="204"/>
      <c r="K932" s="87"/>
      <c r="L932" s="87" t="str" cm="1">
        <f t="array" ref="L932">IF($A932="","",_xlfn.LET(_xlpm.stat,CHOOSE({1,2,3,4,5},$P932,$T932,$X932,$AB932,$AF932),_xlpm.rate,CHOOSE({1,2,3,4,5},$R932,$V932,$Z932,$AD932,$AH932),_xlpm.trn,CHOOSE({1,2,3,4,5},$S932,$W932,$AA932,$AE932,$AI932),_xlpm.nsC,SUMPRODUCT(--(_xlpm.stat="Ready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DLR",IF(AND(_xlpm.actRS&gt;0,_xlpm.actDone&lt;_xlpm.actRS),"Training",IF(_xlpm.actRS&gt;0,"Active",IF(AND(_xlpm.decC&gt;0,_xlpm.inPlay+_xlpm.actC=0),"Dead",IF(AND($AJ932&lt;&gt;"",$AK932=FALSE),"Waiting on Dealer",IF(_xlpm.subC&gt;0,"Waiting on Lender",IF(AND(_xlpm.appC+_xlpm.actC&gt;0,_xlpm.nsC+_xlpm.wdC=0),"Rate Sheet","Application Submitted")))))))))</f>
        <v/>
      </c>
      <c r="M932" s="87"/>
      <c r="N932" s="87"/>
      <c r="O932" s="197"/>
      <c r="P932" s="87" t="str">
        <f>IF($A932="","",IF($AK932=TRUE,"Ready 2 Submit","Waiting on Dealer"))</f>
        <v/>
      </c>
      <c r="Q932" s="148"/>
      <c r="R932" s="87"/>
      <c r="S932" s="87"/>
      <c r="T932" s="87" t="str">
        <f>IF($A932="","",IF($AK932=TRUE,"Ready 2 Submit","Waiting on Dealer"))</f>
        <v/>
      </c>
      <c r="U932" s="148"/>
      <c r="V932" s="87"/>
      <c r="W932" s="87"/>
      <c r="X932" s="87" t="str">
        <f>IF($A932="","",IF($AK932=TRUE,"Ready 2 Submit","Waiting on Dealer"))</f>
        <v/>
      </c>
      <c r="Y932" s="148"/>
      <c r="Z932" s="87"/>
      <c r="AA932" s="87"/>
      <c r="AB932" s="87" t="str">
        <f>IF($A932="","",IF($AK932=TRUE,"Ready 2 Submit","Waiting on Dealer"))</f>
        <v/>
      </c>
      <c r="AC932" s="148"/>
      <c r="AD932" s="87"/>
      <c r="AE932" s="87"/>
      <c r="AF932" s="87" t="str">
        <f>IF($A932="","",IF($AK932=TRUE,"Ready 2 Submit","Waiting on Dealer"))</f>
        <v/>
      </c>
      <c r="AG932" s="148"/>
      <c r="AH932" s="87"/>
      <c r="AI932" s="87"/>
      <c r="AJ932" s="197"/>
      <c r="AK932" s="110" t="b">
        <v>0</v>
      </c>
      <c r="AL932" s="87" t="str" cm="1">
        <f t="array" ref="AL932">IF($A932="","",SUMPRODUCT((CHOOSE({1,2,3,4,5},$R932,$V932,$Z932,$AD932,$AH932)="Yes")*(((CHOOSE({1,2,3,4,5},$S932,$W932,$AA932,$AE932,$AI932)="Yes")+(CHOOSE({1,2,3,4,5},$S932,$W932,$AA932,$AE932,$AI932)=TRUE))&gt;0)))</f>
        <v/>
      </c>
      <c r="AM932" s="87"/>
      <c r="AN932" s="87" t="str">
        <f ca="1">IF(OR($A932="",$AM932=""),"",TODAY()-$AM932)</f>
        <v/>
      </c>
      <c r="AO932" s="87"/>
      <c r="AP932" s="106"/>
      <c r="AQ932" s="106"/>
      <c r="AR932" s="106"/>
      <c r="AS932" s="106"/>
      <c r="AT932" s="106"/>
      <c r="AU932" s="106"/>
      <c r="AV932" s="106"/>
      <c r="AW932" s="106"/>
      <c r="AX932" s="106"/>
      <c r="AY932" s="106"/>
    </row>
    <row r="933" spans="1:51" s="20" customFormat="1" ht="21" customHeight="1">
      <c r="A933" s="197"/>
      <c r="B933" s="87"/>
      <c r="C933" s="87"/>
      <c r="D933" s="196"/>
      <c r="E933" s="108"/>
      <c r="F933" s="196"/>
      <c r="G933" s="87"/>
      <c r="H933" s="197"/>
      <c r="I933" s="89"/>
      <c r="J933" s="204"/>
      <c r="K933" s="87"/>
      <c r="L933" s="87" t="str" cm="1">
        <f t="array" ref="L933">IF($A933="","",_xlfn.LET(_xlpm.stat,CHOOSE({1,2,3,4,5},$P933,$T933,$X933,$AB933,$AF933),_xlpm.rate,CHOOSE({1,2,3,4,5},$R933,$V933,$Z933,$AD933,$AH933),_xlpm.trn,CHOOSE({1,2,3,4,5},$S933,$W933,$AA933,$AE933,$AI933),_xlpm.nsC,SUMPRODUCT(--(_xlpm.stat="Ready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DLR",IF(AND(_xlpm.actRS&gt;0,_xlpm.actDone&lt;_xlpm.actRS),"Training",IF(_xlpm.actRS&gt;0,"Active",IF(AND(_xlpm.decC&gt;0,_xlpm.inPlay+_xlpm.actC=0),"Dead",IF(AND($AJ933&lt;&gt;"",$AK933=FALSE),"Waiting on Dealer",IF(_xlpm.subC&gt;0,"Waiting on Lender",IF(AND(_xlpm.appC+_xlpm.actC&gt;0,_xlpm.nsC+_xlpm.wdC=0),"Rate Sheet","Application Submitted")))))))))</f>
        <v/>
      </c>
      <c r="M933" s="87"/>
      <c r="N933" s="87"/>
      <c r="O933" s="197"/>
      <c r="P933" s="87" t="str">
        <f>IF($A933="","",IF($AK933=TRUE,"Ready 2 Submit","Waiting on Dealer"))</f>
        <v/>
      </c>
      <c r="Q933" s="148"/>
      <c r="R933" s="87"/>
      <c r="S933" s="87"/>
      <c r="T933" s="87" t="str">
        <f>IF($A933="","",IF($AK933=TRUE,"Ready 2 Submit","Waiting on Dealer"))</f>
        <v/>
      </c>
      <c r="U933" s="148"/>
      <c r="V933" s="87"/>
      <c r="W933" s="87"/>
      <c r="X933" s="87" t="str">
        <f>IF($A933="","",IF($AK933=TRUE,"Ready 2 Submit","Waiting on Dealer"))</f>
        <v/>
      </c>
      <c r="Y933" s="148"/>
      <c r="Z933" s="87"/>
      <c r="AA933" s="87"/>
      <c r="AB933" s="87" t="str">
        <f>IF($A933="","",IF($AK933=TRUE,"Ready 2 Submit","Waiting on Dealer"))</f>
        <v/>
      </c>
      <c r="AC933" s="148"/>
      <c r="AD933" s="87"/>
      <c r="AE933" s="87"/>
      <c r="AF933" s="87" t="str">
        <f>IF($A933="","",IF($AK933=TRUE,"Ready 2 Submit","Waiting on Dealer"))</f>
        <v/>
      </c>
      <c r="AG933" s="148"/>
      <c r="AH933" s="87"/>
      <c r="AI933" s="87"/>
      <c r="AJ933" s="197"/>
      <c r="AK933" s="110" t="b">
        <v>0</v>
      </c>
      <c r="AL933" s="87" t="str" cm="1">
        <f t="array" ref="AL933">IF($A933="","",SUMPRODUCT((CHOOSE({1,2,3,4,5},$R933,$V933,$Z933,$AD933,$AH933)="Yes")*(((CHOOSE({1,2,3,4,5},$S933,$W933,$AA933,$AE933,$AI933)="Yes")+(CHOOSE({1,2,3,4,5},$S933,$W933,$AA933,$AE933,$AI933)=TRUE))&gt;0)))</f>
        <v/>
      </c>
      <c r="AM933" s="87"/>
      <c r="AN933" s="87" t="str">
        <f ca="1">IF(OR($A933="",$AM933=""),"",TODAY()-$AM933)</f>
        <v/>
      </c>
      <c r="AO933" s="87"/>
      <c r="AP933" s="106"/>
      <c r="AQ933" s="106"/>
      <c r="AR933" s="106"/>
      <c r="AS933" s="106"/>
      <c r="AT933" s="106"/>
      <c r="AU933" s="106"/>
      <c r="AV933" s="106"/>
      <c r="AW933" s="106"/>
      <c r="AX933" s="106"/>
      <c r="AY933" s="106"/>
    </row>
    <row r="934" spans="1:51" s="20" customFormat="1" ht="21" customHeight="1">
      <c r="A934" s="197"/>
      <c r="B934" s="87"/>
      <c r="C934" s="87"/>
      <c r="D934" s="196"/>
      <c r="E934" s="108"/>
      <c r="F934" s="196"/>
      <c r="G934" s="87"/>
      <c r="H934" s="197"/>
      <c r="I934" s="89"/>
      <c r="J934" s="204"/>
      <c r="K934" s="87"/>
      <c r="L934" s="87" t="str" cm="1">
        <f t="array" ref="L934">IF($A934="","",_xlfn.LET(_xlpm.stat,CHOOSE({1,2,3,4,5},$P934,$T934,$X934,$AB934,$AF934),_xlpm.rate,CHOOSE({1,2,3,4,5},$R934,$V934,$Z934,$AD934,$AH934),_xlpm.trn,CHOOSE({1,2,3,4,5},$S934,$W934,$AA934,$AE934,$AI934),_xlpm.nsC,SUMPRODUCT(--(_xlpm.stat="Ready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DLR",IF(AND(_xlpm.actRS&gt;0,_xlpm.actDone&lt;_xlpm.actRS),"Training",IF(_xlpm.actRS&gt;0,"Active",IF(AND(_xlpm.decC&gt;0,_xlpm.inPlay+_xlpm.actC=0),"Dead",IF(AND($AJ934&lt;&gt;"",$AK934=FALSE),"Waiting on Dealer",IF(_xlpm.subC&gt;0,"Waiting on Lender",IF(AND(_xlpm.appC+_xlpm.actC&gt;0,_xlpm.nsC+_xlpm.wdC=0),"Rate Sheet","Application Submitted")))))))))</f>
        <v/>
      </c>
      <c r="M934" s="87"/>
      <c r="N934" s="87"/>
      <c r="O934" s="197"/>
      <c r="P934" s="87" t="str">
        <f>IF($A934="","",IF($AK934=TRUE,"Ready 2 Submit","Waiting on Dealer"))</f>
        <v/>
      </c>
      <c r="Q934" s="148"/>
      <c r="R934" s="87"/>
      <c r="S934" s="87"/>
      <c r="T934" s="87" t="str">
        <f>IF($A934="","",IF($AK934=TRUE,"Ready 2 Submit","Waiting on Dealer"))</f>
        <v/>
      </c>
      <c r="U934" s="148"/>
      <c r="V934" s="87"/>
      <c r="W934" s="87"/>
      <c r="X934" s="87" t="str">
        <f>IF($A934="","",IF($AK934=TRUE,"Ready 2 Submit","Waiting on Dealer"))</f>
        <v/>
      </c>
      <c r="Y934" s="148"/>
      <c r="Z934" s="87"/>
      <c r="AA934" s="87"/>
      <c r="AB934" s="87" t="str">
        <f>IF($A934="","",IF($AK934=TRUE,"Ready 2 Submit","Waiting on Dealer"))</f>
        <v/>
      </c>
      <c r="AC934" s="148"/>
      <c r="AD934" s="87"/>
      <c r="AE934" s="87"/>
      <c r="AF934" s="87" t="str">
        <f>IF($A934="","",IF($AK934=TRUE,"Ready 2 Submit","Waiting on Dealer"))</f>
        <v/>
      </c>
      <c r="AG934" s="148"/>
      <c r="AH934" s="87"/>
      <c r="AI934" s="87"/>
      <c r="AJ934" s="197"/>
      <c r="AK934" s="110" t="b">
        <v>0</v>
      </c>
      <c r="AL934" s="87" t="str" cm="1">
        <f t="array" ref="AL934">IF($A934="","",SUMPRODUCT((CHOOSE({1,2,3,4,5},$R934,$V934,$Z934,$AD934,$AH934)="Yes")*(((CHOOSE({1,2,3,4,5},$S934,$W934,$AA934,$AE934,$AI934)="Yes")+(CHOOSE({1,2,3,4,5},$S934,$W934,$AA934,$AE934,$AI934)=TRUE))&gt;0)))</f>
        <v/>
      </c>
      <c r="AM934" s="87"/>
      <c r="AN934" s="87" t="str">
        <f ca="1">IF(OR($A934="",$AM934=""),"",TODAY()-$AM934)</f>
        <v/>
      </c>
      <c r="AO934" s="87"/>
      <c r="AP934" s="106"/>
      <c r="AQ934" s="106"/>
      <c r="AR934" s="106"/>
      <c r="AS934" s="106"/>
      <c r="AT934" s="106"/>
      <c r="AU934" s="106"/>
      <c r="AV934" s="106"/>
      <c r="AW934" s="106"/>
      <c r="AX934" s="106"/>
      <c r="AY934" s="106"/>
    </row>
    <row r="935" spans="1:51" s="20" customFormat="1" ht="21" customHeight="1">
      <c r="A935" s="197"/>
      <c r="B935" s="87"/>
      <c r="C935" s="87"/>
      <c r="D935" s="196"/>
      <c r="E935" s="108"/>
      <c r="F935" s="196"/>
      <c r="G935" s="87"/>
      <c r="H935" s="197"/>
      <c r="I935" s="89"/>
      <c r="J935" s="204"/>
      <c r="K935" s="87"/>
      <c r="L935" s="87" t="str" cm="1">
        <f t="array" ref="L935">IF($A935="","",_xlfn.LET(_xlpm.stat,CHOOSE({1,2,3,4,5},$P935,$T935,$X935,$AB935,$AF935),_xlpm.rate,CHOOSE({1,2,3,4,5},$R935,$V935,$Z935,$AD935,$AH935),_xlpm.trn,CHOOSE({1,2,3,4,5},$S935,$W935,$AA935,$AE935,$AI935),_xlpm.nsC,SUMPRODUCT(--(_xlpm.stat="Ready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DLR",IF(AND(_xlpm.actRS&gt;0,_xlpm.actDone&lt;_xlpm.actRS),"Training",IF(_xlpm.actRS&gt;0,"Active",IF(AND(_xlpm.decC&gt;0,_xlpm.inPlay+_xlpm.actC=0),"Dead",IF(AND($AJ935&lt;&gt;"",$AK935=FALSE),"Waiting on Dealer",IF(_xlpm.subC&gt;0,"Waiting on Lender",IF(AND(_xlpm.appC+_xlpm.actC&gt;0,_xlpm.nsC+_xlpm.wdC=0),"Rate Sheet","Application Submitted")))))))))</f>
        <v/>
      </c>
      <c r="M935" s="87"/>
      <c r="N935" s="87"/>
      <c r="O935" s="197"/>
      <c r="P935" s="87" t="str">
        <f>IF($A935="","",IF($AK935=TRUE,"Ready 2 Submit","Waiting on Dealer"))</f>
        <v/>
      </c>
      <c r="Q935" s="148"/>
      <c r="R935" s="87"/>
      <c r="S935" s="87"/>
      <c r="T935" s="87" t="str">
        <f>IF($A935="","",IF($AK935=TRUE,"Ready 2 Submit","Waiting on Dealer"))</f>
        <v/>
      </c>
      <c r="U935" s="148"/>
      <c r="V935" s="87"/>
      <c r="W935" s="87"/>
      <c r="X935" s="87" t="str">
        <f>IF($A935="","",IF($AK935=TRUE,"Ready 2 Submit","Waiting on Dealer"))</f>
        <v/>
      </c>
      <c r="Y935" s="148"/>
      <c r="Z935" s="87"/>
      <c r="AA935" s="87"/>
      <c r="AB935" s="87" t="str">
        <f>IF($A935="","",IF($AK935=TRUE,"Ready 2 Submit","Waiting on Dealer"))</f>
        <v/>
      </c>
      <c r="AC935" s="148"/>
      <c r="AD935" s="87"/>
      <c r="AE935" s="87"/>
      <c r="AF935" s="87" t="str">
        <f>IF($A935="","",IF($AK935=TRUE,"Ready 2 Submit","Waiting on Dealer"))</f>
        <v/>
      </c>
      <c r="AG935" s="148"/>
      <c r="AH935" s="87"/>
      <c r="AI935" s="87"/>
      <c r="AJ935" s="197"/>
      <c r="AK935" s="110" t="b">
        <v>0</v>
      </c>
      <c r="AL935" s="87" t="str" cm="1">
        <f t="array" ref="AL935">IF($A935="","",SUMPRODUCT((CHOOSE({1,2,3,4,5},$R935,$V935,$Z935,$AD935,$AH935)="Yes")*(((CHOOSE({1,2,3,4,5},$S935,$W935,$AA935,$AE935,$AI935)="Yes")+(CHOOSE({1,2,3,4,5},$S935,$W935,$AA935,$AE935,$AI935)=TRUE))&gt;0)))</f>
        <v/>
      </c>
      <c r="AM935" s="87"/>
      <c r="AN935" s="87" t="str">
        <f ca="1">IF(OR($A935="",$AM935=""),"",TODAY()-$AM935)</f>
        <v/>
      </c>
      <c r="AO935" s="87"/>
      <c r="AP935" s="106"/>
      <c r="AQ935" s="106"/>
      <c r="AR935" s="106"/>
      <c r="AS935" s="106"/>
      <c r="AT935" s="106"/>
      <c r="AU935" s="106"/>
      <c r="AV935" s="106"/>
      <c r="AW935" s="106"/>
      <c r="AX935" s="106"/>
      <c r="AY935" s="106"/>
    </row>
    <row r="936" spans="1:51" s="20" customFormat="1" ht="21" customHeight="1">
      <c r="A936" s="197"/>
      <c r="B936" s="87"/>
      <c r="C936" s="87"/>
      <c r="D936" s="196"/>
      <c r="E936" s="108"/>
      <c r="F936" s="196"/>
      <c r="G936" s="87"/>
      <c r="H936" s="197"/>
      <c r="I936" s="89"/>
      <c r="J936" s="204"/>
      <c r="K936" s="87"/>
      <c r="L936" s="87" t="str" cm="1">
        <f t="array" ref="L936">IF($A936="","",_xlfn.LET(_xlpm.stat,CHOOSE({1,2,3,4,5},$P936,$T936,$X936,$AB936,$AF936),_xlpm.rate,CHOOSE({1,2,3,4,5},$R936,$V936,$Z936,$AD936,$AH936),_xlpm.trn,CHOOSE({1,2,3,4,5},$S936,$W936,$AA936,$AE936,$AI936),_xlpm.nsC,SUMPRODUCT(--(_xlpm.stat="Ready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DLR",IF(AND(_xlpm.actRS&gt;0,_xlpm.actDone&lt;_xlpm.actRS),"Training",IF(_xlpm.actRS&gt;0,"Active",IF(AND(_xlpm.decC&gt;0,_xlpm.inPlay+_xlpm.actC=0),"Dead",IF(AND($AJ936&lt;&gt;"",$AK936=FALSE),"Waiting on Dealer",IF(_xlpm.subC&gt;0,"Waiting on Lender",IF(AND(_xlpm.appC+_xlpm.actC&gt;0,_xlpm.nsC+_xlpm.wdC=0),"Rate Sheet","Application Submitted")))))))))</f>
        <v/>
      </c>
      <c r="M936" s="87"/>
      <c r="N936" s="87"/>
      <c r="O936" s="197"/>
      <c r="P936" s="87" t="str">
        <f>IF($A936="","",IF($AK936=TRUE,"Ready 2 Submit","Waiting on Dealer"))</f>
        <v/>
      </c>
      <c r="Q936" s="148"/>
      <c r="R936" s="87"/>
      <c r="S936" s="87"/>
      <c r="T936" s="87" t="str">
        <f>IF($A936="","",IF($AK936=TRUE,"Ready 2 Submit","Waiting on Dealer"))</f>
        <v/>
      </c>
      <c r="U936" s="148"/>
      <c r="V936" s="87"/>
      <c r="W936" s="87"/>
      <c r="X936" s="87" t="str">
        <f>IF($A936="","",IF($AK936=TRUE,"Ready 2 Submit","Waiting on Dealer"))</f>
        <v/>
      </c>
      <c r="Y936" s="148"/>
      <c r="Z936" s="87"/>
      <c r="AA936" s="87"/>
      <c r="AB936" s="87" t="str">
        <f>IF($A936="","",IF($AK936=TRUE,"Ready 2 Submit","Waiting on Dealer"))</f>
        <v/>
      </c>
      <c r="AC936" s="148"/>
      <c r="AD936" s="87"/>
      <c r="AE936" s="87"/>
      <c r="AF936" s="87" t="str">
        <f>IF($A936="","",IF($AK936=TRUE,"Ready 2 Submit","Waiting on Dealer"))</f>
        <v/>
      </c>
      <c r="AG936" s="148"/>
      <c r="AH936" s="87"/>
      <c r="AI936" s="87"/>
      <c r="AJ936" s="197"/>
      <c r="AK936" s="110" t="b">
        <v>0</v>
      </c>
      <c r="AL936" s="87" t="str" cm="1">
        <f t="array" ref="AL936">IF($A936="","",SUMPRODUCT((CHOOSE({1,2,3,4,5},$R936,$V936,$Z936,$AD936,$AH936)="Yes")*(((CHOOSE({1,2,3,4,5},$S936,$W936,$AA936,$AE936,$AI936)="Yes")+(CHOOSE({1,2,3,4,5},$S936,$W936,$AA936,$AE936,$AI936)=TRUE))&gt;0)))</f>
        <v/>
      </c>
      <c r="AM936" s="87"/>
      <c r="AN936" s="87" t="str">
        <f ca="1">IF(OR($A936="",$AM936=""),"",TODAY()-$AM936)</f>
        <v/>
      </c>
      <c r="AO936" s="87"/>
      <c r="AP936" s="106"/>
      <c r="AQ936" s="106"/>
      <c r="AR936" s="106"/>
      <c r="AS936" s="106"/>
      <c r="AT936" s="106"/>
      <c r="AU936" s="106"/>
      <c r="AV936" s="106"/>
      <c r="AW936" s="106"/>
      <c r="AX936" s="106"/>
      <c r="AY936" s="106"/>
    </row>
    <row r="937" spans="1:51" s="20" customFormat="1" ht="21" customHeight="1">
      <c r="A937" s="197"/>
      <c r="B937" s="87"/>
      <c r="C937" s="87"/>
      <c r="D937" s="196"/>
      <c r="E937" s="108"/>
      <c r="F937" s="196"/>
      <c r="G937" s="87"/>
      <c r="H937" s="197"/>
      <c r="I937" s="89"/>
      <c r="J937" s="204"/>
      <c r="K937" s="87"/>
      <c r="L937" s="87" t="str" cm="1">
        <f t="array" ref="L937">IF($A937="","",_xlfn.LET(_xlpm.stat,CHOOSE({1,2,3,4,5},$P937,$T937,$X937,$AB937,$AF937),_xlpm.rate,CHOOSE({1,2,3,4,5},$R937,$V937,$Z937,$AD937,$AH937),_xlpm.trn,CHOOSE({1,2,3,4,5},$S937,$W937,$AA937,$AE937,$AI937),_xlpm.nsC,SUMPRODUCT(--(_xlpm.stat="Ready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DLR",IF(AND(_xlpm.actRS&gt;0,_xlpm.actDone&lt;_xlpm.actRS),"Training",IF(_xlpm.actRS&gt;0,"Active",IF(AND(_xlpm.decC&gt;0,_xlpm.inPlay+_xlpm.actC=0),"Dead",IF(AND($AJ937&lt;&gt;"",$AK937=FALSE),"Waiting on Dealer",IF(_xlpm.subC&gt;0,"Waiting on Lender",IF(AND(_xlpm.appC+_xlpm.actC&gt;0,_xlpm.nsC+_xlpm.wdC=0),"Rate Sheet","Application Submitted")))))))))</f>
        <v/>
      </c>
      <c r="M937" s="87"/>
      <c r="N937" s="87"/>
      <c r="O937" s="197"/>
      <c r="P937" s="87" t="str">
        <f>IF($A937="","",IF($AK937=TRUE,"Ready 2 Submit","Waiting on Dealer"))</f>
        <v/>
      </c>
      <c r="Q937" s="148"/>
      <c r="R937" s="87"/>
      <c r="S937" s="87"/>
      <c r="T937" s="87" t="str">
        <f>IF($A937="","",IF($AK937=TRUE,"Ready 2 Submit","Waiting on Dealer"))</f>
        <v/>
      </c>
      <c r="U937" s="148"/>
      <c r="V937" s="87"/>
      <c r="W937" s="87"/>
      <c r="X937" s="87" t="str">
        <f>IF($A937="","",IF($AK937=TRUE,"Ready 2 Submit","Waiting on Dealer"))</f>
        <v/>
      </c>
      <c r="Y937" s="148"/>
      <c r="Z937" s="87"/>
      <c r="AA937" s="87"/>
      <c r="AB937" s="87" t="str">
        <f>IF($A937="","",IF($AK937=TRUE,"Ready 2 Submit","Waiting on Dealer"))</f>
        <v/>
      </c>
      <c r="AC937" s="148"/>
      <c r="AD937" s="87"/>
      <c r="AE937" s="87"/>
      <c r="AF937" s="87" t="str">
        <f>IF($A937="","",IF($AK937=TRUE,"Ready 2 Submit","Waiting on Dealer"))</f>
        <v/>
      </c>
      <c r="AG937" s="148"/>
      <c r="AH937" s="87"/>
      <c r="AI937" s="87"/>
      <c r="AJ937" s="197"/>
      <c r="AK937" s="110" t="b">
        <v>0</v>
      </c>
      <c r="AL937" s="87" t="str" cm="1">
        <f t="array" ref="AL937">IF($A937="","",SUMPRODUCT((CHOOSE({1,2,3,4,5},$R937,$V937,$Z937,$AD937,$AH937)="Yes")*(((CHOOSE({1,2,3,4,5},$S937,$W937,$AA937,$AE937,$AI937)="Yes")+(CHOOSE({1,2,3,4,5},$S937,$W937,$AA937,$AE937,$AI937)=TRUE))&gt;0)))</f>
        <v/>
      </c>
      <c r="AM937" s="87"/>
      <c r="AN937" s="87" t="str">
        <f ca="1">IF(OR($A937="",$AM937=""),"",TODAY()-$AM937)</f>
        <v/>
      </c>
      <c r="AO937" s="87"/>
      <c r="AP937" s="106"/>
      <c r="AQ937" s="106"/>
      <c r="AR937" s="106"/>
      <c r="AS937" s="106"/>
      <c r="AT937" s="106"/>
      <c r="AU937" s="106"/>
      <c r="AV937" s="106"/>
      <c r="AW937" s="106"/>
      <c r="AX937" s="106"/>
      <c r="AY937" s="106"/>
    </row>
    <row r="938" spans="1:51" s="20" customFormat="1" ht="21" customHeight="1">
      <c r="A938" s="197"/>
      <c r="B938" s="87"/>
      <c r="C938" s="87"/>
      <c r="D938" s="196"/>
      <c r="E938" s="108"/>
      <c r="F938" s="196"/>
      <c r="G938" s="87"/>
      <c r="H938" s="197"/>
      <c r="I938" s="89"/>
      <c r="J938" s="204"/>
      <c r="K938" s="87"/>
      <c r="L938" s="87" t="str" cm="1">
        <f t="array" ref="L938">IF($A938="","",_xlfn.LET(_xlpm.stat,CHOOSE({1,2,3,4,5},$P938,$T938,$X938,$AB938,$AF938),_xlpm.rate,CHOOSE({1,2,3,4,5},$R938,$V938,$Z938,$AD938,$AH938),_xlpm.trn,CHOOSE({1,2,3,4,5},$S938,$W938,$AA938,$AE938,$AI938),_xlpm.nsC,SUMPRODUCT(--(_xlpm.stat="Ready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DLR",IF(AND(_xlpm.actRS&gt;0,_xlpm.actDone&lt;_xlpm.actRS),"Training",IF(_xlpm.actRS&gt;0,"Active",IF(AND(_xlpm.decC&gt;0,_xlpm.inPlay+_xlpm.actC=0),"Dead",IF(AND($AJ938&lt;&gt;"",$AK938=FALSE),"Waiting on Dealer",IF(_xlpm.subC&gt;0,"Waiting on Lender",IF(AND(_xlpm.appC+_xlpm.actC&gt;0,_xlpm.nsC+_xlpm.wdC=0),"Rate Sheet","Application Submitted")))))))))</f>
        <v/>
      </c>
      <c r="M938" s="87"/>
      <c r="N938" s="87"/>
      <c r="O938" s="197"/>
      <c r="P938" s="87" t="str">
        <f>IF($A938="","",IF($AK938=TRUE,"Ready 2 Submit","Waiting on Dealer"))</f>
        <v/>
      </c>
      <c r="Q938" s="148"/>
      <c r="R938" s="87"/>
      <c r="S938" s="87"/>
      <c r="T938" s="87" t="str">
        <f>IF($A938="","",IF($AK938=TRUE,"Ready 2 Submit","Waiting on Dealer"))</f>
        <v/>
      </c>
      <c r="U938" s="148"/>
      <c r="V938" s="87"/>
      <c r="W938" s="87"/>
      <c r="X938" s="87" t="str">
        <f>IF($A938="","",IF($AK938=TRUE,"Ready 2 Submit","Waiting on Dealer"))</f>
        <v/>
      </c>
      <c r="Y938" s="148"/>
      <c r="Z938" s="87"/>
      <c r="AA938" s="87"/>
      <c r="AB938" s="87" t="str">
        <f>IF($A938="","",IF($AK938=TRUE,"Ready 2 Submit","Waiting on Dealer"))</f>
        <v/>
      </c>
      <c r="AC938" s="148"/>
      <c r="AD938" s="87"/>
      <c r="AE938" s="87"/>
      <c r="AF938" s="87" t="str">
        <f>IF($A938="","",IF($AK938=TRUE,"Ready 2 Submit","Waiting on Dealer"))</f>
        <v/>
      </c>
      <c r="AG938" s="148"/>
      <c r="AH938" s="87"/>
      <c r="AI938" s="87"/>
      <c r="AJ938" s="197"/>
      <c r="AK938" s="110" t="b">
        <v>0</v>
      </c>
      <c r="AL938" s="87" t="str" cm="1">
        <f t="array" ref="AL938">IF($A938="","",SUMPRODUCT((CHOOSE({1,2,3,4,5},$R938,$V938,$Z938,$AD938,$AH938)="Yes")*(((CHOOSE({1,2,3,4,5},$S938,$W938,$AA938,$AE938,$AI938)="Yes")+(CHOOSE({1,2,3,4,5},$S938,$W938,$AA938,$AE938,$AI938)=TRUE))&gt;0)))</f>
        <v/>
      </c>
      <c r="AM938" s="87"/>
      <c r="AN938" s="87" t="str">
        <f ca="1">IF(OR($A938="",$AM938=""),"",TODAY()-$AM938)</f>
        <v/>
      </c>
      <c r="AO938" s="87"/>
      <c r="AP938" s="106"/>
      <c r="AQ938" s="106"/>
      <c r="AR938" s="106"/>
      <c r="AS938" s="106"/>
      <c r="AT938" s="106"/>
      <c r="AU938" s="106"/>
      <c r="AV938" s="106"/>
      <c r="AW938" s="106"/>
      <c r="AX938" s="106"/>
      <c r="AY938" s="106"/>
    </row>
    <row r="939" spans="1:51" s="20" customFormat="1" ht="21" customHeight="1">
      <c r="A939" s="197"/>
      <c r="B939" s="87"/>
      <c r="C939" s="87"/>
      <c r="D939" s="196"/>
      <c r="E939" s="108"/>
      <c r="F939" s="196"/>
      <c r="G939" s="87"/>
      <c r="H939" s="197"/>
      <c r="I939" s="89"/>
      <c r="J939" s="204"/>
      <c r="K939" s="87"/>
      <c r="L939" s="87" t="str" cm="1">
        <f t="array" ref="L939">IF($A939="","",_xlfn.LET(_xlpm.stat,CHOOSE({1,2,3,4,5},$P939,$T939,$X939,$AB939,$AF939),_xlpm.rate,CHOOSE({1,2,3,4,5},$R939,$V939,$Z939,$AD939,$AH939),_xlpm.trn,CHOOSE({1,2,3,4,5},$S939,$W939,$AA939,$AE939,$AI939),_xlpm.nsC,SUMPRODUCT(--(_xlpm.stat="Ready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DLR",IF(AND(_xlpm.actRS&gt;0,_xlpm.actDone&lt;_xlpm.actRS),"Training",IF(_xlpm.actRS&gt;0,"Active",IF(AND(_xlpm.decC&gt;0,_xlpm.inPlay+_xlpm.actC=0),"Dead",IF(AND($AJ939&lt;&gt;"",$AK939=FALSE),"Waiting on Dealer",IF(_xlpm.subC&gt;0,"Waiting on Lender",IF(AND(_xlpm.appC+_xlpm.actC&gt;0,_xlpm.nsC+_xlpm.wdC=0),"Rate Sheet","Application Submitted")))))))))</f>
        <v/>
      </c>
      <c r="M939" s="87"/>
      <c r="N939" s="87"/>
      <c r="O939" s="197"/>
      <c r="P939" s="87" t="str">
        <f>IF($A939="","",IF($AK939=TRUE,"Ready 2 Submit","Waiting on Dealer"))</f>
        <v/>
      </c>
      <c r="Q939" s="148"/>
      <c r="R939" s="87"/>
      <c r="S939" s="87"/>
      <c r="T939" s="87" t="str">
        <f>IF($A939="","",IF($AK939=TRUE,"Ready 2 Submit","Waiting on Dealer"))</f>
        <v/>
      </c>
      <c r="U939" s="148"/>
      <c r="V939" s="87"/>
      <c r="W939" s="87"/>
      <c r="X939" s="87" t="str">
        <f>IF($A939="","",IF($AK939=TRUE,"Ready 2 Submit","Waiting on Dealer"))</f>
        <v/>
      </c>
      <c r="Y939" s="148"/>
      <c r="Z939" s="87"/>
      <c r="AA939" s="87"/>
      <c r="AB939" s="87" t="str">
        <f>IF($A939="","",IF($AK939=TRUE,"Ready 2 Submit","Waiting on Dealer"))</f>
        <v/>
      </c>
      <c r="AC939" s="148"/>
      <c r="AD939" s="87"/>
      <c r="AE939" s="87"/>
      <c r="AF939" s="87" t="str">
        <f>IF($A939="","",IF($AK939=TRUE,"Ready 2 Submit","Waiting on Dealer"))</f>
        <v/>
      </c>
      <c r="AG939" s="148"/>
      <c r="AH939" s="87"/>
      <c r="AI939" s="87"/>
      <c r="AJ939" s="197"/>
      <c r="AK939" s="110" t="b">
        <v>0</v>
      </c>
      <c r="AL939" s="87" t="str" cm="1">
        <f t="array" ref="AL939">IF($A939="","",SUMPRODUCT((CHOOSE({1,2,3,4,5},$R939,$V939,$Z939,$AD939,$AH939)="Yes")*(((CHOOSE({1,2,3,4,5},$S939,$W939,$AA939,$AE939,$AI939)="Yes")+(CHOOSE({1,2,3,4,5},$S939,$W939,$AA939,$AE939,$AI939)=TRUE))&gt;0)))</f>
        <v/>
      </c>
      <c r="AM939" s="87"/>
      <c r="AN939" s="87" t="str">
        <f ca="1">IF(OR($A939="",$AM939=""),"",TODAY()-$AM939)</f>
        <v/>
      </c>
      <c r="AO939" s="87"/>
      <c r="AP939" s="106"/>
      <c r="AQ939" s="106"/>
      <c r="AR939" s="106"/>
      <c r="AS939" s="106"/>
      <c r="AT939" s="106"/>
      <c r="AU939" s="106"/>
      <c r="AV939" s="106"/>
      <c r="AW939" s="106"/>
      <c r="AX939" s="106"/>
      <c r="AY939" s="106"/>
    </row>
    <row r="940" spans="1:51" s="20" customFormat="1" ht="21" customHeight="1">
      <c r="A940" s="197"/>
      <c r="B940" s="87"/>
      <c r="C940" s="87"/>
      <c r="D940" s="196"/>
      <c r="E940" s="108"/>
      <c r="F940" s="196"/>
      <c r="G940" s="87"/>
      <c r="H940" s="197"/>
      <c r="I940" s="89"/>
      <c r="J940" s="204"/>
      <c r="K940" s="87"/>
      <c r="L940" s="87" t="str" cm="1">
        <f t="array" ref="L940">IF($A940="","",_xlfn.LET(_xlpm.stat,CHOOSE({1,2,3,4,5},$P940,$T940,$X940,$AB940,$AF940),_xlpm.rate,CHOOSE({1,2,3,4,5},$R940,$V940,$Z940,$AD940,$AH940),_xlpm.trn,CHOOSE({1,2,3,4,5},$S940,$W940,$AA940,$AE940,$AI940),_xlpm.nsC,SUMPRODUCT(--(_xlpm.stat="Ready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DLR",IF(AND(_xlpm.actRS&gt;0,_xlpm.actDone&lt;_xlpm.actRS),"Training",IF(_xlpm.actRS&gt;0,"Active",IF(AND(_xlpm.decC&gt;0,_xlpm.inPlay+_xlpm.actC=0),"Dead",IF(AND($AJ940&lt;&gt;"",$AK940=FALSE),"Waiting on Dealer",IF(_xlpm.subC&gt;0,"Waiting on Lender",IF(AND(_xlpm.appC+_xlpm.actC&gt;0,_xlpm.nsC+_xlpm.wdC=0),"Rate Sheet","Application Submitted")))))))))</f>
        <v/>
      </c>
      <c r="M940" s="87"/>
      <c r="N940" s="87"/>
      <c r="O940" s="197"/>
      <c r="P940" s="87" t="str">
        <f>IF($A940="","",IF($AK940=TRUE,"Ready 2 Submit","Waiting on Dealer"))</f>
        <v/>
      </c>
      <c r="Q940" s="148"/>
      <c r="R940" s="87"/>
      <c r="S940" s="87"/>
      <c r="T940" s="87" t="str">
        <f>IF($A940="","",IF($AK940=TRUE,"Ready 2 Submit","Waiting on Dealer"))</f>
        <v/>
      </c>
      <c r="U940" s="148"/>
      <c r="V940" s="87"/>
      <c r="W940" s="87"/>
      <c r="X940" s="87" t="str">
        <f>IF($A940="","",IF($AK940=TRUE,"Ready 2 Submit","Waiting on Dealer"))</f>
        <v/>
      </c>
      <c r="Y940" s="148"/>
      <c r="Z940" s="87"/>
      <c r="AA940" s="87"/>
      <c r="AB940" s="87" t="str">
        <f>IF($A940="","",IF($AK940=TRUE,"Ready 2 Submit","Waiting on Dealer"))</f>
        <v/>
      </c>
      <c r="AC940" s="148"/>
      <c r="AD940" s="87"/>
      <c r="AE940" s="87"/>
      <c r="AF940" s="87" t="str">
        <f>IF($A940="","",IF($AK940=TRUE,"Ready 2 Submit","Waiting on Dealer"))</f>
        <v/>
      </c>
      <c r="AG940" s="148"/>
      <c r="AH940" s="87"/>
      <c r="AI940" s="87"/>
      <c r="AJ940" s="197"/>
      <c r="AK940" s="110" t="b">
        <v>0</v>
      </c>
      <c r="AL940" s="87" t="str" cm="1">
        <f t="array" ref="AL940">IF($A940="","",SUMPRODUCT((CHOOSE({1,2,3,4,5},$R940,$V940,$Z940,$AD940,$AH940)="Yes")*(((CHOOSE({1,2,3,4,5},$S940,$W940,$AA940,$AE940,$AI940)="Yes")+(CHOOSE({1,2,3,4,5},$S940,$W940,$AA940,$AE940,$AI940)=TRUE))&gt;0)))</f>
        <v/>
      </c>
      <c r="AM940" s="87"/>
      <c r="AN940" s="87" t="str">
        <f ca="1">IF(OR($A940="",$AM940=""),"",TODAY()-$AM940)</f>
        <v/>
      </c>
      <c r="AO940" s="87"/>
      <c r="AP940" s="106"/>
      <c r="AQ940" s="106"/>
      <c r="AR940" s="106"/>
      <c r="AS940" s="106"/>
      <c r="AT940" s="106"/>
      <c r="AU940" s="106"/>
      <c r="AV940" s="106"/>
      <c r="AW940" s="106"/>
      <c r="AX940" s="106"/>
      <c r="AY940" s="106"/>
    </row>
    <row r="941" spans="1:51" s="20" customFormat="1" ht="21" customHeight="1">
      <c r="A941" s="197"/>
      <c r="B941" s="87"/>
      <c r="C941" s="87"/>
      <c r="D941" s="196"/>
      <c r="E941" s="108"/>
      <c r="F941" s="196"/>
      <c r="G941" s="87"/>
      <c r="H941" s="197"/>
      <c r="I941" s="89"/>
      <c r="J941" s="204"/>
      <c r="K941" s="87"/>
      <c r="L941" s="87" t="str" cm="1">
        <f t="array" ref="L941">IF($A941="","",_xlfn.LET(_xlpm.stat,CHOOSE({1,2,3,4,5},$P941,$T941,$X941,$AB941,$AF941),_xlpm.rate,CHOOSE({1,2,3,4,5},$R941,$V941,$Z941,$AD941,$AH941),_xlpm.trn,CHOOSE({1,2,3,4,5},$S941,$W941,$AA941,$AE941,$AI941),_xlpm.nsC,SUMPRODUCT(--(_xlpm.stat="Ready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DLR",IF(AND(_xlpm.actRS&gt;0,_xlpm.actDone&lt;_xlpm.actRS),"Training",IF(_xlpm.actRS&gt;0,"Active",IF(AND(_xlpm.decC&gt;0,_xlpm.inPlay+_xlpm.actC=0),"Dead",IF(AND($AJ941&lt;&gt;"",$AK941=FALSE),"Waiting on Dealer",IF(_xlpm.subC&gt;0,"Waiting on Lender",IF(AND(_xlpm.appC+_xlpm.actC&gt;0,_xlpm.nsC+_xlpm.wdC=0),"Rate Sheet","Application Submitted")))))))))</f>
        <v/>
      </c>
      <c r="M941" s="87"/>
      <c r="N941" s="87"/>
      <c r="O941" s="197"/>
      <c r="P941" s="87" t="str">
        <f>IF($A941="","",IF($AK941=TRUE,"Ready 2 Submit","Waiting on Dealer"))</f>
        <v/>
      </c>
      <c r="Q941" s="148"/>
      <c r="R941" s="87"/>
      <c r="S941" s="87"/>
      <c r="T941" s="87" t="str">
        <f>IF($A941="","",IF($AK941=TRUE,"Ready 2 Submit","Waiting on Dealer"))</f>
        <v/>
      </c>
      <c r="U941" s="148"/>
      <c r="V941" s="87"/>
      <c r="W941" s="87"/>
      <c r="X941" s="87" t="str">
        <f>IF($A941="","",IF($AK941=TRUE,"Ready 2 Submit","Waiting on Dealer"))</f>
        <v/>
      </c>
      <c r="Y941" s="148"/>
      <c r="Z941" s="87"/>
      <c r="AA941" s="87"/>
      <c r="AB941" s="87" t="str">
        <f>IF($A941="","",IF($AK941=TRUE,"Ready 2 Submit","Waiting on Dealer"))</f>
        <v/>
      </c>
      <c r="AC941" s="148"/>
      <c r="AD941" s="87"/>
      <c r="AE941" s="87"/>
      <c r="AF941" s="87" t="str">
        <f>IF($A941="","",IF($AK941=TRUE,"Ready 2 Submit","Waiting on Dealer"))</f>
        <v/>
      </c>
      <c r="AG941" s="148"/>
      <c r="AH941" s="87"/>
      <c r="AI941" s="87"/>
      <c r="AJ941" s="197"/>
      <c r="AK941" s="110" t="b">
        <v>0</v>
      </c>
      <c r="AL941" s="87" t="str" cm="1">
        <f t="array" ref="AL941">IF($A941="","",SUMPRODUCT((CHOOSE({1,2,3,4,5},$R941,$V941,$Z941,$AD941,$AH941)="Yes")*(((CHOOSE({1,2,3,4,5},$S941,$W941,$AA941,$AE941,$AI941)="Yes")+(CHOOSE({1,2,3,4,5},$S941,$W941,$AA941,$AE941,$AI941)=TRUE))&gt;0)))</f>
        <v/>
      </c>
      <c r="AM941" s="87"/>
      <c r="AN941" s="87" t="str">
        <f ca="1">IF(OR($A941="",$AM941=""),"",TODAY()-$AM941)</f>
        <v/>
      </c>
      <c r="AO941" s="87"/>
      <c r="AP941" s="106"/>
      <c r="AQ941" s="106"/>
      <c r="AR941" s="106"/>
      <c r="AS941" s="106"/>
      <c r="AT941" s="106"/>
      <c r="AU941" s="106"/>
      <c r="AV941" s="106"/>
      <c r="AW941" s="106"/>
      <c r="AX941" s="106"/>
      <c r="AY941" s="106"/>
    </row>
    <row r="942" spans="1:51" s="20" customFormat="1" ht="21" customHeight="1">
      <c r="A942" s="197"/>
      <c r="B942" s="87"/>
      <c r="C942" s="87"/>
      <c r="D942" s="196"/>
      <c r="E942" s="108"/>
      <c r="F942" s="196"/>
      <c r="G942" s="87"/>
      <c r="H942" s="197"/>
      <c r="I942" s="89"/>
      <c r="J942" s="204"/>
      <c r="K942" s="87"/>
      <c r="L942" s="87" t="str" cm="1">
        <f t="array" ref="L942">IF($A942="","",_xlfn.LET(_xlpm.stat,CHOOSE({1,2,3,4,5},$P942,$T942,$X942,$AB942,$AF942),_xlpm.rate,CHOOSE({1,2,3,4,5},$R942,$V942,$Z942,$AD942,$AH942),_xlpm.trn,CHOOSE({1,2,3,4,5},$S942,$W942,$AA942,$AE942,$AI942),_xlpm.nsC,SUMPRODUCT(--(_xlpm.stat="Ready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DLR",IF(AND(_xlpm.actRS&gt;0,_xlpm.actDone&lt;_xlpm.actRS),"Training",IF(_xlpm.actRS&gt;0,"Active",IF(AND(_xlpm.decC&gt;0,_xlpm.inPlay+_xlpm.actC=0),"Dead",IF(AND($AJ942&lt;&gt;"",$AK942=FALSE),"Waiting on Dealer",IF(_xlpm.subC&gt;0,"Waiting on Lender",IF(AND(_xlpm.appC+_xlpm.actC&gt;0,_xlpm.nsC+_xlpm.wdC=0),"Rate Sheet","Application Submitted")))))))))</f>
        <v/>
      </c>
      <c r="M942" s="87"/>
      <c r="N942" s="87"/>
      <c r="O942" s="197"/>
      <c r="P942" s="87" t="str">
        <f>IF($A942="","",IF($AK942=TRUE,"Ready 2 Submit","Waiting on Dealer"))</f>
        <v/>
      </c>
      <c r="Q942" s="148"/>
      <c r="R942" s="87"/>
      <c r="S942" s="87"/>
      <c r="T942" s="87" t="str">
        <f>IF($A942="","",IF($AK942=TRUE,"Ready 2 Submit","Waiting on Dealer"))</f>
        <v/>
      </c>
      <c r="U942" s="148"/>
      <c r="V942" s="87"/>
      <c r="W942" s="87"/>
      <c r="X942" s="87" t="str">
        <f>IF($A942="","",IF($AK942=TRUE,"Ready 2 Submit","Waiting on Dealer"))</f>
        <v/>
      </c>
      <c r="Y942" s="148"/>
      <c r="Z942" s="87"/>
      <c r="AA942" s="87"/>
      <c r="AB942" s="87" t="str">
        <f>IF($A942="","",IF($AK942=TRUE,"Ready 2 Submit","Waiting on Dealer"))</f>
        <v/>
      </c>
      <c r="AC942" s="148"/>
      <c r="AD942" s="87"/>
      <c r="AE942" s="87"/>
      <c r="AF942" s="87" t="str">
        <f>IF($A942="","",IF($AK942=TRUE,"Ready 2 Submit","Waiting on Dealer"))</f>
        <v/>
      </c>
      <c r="AG942" s="148"/>
      <c r="AH942" s="87"/>
      <c r="AI942" s="87"/>
      <c r="AJ942" s="197"/>
      <c r="AK942" s="110" t="b">
        <v>0</v>
      </c>
      <c r="AL942" s="87" t="str" cm="1">
        <f t="array" ref="AL942">IF($A942="","",SUMPRODUCT((CHOOSE({1,2,3,4,5},$R942,$V942,$Z942,$AD942,$AH942)="Yes")*(((CHOOSE({1,2,3,4,5},$S942,$W942,$AA942,$AE942,$AI942)="Yes")+(CHOOSE({1,2,3,4,5},$S942,$W942,$AA942,$AE942,$AI942)=TRUE))&gt;0)))</f>
        <v/>
      </c>
      <c r="AM942" s="87"/>
      <c r="AN942" s="87" t="str">
        <f ca="1">IF(OR($A942="",$AM942=""),"",TODAY()-$AM942)</f>
        <v/>
      </c>
      <c r="AO942" s="87"/>
      <c r="AP942" s="106"/>
      <c r="AQ942" s="106"/>
      <c r="AR942" s="106"/>
      <c r="AS942" s="106"/>
      <c r="AT942" s="106"/>
      <c r="AU942" s="106"/>
      <c r="AV942" s="106"/>
      <c r="AW942" s="106"/>
      <c r="AX942" s="106"/>
      <c r="AY942" s="106"/>
    </row>
    <row r="943" spans="1:51" s="20" customFormat="1" ht="21" customHeight="1">
      <c r="A943" s="197"/>
      <c r="B943" s="87"/>
      <c r="C943" s="87"/>
      <c r="D943" s="196"/>
      <c r="E943" s="108"/>
      <c r="F943" s="196"/>
      <c r="G943" s="87"/>
      <c r="H943" s="197"/>
      <c r="I943" s="89"/>
      <c r="J943" s="204"/>
      <c r="K943" s="87"/>
      <c r="L943" s="87" t="str" cm="1">
        <f t="array" ref="L943">IF($A943="","",_xlfn.LET(_xlpm.stat,CHOOSE({1,2,3,4,5},$P943,$T943,$X943,$AB943,$AF943),_xlpm.rate,CHOOSE({1,2,3,4,5},$R943,$V943,$Z943,$AD943,$AH943),_xlpm.trn,CHOOSE({1,2,3,4,5},$S943,$W943,$AA943,$AE943,$AI943),_xlpm.nsC,SUMPRODUCT(--(_xlpm.stat="Ready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DLR",IF(AND(_xlpm.actRS&gt;0,_xlpm.actDone&lt;_xlpm.actRS),"Training",IF(_xlpm.actRS&gt;0,"Active",IF(AND(_xlpm.decC&gt;0,_xlpm.inPlay+_xlpm.actC=0),"Dead",IF(AND($AJ943&lt;&gt;"",$AK943=FALSE),"Waiting on Dealer",IF(_xlpm.subC&gt;0,"Waiting on Lender",IF(AND(_xlpm.appC+_xlpm.actC&gt;0,_xlpm.nsC+_xlpm.wdC=0),"Rate Sheet","Application Submitted")))))))))</f>
        <v/>
      </c>
      <c r="M943" s="87"/>
      <c r="N943" s="87"/>
      <c r="O943" s="197"/>
      <c r="P943" s="87" t="str">
        <f>IF($A943="","",IF($AK943=TRUE,"Ready 2 Submit","Waiting on Dealer"))</f>
        <v/>
      </c>
      <c r="Q943" s="148"/>
      <c r="R943" s="87"/>
      <c r="S943" s="87"/>
      <c r="T943" s="87" t="str">
        <f>IF($A943="","",IF($AK943=TRUE,"Ready 2 Submit","Waiting on Dealer"))</f>
        <v/>
      </c>
      <c r="U943" s="148"/>
      <c r="V943" s="87"/>
      <c r="W943" s="87"/>
      <c r="X943" s="87" t="str">
        <f>IF($A943="","",IF($AK943=TRUE,"Ready 2 Submit","Waiting on Dealer"))</f>
        <v/>
      </c>
      <c r="Y943" s="148"/>
      <c r="Z943" s="87"/>
      <c r="AA943" s="87"/>
      <c r="AB943" s="87" t="str">
        <f>IF($A943="","",IF($AK943=TRUE,"Ready 2 Submit","Waiting on Dealer"))</f>
        <v/>
      </c>
      <c r="AC943" s="148"/>
      <c r="AD943" s="87"/>
      <c r="AE943" s="87"/>
      <c r="AF943" s="87" t="str">
        <f>IF($A943="","",IF($AK943=TRUE,"Ready 2 Submit","Waiting on Dealer"))</f>
        <v/>
      </c>
      <c r="AG943" s="148"/>
      <c r="AH943" s="87"/>
      <c r="AI943" s="87"/>
      <c r="AJ943" s="197"/>
      <c r="AK943" s="110" t="b">
        <v>0</v>
      </c>
      <c r="AL943" s="87" t="str" cm="1">
        <f t="array" ref="AL943">IF($A943="","",SUMPRODUCT((CHOOSE({1,2,3,4,5},$R943,$V943,$Z943,$AD943,$AH943)="Yes")*(((CHOOSE({1,2,3,4,5},$S943,$W943,$AA943,$AE943,$AI943)="Yes")+(CHOOSE({1,2,3,4,5},$S943,$W943,$AA943,$AE943,$AI943)=TRUE))&gt;0)))</f>
        <v/>
      </c>
      <c r="AM943" s="87"/>
      <c r="AN943" s="87" t="str">
        <f ca="1">IF(OR($A943="",$AM943=""),"",TODAY()-$AM943)</f>
        <v/>
      </c>
      <c r="AO943" s="87"/>
      <c r="AP943" s="106"/>
      <c r="AQ943" s="106"/>
      <c r="AR943" s="106"/>
      <c r="AS943" s="106"/>
      <c r="AT943" s="106"/>
      <c r="AU943" s="106"/>
      <c r="AV943" s="106"/>
      <c r="AW943" s="106"/>
      <c r="AX943" s="106"/>
      <c r="AY943" s="106"/>
    </row>
    <row r="944" spans="1:51" s="20" customFormat="1" ht="21" customHeight="1">
      <c r="A944" s="197"/>
      <c r="B944" s="87"/>
      <c r="C944" s="87"/>
      <c r="D944" s="196"/>
      <c r="E944" s="108"/>
      <c r="F944" s="196"/>
      <c r="G944" s="87"/>
      <c r="H944" s="197"/>
      <c r="I944" s="89"/>
      <c r="J944" s="204"/>
      <c r="K944" s="87"/>
      <c r="L944" s="87" t="str" cm="1">
        <f t="array" ref="L944">IF($A944="","",_xlfn.LET(_xlpm.stat,CHOOSE({1,2,3,4,5},$P944,$T944,$X944,$AB944,$AF944),_xlpm.rate,CHOOSE({1,2,3,4,5},$R944,$V944,$Z944,$AD944,$AH944),_xlpm.trn,CHOOSE({1,2,3,4,5},$S944,$W944,$AA944,$AE944,$AI944),_xlpm.nsC,SUMPRODUCT(--(_xlpm.stat="Ready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DLR",IF(AND(_xlpm.actRS&gt;0,_xlpm.actDone&lt;_xlpm.actRS),"Training",IF(_xlpm.actRS&gt;0,"Active",IF(AND(_xlpm.decC&gt;0,_xlpm.inPlay+_xlpm.actC=0),"Dead",IF(AND($AJ944&lt;&gt;"",$AK944=FALSE),"Waiting on Dealer",IF(_xlpm.subC&gt;0,"Waiting on Lender",IF(AND(_xlpm.appC+_xlpm.actC&gt;0,_xlpm.nsC+_xlpm.wdC=0),"Rate Sheet","Application Submitted")))))))))</f>
        <v/>
      </c>
      <c r="M944" s="87"/>
      <c r="N944" s="87"/>
      <c r="O944" s="197"/>
      <c r="P944" s="87" t="str">
        <f>IF($A944="","",IF($AK944=TRUE,"Ready 2 Submit","Waiting on Dealer"))</f>
        <v/>
      </c>
      <c r="Q944" s="148"/>
      <c r="R944" s="87"/>
      <c r="S944" s="87"/>
      <c r="T944" s="87" t="str">
        <f>IF($A944="","",IF($AK944=TRUE,"Ready 2 Submit","Waiting on Dealer"))</f>
        <v/>
      </c>
      <c r="U944" s="148"/>
      <c r="V944" s="87"/>
      <c r="W944" s="87"/>
      <c r="X944" s="87" t="str">
        <f>IF($A944="","",IF($AK944=TRUE,"Ready 2 Submit","Waiting on Dealer"))</f>
        <v/>
      </c>
      <c r="Y944" s="148"/>
      <c r="Z944" s="87"/>
      <c r="AA944" s="87"/>
      <c r="AB944" s="87" t="str">
        <f>IF($A944="","",IF($AK944=TRUE,"Ready 2 Submit","Waiting on Dealer"))</f>
        <v/>
      </c>
      <c r="AC944" s="148"/>
      <c r="AD944" s="87"/>
      <c r="AE944" s="87"/>
      <c r="AF944" s="87" t="str">
        <f>IF($A944="","",IF($AK944=TRUE,"Ready 2 Submit","Waiting on Dealer"))</f>
        <v/>
      </c>
      <c r="AG944" s="148"/>
      <c r="AH944" s="87"/>
      <c r="AI944" s="87"/>
      <c r="AJ944" s="197"/>
      <c r="AK944" s="110" t="b">
        <v>0</v>
      </c>
      <c r="AL944" s="87" t="str" cm="1">
        <f t="array" ref="AL944">IF($A944="","",SUMPRODUCT((CHOOSE({1,2,3,4,5},$R944,$V944,$Z944,$AD944,$AH944)="Yes")*(((CHOOSE({1,2,3,4,5},$S944,$W944,$AA944,$AE944,$AI944)="Yes")+(CHOOSE({1,2,3,4,5},$S944,$W944,$AA944,$AE944,$AI944)=TRUE))&gt;0)))</f>
        <v/>
      </c>
      <c r="AM944" s="87"/>
      <c r="AN944" s="87" t="str">
        <f ca="1">IF(OR($A944="",$AM944=""),"",TODAY()-$AM944)</f>
        <v/>
      </c>
      <c r="AO944" s="87"/>
      <c r="AP944" s="106"/>
      <c r="AQ944" s="106"/>
      <c r="AR944" s="106"/>
      <c r="AS944" s="106"/>
      <c r="AT944" s="106"/>
      <c r="AU944" s="106"/>
      <c r="AV944" s="106"/>
      <c r="AW944" s="106"/>
      <c r="AX944" s="106"/>
      <c r="AY944" s="106"/>
    </row>
    <row r="945" spans="1:51" s="20" customFormat="1" ht="21" customHeight="1">
      <c r="A945" s="197"/>
      <c r="B945" s="87"/>
      <c r="C945" s="87"/>
      <c r="D945" s="196"/>
      <c r="E945" s="108"/>
      <c r="F945" s="196"/>
      <c r="G945" s="87"/>
      <c r="H945" s="197"/>
      <c r="I945" s="89"/>
      <c r="J945" s="204"/>
      <c r="K945" s="87"/>
      <c r="L945" s="87" t="str" cm="1">
        <f t="array" ref="L945">IF($A945="","",_xlfn.LET(_xlpm.stat,CHOOSE({1,2,3,4,5},$P945,$T945,$X945,$AB945,$AF945),_xlpm.rate,CHOOSE({1,2,3,4,5},$R945,$V945,$Z945,$AD945,$AH945),_xlpm.trn,CHOOSE({1,2,3,4,5},$S945,$W945,$AA945,$AE945,$AI945),_xlpm.nsC,SUMPRODUCT(--(_xlpm.stat="Ready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DLR",IF(AND(_xlpm.actRS&gt;0,_xlpm.actDone&lt;_xlpm.actRS),"Training",IF(_xlpm.actRS&gt;0,"Active",IF(AND(_xlpm.decC&gt;0,_xlpm.inPlay+_xlpm.actC=0),"Dead",IF(AND($AJ945&lt;&gt;"",$AK945=FALSE),"Waiting on Dealer",IF(_xlpm.subC&gt;0,"Waiting on Lender",IF(AND(_xlpm.appC+_xlpm.actC&gt;0,_xlpm.nsC+_xlpm.wdC=0),"Rate Sheet","Application Submitted")))))))))</f>
        <v/>
      </c>
      <c r="M945" s="87"/>
      <c r="N945" s="87"/>
      <c r="O945" s="197"/>
      <c r="P945" s="87" t="str">
        <f>IF($A945="","",IF($AK945=TRUE,"Ready 2 Submit","Waiting on Dealer"))</f>
        <v/>
      </c>
      <c r="Q945" s="148"/>
      <c r="R945" s="87"/>
      <c r="S945" s="87"/>
      <c r="T945" s="87" t="str">
        <f>IF($A945="","",IF($AK945=TRUE,"Ready 2 Submit","Waiting on Dealer"))</f>
        <v/>
      </c>
      <c r="U945" s="148"/>
      <c r="V945" s="87"/>
      <c r="W945" s="87"/>
      <c r="X945" s="87" t="str">
        <f>IF($A945="","",IF($AK945=TRUE,"Ready 2 Submit","Waiting on Dealer"))</f>
        <v/>
      </c>
      <c r="Y945" s="148"/>
      <c r="Z945" s="87"/>
      <c r="AA945" s="87"/>
      <c r="AB945" s="87" t="str">
        <f>IF($A945="","",IF($AK945=TRUE,"Ready 2 Submit","Waiting on Dealer"))</f>
        <v/>
      </c>
      <c r="AC945" s="148"/>
      <c r="AD945" s="87"/>
      <c r="AE945" s="87"/>
      <c r="AF945" s="87" t="str">
        <f>IF($A945="","",IF($AK945=TRUE,"Ready 2 Submit","Waiting on Dealer"))</f>
        <v/>
      </c>
      <c r="AG945" s="148"/>
      <c r="AH945" s="87"/>
      <c r="AI945" s="87"/>
      <c r="AJ945" s="197"/>
      <c r="AK945" s="110" t="b">
        <v>0</v>
      </c>
      <c r="AL945" s="87" t="str" cm="1">
        <f t="array" ref="AL945">IF($A945="","",SUMPRODUCT((CHOOSE({1,2,3,4,5},$R945,$V945,$Z945,$AD945,$AH945)="Yes")*(((CHOOSE({1,2,3,4,5},$S945,$W945,$AA945,$AE945,$AI945)="Yes")+(CHOOSE({1,2,3,4,5},$S945,$W945,$AA945,$AE945,$AI945)=TRUE))&gt;0)))</f>
        <v/>
      </c>
      <c r="AM945" s="87"/>
      <c r="AN945" s="87" t="str">
        <f ca="1">IF(OR($A945="",$AM945=""),"",TODAY()-$AM945)</f>
        <v/>
      </c>
      <c r="AO945" s="87"/>
      <c r="AP945" s="106"/>
      <c r="AQ945" s="106"/>
      <c r="AR945" s="106"/>
      <c r="AS945" s="106"/>
      <c r="AT945" s="106"/>
      <c r="AU945" s="106"/>
      <c r="AV945" s="106"/>
      <c r="AW945" s="106"/>
      <c r="AX945" s="106"/>
      <c r="AY945" s="106"/>
    </row>
    <row r="946" spans="1:51" s="20" customFormat="1" ht="21" customHeight="1">
      <c r="A946" s="197"/>
      <c r="B946" s="87"/>
      <c r="C946" s="87"/>
      <c r="D946" s="196"/>
      <c r="E946" s="108"/>
      <c r="F946" s="196"/>
      <c r="G946" s="87"/>
      <c r="H946" s="197"/>
      <c r="I946" s="89"/>
      <c r="J946" s="204"/>
      <c r="K946" s="87"/>
      <c r="L946" s="87" t="str" cm="1">
        <f t="array" ref="L946">IF($A946="","",_xlfn.LET(_xlpm.stat,CHOOSE({1,2,3,4,5},$P946,$T946,$X946,$AB946,$AF946),_xlpm.rate,CHOOSE({1,2,3,4,5},$R946,$V946,$Z946,$AD946,$AH946),_xlpm.trn,CHOOSE({1,2,3,4,5},$S946,$W946,$AA946,$AE946,$AI946),_xlpm.nsC,SUMPRODUCT(--(_xlpm.stat="Ready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DLR",IF(AND(_xlpm.actRS&gt;0,_xlpm.actDone&lt;_xlpm.actRS),"Training",IF(_xlpm.actRS&gt;0,"Active",IF(AND(_xlpm.decC&gt;0,_xlpm.inPlay+_xlpm.actC=0),"Dead",IF(AND($AJ946&lt;&gt;"",$AK946=FALSE),"Waiting on Dealer",IF(_xlpm.subC&gt;0,"Waiting on Lender",IF(AND(_xlpm.appC+_xlpm.actC&gt;0,_xlpm.nsC+_xlpm.wdC=0),"Rate Sheet","Application Submitted")))))))))</f>
        <v/>
      </c>
      <c r="M946" s="87"/>
      <c r="N946" s="87"/>
      <c r="O946" s="197"/>
      <c r="P946" s="87" t="str">
        <f>IF($A946="","",IF($AK946=TRUE,"Ready 2 Submit","Waiting on Dealer"))</f>
        <v/>
      </c>
      <c r="Q946" s="148"/>
      <c r="R946" s="87"/>
      <c r="S946" s="87"/>
      <c r="T946" s="87" t="str">
        <f>IF($A946="","",IF($AK946=TRUE,"Ready 2 Submit","Waiting on Dealer"))</f>
        <v/>
      </c>
      <c r="U946" s="148"/>
      <c r="V946" s="87"/>
      <c r="W946" s="87"/>
      <c r="X946" s="87" t="str">
        <f>IF($A946="","",IF($AK946=TRUE,"Ready 2 Submit","Waiting on Dealer"))</f>
        <v/>
      </c>
      <c r="Y946" s="148"/>
      <c r="Z946" s="87"/>
      <c r="AA946" s="87"/>
      <c r="AB946" s="87" t="str">
        <f>IF($A946="","",IF($AK946=TRUE,"Ready 2 Submit","Waiting on Dealer"))</f>
        <v/>
      </c>
      <c r="AC946" s="148"/>
      <c r="AD946" s="87"/>
      <c r="AE946" s="87"/>
      <c r="AF946" s="87" t="str">
        <f>IF($A946="","",IF($AK946=TRUE,"Ready 2 Submit","Waiting on Dealer"))</f>
        <v/>
      </c>
      <c r="AG946" s="148"/>
      <c r="AH946" s="87"/>
      <c r="AI946" s="87"/>
      <c r="AJ946" s="197"/>
      <c r="AK946" s="110" t="b">
        <v>0</v>
      </c>
      <c r="AL946" s="87" t="str" cm="1">
        <f t="array" ref="AL946">IF($A946="","",SUMPRODUCT((CHOOSE({1,2,3,4,5},$R946,$V946,$Z946,$AD946,$AH946)="Yes")*(((CHOOSE({1,2,3,4,5},$S946,$W946,$AA946,$AE946,$AI946)="Yes")+(CHOOSE({1,2,3,4,5},$S946,$W946,$AA946,$AE946,$AI946)=TRUE))&gt;0)))</f>
        <v/>
      </c>
      <c r="AM946" s="87"/>
      <c r="AN946" s="87" t="str">
        <f ca="1">IF(OR($A946="",$AM946=""),"",TODAY()-$AM946)</f>
        <v/>
      </c>
      <c r="AO946" s="87"/>
      <c r="AP946" s="106"/>
      <c r="AQ946" s="106"/>
      <c r="AR946" s="106"/>
      <c r="AS946" s="106"/>
      <c r="AT946" s="106"/>
      <c r="AU946" s="106"/>
      <c r="AV946" s="106"/>
      <c r="AW946" s="106"/>
      <c r="AX946" s="106"/>
      <c r="AY946" s="106"/>
    </row>
    <row r="947" spans="1:51" s="20" customFormat="1" ht="21" customHeight="1">
      <c r="A947" s="197"/>
      <c r="B947" s="87"/>
      <c r="C947" s="87"/>
      <c r="D947" s="196"/>
      <c r="E947" s="108"/>
      <c r="F947" s="196"/>
      <c r="G947" s="87"/>
      <c r="H947" s="197"/>
      <c r="I947" s="89"/>
      <c r="J947" s="204"/>
      <c r="K947" s="87"/>
      <c r="L947" s="87" t="str" cm="1">
        <f t="array" ref="L947">IF($A947="","",_xlfn.LET(_xlpm.stat,CHOOSE({1,2,3,4,5},$P947,$T947,$X947,$AB947,$AF947),_xlpm.rate,CHOOSE({1,2,3,4,5},$R947,$V947,$Z947,$AD947,$AH947),_xlpm.trn,CHOOSE({1,2,3,4,5},$S947,$W947,$AA947,$AE947,$AI947),_xlpm.nsC,SUMPRODUCT(--(_xlpm.stat="Ready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DLR",IF(AND(_xlpm.actRS&gt;0,_xlpm.actDone&lt;_xlpm.actRS),"Training",IF(_xlpm.actRS&gt;0,"Active",IF(AND(_xlpm.decC&gt;0,_xlpm.inPlay+_xlpm.actC=0),"Dead",IF(AND($AJ947&lt;&gt;"",$AK947=FALSE),"Waiting on Dealer",IF(_xlpm.subC&gt;0,"Waiting on Lender",IF(AND(_xlpm.appC+_xlpm.actC&gt;0,_xlpm.nsC+_xlpm.wdC=0),"Rate Sheet","Application Submitted")))))))))</f>
        <v/>
      </c>
      <c r="M947" s="87"/>
      <c r="N947" s="87"/>
      <c r="O947" s="197"/>
      <c r="P947" s="87" t="str">
        <f>IF($A947="","",IF($AK947=TRUE,"Ready 2 Submit","Waiting on Dealer"))</f>
        <v/>
      </c>
      <c r="Q947" s="148"/>
      <c r="R947" s="87"/>
      <c r="S947" s="87"/>
      <c r="T947" s="87" t="str">
        <f>IF($A947="","",IF($AK947=TRUE,"Ready 2 Submit","Waiting on Dealer"))</f>
        <v/>
      </c>
      <c r="U947" s="148"/>
      <c r="V947" s="87"/>
      <c r="W947" s="87"/>
      <c r="X947" s="87" t="str">
        <f>IF($A947="","",IF($AK947=TRUE,"Ready 2 Submit","Waiting on Dealer"))</f>
        <v/>
      </c>
      <c r="Y947" s="148"/>
      <c r="Z947" s="87"/>
      <c r="AA947" s="87"/>
      <c r="AB947" s="87" t="str">
        <f>IF($A947="","",IF($AK947=TRUE,"Ready 2 Submit","Waiting on Dealer"))</f>
        <v/>
      </c>
      <c r="AC947" s="148"/>
      <c r="AD947" s="87"/>
      <c r="AE947" s="87"/>
      <c r="AF947" s="87" t="str">
        <f>IF($A947="","",IF($AK947=TRUE,"Ready 2 Submit","Waiting on Dealer"))</f>
        <v/>
      </c>
      <c r="AG947" s="148"/>
      <c r="AH947" s="87"/>
      <c r="AI947" s="87"/>
      <c r="AJ947" s="197"/>
      <c r="AK947" s="110" t="b">
        <v>0</v>
      </c>
      <c r="AL947" s="87" t="str" cm="1">
        <f t="array" ref="AL947">IF($A947="","",SUMPRODUCT((CHOOSE({1,2,3,4,5},$R947,$V947,$Z947,$AD947,$AH947)="Yes")*(((CHOOSE({1,2,3,4,5},$S947,$W947,$AA947,$AE947,$AI947)="Yes")+(CHOOSE({1,2,3,4,5},$S947,$W947,$AA947,$AE947,$AI947)=TRUE))&gt;0)))</f>
        <v/>
      </c>
      <c r="AM947" s="87"/>
      <c r="AN947" s="87" t="str">
        <f ca="1">IF(OR($A947="",$AM947=""),"",TODAY()-$AM947)</f>
        <v/>
      </c>
      <c r="AO947" s="87"/>
      <c r="AP947" s="106"/>
      <c r="AQ947" s="106"/>
      <c r="AR947" s="106"/>
      <c r="AS947" s="106"/>
      <c r="AT947" s="106"/>
      <c r="AU947" s="106"/>
      <c r="AV947" s="106"/>
      <c r="AW947" s="106"/>
      <c r="AX947" s="106"/>
      <c r="AY947" s="106"/>
    </row>
    <row r="948" spans="1:51" s="20" customFormat="1" ht="21" customHeight="1">
      <c r="A948" s="197"/>
      <c r="B948" s="87"/>
      <c r="C948" s="87"/>
      <c r="D948" s="196"/>
      <c r="E948" s="108"/>
      <c r="F948" s="196"/>
      <c r="G948" s="87"/>
      <c r="H948" s="197"/>
      <c r="I948" s="89"/>
      <c r="J948" s="204"/>
      <c r="K948" s="87"/>
      <c r="L948" s="87" t="str" cm="1">
        <f t="array" ref="L948">IF($A948="","",_xlfn.LET(_xlpm.stat,CHOOSE({1,2,3,4,5},$P948,$T948,$X948,$AB948,$AF948),_xlpm.rate,CHOOSE({1,2,3,4,5},$R948,$V948,$Z948,$AD948,$AH948),_xlpm.trn,CHOOSE({1,2,3,4,5},$S948,$W948,$AA948,$AE948,$AI948),_xlpm.nsC,SUMPRODUCT(--(_xlpm.stat="Ready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DLR",IF(AND(_xlpm.actRS&gt;0,_xlpm.actDone&lt;_xlpm.actRS),"Training",IF(_xlpm.actRS&gt;0,"Active",IF(AND(_xlpm.decC&gt;0,_xlpm.inPlay+_xlpm.actC=0),"Dead",IF(AND($AJ948&lt;&gt;"",$AK948=FALSE),"Waiting on Dealer",IF(_xlpm.subC&gt;0,"Waiting on Lender",IF(AND(_xlpm.appC+_xlpm.actC&gt;0,_xlpm.nsC+_xlpm.wdC=0),"Rate Sheet","Application Submitted")))))))))</f>
        <v/>
      </c>
      <c r="M948" s="87"/>
      <c r="N948" s="87"/>
      <c r="O948" s="197"/>
      <c r="P948" s="87" t="str">
        <f>IF($A948="","",IF($AK948=TRUE,"Ready 2 Submit","Waiting on Dealer"))</f>
        <v/>
      </c>
      <c r="Q948" s="148"/>
      <c r="R948" s="87"/>
      <c r="S948" s="87"/>
      <c r="T948" s="87" t="str">
        <f>IF($A948="","",IF($AK948=TRUE,"Ready 2 Submit","Waiting on Dealer"))</f>
        <v/>
      </c>
      <c r="U948" s="148"/>
      <c r="V948" s="87"/>
      <c r="W948" s="87"/>
      <c r="X948" s="87" t="str">
        <f>IF($A948="","",IF($AK948=TRUE,"Ready 2 Submit","Waiting on Dealer"))</f>
        <v/>
      </c>
      <c r="Y948" s="148"/>
      <c r="Z948" s="87"/>
      <c r="AA948" s="87"/>
      <c r="AB948" s="87" t="str">
        <f>IF($A948="","",IF($AK948=TRUE,"Ready 2 Submit","Waiting on Dealer"))</f>
        <v/>
      </c>
      <c r="AC948" s="148"/>
      <c r="AD948" s="87"/>
      <c r="AE948" s="87"/>
      <c r="AF948" s="87" t="str">
        <f>IF($A948="","",IF($AK948=TRUE,"Ready 2 Submit","Waiting on Dealer"))</f>
        <v/>
      </c>
      <c r="AG948" s="148"/>
      <c r="AH948" s="87"/>
      <c r="AI948" s="87"/>
      <c r="AJ948" s="197"/>
      <c r="AK948" s="110" t="b">
        <v>0</v>
      </c>
      <c r="AL948" s="87" t="str" cm="1">
        <f t="array" ref="AL948">IF($A948="","",SUMPRODUCT((CHOOSE({1,2,3,4,5},$R948,$V948,$Z948,$AD948,$AH948)="Yes")*(((CHOOSE({1,2,3,4,5},$S948,$W948,$AA948,$AE948,$AI948)="Yes")+(CHOOSE({1,2,3,4,5},$S948,$W948,$AA948,$AE948,$AI948)=TRUE))&gt;0)))</f>
        <v/>
      </c>
      <c r="AM948" s="87"/>
      <c r="AN948" s="87" t="str">
        <f ca="1">IF(OR($A948="",$AM948=""),"",TODAY()-$AM948)</f>
        <v/>
      </c>
      <c r="AO948" s="87"/>
      <c r="AP948" s="106"/>
      <c r="AQ948" s="106"/>
      <c r="AR948" s="106"/>
      <c r="AS948" s="106"/>
      <c r="AT948" s="106"/>
      <c r="AU948" s="106"/>
      <c r="AV948" s="106"/>
      <c r="AW948" s="106"/>
      <c r="AX948" s="106"/>
      <c r="AY948" s="106"/>
    </row>
    <row r="949" spans="1:51" s="20" customFormat="1" ht="21" customHeight="1">
      <c r="A949" s="197"/>
      <c r="B949" s="87"/>
      <c r="C949" s="87"/>
      <c r="D949" s="196"/>
      <c r="E949" s="108"/>
      <c r="F949" s="196"/>
      <c r="G949" s="87"/>
      <c r="H949" s="197"/>
      <c r="I949" s="89"/>
      <c r="J949" s="204"/>
      <c r="K949" s="87"/>
      <c r="L949" s="87" t="str" cm="1">
        <f t="array" ref="L949">IF($A949="","",_xlfn.LET(_xlpm.stat,CHOOSE({1,2,3,4,5},$P949,$T949,$X949,$AB949,$AF949),_xlpm.rate,CHOOSE({1,2,3,4,5},$R949,$V949,$Z949,$AD949,$AH949),_xlpm.trn,CHOOSE({1,2,3,4,5},$S949,$W949,$AA949,$AE949,$AI949),_xlpm.nsC,SUMPRODUCT(--(_xlpm.stat="Ready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DLR",IF(AND(_xlpm.actRS&gt;0,_xlpm.actDone&lt;_xlpm.actRS),"Training",IF(_xlpm.actRS&gt;0,"Active",IF(AND(_xlpm.decC&gt;0,_xlpm.inPlay+_xlpm.actC=0),"Dead",IF(AND($AJ949&lt;&gt;"",$AK949=FALSE),"Waiting on Dealer",IF(_xlpm.subC&gt;0,"Waiting on Lender",IF(AND(_xlpm.appC+_xlpm.actC&gt;0,_xlpm.nsC+_xlpm.wdC=0),"Rate Sheet","Application Submitted")))))))))</f>
        <v/>
      </c>
      <c r="M949" s="87"/>
      <c r="N949" s="87"/>
      <c r="O949" s="197"/>
      <c r="P949" s="87" t="str">
        <f>IF($A949="","",IF($AK949=TRUE,"Ready 2 Submit","Waiting on Dealer"))</f>
        <v/>
      </c>
      <c r="Q949" s="148"/>
      <c r="R949" s="87"/>
      <c r="S949" s="87"/>
      <c r="T949" s="87" t="str">
        <f>IF($A949="","",IF($AK949=TRUE,"Ready 2 Submit","Waiting on Dealer"))</f>
        <v/>
      </c>
      <c r="U949" s="148"/>
      <c r="V949" s="87"/>
      <c r="W949" s="87"/>
      <c r="X949" s="87" t="str">
        <f>IF($A949="","",IF($AK949=TRUE,"Ready 2 Submit","Waiting on Dealer"))</f>
        <v/>
      </c>
      <c r="Y949" s="148"/>
      <c r="Z949" s="87"/>
      <c r="AA949" s="87"/>
      <c r="AB949" s="87" t="str">
        <f>IF($A949="","",IF($AK949=TRUE,"Ready 2 Submit","Waiting on Dealer"))</f>
        <v/>
      </c>
      <c r="AC949" s="148"/>
      <c r="AD949" s="87"/>
      <c r="AE949" s="87"/>
      <c r="AF949" s="87" t="str">
        <f>IF($A949="","",IF($AK949=TRUE,"Ready 2 Submit","Waiting on Dealer"))</f>
        <v/>
      </c>
      <c r="AG949" s="148"/>
      <c r="AH949" s="87"/>
      <c r="AI949" s="87"/>
      <c r="AJ949" s="197"/>
      <c r="AK949" s="110" t="b">
        <v>0</v>
      </c>
      <c r="AL949" s="87" t="str" cm="1">
        <f t="array" ref="AL949">IF($A949="","",SUMPRODUCT((CHOOSE({1,2,3,4,5},$R949,$V949,$Z949,$AD949,$AH949)="Yes")*(((CHOOSE({1,2,3,4,5},$S949,$W949,$AA949,$AE949,$AI949)="Yes")+(CHOOSE({1,2,3,4,5},$S949,$W949,$AA949,$AE949,$AI949)=TRUE))&gt;0)))</f>
        <v/>
      </c>
      <c r="AM949" s="87"/>
      <c r="AN949" s="87" t="str">
        <f ca="1">IF(OR($A949="",$AM949=""),"",TODAY()-$AM949)</f>
        <v/>
      </c>
      <c r="AO949" s="87"/>
      <c r="AP949" s="106"/>
      <c r="AQ949" s="106"/>
      <c r="AR949" s="106"/>
      <c r="AS949" s="106"/>
      <c r="AT949" s="106"/>
      <c r="AU949" s="106"/>
      <c r="AV949" s="106"/>
      <c r="AW949" s="106"/>
      <c r="AX949" s="106"/>
      <c r="AY949" s="106"/>
    </row>
    <row r="950" spans="1:51" s="20" customFormat="1" ht="21" customHeight="1">
      <c r="A950" s="197"/>
      <c r="B950" s="87"/>
      <c r="C950" s="87"/>
      <c r="D950" s="196"/>
      <c r="E950" s="108"/>
      <c r="F950" s="196"/>
      <c r="G950" s="87"/>
      <c r="H950" s="197"/>
      <c r="I950" s="89"/>
      <c r="J950" s="204"/>
      <c r="K950" s="87"/>
      <c r="L950" s="87" t="str" cm="1">
        <f t="array" ref="L950">IF($A950="","",_xlfn.LET(_xlpm.stat,CHOOSE({1,2,3,4,5},$P950,$T950,$X950,$AB950,$AF950),_xlpm.rate,CHOOSE({1,2,3,4,5},$R950,$V950,$Z950,$AD950,$AH950),_xlpm.trn,CHOOSE({1,2,3,4,5},$S950,$W950,$AA950,$AE950,$AI950),_xlpm.nsC,SUMPRODUCT(--(_xlpm.stat="Ready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DLR",IF(AND(_xlpm.actRS&gt;0,_xlpm.actDone&lt;_xlpm.actRS),"Training",IF(_xlpm.actRS&gt;0,"Active",IF(AND(_xlpm.decC&gt;0,_xlpm.inPlay+_xlpm.actC=0),"Dead",IF(AND($AJ950&lt;&gt;"",$AK950=FALSE),"Waiting on Dealer",IF(_xlpm.subC&gt;0,"Waiting on Lender",IF(AND(_xlpm.appC+_xlpm.actC&gt;0,_xlpm.nsC+_xlpm.wdC=0),"Rate Sheet","Application Submitted")))))))))</f>
        <v/>
      </c>
      <c r="M950" s="87"/>
      <c r="N950" s="87"/>
      <c r="O950" s="197"/>
      <c r="P950" s="87" t="str">
        <f>IF($A950="","",IF($AK950=TRUE,"Ready 2 Submit","Waiting on Dealer"))</f>
        <v/>
      </c>
      <c r="Q950" s="148"/>
      <c r="R950" s="87"/>
      <c r="S950" s="87"/>
      <c r="T950" s="87" t="str">
        <f>IF($A950="","",IF($AK950=TRUE,"Ready 2 Submit","Waiting on Dealer"))</f>
        <v/>
      </c>
      <c r="U950" s="148"/>
      <c r="V950" s="87"/>
      <c r="W950" s="87"/>
      <c r="X950" s="87" t="str">
        <f>IF($A950="","",IF($AK950=TRUE,"Ready 2 Submit","Waiting on Dealer"))</f>
        <v/>
      </c>
      <c r="Y950" s="148"/>
      <c r="Z950" s="87"/>
      <c r="AA950" s="87"/>
      <c r="AB950" s="87" t="str">
        <f>IF($A950="","",IF($AK950=TRUE,"Ready 2 Submit","Waiting on Dealer"))</f>
        <v/>
      </c>
      <c r="AC950" s="148"/>
      <c r="AD950" s="87"/>
      <c r="AE950" s="87"/>
      <c r="AF950" s="87" t="str">
        <f>IF($A950="","",IF($AK950=TRUE,"Ready 2 Submit","Waiting on Dealer"))</f>
        <v/>
      </c>
      <c r="AG950" s="148"/>
      <c r="AH950" s="87"/>
      <c r="AI950" s="87"/>
      <c r="AJ950" s="197"/>
      <c r="AK950" s="110" t="b">
        <v>0</v>
      </c>
      <c r="AL950" s="87" t="str" cm="1">
        <f t="array" ref="AL950">IF($A950="","",SUMPRODUCT((CHOOSE({1,2,3,4,5},$R950,$V950,$Z950,$AD950,$AH950)="Yes")*(((CHOOSE({1,2,3,4,5},$S950,$W950,$AA950,$AE950,$AI950)="Yes")+(CHOOSE({1,2,3,4,5},$S950,$W950,$AA950,$AE950,$AI950)=TRUE))&gt;0)))</f>
        <v/>
      </c>
      <c r="AM950" s="87"/>
      <c r="AN950" s="87" t="str">
        <f ca="1">IF(OR($A950="",$AM950=""),"",TODAY()-$AM950)</f>
        <v/>
      </c>
      <c r="AO950" s="87"/>
      <c r="AP950" s="106"/>
      <c r="AQ950" s="106"/>
      <c r="AR950" s="106"/>
      <c r="AS950" s="106"/>
      <c r="AT950" s="106"/>
      <c r="AU950" s="106"/>
      <c r="AV950" s="106"/>
      <c r="AW950" s="106"/>
      <c r="AX950" s="106"/>
      <c r="AY950" s="106"/>
    </row>
    <row r="951" spans="1:51" s="20" customFormat="1" ht="21" customHeight="1">
      <c r="A951" s="197"/>
      <c r="B951" s="87"/>
      <c r="C951" s="87"/>
      <c r="D951" s="196"/>
      <c r="E951" s="108"/>
      <c r="F951" s="196"/>
      <c r="G951" s="87"/>
      <c r="H951" s="197"/>
      <c r="I951" s="89"/>
      <c r="J951" s="204"/>
      <c r="K951" s="87"/>
      <c r="L951" s="87" t="str" cm="1">
        <f t="array" ref="L951">IF($A951="","",_xlfn.LET(_xlpm.stat,CHOOSE({1,2,3,4,5},$P951,$T951,$X951,$AB951,$AF951),_xlpm.rate,CHOOSE({1,2,3,4,5},$R951,$V951,$Z951,$AD951,$AH951),_xlpm.trn,CHOOSE({1,2,3,4,5},$S951,$W951,$AA951,$AE951,$AI951),_xlpm.nsC,SUMPRODUCT(--(_xlpm.stat="Ready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DLR",IF(AND(_xlpm.actRS&gt;0,_xlpm.actDone&lt;_xlpm.actRS),"Training",IF(_xlpm.actRS&gt;0,"Active",IF(AND(_xlpm.decC&gt;0,_xlpm.inPlay+_xlpm.actC=0),"Dead",IF(AND($AJ951&lt;&gt;"",$AK951=FALSE),"Waiting on Dealer",IF(_xlpm.subC&gt;0,"Waiting on Lender",IF(AND(_xlpm.appC+_xlpm.actC&gt;0,_xlpm.nsC+_xlpm.wdC=0),"Rate Sheet","Application Submitted")))))))))</f>
        <v/>
      </c>
      <c r="M951" s="87"/>
      <c r="N951" s="87"/>
      <c r="O951" s="197"/>
      <c r="P951" s="87" t="str">
        <f>IF($A951="","",IF($AK951=TRUE,"Ready 2 Submit","Waiting on Dealer"))</f>
        <v/>
      </c>
      <c r="Q951" s="148"/>
      <c r="R951" s="87"/>
      <c r="S951" s="87"/>
      <c r="T951" s="87" t="str">
        <f>IF($A951="","",IF($AK951=TRUE,"Ready 2 Submit","Waiting on Dealer"))</f>
        <v/>
      </c>
      <c r="U951" s="148"/>
      <c r="V951" s="87"/>
      <c r="W951" s="87"/>
      <c r="X951" s="87" t="str">
        <f>IF($A951="","",IF($AK951=TRUE,"Ready 2 Submit","Waiting on Dealer"))</f>
        <v/>
      </c>
      <c r="Y951" s="148"/>
      <c r="Z951" s="87"/>
      <c r="AA951" s="87"/>
      <c r="AB951" s="87" t="str">
        <f>IF($A951="","",IF($AK951=TRUE,"Ready 2 Submit","Waiting on Dealer"))</f>
        <v/>
      </c>
      <c r="AC951" s="148"/>
      <c r="AD951" s="87"/>
      <c r="AE951" s="87"/>
      <c r="AF951" s="87" t="str">
        <f>IF($A951="","",IF($AK951=TRUE,"Ready 2 Submit","Waiting on Dealer"))</f>
        <v/>
      </c>
      <c r="AG951" s="148"/>
      <c r="AH951" s="87"/>
      <c r="AI951" s="87"/>
      <c r="AJ951" s="197"/>
      <c r="AK951" s="110" t="b">
        <v>0</v>
      </c>
      <c r="AL951" s="87" t="str" cm="1">
        <f t="array" ref="AL951">IF($A951="","",SUMPRODUCT((CHOOSE({1,2,3,4,5},$R951,$V951,$Z951,$AD951,$AH951)="Yes")*(((CHOOSE({1,2,3,4,5},$S951,$W951,$AA951,$AE951,$AI951)="Yes")+(CHOOSE({1,2,3,4,5},$S951,$W951,$AA951,$AE951,$AI951)=TRUE))&gt;0)))</f>
        <v/>
      </c>
      <c r="AM951" s="87"/>
      <c r="AN951" s="87" t="str">
        <f ca="1">IF(OR($A951="",$AM951=""),"",TODAY()-$AM951)</f>
        <v/>
      </c>
      <c r="AO951" s="87"/>
      <c r="AP951" s="106"/>
      <c r="AQ951" s="106"/>
      <c r="AR951" s="106"/>
      <c r="AS951" s="106"/>
      <c r="AT951" s="106"/>
      <c r="AU951" s="106"/>
      <c r="AV951" s="106"/>
      <c r="AW951" s="106"/>
      <c r="AX951" s="106"/>
      <c r="AY951" s="106"/>
    </row>
    <row r="952" spans="1:51" s="20" customFormat="1" ht="21" customHeight="1">
      <c r="A952" s="197"/>
      <c r="B952" s="87"/>
      <c r="C952" s="87"/>
      <c r="D952" s="196"/>
      <c r="E952" s="108"/>
      <c r="F952" s="196"/>
      <c r="G952" s="87"/>
      <c r="H952" s="197"/>
      <c r="I952" s="89"/>
      <c r="J952" s="204"/>
      <c r="K952" s="87"/>
      <c r="L952" s="87" t="str" cm="1">
        <f t="array" ref="L952">IF($A952="","",_xlfn.LET(_xlpm.stat,CHOOSE({1,2,3,4,5},$P952,$T952,$X952,$AB952,$AF952),_xlpm.rate,CHOOSE({1,2,3,4,5},$R952,$V952,$Z952,$AD952,$AH952),_xlpm.trn,CHOOSE({1,2,3,4,5},$S952,$W952,$AA952,$AE952,$AI952),_xlpm.nsC,SUMPRODUCT(--(_xlpm.stat="Ready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DLR",IF(AND(_xlpm.actRS&gt;0,_xlpm.actDone&lt;_xlpm.actRS),"Training",IF(_xlpm.actRS&gt;0,"Active",IF(AND(_xlpm.decC&gt;0,_xlpm.inPlay+_xlpm.actC=0),"Dead",IF(AND($AJ952&lt;&gt;"",$AK952=FALSE),"Waiting on Dealer",IF(_xlpm.subC&gt;0,"Waiting on Lender",IF(AND(_xlpm.appC+_xlpm.actC&gt;0,_xlpm.nsC+_xlpm.wdC=0),"Rate Sheet","Application Submitted")))))))))</f>
        <v/>
      </c>
      <c r="M952" s="87"/>
      <c r="N952" s="87"/>
      <c r="O952" s="197"/>
      <c r="P952" s="87" t="str">
        <f>IF($A952="","",IF($AK952=TRUE,"Ready 2 Submit","Waiting on Dealer"))</f>
        <v/>
      </c>
      <c r="Q952" s="148"/>
      <c r="R952" s="87"/>
      <c r="S952" s="87"/>
      <c r="T952" s="87" t="str">
        <f>IF($A952="","",IF($AK952=TRUE,"Ready 2 Submit","Waiting on Dealer"))</f>
        <v/>
      </c>
      <c r="U952" s="148"/>
      <c r="V952" s="87"/>
      <c r="W952" s="87"/>
      <c r="X952" s="87" t="str">
        <f>IF($A952="","",IF($AK952=TRUE,"Ready 2 Submit","Waiting on Dealer"))</f>
        <v/>
      </c>
      <c r="Y952" s="148"/>
      <c r="Z952" s="87"/>
      <c r="AA952" s="87"/>
      <c r="AB952" s="87" t="str">
        <f>IF($A952="","",IF($AK952=TRUE,"Ready 2 Submit","Waiting on Dealer"))</f>
        <v/>
      </c>
      <c r="AC952" s="148"/>
      <c r="AD952" s="87"/>
      <c r="AE952" s="87"/>
      <c r="AF952" s="87" t="str">
        <f>IF($A952="","",IF($AK952=TRUE,"Ready 2 Submit","Waiting on Dealer"))</f>
        <v/>
      </c>
      <c r="AG952" s="148"/>
      <c r="AH952" s="87"/>
      <c r="AI952" s="87"/>
      <c r="AJ952" s="197"/>
      <c r="AK952" s="110" t="b">
        <v>0</v>
      </c>
      <c r="AL952" s="87" t="str" cm="1">
        <f t="array" ref="AL952">IF($A952="","",SUMPRODUCT((CHOOSE({1,2,3,4,5},$R952,$V952,$Z952,$AD952,$AH952)="Yes")*(((CHOOSE({1,2,3,4,5},$S952,$W952,$AA952,$AE952,$AI952)="Yes")+(CHOOSE({1,2,3,4,5},$S952,$W952,$AA952,$AE952,$AI952)=TRUE))&gt;0)))</f>
        <v/>
      </c>
      <c r="AM952" s="87"/>
      <c r="AN952" s="87" t="str">
        <f ca="1">IF(OR($A952="",$AM952=""),"",TODAY()-$AM952)</f>
        <v/>
      </c>
      <c r="AO952" s="87"/>
      <c r="AP952" s="106"/>
      <c r="AQ952" s="106"/>
      <c r="AR952" s="106"/>
      <c r="AS952" s="106"/>
      <c r="AT952" s="106"/>
      <c r="AU952" s="106"/>
      <c r="AV952" s="106"/>
      <c r="AW952" s="106"/>
      <c r="AX952" s="106"/>
      <c r="AY952" s="106"/>
    </row>
    <row r="953" spans="1:51" s="20" customFormat="1" ht="21" customHeight="1">
      <c r="A953" s="197"/>
      <c r="B953" s="87"/>
      <c r="C953" s="87"/>
      <c r="D953" s="196"/>
      <c r="E953" s="108"/>
      <c r="F953" s="196"/>
      <c r="G953" s="87"/>
      <c r="H953" s="197"/>
      <c r="I953" s="89"/>
      <c r="J953" s="204"/>
      <c r="K953" s="87"/>
      <c r="L953" s="87" t="str" cm="1">
        <f t="array" ref="L953">IF($A953="","",_xlfn.LET(_xlpm.stat,CHOOSE({1,2,3,4,5},$P953,$T953,$X953,$AB953,$AF953),_xlpm.rate,CHOOSE({1,2,3,4,5},$R953,$V953,$Z953,$AD953,$AH953),_xlpm.trn,CHOOSE({1,2,3,4,5},$S953,$W953,$AA953,$AE953,$AI953),_xlpm.nsC,SUMPRODUCT(--(_xlpm.stat="Ready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DLR",IF(AND(_xlpm.actRS&gt;0,_xlpm.actDone&lt;_xlpm.actRS),"Training",IF(_xlpm.actRS&gt;0,"Active",IF(AND(_xlpm.decC&gt;0,_xlpm.inPlay+_xlpm.actC=0),"Dead",IF(AND($AJ953&lt;&gt;"",$AK953=FALSE),"Waiting on Dealer",IF(_xlpm.subC&gt;0,"Waiting on Lender",IF(AND(_xlpm.appC+_xlpm.actC&gt;0,_xlpm.nsC+_xlpm.wdC=0),"Rate Sheet","Application Submitted")))))))))</f>
        <v/>
      </c>
      <c r="M953" s="87"/>
      <c r="N953" s="87"/>
      <c r="O953" s="197"/>
      <c r="P953" s="87" t="str">
        <f>IF($A953="","",IF($AK953=TRUE,"Ready 2 Submit","Waiting on Dealer"))</f>
        <v/>
      </c>
      <c r="Q953" s="148"/>
      <c r="R953" s="87"/>
      <c r="S953" s="87"/>
      <c r="T953" s="87" t="str">
        <f>IF($A953="","",IF($AK953=TRUE,"Ready 2 Submit","Waiting on Dealer"))</f>
        <v/>
      </c>
      <c r="U953" s="148"/>
      <c r="V953" s="87"/>
      <c r="W953" s="87"/>
      <c r="X953" s="87" t="str">
        <f>IF($A953="","",IF($AK953=TRUE,"Ready 2 Submit","Waiting on Dealer"))</f>
        <v/>
      </c>
      <c r="Y953" s="148"/>
      <c r="Z953" s="87"/>
      <c r="AA953" s="87"/>
      <c r="AB953" s="87" t="str">
        <f>IF($A953="","",IF($AK953=TRUE,"Ready 2 Submit","Waiting on Dealer"))</f>
        <v/>
      </c>
      <c r="AC953" s="148"/>
      <c r="AD953" s="87"/>
      <c r="AE953" s="87"/>
      <c r="AF953" s="87" t="str">
        <f>IF($A953="","",IF($AK953=TRUE,"Ready 2 Submit","Waiting on Dealer"))</f>
        <v/>
      </c>
      <c r="AG953" s="148"/>
      <c r="AH953" s="87"/>
      <c r="AI953" s="87"/>
      <c r="AJ953" s="197"/>
      <c r="AK953" s="110" t="b">
        <v>0</v>
      </c>
      <c r="AL953" s="87" t="str" cm="1">
        <f t="array" ref="AL953">IF($A953="","",SUMPRODUCT((CHOOSE({1,2,3,4,5},$R953,$V953,$Z953,$AD953,$AH953)="Yes")*(((CHOOSE({1,2,3,4,5},$S953,$W953,$AA953,$AE953,$AI953)="Yes")+(CHOOSE({1,2,3,4,5},$S953,$W953,$AA953,$AE953,$AI953)=TRUE))&gt;0)))</f>
        <v/>
      </c>
      <c r="AM953" s="87"/>
      <c r="AN953" s="87" t="str">
        <f ca="1">IF(OR($A953="",$AM953=""),"",TODAY()-$AM953)</f>
        <v/>
      </c>
      <c r="AO953" s="87"/>
      <c r="AP953" s="106"/>
      <c r="AQ953" s="106"/>
      <c r="AR953" s="106"/>
      <c r="AS953" s="106"/>
      <c r="AT953" s="106"/>
      <c r="AU953" s="106"/>
      <c r="AV953" s="106"/>
      <c r="AW953" s="106"/>
      <c r="AX953" s="106"/>
      <c r="AY953" s="106"/>
    </row>
    <row r="954" spans="1:51" s="20" customFormat="1" ht="21" customHeight="1">
      <c r="A954" s="197"/>
      <c r="B954" s="87"/>
      <c r="C954" s="87"/>
      <c r="D954" s="196"/>
      <c r="E954" s="108"/>
      <c r="F954" s="196"/>
      <c r="G954" s="87"/>
      <c r="H954" s="197"/>
      <c r="I954" s="89"/>
      <c r="J954" s="204"/>
      <c r="K954" s="87"/>
      <c r="L954" s="87" t="str" cm="1">
        <f t="array" ref="L954">IF($A954="","",_xlfn.LET(_xlpm.stat,CHOOSE({1,2,3,4,5},$P954,$T954,$X954,$AB954,$AF954),_xlpm.rate,CHOOSE({1,2,3,4,5},$R954,$V954,$Z954,$AD954,$AH954),_xlpm.trn,CHOOSE({1,2,3,4,5},$S954,$W954,$AA954,$AE954,$AI954),_xlpm.nsC,SUMPRODUCT(--(_xlpm.stat="Ready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DLR",IF(AND(_xlpm.actRS&gt;0,_xlpm.actDone&lt;_xlpm.actRS),"Training",IF(_xlpm.actRS&gt;0,"Active",IF(AND(_xlpm.decC&gt;0,_xlpm.inPlay+_xlpm.actC=0),"Dead",IF(AND($AJ954&lt;&gt;"",$AK954=FALSE),"Waiting on Dealer",IF(_xlpm.subC&gt;0,"Waiting on Lender",IF(AND(_xlpm.appC+_xlpm.actC&gt;0,_xlpm.nsC+_xlpm.wdC=0),"Rate Sheet","Application Submitted")))))))))</f>
        <v/>
      </c>
      <c r="M954" s="87"/>
      <c r="N954" s="87"/>
      <c r="O954" s="197"/>
      <c r="P954" s="87" t="str">
        <f>IF($A954="","",IF($AK954=TRUE,"Ready 2 Submit","Waiting on Dealer"))</f>
        <v/>
      </c>
      <c r="Q954" s="148"/>
      <c r="R954" s="87"/>
      <c r="S954" s="87"/>
      <c r="T954" s="87" t="str">
        <f>IF($A954="","",IF($AK954=TRUE,"Ready 2 Submit","Waiting on Dealer"))</f>
        <v/>
      </c>
      <c r="U954" s="148"/>
      <c r="V954" s="87"/>
      <c r="W954" s="87"/>
      <c r="X954" s="87" t="str">
        <f>IF($A954="","",IF($AK954=TRUE,"Ready 2 Submit","Waiting on Dealer"))</f>
        <v/>
      </c>
      <c r="Y954" s="148"/>
      <c r="Z954" s="87"/>
      <c r="AA954" s="87"/>
      <c r="AB954" s="87" t="str">
        <f>IF($A954="","",IF($AK954=TRUE,"Ready 2 Submit","Waiting on Dealer"))</f>
        <v/>
      </c>
      <c r="AC954" s="148"/>
      <c r="AD954" s="87"/>
      <c r="AE954" s="87"/>
      <c r="AF954" s="87" t="str">
        <f>IF($A954="","",IF($AK954=TRUE,"Ready 2 Submit","Waiting on Dealer"))</f>
        <v/>
      </c>
      <c r="AG954" s="148"/>
      <c r="AH954" s="87"/>
      <c r="AI954" s="87"/>
      <c r="AJ954" s="197"/>
      <c r="AK954" s="110" t="b">
        <v>0</v>
      </c>
      <c r="AL954" s="87" t="str" cm="1">
        <f t="array" ref="AL954">IF($A954="","",SUMPRODUCT((CHOOSE({1,2,3,4,5},$R954,$V954,$Z954,$AD954,$AH954)="Yes")*(((CHOOSE({1,2,3,4,5},$S954,$W954,$AA954,$AE954,$AI954)="Yes")+(CHOOSE({1,2,3,4,5},$S954,$W954,$AA954,$AE954,$AI954)=TRUE))&gt;0)))</f>
        <v/>
      </c>
      <c r="AM954" s="87"/>
      <c r="AN954" s="87" t="str">
        <f ca="1">IF(OR($A954="",$AM954=""),"",TODAY()-$AM954)</f>
        <v/>
      </c>
      <c r="AO954" s="87"/>
      <c r="AP954" s="106"/>
      <c r="AQ954" s="106"/>
      <c r="AR954" s="106"/>
      <c r="AS954" s="106"/>
      <c r="AT954" s="106"/>
      <c r="AU954" s="106"/>
      <c r="AV954" s="106"/>
      <c r="AW954" s="106"/>
      <c r="AX954" s="106"/>
      <c r="AY954" s="106"/>
    </row>
    <row r="955" spans="1:51" s="20" customFormat="1" ht="21" customHeight="1">
      <c r="A955" s="197"/>
      <c r="B955" s="87"/>
      <c r="C955" s="87"/>
      <c r="D955" s="196"/>
      <c r="E955" s="108"/>
      <c r="F955" s="196"/>
      <c r="G955" s="87"/>
      <c r="H955" s="197"/>
      <c r="I955" s="89"/>
      <c r="J955" s="204"/>
      <c r="K955" s="87"/>
      <c r="L955" s="87" t="str" cm="1">
        <f t="array" ref="L955">IF($A955="","",_xlfn.LET(_xlpm.stat,CHOOSE({1,2,3,4,5},$P955,$T955,$X955,$AB955,$AF955),_xlpm.rate,CHOOSE({1,2,3,4,5},$R955,$V955,$Z955,$AD955,$AH955),_xlpm.trn,CHOOSE({1,2,3,4,5},$S955,$W955,$AA955,$AE955,$AI955),_xlpm.nsC,SUMPRODUCT(--(_xlpm.stat="Ready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DLR",IF(AND(_xlpm.actRS&gt;0,_xlpm.actDone&lt;_xlpm.actRS),"Training",IF(_xlpm.actRS&gt;0,"Active",IF(AND(_xlpm.decC&gt;0,_xlpm.inPlay+_xlpm.actC=0),"Dead",IF(AND($AJ955&lt;&gt;"",$AK955=FALSE),"Waiting on Dealer",IF(_xlpm.subC&gt;0,"Waiting on Lender",IF(AND(_xlpm.appC+_xlpm.actC&gt;0,_xlpm.nsC+_xlpm.wdC=0),"Rate Sheet","Application Submitted")))))))))</f>
        <v/>
      </c>
      <c r="M955" s="87"/>
      <c r="N955" s="87"/>
      <c r="O955" s="197"/>
      <c r="P955" s="87" t="str">
        <f>IF($A955="","",IF($AK955=TRUE,"Ready 2 Submit","Waiting on Dealer"))</f>
        <v/>
      </c>
      <c r="Q955" s="148"/>
      <c r="R955" s="87"/>
      <c r="S955" s="87"/>
      <c r="T955" s="87" t="str">
        <f>IF($A955="","",IF($AK955=TRUE,"Ready 2 Submit","Waiting on Dealer"))</f>
        <v/>
      </c>
      <c r="U955" s="148"/>
      <c r="V955" s="87"/>
      <c r="W955" s="87"/>
      <c r="X955" s="87" t="str">
        <f>IF($A955="","",IF($AK955=TRUE,"Ready 2 Submit","Waiting on Dealer"))</f>
        <v/>
      </c>
      <c r="Y955" s="148"/>
      <c r="Z955" s="87"/>
      <c r="AA955" s="87"/>
      <c r="AB955" s="87" t="str">
        <f>IF($A955="","",IF($AK955=TRUE,"Ready 2 Submit","Waiting on Dealer"))</f>
        <v/>
      </c>
      <c r="AC955" s="148"/>
      <c r="AD955" s="87"/>
      <c r="AE955" s="87"/>
      <c r="AF955" s="87" t="str">
        <f>IF($A955="","",IF($AK955=TRUE,"Ready 2 Submit","Waiting on Dealer"))</f>
        <v/>
      </c>
      <c r="AG955" s="148"/>
      <c r="AH955" s="87"/>
      <c r="AI955" s="87"/>
      <c r="AJ955" s="197"/>
      <c r="AK955" s="110" t="b">
        <v>0</v>
      </c>
      <c r="AL955" s="87" t="str" cm="1">
        <f t="array" ref="AL955">IF($A955="","",SUMPRODUCT((CHOOSE({1,2,3,4,5},$R955,$V955,$Z955,$AD955,$AH955)="Yes")*(((CHOOSE({1,2,3,4,5},$S955,$W955,$AA955,$AE955,$AI955)="Yes")+(CHOOSE({1,2,3,4,5},$S955,$W955,$AA955,$AE955,$AI955)=TRUE))&gt;0)))</f>
        <v/>
      </c>
      <c r="AM955" s="87"/>
      <c r="AN955" s="87" t="str">
        <f ca="1">IF(OR($A955="",$AM955=""),"",TODAY()-$AM955)</f>
        <v/>
      </c>
      <c r="AO955" s="87"/>
      <c r="AP955" s="106"/>
      <c r="AQ955" s="106"/>
      <c r="AR955" s="106"/>
      <c r="AS955" s="106"/>
      <c r="AT955" s="106"/>
      <c r="AU955" s="106"/>
      <c r="AV955" s="106"/>
      <c r="AW955" s="106"/>
      <c r="AX955" s="106"/>
      <c r="AY955" s="106"/>
    </row>
    <row r="956" spans="1:51" s="20" customFormat="1" ht="21" customHeight="1">
      <c r="A956" s="197"/>
      <c r="B956" s="87"/>
      <c r="C956" s="87"/>
      <c r="D956" s="196"/>
      <c r="E956" s="108"/>
      <c r="F956" s="196"/>
      <c r="G956" s="87"/>
      <c r="H956" s="197"/>
      <c r="I956" s="89"/>
      <c r="J956" s="204"/>
      <c r="K956" s="87"/>
      <c r="L956" s="87" t="str" cm="1">
        <f t="array" ref="L956">IF($A956="","",_xlfn.LET(_xlpm.stat,CHOOSE({1,2,3,4,5},$P956,$T956,$X956,$AB956,$AF956),_xlpm.rate,CHOOSE({1,2,3,4,5},$R956,$V956,$Z956,$AD956,$AH956),_xlpm.trn,CHOOSE({1,2,3,4,5},$S956,$W956,$AA956,$AE956,$AI956),_xlpm.nsC,SUMPRODUCT(--(_xlpm.stat="Ready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DLR",IF(AND(_xlpm.actRS&gt;0,_xlpm.actDone&lt;_xlpm.actRS),"Training",IF(_xlpm.actRS&gt;0,"Active",IF(AND(_xlpm.decC&gt;0,_xlpm.inPlay+_xlpm.actC=0),"Dead",IF(AND($AJ956&lt;&gt;"",$AK956=FALSE),"Waiting on Dealer",IF(_xlpm.subC&gt;0,"Waiting on Lender",IF(AND(_xlpm.appC+_xlpm.actC&gt;0,_xlpm.nsC+_xlpm.wdC=0),"Rate Sheet","Application Submitted")))))))))</f>
        <v/>
      </c>
      <c r="M956" s="87"/>
      <c r="N956" s="87"/>
      <c r="O956" s="197"/>
      <c r="P956" s="87" t="str">
        <f>IF($A956="","",IF($AK956=TRUE,"Ready 2 Submit","Waiting on Dealer"))</f>
        <v/>
      </c>
      <c r="Q956" s="148"/>
      <c r="R956" s="87"/>
      <c r="S956" s="87"/>
      <c r="T956" s="87" t="str">
        <f>IF($A956="","",IF($AK956=TRUE,"Ready 2 Submit","Waiting on Dealer"))</f>
        <v/>
      </c>
      <c r="U956" s="148"/>
      <c r="V956" s="87"/>
      <c r="W956" s="87"/>
      <c r="X956" s="87" t="str">
        <f>IF($A956="","",IF($AK956=TRUE,"Ready 2 Submit","Waiting on Dealer"))</f>
        <v/>
      </c>
      <c r="Y956" s="148"/>
      <c r="Z956" s="87"/>
      <c r="AA956" s="87"/>
      <c r="AB956" s="87" t="str">
        <f>IF($A956="","",IF($AK956=TRUE,"Ready 2 Submit","Waiting on Dealer"))</f>
        <v/>
      </c>
      <c r="AC956" s="148"/>
      <c r="AD956" s="87"/>
      <c r="AE956" s="87"/>
      <c r="AF956" s="87" t="str">
        <f>IF($A956="","",IF($AK956=TRUE,"Ready 2 Submit","Waiting on Dealer"))</f>
        <v/>
      </c>
      <c r="AG956" s="148"/>
      <c r="AH956" s="87"/>
      <c r="AI956" s="87"/>
      <c r="AJ956" s="197"/>
      <c r="AK956" s="110" t="b">
        <v>0</v>
      </c>
      <c r="AL956" s="87" t="str" cm="1">
        <f t="array" ref="AL956">IF($A956="","",SUMPRODUCT((CHOOSE({1,2,3,4,5},$R956,$V956,$Z956,$AD956,$AH956)="Yes")*(((CHOOSE({1,2,3,4,5},$S956,$W956,$AA956,$AE956,$AI956)="Yes")+(CHOOSE({1,2,3,4,5},$S956,$W956,$AA956,$AE956,$AI956)=TRUE))&gt;0)))</f>
        <v/>
      </c>
      <c r="AM956" s="87"/>
      <c r="AN956" s="87" t="str">
        <f ca="1">IF(OR($A956="",$AM956=""),"",TODAY()-$AM956)</f>
        <v/>
      </c>
      <c r="AO956" s="87"/>
      <c r="AP956" s="106"/>
      <c r="AQ956" s="106"/>
      <c r="AR956" s="106"/>
      <c r="AS956" s="106"/>
      <c r="AT956" s="106"/>
      <c r="AU956" s="106"/>
      <c r="AV956" s="106"/>
      <c r="AW956" s="106"/>
      <c r="AX956" s="106"/>
      <c r="AY956" s="106"/>
    </row>
    <row r="957" spans="1:51" s="20" customFormat="1" ht="21" customHeight="1">
      <c r="A957" s="197"/>
      <c r="B957" s="87"/>
      <c r="C957" s="87"/>
      <c r="D957" s="196"/>
      <c r="E957" s="108"/>
      <c r="F957" s="196"/>
      <c r="G957" s="87"/>
      <c r="H957" s="197"/>
      <c r="I957" s="89"/>
      <c r="J957" s="204"/>
      <c r="K957" s="87"/>
      <c r="L957" s="87" t="str" cm="1">
        <f t="array" ref="L957">IF($A957="","",_xlfn.LET(_xlpm.stat,CHOOSE({1,2,3,4,5},$P957,$T957,$X957,$AB957,$AF957),_xlpm.rate,CHOOSE({1,2,3,4,5},$R957,$V957,$Z957,$AD957,$AH957),_xlpm.trn,CHOOSE({1,2,3,4,5},$S957,$W957,$AA957,$AE957,$AI957),_xlpm.nsC,SUMPRODUCT(--(_xlpm.stat="Ready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DLR",IF(AND(_xlpm.actRS&gt;0,_xlpm.actDone&lt;_xlpm.actRS),"Training",IF(_xlpm.actRS&gt;0,"Active",IF(AND(_xlpm.decC&gt;0,_xlpm.inPlay+_xlpm.actC=0),"Dead",IF(AND($AJ957&lt;&gt;"",$AK957=FALSE),"Waiting on Dealer",IF(_xlpm.subC&gt;0,"Waiting on Lender",IF(AND(_xlpm.appC+_xlpm.actC&gt;0,_xlpm.nsC+_xlpm.wdC=0),"Rate Sheet","Application Submitted")))))))))</f>
        <v/>
      </c>
      <c r="M957" s="87"/>
      <c r="N957" s="87"/>
      <c r="O957" s="197"/>
      <c r="P957" s="87" t="str">
        <f>IF($A957="","",IF($AK957=TRUE,"Ready 2 Submit","Waiting on Dealer"))</f>
        <v/>
      </c>
      <c r="Q957" s="148"/>
      <c r="R957" s="87"/>
      <c r="S957" s="87"/>
      <c r="T957" s="87" t="str">
        <f>IF($A957="","",IF($AK957=TRUE,"Ready 2 Submit","Waiting on Dealer"))</f>
        <v/>
      </c>
      <c r="U957" s="148"/>
      <c r="V957" s="87"/>
      <c r="W957" s="87"/>
      <c r="X957" s="87" t="str">
        <f>IF($A957="","",IF($AK957=TRUE,"Ready 2 Submit","Waiting on Dealer"))</f>
        <v/>
      </c>
      <c r="Y957" s="148"/>
      <c r="Z957" s="87"/>
      <c r="AA957" s="87"/>
      <c r="AB957" s="87" t="str">
        <f>IF($A957="","",IF($AK957=TRUE,"Ready 2 Submit","Waiting on Dealer"))</f>
        <v/>
      </c>
      <c r="AC957" s="148"/>
      <c r="AD957" s="87"/>
      <c r="AE957" s="87"/>
      <c r="AF957" s="87" t="str">
        <f>IF($A957="","",IF($AK957=TRUE,"Ready 2 Submit","Waiting on Dealer"))</f>
        <v/>
      </c>
      <c r="AG957" s="148"/>
      <c r="AH957" s="87"/>
      <c r="AI957" s="87"/>
      <c r="AJ957" s="197"/>
      <c r="AK957" s="110" t="b">
        <v>0</v>
      </c>
      <c r="AL957" s="87" t="str" cm="1">
        <f t="array" ref="AL957">IF($A957="","",SUMPRODUCT((CHOOSE({1,2,3,4,5},$R957,$V957,$Z957,$AD957,$AH957)="Yes")*(((CHOOSE({1,2,3,4,5},$S957,$W957,$AA957,$AE957,$AI957)="Yes")+(CHOOSE({1,2,3,4,5},$S957,$W957,$AA957,$AE957,$AI957)=TRUE))&gt;0)))</f>
        <v/>
      </c>
      <c r="AM957" s="87"/>
      <c r="AN957" s="87" t="str">
        <f ca="1">IF(OR($A957="",$AM957=""),"",TODAY()-$AM957)</f>
        <v/>
      </c>
      <c r="AO957" s="87"/>
      <c r="AP957" s="106"/>
      <c r="AQ957" s="106"/>
      <c r="AR957" s="106"/>
      <c r="AS957" s="106"/>
      <c r="AT957" s="106"/>
      <c r="AU957" s="106"/>
      <c r="AV957" s="106"/>
      <c r="AW957" s="106"/>
      <c r="AX957" s="106"/>
      <c r="AY957" s="106"/>
    </row>
    <row r="958" spans="1:51" s="20" customFormat="1" ht="21" customHeight="1">
      <c r="A958" s="197"/>
      <c r="B958" s="87"/>
      <c r="C958" s="87"/>
      <c r="D958" s="196"/>
      <c r="E958" s="108"/>
      <c r="F958" s="196"/>
      <c r="G958" s="87"/>
      <c r="H958" s="197"/>
      <c r="I958" s="89"/>
      <c r="J958" s="204"/>
      <c r="K958" s="87"/>
      <c r="L958" s="87" t="str" cm="1">
        <f t="array" ref="L958">IF($A958="","",_xlfn.LET(_xlpm.stat,CHOOSE({1,2,3,4,5},$P958,$T958,$X958,$AB958,$AF958),_xlpm.rate,CHOOSE({1,2,3,4,5},$R958,$V958,$Z958,$AD958,$AH958),_xlpm.trn,CHOOSE({1,2,3,4,5},$S958,$W958,$AA958,$AE958,$AI958),_xlpm.nsC,SUMPRODUCT(--(_xlpm.stat="Ready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DLR",IF(AND(_xlpm.actRS&gt;0,_xlpm.actDone&lt;_xlpm.actRS),"Training",IF(_xlpm.actRS&gt;0,"Active",IF(AND(_xlpm.decC&gt;0,_xlpm.inPlay+_xlpm.actC=0),"Dead",IF(AND($AJ958&lt;&gt;"",$AK958=FALSE),"Waiting on Dealer",IF(_xlpm.subC&gt;0,"Waiting on Lender",IF(AND(_xlpm.appC+_xlpm.actC&gt;0,_xlpm.nsC+_xlpm.wdC=0),"Rate Sheet","Application Submitted")))))))))</f>
        <v/>
      </c>
      <c r="M958" s="87"/>
      <c r="N958" s="87"/>
      <c r="O958" s="197"/>
      <c r="P958" s="87" t="str">
        <f>IF($A958="","",IF($AK958=TRUE,"Ready 2 Submit","Waiting on Dealer"))</f>
        <v/>
      </c>
      <c r="Q958" s="148"/>
      <c r="R958" s="87"/>
      <c r="S958" s="87"/>
      <c r="T958" s="87" t="str">
        <f>IF($A958="","",IF($AK958=TRUE,"Ready 2 Submit","Waiting on Dealer"))</f>
        <v/>
      </c>
      <c r="U958" s="148"/>
      <c r="V958" s="87"/>
      <c r="W958" s="87"/>
      <c r="X958" s="87" t="str">
        <f>IF($A958="","",IF($AK958=TRUE,"Ready 2 Submit","Waiting on Dealer"))</f>
        <v/>
      </c>
      <c r="Y958" s="148"/>
      <c r="Z958" s="87"/>
      <c r="AA958" s="87"/>
      <c r="AB958" s="87" t="str">
        <f>IF($A958="","",IF($AK958=TRUE,"Ready 2 Submit","Waiting on Dealer"))</f>
        <v/>
      </c>
      <c r="AC958" s="148"/>
      <c r="AD958" s="87"/>
      <c r="AE958" s="87"/>
      <c r="AF958" s="87" t="str">
        <f>IF($A958="","",IF($AK958=TRUE,"Ready 2 Submit","Waiting on Dealer"))</f>
        <v/>
      </c>
      <c r="AG958" s="148"/>
      <c r="AH958" s="87"/>
      <c r="AI958" s="87"/>
      <c r="AJ958" s="197"/>
      <c r="AK958" s="110" t="b">
        <v>0</v>
      </c>
      <c r="AL958" s="87" t="str" cm="1">
        <f t="array" ref="AL958">IF($A958="","",SUMPRODUCT((CHOOSE({1,2,3,4,5},$R958,$V958,$Z958,$AD958,$AH958)="Yes")*(((CHOOSE({1,2,3,4,5},$S958,$W958,$AA958,$AE958,$AI958)="Yes")+(CHOOSE({1,2,3,4,5},$S958,$W958,$AA958,$AE958,$AI958)=TRUE))&gt;0)))</f>
        <v/>
      </c>
      <c r="AM958" s="87"/>
      <c r="AN958" s="87" t="str">
        <f ca="1">IF(OR($A958="",$AM958=""),"",TODAY()-$AM958)</f>
        <v/>
      </c>
      <c r="AO958" s="87"/>
      <c r="AP958" s="106"/>
      <c r="AQ958" s="106"/>
      <c r="AR958" s="106"/>
      <c r="AS958" s="106"/>
      <c r="AT958" s="106"/>
      <c r="AU958" s="106"/>
      <c r="AV958" s="106"/>
      <c r="AW958" s="106"/>
      <c r="AX958" s="106"/>
      <c r="AY958" s="106"/>
    </row>
    <row r="959" spans="1:51" s="20" customFormat="1" ht="21" customHeight="1">
      <c r="A959" s="197"/>
      <c r="B959" s="87"/>
      <c r="C959" s="87"/>
      <c r="D959" s="196"/>
      <c r="E959" s="108"/>
      <c r="F959" s="196"/>
      <c r="G959" s="87"/>
      <c r="H959" s="197"/>
      <c r="I959" s="89"/>
      <c r="J959" s="204"/>
      <c r="K959" s="87"/>
      <c r="L959" s="87" t="str" cm="1">
        <f t="array" ref="L959">IF($A959="","",_xlfn.LET(_xlpm.stat,CHOOSE({1,2,3,4,5},$P959,$T959,$X959,$AB959,$AF959),_xlpm.rate,CHOOSE({1,2,3,4,5},$R959,$V959,$Z959,$AD959,$AH959),_xlpm.trn,CHOOSE({1,2,3,4,5},$S959,$W959,$AA959,$AE959,$AI959),_xlpm.nsC,SUMPRODUCT(--(_xlpm.stat="Ready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DLR",IF(AND(_xlpm.actRS&gt;0,_xlpm.actDone&lt;_xlpm.actRS),"Training",IF(_xlpm.actRS&gt;0,"Active",IF(AND(_xlpm.decC&gt;0,_xlpm.inPlay+_xlpm.actC=0),"Dead",IF(AND($AJ959&lt;&gt;"",$AK959=FALSE),"Waiting on Dealer",IF(_xlpm.subC&gt;0,"Waiting on Lender",IF(AND(_xlpm.appC+_xlpm.actC&gt;0,_xlpm.nsC+_xlpm.wdC=0),"Rate Sheet","Application Submitted")))))))))</f>
        <v/>
      </c>
      <c r="M959" s="87"/>
      <c r="N959" s="87"/>
      <c r="O959" s="197"/>
      <c r="P959" s="87" t="str">
        <f>IF($A959="","",IF($AK959=TRUE,"Ready 2 Submit","Waiting on Dealer"))</f>
        <v/>
      </c>
      <c r="Q959" s="148"/>
      <c r="R959" s="87"/>
      <c r="S959" s="87"/>
      <c r="T959" s="87" t="str">
        <f>IF($A959="","",IF($AK959=TRUE,"Ready 2 Submit","Waiting on Dealer"))</f>
        <v/>
      </c>
      <c r="U959" s="148"/>
      <c r="V959" s="87"/>
      <c r="W959" s="87"/>
      <c r="X959" s="87" t="str">
        <f>IF($A959="","",IF($AK959=TRUE,"Ready 2 Submit","Waiting on Dealer"))</f>
        <v/>
      </c>
      <c r="Y959" s="148"/>
      <c r="Z959" s="87"/>
      <c r="AA959" s="87"/>
      <c r="AB959" s="87" t="str">
        <f>IF($A959="","",IF($AK959=TRUE,"Ready 2 Submit","Waiting on Dealer"))</f>
        <v/>
      </c>
      <c r="AC959" s="148"/>
      <c r="AD959" s="87"/>
      <c r="AE959" s="87"/>
      <c r="AF959" s="87" t="str">
        <f>IF($A959="","",IF($AK959=TRUE,"Ready 2 Submit","Waiting on Dealer"))</f>
        <v/>
      </c>
      <c r="AG959" s="148"/>
      <c r="AH959" s="87"/>
      <c r="AI959" s="87"/>
      <c r="AJ959" s="197"/>
      <c r="AK959" s="110" t="b">
        <v>0</v>
      </c>
      <c r="AL959" s="87" t="str" cm="1">
        <f t="array" ref="AL959">IF($A959="","",SUMPRODUCT((CHOOSE({1,2,3,4,5},$R959,$V959,$Z959,$AD959,$AH959)="Yes")*(((CHOOSE({1,2,3,4,5},$S959,$W959,$AA959,$AE959,$AI959)="Yes")+(CHOOSE({1,2,3,4,5},$S959,$W959,$AA959,$AE959,$AI959)=TRUE))&gt;0)))</f>
        <v/>
      </c>
      <c r="AM959" s="87"/>
      <c r="AN959" s="87" t="str">
        <f ca="1">IF(OR($A959="",$AM959=""),"",TODAY()-$AM959)</f>
        <v/>
      </c>
      <c r="AO959" s="87"/>
      <c r="AP959" s="106"/>
      <c r="AQ959" s="106"/>
      <c r="AR959" s="106"/>
      <c r="AS959" s="106"/>
      <c r="AT959" s="106"/>
      <c r="AU959" s="106"/>
      <c r="AV959" s="106"/>
      <c r="AW959" s="106"/>
      <c r="AX959" s="106"/>
      <c r="AY959" s="106"/>
    </row>
    <row r="960" spans="1:51" s="20" customFormat="1" ht="21" customHeight="1">
      <c r="A960" s="197"/>
      <c r="B960" s="87"/>
      <c r="C960" s="87"/>
      <c r="D960" s="196"/>
      <c r="E960" s="108"/>
      <c r="F960" s="196"/>
      <c r="G960" s="87"/>
      <c r="H960" s="197"/>
      <c r="I960" s="89"/>
      <c r="J960" s="204"/>
      <c r="K960" s="87"/>
      <c r="L960" s="87" t="str" cm="1">
        <f t="array" ref="L960">IF($A960="","",_xlfn.LET(_xlpm.stat,CHOOSE({1,2,3,4,5},$P960,$T960,$X960,$AB960,$AF960),_xlpm.rate,CHOOSE({1,2,3,4,5},$R960,$V960,$Z960,$AD960,$AH960),_xlpm.trn,CHOOSE({1,2,3,4,5},$S960,$W960,$AA960,$AE960,$AI960),_xlpm.nsC,SUMPRODUCT(--(_xlpm.stat="Ready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DLR",IF(AND(_xlpm.actRS&gt;0,_xlpm.actDone&lt;_xlpm.actRS),"Training",IF(_xlpm.actRS&gt;0,"Active",IF(AND(_xlpm.decC&gt;0,_xlpm.inPlay+_xlpm.actC=0),"Dead",IF(AND($AJ960&lt;&gt;"",$AK960=FALSE),"Waiting on Dealer",IF(_xlpm.subC&gt;0,"Waiting on Lender",IF(AND(_xlpm.appC+_xlpm.actC&gt;0,_xlpm.nsC+_xlpm.wdC=0),"Rate Sheet","Application Submitted")))))))))</f>
        <v/>
      </c>
      <c r="M960" s="87"/>
      <c r="N960" s="87"/>
      <c r="O960" s="197"/>
      <c r="P960" s="87" t="str">
        <f>IF($A960="","",IF($AK960=TRUE,"Ready 2 Submit","Waiting on Dealer"))</f>
        <v/>
      </c>
      <c r="Q960" s="148"/>
      <c r="R960" s="87"/>
      <c r="S960" s="87"/>
      <c r="T960" s="87" t="str">
        <f>IF($A960="","",IF($AK960=TRUE,"Ready 2 Submit","Waiting on Dealer"))</f>
        <v/>
      </c>
      <c r="U960" s="148"/>
      <c r="V960" s="87"/>
      <c r="W960" s="87"/>
      <c r="X960" s="87" t="str">
        <f>IF($A960="","",IF($AK960=TRUE,"Ready 2 Submit","Waiting on Dealer"))</f>
        <v/>
      </c>
      <c r="Y960" s="148"/>
      <c r="Z960" s="87"/>
      <c r="AA960" s="87"/>
      <c r="AB960" s="87" t="str">
        <f>IF($A960="","",IF($AK960=TRUE,"Ready 2 Submit","Waiting on Dealer"))</f>
        <v/>
      </c>
      <c r="AC960" s="148"/>
      <c r="AD960" s="87"/>
      <c r="AE960" s="87"/>
      <c r="AF960" s="87" t="str">
        <f>IF($A960="","",IF($AK960=TRUE,"Ready 2 Submit","Waiting on Dealer"))</f>
        <v/>
      </c>
      <c r="AG960" s="148"/>
      <c r="AH960" s="87"/>
      <c r="AI960" s="87"/>
      <c r="AJ960" s="197"/>
      <c r="AK960" s="110" t="b">
        <v>0</v>
      </c>
      <c r="AL960" s="87" t="str" cm="1">
        <f t="array" ref="AL960">IF($A960="","",SUMPRODUCT((CHOOSE({1,2,3,4,5},$R960,$V960,$Z960,$AD960,$AH960)="Yes")*(((CHOOSE({1,2,3,4,5},$S960,$W960,$AA960,$AE960,$AI960)="Yes")+(CHOOSE({1,2,3,4,5},$S960,$W960,$AA960,$AE960,$AI960)=TRUE))&gt;0)))</f>
        <v/>
      </c>
      <c r="AM960" s="87"/>
      <c r="AN960" s="87" t="str">
        <f ca="1">IF(OR($A960="",$AM960=""),"",TODAY()-$AM960)</f>
        <v/>
      </c>
      <c r="AO960" s="87"/>
      <c r="AP960" s="106"/>
      <c r="AQ960" s="106"/>
      <c r="AR960" s="106"/>
      <c r="AS960" s="106"/>
      <c r="AT960" s="106"/>
      <c r="AU960" s="106"/>
      <c r="AV960" s="106"/>
      <c r="AW960" s="106"/>
      <c r="AX960" s="106"/>
      <c r="AY960" s="106"/>
    </row>
    <row r="961" spans="1:51" s="20" customFormat="1" ht="21" customHeight="1">
      <c r="A961" s="197"/>
      <c r="B961" s="87"/>
      <c r="C961" s="87"/>
      <c r="D961" s="196"/>
      <c r="E961" s="108"/>
      <c r="F961" s="196"/>
      <c r="G961" s="87"/>
      <c r="H961" s="197"/>
      <c r="I961" s="89"/>
      <c r="J961" s="204"/>
      <c r="K961" s="87"/>
      <c r="L961" s="87" t="str" cm="1">
        <f t="array" ref="L961">IF($A961="","",_xlfn.LET(_xlpm.stat,CHOOSE({1,2,3,4,5},$P961,$T961,$X961,$AB961,$AF961),_xlpm.rate,CHOOSE({1,2,3,4,5},$R961,$V961,$Z961,$AD961,$AH961),_xlpm.trn,CHOOSE({1,2,3,4,5},$S961,$W961,$AA961,$AE961,$AI961),_xlpm.nsC,SUMPRODUCT(--(_xlpm.stat="Ready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DLR",IF(AND(_xlpm.actRS&gt;0,_xlpm.actDone&lt;_xlpm.actRS),"Training",IF(_xlpm.actRS&gt;0,"Active",IF(AND(_xlpm.decC&gt;0,_xlpm.inPlay+_xlpm.actC=0),"Dead",IF(AND($AJ961&lt;&gt;"",$AK961=FALSE),"Waiting on Dealer",IF(_xlpm.subC&gt;0,"Waiting on Lender",IF(AND(_xlpm.appC+_xlpm.actC&gt;0,_xlpm.nsC+_xlpm.wdC=0),"Rate Sheet","Application Submitted")))))))))</f>
        <v/>
      </c>
      <c r="M961" s="87"/>
      <c r="N961" s="87"/>
      <c r="O961" s="197"/>
      <c r="P961" s="87" t="str">
        <f>IF($A961="","",IF($AK961=TRUE,"Ready 2 Submit","Waiting on Dealer"))</f>
        <v/>
      </c>
      <c r="Q961" s="148"/>
      <c r="R961" s="87"/>
      <c r="S961" s="87"/>
      <c r="T961" s="87" t="str">
        <f>IF($A961="","",IF($AK961=TRUE,"Ready 2 Submit","Waiting on Dealer"))</f>
        <v/>
      </c>
      <c r="U961" s="148"/>
      <c r="V961" s="87"/>
      <c r="W961" s="87"/>
      <c r="X961" s="87" t="str">
        <f>IF($A961="","",IF($AK961=TRUE,"Ready 2 Submit","Waiting on Dealer"))</f>
        <v/>
      </c>
      <c r="Y961" s="148"/>
      <c r="Z961" s="87"/>
      <c r="AA961" s="87"/>
      <c r="AB961" s="87" t="str">
        <f>IF($A961="","",IF($AK961=TRUE,"Ready 2 Submit","Waiting on Dealer"))</f>
        <v/>
      </c>
      <c r="AC961" s="148"/>
      <c r="AD961" s="87"/>
      <c r="AE961" s="87"/>
      <c r="AF961" s="87" t="str">
        <f>IF($A961="","",IF($AK961=TRUE,"Ready 2 Submit","Waiting on Dealer"))</f>
        <v/>
      </c>
      <c r="AG961" s="148"/>
      <c r="AH961" s="87"/>
      <c r="AI961" s="87"/>
      <c r="AJ961" s="197"/>
      <c r="AK961" s="110" t="b">
        <v>0</v>
      </c>
      <c r="AL961" s="87" t="str" cm="1">
        <f t="array" ref="AL961">IF($A961="","",SUMPRODUCT((CHOOSE({1,2,3,4,5},$R961,$V961,$Z961,$AD961,$AH961)="Yes")*(((CHOOSE({1,2,3,4,5},$S961,$W961,$AA961,$AE961,$AI961)="Yes")+(CHOOSE({1,2,3,4,5},$S961,$W961,$AA961,$AE961,$AI961)=TRUE))&gt;0)))</f>
        <v/>
      </c>
      <c r="AM961" s="87"/>
      <c r="AN961" s="87" t="str">
        <f ca="1">IF(OR($A961="",$AM961=""),"",TODAY()-$AM961)</f>
        <v/>
      </c>
      <c r="AO961" s="87"/>
      <c r="AP961" s="106"/>
      <c r="AQ961" s="106"/>
      <c r="AR961" s="106"/>
      <c r="AS961" s="106"/>
      <c r="AT961" s="106"/>
      <c r="AU961" s="106"/>
      <c r="AV961" s="106"/>
      <c r="AW961" s="106"/>
      <c r="AX961" s="106"/>
      <c r="AY961" s="106"/>
    </row>
    <row r="962" spans="1:51" s="20" customFormat="1" ht="21" customHeight="1">
      <c r="A962" s="197"/>
      <c r="B962" s="87"/>
      <c r="C962" s="87"/>
      <c r="D962" s="196"/>
      <c r="E962" s="108"/>
      <c r="F962" s="196"/>
      <c r="G962" s="87"/>
      <c r="H962" s="197"/>
      <c r="I962" s="89"/>
      <c r="J962" s="204"/>
      <c r="K962" s="87"/>
      <c r="L962" s="87" t="str" cm="1">
        <f t="array" ref="L962">IF($A962="","",_xlfn.LET(_xlpm.stat,CHOOSE({1,2,3,4,5},$P962,$T962,$X962,$AB962,$AF962),_xlpm.rate,CHOOSE({1,2,3,4,5},$R962,$V962,$Z962,$AD962,$AH962),_xlpm.trn,CHOOSE({1,2,3,4,5},$S962,$W962,$AA962,$AE962,$AI962),_xlpm.nsC,SUMPRODUCT(--(_xlpm.stat="Ready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DLR",IF(AND(_xlpm.actRS&gt;0,_xlpm.actDone&lt;_xlpm.actRS),"Training",IF(_xlpm.actRS&gt;0,"Active",IF(AND(_xlpm.decC&gt;0,_xlpm.inPlay+_xlpm.actC=0),"Dead",IF(AND($AJ962&lt;&gt;"",$AK962=FALSE),"Waiting on Dealer",IF(_xlpm.subC&gt;0,"Waiting on Lender",IF(AND(_xlpm.appC+_xlpm.actC&gt;0,_xlpm.nsC+_xlpm.wdC=0),"Rate Sheet","Application Submitted")))))))))</f>
        <v/>
      </c>
      <c r="M962" s="87"/>
      <c r="N962" s="87"/>
      <c r="O962" s="197"/>
      <c r="P962" s="87" t="str">
        <f>IF($A962="","",IF($AK962=TRUE,"Ready 2 Submit","Waiting on Dealer"))</f>
        <v/>
      </c>
      <c r="Q962" s="148"/>
      <c r="R962" s="87"/>
      <c r="S962" s="87"/>
      <c r="T962" s="87" t="str">
        <f>IF($A962="","",IF($AK962=TRUE,"Ready 2 Submit","Waiting on Dealer"))</f>
        <v/>
      </c>
      <c r="U962" s="148"/>
      <c r="V962" s="87"/>
      <c r="W962" s="87"/>
      <c r="X962" s="87" t="str">
        <f>IF($A962="","",IF($AK962=TRUE,"Ready 2 Submit","Waiting on Dealer"))</f>
        <v/>
      </c>
      <c r="Y962" s="148"/>
      <c r="Z962" s="87"/>
      <c r="AA962" s="87"/>
      <c r="AB962" s="87" t="str">
        <f>IF($A962="","",IF($AK962=TRUE,"Ready 2 Submit","Waiting on Dealer"))</f>
        <v/>
      </c>
      <c r="AC962" s="148"/>
      <c r="AD962" s="87"/>
      <c r="AE962" s="87"/>
      <c r="AF962" s="87" t="str">
        <f>IF($A962="","",IF($AK962=TRUE,"Ready 2 Submit","Waiting on Dealer"))</f>
        <v/>
      </c>
      <c r="AG962" s="148"/>
      <c r="AH962" s="87"/>
      <c r="AI962" s="87"/>
      <c r="AJ962" s="197"/>
      <c r="AK962" s="110" t="b">
        <v>0</v>
      </c>
      <c r="AL962" s="87" t="str" cm="1">
        <f t="array" ref="AL962">IF($A962="","",SUMPRODUCT((CHOOSE({1,2,3,4,5},$R962,$V962,$Z962,$AD962,$AH962)="Yes")*(((CHOOSE({1,2,3,4,5},$S962,$W962,$AA962,$AE962,$AI962)="Yes")+(CHOOSE({1,2,3,4,5},$S962,$W962,$AA962,$AE962,$AI962)=TRUE))&gt;0)))</f>
        <v/>
      </c>
      <c r="AM962" s="87"/>
      <c r="AN962" s="87" t="str">
        <f ca="1">IF(OR($A962="",$AM962=""),"",TODAY()-$AM962)</f>
        <v/>
      </c>
      <c r="AO962" s="87"/>
      <c r="AP962" s="106"/>
      <c r="AQ962" s="106"/>
      <c r="AR962" s="106"/>
      <c r="AS962" s="106"/>
      <c r="AT962" s="106"/>
      <c r="AU962" s="106"/>
      <c r="AV962" s="106"/>
      <c r="AW962" s="106"/>
      <c r="AX962" s="106"/>
      <c r="AY962" s="106"/>
    </row>
    <row r="963" spans="1:51" s="20" customFormat="1" ht="21" customHeight="1">
      <c r="A963" s="197"/>
      <c r="B963" s="87"/>
      <c r="C963" s="87"/>
      <c r="D963" s="196"/>
      <c r="E963" s="108"/>
      <c r="F963" s="196"/>
      <c r="G963" s="87"/>
      <c r="H963" s="197"/>
      <c r="I963" s="89"/>
      <c r="J963" s="204"/>
      <c r="K963" s="87"/>
      <c r="L963" s="87" t="str" cm="1">
        <f t="array" ref="L963">IF($A963="","",_xlfn.LET(_xlpm.stat,CHOOSE({1,2,3,4,5},$P963,$T963,$X963,$AB963,$AF963),_xlpm.rate,CHOOSE({1,2,3,4,5},$R963,$V963,$Z963,$AD963,$AH963),_xlpm.trn,CHOOSE({1,2,3,4,5},$S963,$W963,$AA963,$AE963,$AI963),_xlpm.nsC,SUMPRODUCT(--(_xlpm.stat="Ready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DLR",IF(AND(_xlpm.actRS&gt;0,_xlpm.actDone&lt;_xlpm.actRS),"Training",IF(_xlpm.actRS&gt;0,"Active",IF(AND(_xlpm.decC&gt;0,_xlpm.inPlay+_xlpm.actC=0),"Dead",IF(AND($AJ963&lt;&gt;"",$AK963=FALSE),"Waiting on Dealer",IF(_xlpm.subC&gt;0,"Waiting on Lender",IF(AND(_xlpm.appC+_xlpm.actC&gt;0,_xlpm.nsC+_xlpm.wdC=0),"Rate Sheet","Application Submitted")))))))))</f>
        <v/>
      </c>
      <c r="M963" s="87"/>
      <c r="N963" s="87"/>
      <c r="O963" s="197"/>
      <c r="P963" s="87" t="str">
        <f>IF($A963="","",IF($AK963=TRUE,"Ready 2 Submit","Waiting on Dealer"))</f>
        <v/>
      </c>
      <c r="Q963" s="148"/>
      <c r="R963" s="87"/>
      <c r="S963" s="87"/>
      <c r="T963" s="87" t="str">
        <f>IF($A963="","",IF($AK963=TRUE,"Ready 2 Submit","Waiting on Dealer"))</f>
        <v/>
      </c>
      <c r="U963" s="148"/>
      <c r="V963" s="87"/>
      <c r="W963" s="87"/>
      <c r="X963" s="87" t="str">
        <f>IF($A963="","",IF($AK963=TRUE,"Ready 2 Submit","Waiting on Dealer"))</f>
        <v/>
      </c>
      <c r="Y963" s="148"/>
      <c r="Z963" s="87"/>
      <c r="AA963" s="87"/>
      <c r="AB963" s="87" t="str">
        <f>IF($A963="","",IF($AK963=TRUE,"Ready 2 Submit","Waiting on Dealer"))</f>
        <v/>
      </c>
      <c r="AC963" s="148"/>
      <c r="AD963" s="87"/>
      <c r="AE963" s="87"/>
      <c r="AF963" s="87" t="str">
        <f>IF($A963="","",IF($AK963=TRUE,"Ready 2 Submit","Waiting on Dealer"))</f>
        <v/>
      </c>
      <c r="AG963" s="148"/>
      <c r="AH963" s="87"/>
      <c r="AI963" s="87"/>
      <c r="AJ963" s="197"/>
      <c r="AK963" s="110" t="b">
        <v>0</v>
      </c>
      <c r="AL963" s="87" t="str" cm="1">
        <f t="array" ref="AL963">IF($A963="","",SUMPRODUCT((CHOOSE({1,2,3,4,5},$R963,$V963,$Z963,$AD963,$AH963)="Yes")*(((CHOOSE({1,2,3,4,5},$S963,$W963,$AA963,$AE963,$AI963)="Yes")+(CHOOSE({1,2,3,4,5},$S963,$W963,$AA963,$AE963,$AI963)=TRUE))&gt;0)))</f>
        <v/>
      </c>
      <c r="AM963" s="87"/>
      <c r="AN963" s="87" t="str">
        <f ca="1">IF(OR($A963="",$AM963=""),"",TODAY()-$AM963)</f>
        <v/>
      </c>
      <c r="AO963" s="87"/>
      <c r="AP963" s="106"/>
      <c r="AQ963" s="106"/>
      <c r="AR963" s="106"/>
      <c r="AS963" s="106"/>
      <c r="AT963" s="106"/>
      <c r="AU963" s="106"/>
      <c r="AV963" s="106"/>
      <c r="AW963" s="106"/>
      <c r="AX963" s="106"/>
      <c r="AY963" s="106"/>
    </row>
    <row r="964" spans="1:51" s="20" customFormat="1" ht="21" customHeight="1">
      <c r="A964" s="197"/>
      <c r="B964" s="87"/>
      <c r="C964" s="87"/>
      <c r="D964" s="196"/>
      <c r="E964" s="108"/>
      <c r="F964" s="196"/>
      <c r="G964" s="87"/>
      <c r="H964" s="197"/>
      <c r="I964" s="89"/>
      <c r="J964" s="204"/>
      <c r="K964" s="87"/>
      <c r="L964" s="87" t="str" cm="1">
        <f t="array" ref="L964">IF($A964="","",_xlfn.LET(_xlpm.stat,CHOOSE({1,2,3,4,5},$P964,$T964,$X964,$AB964,$AF964),_xlpm.rate,CHOOSE({1,2,3,4,5},$R964,$V964,$Z964,$AD964,$AH964),_xlpm.trn,CHOOSE({1,2,3,4,5},$S964,$W964,$AA964,$AE964,$AI964),_xlpm.nsC,SUMPRODUCT(--(_xlpm.stat="Ready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DLR",IF(AND(_xlpm.actRS&gt;0,_xlpm.actDone&lt;_xlpm.actRS),"Training",IF(_xlpm.actRS&gt;0,"Active",IF(AND(_xlpm.decC&gt;0,_xlpm.inPlay+_xlpm.actC=0),"Dead",IF(AND($AJ964&lt;&gt;"",$AK964=FALSE),"Waiting on Dealer",IF(_xlpm.subC&gt;0,"Waiting on Lender",IF(AND(_xlpm.appC+_xlpm.actC&gt;0,_xlpm.nsC+_xlpm.wdC=0),"Rate Sheet","Application Submitted")))))))))</f>
        <v/>
      </c>
      <c r="M964" s="87"/>
      <c r="N964" s="87"/>
      <c r="O964" s="197"/>
      <c r="P964" s="87" t="str">
        <f>IF($A964="","",IF($AK964=TRUE,"Ready 2 Submit","Waiting on Dealer"))</f>
        <v/>
      </c>
      <c r="Q964" s="148"/>
      <c r="R964" s="87"/>
      <c r="S964" s="87"/>
      <c r="T964" s="87" t="str">
        <f>IF($A964="","",IF($AK964=TRUE,"Ready 2 Submit","Waiting on Dealer"))</f>
        <v/>
      </c>
      <c r="U964" s="148"/>
      <c r="V964" s="87"/>
      <c r="W964" s="87"/>
      <c r="X964" s="87" t="str">
        <f>IF($A964="","",IF($AK964=TRUE,"Ready 2 Submit","Waiting on Dealer"))</f>
        <v/>
      </c>
      <c r="Y964" s="148"/>
      <c r="Z964" s="87"/>
      <c r="AA964" s="87"/>
      <c r="AB964" s="87" t="str">
        <f>IF($A964="","",IF($AK964=TRUE,"Ready 2 Submit","Waiting on Dealer"))</f>
        <v/>
      </c>
      <c r="AC964" s="148"/>
      <c r="AD964" s="87"/>
      <c r="AE964" s="87"/>
      <c r="AF964" s="87" t="str">
        <f>IF($A964="","",IF($AK964=TRUE,"Ready 2 Submit","Waiting on Dealer"))</f>
        <v/>
      </c>
      <c r="AG964" s="148"/>
      <c r="AH964" s="87"/>
      <c r="AI964" s="87"/>
      <c r="AJ964" s="197"/>
      <c r="AK964" s="110" t="b">
        <v>0</v>
      </c>
      <c r="AL964" s="87" t="str" cm="1">
        <f t="array" ref="AL964">IF($A964="","",SUMPRODUCT((CHOOSE({1,2,3,4,5},$R964,$V964,$Z964,$AD964,$AH964)="Yes")*(((CHOOSE({1,2,3,4,5},$S964,$W964,$AA964,$AE964,$AI964)="Yes")+(CHOOSE({1,2,3,4,5},$S964,$W964,$AA964,$AE964,$AI964)=TRUE))&gt;0)))</f>
        <v/>
      </c>
      <c r="AM964" s="87"/>
      <c r="AN964" s="87" t="str">
        <f ca="1">IF(OR($A964="",$AM964=""),"",TODAY()-$AM964)</f>
        <v/>
      </c>
      <c r="AO964" s="87"/>
      <c r="AP964" s="106"/>
      <c r="AQ964" s="106"/>
      <c r="AR964" s="106"/>
      <c r="AS964" s="106"/>
      <c r="AT964" s="106"/>
      <c r="AU964" s="106"/>
      <c r="AV964" s="106"/>
      <c r="AW964" s="106"/>
      <c r="AX964" s="106"/>
      <c r="AY964" s="106"/>
    </row>
    <row r="965" spans="1:51" s="20" customFormat="1" ht="21" customHeight="1">
      <c r="A965" s="197"/>
      <c r="B965" s="87"/>
      <c r="C965" s="87"/>
      <c r="D965" s="196"/>
      <c r="E965" s="108"/>
      <c r="F965" s="196"/>
      <c r="G965" s="87"/>
      <c r="H965" s="197"/>
      <c r="I965" s="89"/>
      <c r="J965" s="204"/>
      <c r="K965" s="87"/>
      <c r="L965" s="87" t="str" cm="1">
        <f t="array" ref="L965">IF($A965="","",_xlfn.LET(_xlpm.stat,CHOOSE({1,2,3,4,5},$P965,$T965,$X965,$AB965,$AF965),_xlpm.rate,CHOOSE({1,2,3,4,5},$R965,$V965,$Z965,$AD965,$AH965),_xlpm.trn,CHOOSE({1,2,3,4,5},$S965,$W965,$AA965,$AE965,$AI965),_xlpm.nsC,SUMPRODUCT(--(_xlpm.stat="Ready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DLR",IF(AND(_xlpm.actRS&gt;0,_xlpm.actDone&lt;_xlpm.actRS),"Training",IF(_xlpm.actRS&gt;0,"Active",IF(AND(_xlpm.decC&gt;0,_xlpm.inPlay+_xlpm.actC=0),"Dead",IF(AND($AJ965&lt;&gt;"",$AK965=FALSE),"Waiting on Dealer",IF(_xlpm.subC&gt;0,"Waiting on Lender",IF(AND(_xlpm.appC+_xlpm.actC&gt;0,_xlpm.nsC+_xlpm.wdC=0),"Rate Sheet","Application Submitted")))))))))</f>
        <v/>
      </c>
      <c r="M965" s="87"/>
      <c r="N965" s="87"/>
      <c r="O965" s="197"/>
      <c r="P965" s="87" t="str">
        <f>IF($A965="","",IF($AK965=TRUE,"Ready 2 Submit","Waiting on Dealer"))</f>
        <v/>
      </c>
      <c r="Q965" s="148"/>
      <c r="R965" s="87"/>
      <c r="S965" s="87"/>
      <c r="T965" s="87" t="str">
        <f>IF($A965="","",IF($AK965=TRUE,"Ready 2 Submit","Waiting on Dealer"))</f>
        <v/>
      </c>
      <c r="U965" s="148"/>
      <c r="V965" s="87"/>
      <c r="W965" s="87"/>
      <c r="X965" s="87" t="str">
        <f>IF($A965="","",IF($AK965=TRUE,"Ready 2 Submit","Waiting on Dealer"))</f>
        <v/>
      </c>
      <c r="Y965" s="148"/>
      <c r="Z965" s="87"/>
      <c r="AA965" s="87"/>
      <c r="AB965" s="87" t="str">
        <f>IF($A965="","",IF($AK965=TRUE,"Ready 2 Submit","Waiting on Dealer"))</f>
        <v/>
      </c>
      <c r="AC965" s="148"/>
      <c r="AD965" s="87"/>
      <c r="AE965" s="87"/>
      <c r="AF965" s="87" t="str">
        <f>IF($A965="","",IF($AK965=TRUE,"Ready 2 Submit","Waiting on Dealer"))</f>
        <v/>
      </c>
      <c r="AG965" s="148"/>
      <c r="AH965" s="87"/>
      <c r="AI965" s="87"/>
      <c r="AJ965" s="197"/>
      <c r="AK965" s="110" t="b">
        <v>0</v>
      </c>
      <c r="AL965" s="87" t="str" cm="1">
        <f t="array" ref="AL965">IF($A965="","",SUMPRODUCT((CHOOSE({1,2,3,4,5},$R965,$V965,$Z965,$AD965,$AH965)="Yes")*(((CHOOSE({1,2,3,4,5},$S965,$W965,$AA965,$AE965,$AI965)="Yes")+(CHOOSE({1,2,3,4,5},$S965,$W965,$AA965,$AE965,$AI965)=TRUE))&gt;0)))</f>
        <v/>
      </c>
      <c r="AM965" s="87"/>
      <c r="AN965" s="87" t="str">
        <f ca="1">IF(OR($A965="",$AM965=""),"",TODAY()-$AM965)</f>
        <v/>
      </c>
      <c r="AO965" s="87"/>
      <c r="AP965" s="106"/>
      <c r="AQ965" s="106"/>
      <c r="AR965" s="106"/>
      <c r="AS965" s="106"/>
      <c r="AT965" s="106"/>
      <c r="AU965" s="106"/>
      <c r="AV965" s="106"/>
      <c r="AW965" s="106"/>
      <c r="AX965" s="106"/>
      <c r="AY965" s="106"/>
    </row>
    <row r="966" spans="1:51" s="20" customFormat="1" ht="21" customHeight="1">
      <c r="A966" s="197"/>
      <c r="B966" s="87"/>
      <c r="C966" s="87"/>
      <c r="D966" s="196"/>
      <c r="E966" s="108"/>
      <c r="F966" s="196"/>
      <c r="G966" s="87"/>
      <c r="H966" s="197"/>
      <c r="I966" s="89"/>
      <c r="J966" s="204"/>
      <c r="K966" s="87"/>
      <c r="L966" s="87" t="str" cm="1">
        <f t="array" ref="L966">IF($A966="","",_xlfn.LET(_xlpm.stat,CHOOSE({1,2,3,4,5},$P966,$T966,$X966,$AB966,$AF966),_xlpm.rate,CHOOSE({1,2,3,4,5},$R966,$V966,$Z966,$AD966,$AH966),_xlpm.trn,CHOOSE({1,2,3,4,5},$S966,$W966,$AA966,$AE966,$AI966),_xlpm.nsC,SUMPRODUCT(--(_xlpm.stat="Ready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DLR",IF(AND(_xlpm.actRS&gt;0,_xlpm.actDone&lt;_xlpm.actRS),"Training",IF(_xlpm.actRS&gt;0,"Active",IF(AND(_xlpm.decC&gt;0,_xlpm.inPlay+_xlpm.actC=0),"Dead",IF(AND($AJ966&lt;&gt;"",$AK966=FALSE),"Waiting on Dealer",IF(_xlpm.subC&gt;0,"Waiting on Lender",IF(AND(_xlpm.appC+_xlpm.actC&gt;0,_xlpm.nsC+_xlpm.wdC=0),"Rate Sheet","Application Submitted")))))))))</f>
        <v/>
      </c>
      <c r="M966" s="87"/>
      <c r="N966" s="87"/>
      <c r="O966" s="197"/>
      <c r="P966" s="87" t="str">
        <f>IF($A966="","",IF($AK966=TRUE,"Ready 2 Submit","Waiting on Dealer"))</f>
        <v/>
      </c>
      <c r="Q966" s="148"/>
      <c r="R966" s="87"/>
      <c r="S966" s="87"/>
      <c r="T966" s="87" t="str">
        <f>IF($A966="","",IF($AK966=TRUE,"Ready 2 Submit","Waiting on Dealer"))</f>
        <v/>
      </c>
      <c r="U966" s="148"/>
      <c r="V966" s="87"/>
      <c r="W966" s="87"/>
      <c r="X966" s="87" t="str">
        <f>IF($A966="","",IF($AK966=TRUE,"Ready 2 Submit","Waiting on Dealer"))</f>
        <v/>
      </c>
      <c r="Y966" s="148"/>
      <c r="Z966" s="87"/>
      <c r="AA966" s="87"/>
      <c r="AB966" s="87" t="str">
        <f>IF($A966="","",IF($AK966=TRUE,"Ready 2 Submit","Waiting on Dealer"))</f>
        <v/>
      </c>
      <c r="AC966" s="148"/>
      <c r="AD966" s="87"/>
      <c r="AE966" s="87"/>
      <c r="AF966" s="87" t="str">
        <f>IF($A966="","",IF($AK966=TRUE,"Ready 2 Submit","Waiting on Dealer"))</f>
        <v/>
      </c>
      <c r="AG966" s="148"/>
      <c r="AH966" s="87"/>
      <c r="AI966" s="87"/>
      <c r="AJ966" s="197"/>
      <c r="AK966" s="110" t="b">
        <v>0</v>
      </c>
      <c r="AL966" s="87" t="str" cm="1">
        <f t="array" ref="AL966">IF($A966="","",SUMPRODUCT((CHOOSE({1,2,3,4,5},$R966,$V966,$Z966,$AD966,$AH966)="Yes")*(((CHOOSE({1,2,3,4,5},$S966,$W966,$AA966,$AE966,$AI966)="Yes")+(CHOOSE({1,2,3,4,5},$S966,$W966,$AA966,$AE966,$AI966)=TRUE))&gt;0)))</f>
        <v/>
      </c>
      <c r="AM966" s="87"/>
      <c r="AN966" s="87" t="str">
        <f ca="1">IF(OR($A966="",$AM966=""),"",TODAY()-$AM966)</f>
        <v/>
      </c>
      <c r="AO966" s="87"/>
      <c r="AP966" s="106"/>
      <c r="AQ966" s="106"/>
      <c r="AR966" s="106"/>
      <c r="AS966" s="106"/>
      <c r="AT966" s="106"/>
      <c r="AU966" s="106"/>
      <c r="AV966" s="106"/>
      <c r="AW966" s="106"/>
      <c r="AX966" s="106"/>
      <c r="AY966" s="106"/>
    </row>
    <row r="967" spans="1:51" s="20" customFormat="1" ht="21" customHeight="1">
      <c r="A967" s="197"/>
      <c r="B967" s="87"/>
      <c r="C967" s="87"/>
      <c r="D967" s="196"/>
      <c r="E967" s="108"/>
      <c r="F967" s="196"/>
      <c r="G967" s="87"/>
      <c r="H967" s="197"/>
      <c r="I967" s="89"/>
      <c r="J967" s="204"/>
      <c r="K967" s="87"/>
      <c r="L967" s="87" t="str" cm="1">
        <f t="array" ref="L967">IF($A967="","",_xlfn.LET(_xlpm.stat,CHOOSE({1,2,3,4,5},$P967,$T967,$X967,$AB967,$AF967),_xlpm.rate,CHOOSE({1,2,3,4,5},$R967,$V967,$Z967,$AD967,$AH967),_xlpm.trn,CHOOSE({1,2,3,4,5},$S967,$W967,$AA967,$AE967,$AI967),_xlpm.nsC,SUMPRODUCT(--(_xlpm.stat="Ready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DLR",IF(AND(_xlpm.actRS&gt;0,_xlpm.actDone&lt;_xlpm.actRS),"Training",IF(_xlpm.actRS&gt;0,"Active",IF(AND(_xlpm.decC&gt;0,_xlpm.inPlay+_xlpm.actC=0),"Dead",IF(AND($AJ967&lt;&gt;"",$AK967=FALSE),"Waiting on Dealer",IF(_xlpm.subC&gt;0,"Waiting on Lender",IF(AND(_xlpm.appC+_xlpm.actC&gt;0,_xlpm.nsC+_xlpm.wdC=0),"Rate Sheet","Application Submitted")))))))))</f>
        <v/>
      </c>
      <c r="M967" s="87"/>
      <c r="N967" s="87"/>
      <c r="O967" s="197"/>
      <c r="P967" s="87" t="str">
        <f>IF($A967="","",IF($AK967=TRUE,"Ready 2 Submit","Waiting on Dealer"))</f>
        <v/>
      </c>
      <c r="Q967" s="148"/>
      <c r="R967" s="87"/>
      <c r="S967" s="87"/>
      <c r="T967" s="87" t="str">
        <f>IF($A967="","",IF($AK967=TRUE,"Ready 2 Submit","Waiting on Dealer"))</f>
        <v/>
      </c>
      <c r="U967" s="148"/>
      <c r="V967" s="87"/>
      <c r="W967" s="87"/>
      <c r="X967" s="87" t="str">
        <f>IF($A967="","",IF($AK967=TRUE,"Ready 2 Submit","Waiting on Dealer"))</f>
        <v/>
      </c>
      <c r="Y967" s="148"/>
      <c r="Z967" s="87"/>
      <c r="AA967" s="87"/>
      <c r="AB967" s="87" t="str">
        <f>IF($A967="","",IF($AK967=TRUE,"Ready 2 Submit","Waiting on Dealer"))</f>
        <v/>
      </c>
      <c r="AC967" s="148"/>
      <c r="AD967" s="87"/>
      <c r="AE967" s="87"/>
      <c r="AF967" s="87" t="str">
        <f>IF($A967="","",IF($AK967=TRUE,"Ready 2 Submit","Waiting on Dealer"))</f>
        <v/>
      </c>
      <c r="AG967" s="148"/>
      <c r="AH967" s="87"/>
      <c r="AI967" s="87"/>
      <c r="AJ967" s="197"/>
      <c r="AK967" s="110" t="b">
        <v>0</v>
      </c>
      <c r="AL967" s="87" t="str" cm="1">
        <f t="array" ref="AL967">IF($A967="","",SUMPRODUCT((CHOOSE({1,2,3,4,5},$R967,$V967,$Z967,$AD967,$AH967)="Yes")*(((CHOOSE({1,2,3,4,5},$S967,$W967,$AA967,$AE967,$AI967)="Yes")+(CHOOSE({1,2,3,4,5},$S967,$W967,$AA967,$AE967,$AI967)=TRUE))&gt;0)))</f>
        <v/>
      </c>
      <c r="AM967" s="87"/>
      <c r="AN967" s="87" t="str">
        <f ca="1">IF(OR($A967="",$AM967=""),"",TODAY()-$AM967)</f>
        <v/>
      </c>
      <c r="AO967" s="87"/>
      <c r="AP967" s="106"/>
      <c r="AQ967" s="106"/>
      <c r="AR967" s="106"/>
      <c r="AS967" s="106"/>
      <c r="AT967" s="106"/>
      <c r="AU967" s="106"/>
      <c r="AV967" s="106"/>
      <c r="AW967" s="106"/>
      <c r="AX967" s="106"/>
      <c r="AY967" s="106"/>
    </row>
    <row r="968" spans="1:51" s="20" customFormat="1" ht="21" customHeight="1">
      <c r="A968" s="197"/>
      <c r="B968" s="87"/>
      <c r="C968" s="87"/>
      <c r="D968" s="196"/>
      <c r="E968" s="108"/>
      <c r="F968" s="196"/>
      <c r="G968" s="87"/>
      <c r="H968" s="197"/>
      <c r="I968" s="89"/>
      <c r="J968" s="204"/>
      <c r="K968" s="87"/>
      <c r="L968" s="87" t="str" cm="1">
        <f t="array" ref="L968">IF($A968="","",_xlfn.LET(_xlpm.stat,CHOOSE({1,2,3,4,5},$P968,$T968,$X968,$AB968,$AF968),_xlpm.rate,CHOOSE({1,2,3,4,5},$R968,$V968,$Z968,$AD968,$AH968),_xlpm.trn,CHOOSE({1,2,3,4,5},$S968,$W968,$AA968,$AE968,$AI968),_xlpm.nsC,SUMPRODUCT(--(_xlpm.stat="Ready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DLR",IF(AND(_xlpm.actRS&gt;0,_xlpm.actDone&lt;_xlpm.actRS),"Training",IF(_xlpm.actRS&gt;0,"Active",IF(AND(_xlpm.decC&gt;0,_xlpm.inPlay+_xlpm.actC=0),"Dead",IF(AND($AJ968&lt;&gt;"",$AK968=FALSE),"Waiting on Dealer",IF(_xlpm.subC&gt;0,"Waiting on Lender",IF(AND(_xlpm.appC+_xlpm.actC&gt;0,_xlpm.nsC+_xlpm.wdC=0),"Rate Sheet","Application Submitted")))))))))</f>
        <v/>
      </c>
      <c r="M968" s="87"/>
      <c r="N968" s="87"/>
      <c r="O968" s="197"/>
      <c r="P968" s="87" t="str">
        <f>IF($A968="","",IF($AK968=TRUE,"Ready 2 Submit","Waiting on Dealer"))</f>
        <v/>
      </c>
      <c r="Q968" s="148"/>
      <c r="R968" s="87"/>
      <c r="S968" s="87"/>
      <c r="T968" s="87" t="str">
        <f>IF($A968="","",IF($AK968=TRUE,"Ready 2 Submit","Waiting on Dealer"))</f>
        <v/>
      </c>
      <c r="U968" s="148"/>
      <c r="V968" s="87"/>
      <c r="W968" s="87"/>
      <c r="X968" s="87" t="str">
        <f>IF($A968="","",IF($AK968=TRUE,"Ready 2 Submit","Waiting on Dealer"))</f>
        <v/>
      </c>
      <c r="Y968" s="148"/>
      <c r="Z968" s="87"/>
      <c r="AA968" s="87"/>
      <c r="AB968" s="87" t="str">
        <f>IF($A968="","",IF($AK968=TRUE,"Ready 2 Submit","Waiting on Dealer"))</f>
        <v/>
      </c>
      <c r="AC968" s="148"/>
      <c r="AD968" s="87"/>
      <c r="AE968" s="87"/>
      <c r="AF968" s="87" t="str">
        <f>IF($A968="","",IF($AK968=TRUE,"Ready 2 Submit","Waiting on Dealer"))</f>
        <v/>
      </c>
      <c r="AG968" s="148"/>
      <c r="AH968" s="87"/>
      <c r="AI968" s="87"/>
      <c r="AJ968" s="197"/>
      <c r="AK968" s="110" t="b">
        <v>0</v>
      </c>
      <c r="AL968" s="87" t="str" cm="1">
        <f t="array" ref="AL968">IF($A968="","",SUMPRODUCT((CHOOSE({1,2,3,4,5},$R968,$V968,$Z968,$AD968,$AH968)="Yes")*(((CHOOSE({1,2,3,4,5},$S968,$W968,$AA968,$AE968,$AI968)="Yes")+(CHOOSE({1,2,3,4,5},$S968,$W968,$AA968,$AE968,$AI968)=TRUE))&gt;0)))</f>
        <v/>
      </c>
      <c r="AM968" s="87"/>
      <c r="AN968" s="87" t="str">
        <f ca="1">IF(OR($A968="",$AM968=""),"",TODAY()-$AM968)</f>
        <v/>
      </c>
      <c r="AO968" s="87"/>
      <c r="AP968" s="106"/>
      <c r="AQ968" s="106"/>
      <c r="AR968" s="106"/>
      <c r="AS968" s="106"/>
      <c r="AT968" s="106"/>
      <c r="AU968" s="106"/>
      <c r="AV968" s="106"/>
      <c r="AW968" s="106"/>
      <c r="AX968" s="106"/>
      <c r="AY968" s="106"/>
    </row>
    <row r="969" spans="1:51" s="20" customFormat="1" ht="21" customHeight="1">
      <c r="A969" s="197"/>
      <c r="B969" s="87"/>
      <c r="C969" s="87"/>
      <c r="D969" s="196"/>
      <c r="E969" s="108"/>
      <c r="F969" s="196"/>
      <c r="G969" s="87"/>
      <c r="H969" s="197"/>
      <c r="I969" s="89"/>
      <c r="J969" s="204"/>
      <c r="K969" s="87"/>
      <c r="L969" s="87" t="str" cm="1">
        <f t="array" ref="L969">IF($A969="","",_xlfn.LET(_xlpm.stat,CHOOSE({1,2,3,4,5},$P969,$T969,$X969,$AB969,$AF969),_xlpm.rate,CHOOSE({1,2,3,4,5},$R969,$V969,$Z969,$AD969,$AH969),_xlpm.trn,CHOOSE({1,2,3,4,5},$S969,$W969,$AA969,$AE969,$AI969),_xlpm.nsC,SUMPRODUCT(--(_xlpm.stat="Ready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DLR",IF(AND(_xlpm.actRS&gt;0,_xlpm.actDone&lt;_xlpm.actRS),"Training",IF(_xlpm.actRS&gt;0,"Active",IF(AND(_xlpm.decC&gt;0,_xlpm.inPlay+_xlpm.actC=0),"Dead",IF(AND($AJ969&lt;&gt;"",$AK969=FALSE),"Waiting on Dealer",IF(_xlpm.subC&gt;0,"Waiting on Lender",IF(AND(_xlpm.appC+_xlpm.actC&gt;0,_xlpm.nsC+_xlpm.wdC=0),"Rate Sheet","Application Submitted")))))))))</f>
        <v/>
      </c>
      <c r="M969" s="87"/>
      <c r="N969" s="87"/>
      <c r="O969" s="197"/>
      <c r="P969" s="87" t="str">
        <f>IF($A969="","",IF($AK969=TRUE,"Ready 2 Submit","Waiting on Dealer"))</f>
        <v/>
      </c>
      <c r="Q969" s="148"/>
      <c r="R969" s="87"/>
      <c r="S969" s="87"/>
      <c r="T969" s="87" t="str">
        <f>IF($A969="","",IF($AK969=TRUE,"Ready 2 Submit","Waiting on Dealer"))</f>
        <v/>
      </c>
      <c r="U969" s="148"/>
      <c r="V969" s="87"/>
      <c r="W969" s="87"/>
      <c r="X969" s="87" t="str">
        <f>IF($A969="","",IF($AK969=TRUE,"Ready 2 Submit","Waiting on Dealer"))</f>
        <v/>
      </c>
      <c r="Y969" s="148"/>
      <c r="Z969" s="87"/>
      <c r="AA969" s="87"/>
      <c r="AB969" s="87" t="str">
        <f>IF($A969="","",IF($AK969=TRUE,"Ready 2 Submit","Waiting on Dealer"))</f>
        <v/>
      </c>
      <c r="AC969" s="148"/>
      <c r="AD969" s="87"/>
      <c r="AE969" s="87"/>
      <c r="AF969" s="87" t="str">
        <f>IF($A969="","",IF($AK969=TRUE,"Ready 2 Submit","Waiting on Dealer"))</f>
        <v/>
      </c>
      <c r="AG969" s="148"/>
      <c r="AH969" s="87"/>
      <c r="AI969" s="87"/>
      <c r="AJ969" s="197"/>
      <c r="AK969" s="110" t="b">
        <v>0</v>
      </c>
      <c r="AL969" s="87" t="str" cm="1">
        <f t="array" ref="AL969">IF($A969="","",SUMPRODUCT((CHOOSE({1,2,3,4,5},$R969,$V969,$Z969,$AD969,$AH969)="Yes")*(((CHOOSE({1,2,3,4,5},$S969,$W969,$AA969,$AE969,$AI969)="Yes")+(CHOOSE({1,2,3,4,5},$S969,$W969,$AA969,$AE969,$AI969)=TRUE))&gt;0)))</f>
        <v/>
      </c>
      <c r="AM969" s="87"/>
      <c r="AN969" s="87" t="str">
        <f ca="1">IF(OR($A969="",$AM969=""),"",TODAY()-$AM969)</f>
        <v/>
      </c>
      <c r="AO969" s="87"/>
      <c r="AP969" s="106"/>
      <c r="AQ969" s="106"/>
      <c r="AR969" s="106"/>
      <c r="AS969" s="106"/>
      <c r="AT969" s="106"/>
      <c r="AU969" s="106"/>
      <c r="AV969" s="106"/>
      <c r="AW969" s="106"/>
      <c r="AX969" s="106"/>
      <c r="AY969" s="106"/>
    </row>
    <row r="970" spans="1:51" s="20" customFormat="1" ht="21" customHeight="1">
      <c r="A970" s="197"/>
      <c r="B970" s="87"/>
      <c r="C970" s="87"/>
      <c r="D970" s="196"/>
      <c r="E970" s="108"/>
      <c r="F970" s="196"/>
      <c r="G970" s="87"/>
      <c r="H970" s="197"/>
      <c r="I970" s="89"/>
      <c r="J970" s="204"/>
      <c r="K970" s="87"/>
      <c r="L970" s="87" t="str" cm="1">
        <f t="array" ref="L970">IF($A970="","",_xlfn.LET(_xlpm.stat,CHOOSE({1,2,3,4,5},$P970,$T970,$X970,$AB970,$AF970),_xlpm.rate,CHOOSE({1,2,3,4,5},$R970,$V970,$Z970,$AD970,$AH970),_xlpm.trn,CHOOSE({1,2,3,4,5},$S970,$W970,$AA970,$AE970,$AI970),_xlpm.nsC,SUMPRODUCT(--(_xlpm.stat="Ready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DLR",IF(AND(_xlpm.actRS&gt;0,_xlpm.actDone&lt;_xlpm.actRS),"Training",IF(_xlpm.actRS&gt;0,"Active",IF(AND(_xlpm.decC&gt;0,_xlpm.inPlay+_xlpm.actC=0),"Dead",IF(AND($AJ970&lt;&gt;"",$AK970=FALSE),"Waiting on Dealer",IF(_xlpm.subC&gt;0,"Waiting on Lender",IF(AND(_xlpm.appC+_xlpm.actC&gt;0,_xlpm.nsC+_xlpm.wdC=0),"Rate Sheet","Application Submitted")))))))))</f>
        <v/>
      </c>
      <c r="M970" s="87"/>
      <c r="N970" s="87"/>
      <c r="O970" s="197"/>
      <c r="P970" s="87" t="str">
        <f>IF($A970="","",IF($AK970=TRUE,"Ready 2 Submit","Waiting on Dealer"))</f>
        <v/>
      </c>
      <c r="Q970" s="148"/>
      <c r="R970" s="87"/>
      <c r="S970" s="87"/>
      <c r="T970" s="87" t="str">
        <f>IF($A970="","",IF($AK970=TRUE,"Ready 2 Submit","Waiting on Dealer"))</f>
        <v/>
      </c>
      <c r="U970" s="148"/>
      <c r="V970" s="87"/>
      <c r="W970" s="87"/>
      <c r="X970" s="87" t="str">
        <f>IF($A970="","",IF($AK970=TRUE,"Ready 2 Submit","Waiting on Dealer"))</f>
        <v/>
      </c>
      <c r="Y970" s="148"/>
      <c r="Z970" s="87"/>
      <c r="AA970" s="87"/>
      <c r="AB970" s="87" t="str">
        <f>IF($A970="","",IF($AK970=TRUE,"Ready 2 Submit","Waiting on Dealer"))</f>
        <v/>
      </c>
      <c r="AC970" s="148"/>
      <c r="AD970" s="87"/>
      <c r="AE970" s="87"/>
      <c r="AF970" s="87" t="str">
        <f>IF($A970="","",IF($AK970=TRUE,"Ready 2 Submit","Waiting on Dealer"))</f>
        <v/>
      </c>
      <c r="AG970" s="148"/>
      <c r="AH970" s="87"/>
      <c r="AI970" s="87"/>
      <c r="AJ970" s="197"/>
      <c r="AK970" s="110" t="b">
        <v>0</v>
      </c>
      <c r="AL970" s="87" t="str" cm="1">
        <f t="array" ref="AL970">IF($A970="","",SUMPRODUCT((CHOOSE({1,2,3,4,5},$R970,$V970,$Z970,$AD970,$AH970)="Yes")*(((CHOOSE({1,2,3,4,5},$S970,$W970,$AA970,$AE970,$AI970)="Yes")+(CHOOSE({1,2,3,4,5},$S970,$W970,$AA970,$AE970,$AI970)=TRUE))&gt;0)))</f>
        <v/>
      </c>
      <c r="AM970" s="87"/>
      <c r="AN970" s="87" t="str">
        <f ca="1">IF(OR($A970="",$AM970=""),"",TODAY()-$AM970)</f>
        <v/>
      </c>
      <c r="AO970" s="87"/>
      <c r="AP970" s="106"/>
      <c r="AQ970" s="106"/>
      <c r="AR970" s="106"/>
      <c r="AS970" s="106"/>
      <c r="AT970" s="106"/>
      <c r="AU970" s="106"/>
      <c r="AV970" s="106"/>
      <c r="AW970" s="106"/>
      <c r="AX970" s="106"/>
      <c r="AY970" s="106"/>
    </row>
    <row r="971" spans="1:51" s="20" customFormat="1" ht="21" customHeight="1">
      <c r="A971" s="197"/>
      <c r="B971" s="87"/>
      <c r="C971" s="87"/>
      <c r="D971" s="196"/>
      <c r="E971" s="108"/>
      <c r="F971" s="196"/>
      <c r="G971" s="87"/>
      <c r="H971" s="197"/>
      <c r="I971" s="89"/>
      <c r="J971" s="204"/>
      <c r="K971" s="87"/>
      <c r="L971" s="87" t="str" cm="1">
        <f t="array" ref="L971">IF($A971="","",_xlfn.LET(_xlpm.stat,CHOOSE({1,2,3,4,5},$P971,$T971,$X971,$AB971,$AF971),_xlpm.rate,CHOOSE({1,2,3,4,5},$R971,$V971,$Z971,$AD971,$AH971),_xlpm.trn,CHOOSE({1,2,3,4,5},$S971,$W971,$AA971,$AE971,$AI971),_xlpm.nsC,SUMPRODUCT(--(_xlpm.stat="Ready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DLR",IF(AND(_xlpm.actRS&gt;0,_xlpm.actDone&lt;_xlpm.actRS),"Training",IF(_xlpm.actRS&gt;0,"Active",IF(AND(_xlpm.decC&gt;0,_xlpm.inPlay+_xlpm.actC=0),"Dead",IF(AND($AJ971&lt;&gt;"",$AK971=FALSE),"Waiting on Dealer",IF(_xlpm.subC&gt;0,"Waiting on Lender",IF(AND(_xlpm.appC+_xlpm.actC&gt;0,_xlpm.nsC+_xlpm.wdC=0),"Rate Sheet","Application Submitted")))))))))</f>
        <v/>
      </c>
      <c r="M971" s="87"/>
      <c r="N971" s="87"/>
      <c r="O971" s="197"/>
      <c r="P971" s="87" t="str">
        <f>IF($A971="","",IF($AK971=TRUE,"Ready 2 Submit","Waiting on Dealer"))</f>
        <v/>
      </c>
      <c r="Q971" s="148"/>
      <c r="R971" s="87"/>
      <c r="S971" s="87"/>
      <c r="T971" s="87" t="str">
        <f>IF($A971="","",IF($AK971=TRUE,"Ready 2 Submit","Waiting on Dealer"))</f>
        <v/>
      </c>
      <c r="U971" s="148"/>
      <c r="V971" s="87"/>
      <c r="W971" s="87"/>
      <c r="X971" s="87" t="str">
        <f>IF($A971="","",IF($AK971=TRUE,"Ready 2 Submit","Waiting on Dealer"))</f>
        <v/>
      </c>
      <c r="Y971" s="148"/>
      <c r="Z971" s="87"/>
      <c r="AA971" s="87"/>
      <c r="AB971" s="87" t="str">
        <f>IF($A971="","",IF($AK971=TRUE,"Ready 2 Submit","Waiting on Dealer"))</f>
        <v/>
      </c>
      <c r="AC971" s="148"/>
      <c r="AD971" s="87"/>
      <c r="AE971" s="87"/>
      <c r="AF971" s="87" t="str">
        <f>IF($A971="","",IF($AK971=TRUE,"Ready 2 Submit","Waiting on Dealer"))</f>
        <v/>
      </c>
      <c r="AG971" s="148"/>
      <c r="AH971" s="87"/>
      <c r="AI971" s="87"/>
      <c r="AJ971" s="197"/>
      <c r="AK971" s="110" t="b">
        <v>0</v>
      </c>
      <c r="AL971" s="87" t="str" cm="1">
        <f t="array" ref="AL971">IF($A971="","",SUMPRODUCT((CHOOSE({1,2,3,4,5},$R971,$V971,$Z971,$AD971,$AH971)="Yes")*(((CHOOSE({1,2,3,4,5},$S971,$W971,$AA971,$AE971,$AI971)="Yes")+(CHOOSE({1,2,3,4,5},$S971,$W971,$AA971,$AE971,$AI971)=TRUE))&gt;0)))</f>
        <v/>
      </c>
      <c r="AM971" s="87"/>
      <c r="AN971" s="87" t="str">
        <f ca="1">IF(OR($A971="",$AM971=""),"",TODAY()-$AM971)</f>
        <v/>
      </c>
      <c r="AO971" s="87"/>
      <c r="AP971" s="106"/>
      <c r="AQ971" s="106"/>
      <c r="AR971" s="106"/>
      <c r="AS971" s="106"/>
      <c r="AT971" s="106"/>
      <c r="AU971" s="106"/>
      <c r="AV971" s="106"/>
      <c r="AW971" s="106"/>
      <c r="AX971" s="106"/>
      <c r="AY971" s="106"/>
    </row>
    <row r="972" spans="1:51" s="20" customFormat="1" ht="21" customHeight="1">
      <c r="A972" s="197"/>
      <c r="B972" s="87"/>
      <c r="C972" s="87"/>
      <c r="D972" s="196"/>
      <c r="E972" s="108"/>
      <c r="F972" s="196"/>
      <c r="G972" s="87"/>
      <c r="H972" s="197"/>
      <c r="I972" s="89"/>
      <c r="J972" s="204"/>
      <c r="K972" s="87"/>
      <c r="L972" s="87" t="str" cm="1">
        <f t="array" ref="L972">IF($A972="","",_xlfn.LET(_xlpm.stat,CHOOSE({1,2,3,4,5},$P972,$T972,$X972,$AB972,$AF972),_xlpm.rate,CHOOSE({1,2,3,4,5},$R972,$V972,$Z972,$AD972,$AH972),_xlpm.trn,CHOOSE({1,2,3,4,5},$S972,$W972,$AA972,$AE972,$AI972),_xlpm.nsC,SUMPRODUCT(--(_xlpm.stat="Ready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DLR",IF(AND(_xlpm.actRS&gt;0,_xlpm.actDone&lt;_xlpm.actRS),"Training",IF(_xlpm.actRS&gt;0,"Active",IF(AND(_xlpm.decC&gt;0,_xlpm.inPlay+_xlpm.actC=0),"Dead",IF(AND($AJ972&lt;&gt;"",$AK972=FALSE),"Waiting on Dealer",IF(_xlpm.subC&gt;0,"Waiting on Lender",IF(AND(_xlpm.appC+_xlpm.actC&gt;0,_xlpm.nsC+_xlpm.wdC=0),"Rate Sheet","Application Submitted")))))))))</f>
        <v/>
      </c>
      <c r="M972" s="87"/>
      <c r="N972" s="87"/>
      <c r="O972" s="197"/>
      <c r="P972" s="87" t="str">
        <f>IF($A972="","",IF($AK972=TRUE,"Ready 2 Submit","Waiting on Dealer"))</f>
        <v/>
      </c>
      <c r="Q972" s="148"/>
      <c r="R972" s="87"/>
      <c r="S972" s="87"/>
      <c r="T972" s="87" t="str">
        <f>IF($A972="","",IF($AK972=TRUE,"Ready 2 Submit","Waiting on Dealer"))</f>
        <v/>
      </c>
      <c r="U972" s="148"/>
      <c r="V972" s="87"/>
      <c r="W972" s="87"/>
      <c r="X972" s="87" t="str">
        <f>IF($A972="","",IF($AK972=TRUE,"Ready 2 Submit","Waiting on Dealer"))</f>
        <v/>
      </c>
      <c r="Y972" s="148"/>
      <c r="Z972" s="87"/>
      <c r="AA972" s="87"/>
      <c r="AB972" s="87" t="str">
        <f>IF($A972="","",IF($AK972=TRUE,"Ready 2 Submit","Waiting on Dealer"))</f>
        <v/>
      </c>
      <c r="AC972" s="148"/>
      <c r="AD972" s="87"/>
      <c r="AE972" s="87"/>
      <c r="AF972" s="87" t="str">
        <f>IF($A972="","",IF($AK972=TRUE,"Ready 2 Submit","Waiting on Dealer"))</f>
        <v/>
      </c>
      <c r="AG972" s="148"/>
      <c r="AH972" s="87"/>
      <c r="AI972" s="87"/>
      <c r="AJ972" s="197"/>
      <c r="AK972" s="110" t="b">
        <v>0</v>
      </c>
      <c r="AL972" s="87" t="str" cm="1">
        <f t="array" ref="AL972">IF($A972="","",SUMPRODUCT((CHOOSE({1,2,3,4,5},$R972,$V972,$Z972,$AD972,$AH972)="Yes")*(((CHOOSE({1,2,3,4,5},$S972,$W972,$AA972,$AE972,$AI972)="Yes")+(CHOOSE({1,2,3,4,5},$S972,$W972,$AA972,$AE972,$AI972)=TRUE))&gt;0)))</f>
        <v/>
      </c>
      <c r="AM972" s="87"/>
      <c r="AN972" s="87" t="str">
        <f ca="1">IF(OR($A972="",$AM972=""),"",TODAY()-$AM972)</f>
        <v/>
      </c>
      <c r="AO972" s="87"/>
      <c r="AP972" s="106"/>
      <c r="AQ972" s="106"/>
      <c r="AR972" s="106"/>
      <c r="AS972" s="106"/>
      <c r="AT972" s="106"/>
      <c r="AU972" s="106"/>
      <c r="AV972" s="106"/>
      <c r="AW972" s="106"/>
      <c r="AX972" s="106"/>
      <c r="AY972" s="106"/>
    </row>
    <row r="973" spans="1:51" s="20" customFormat="1" ht="21" customHeight="1">
      <c r="A973" s="197"/>
      <c r="B973" s="87"/>
      <c r="C973" s="87"/>
      <c r="D973" s="196"/>
      <c r="E973" s="108"/>
      <c r="F973" s="196"/>
      <c r="G973" s="87"/>
      <c r="H973" s="197"/>
      <c r="I973" s="89"/>
      <c r="J973" s="204"/>
      <c r="K973" s="87"/>
      <c r="L973" s="87" t="str" cm="1">
        <f t="array" ref="L973">IF($A973="","",_xlfn.LET(_xlpm.stat,CHOOSE({1,2,3,4,5},$P973,$T973,$X973,$AB973,$AF973),_xlpm.rate,CHOOSE({1,2,3,4,5},$R973,$V973,$Z973,$AD973,$AH973),_xlpm.trn,CHOOSE({1,2,3,4,5},$S973,$W973,$AA973,$AE973,$AI973),_xlpm.nsC,SUMPRODUCT(--(_xlpm.stat="Ready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DLR",IF(AND(_xlpm.actRS&gt;0,_xlpm.actDone&lt;_xlpm.actRS),"Training",IF(_xlpm.actRS&gt;0,"Active",IF(AND(_xlpm.decC&gt;0,_xlpm.inPlay+_xlpm.actC=0),"Dead",IF(AND($AJ973&lt;&gt;"",$AK973=FALSE),"Waiting on Dealer",IF(_xlpm.subC&gt;0,"Waiting on Lender",IF(AND(_xlpm.appC+_xlpm.actC&gt;0,_xlpm.nsC+_xlpm.wdC=0),"Rate Sheet","Application Submitted")))))))))</f>
        <v/>
      </c>
      <c r="M973" s="87"/>
      <c r="N973" s="87"/>
      <c r="O973" s="197"/>
      <c r="P973" s="87" t="str">
        <f>IF($A973="","",IF($AK973=TRUE,"Ready 2 Submit","Waiting on Dealer"))</f>
        <v/>
      </c>
      <c r="Q973" s="148"/>
      <c r="R973" s="87"/>
      <c r="S973" s="87"/>
      <c r="T973" s="87" t="str">
        <f>IF($A973="","",IF($AK973=TRUE,"Ready 2 Submit","Waiting on Dealer"))</f>
        <v/>
      </c>
      <c r="U973" s="148"/>
      <c r="V973" s="87"/>
      <c r="W973" s="87"/>
      <c r="X973" s="87" t="str">
        <f>IF($A973="","",IF($AK973=TRUE,"Ready 2 Submit","Waiting on Dealer"))</f>
        <v/>
      </c>
      <c r="Y973" s="148"/>
      <c r="Z973" s="87"/>
      <c r="AA973" s="87"/>
      <c r="AB973" s="87" t="str">
        <f>IF($A973="","",IF($AK973=TRUE,"Ready 2 Submit","Waiting on Dealer"))</f>
        <v/>
      </c>
      <c r="AC973" s="148"/>
      <c r="AD973" s="87"/>
      <c r="AE973" s="87"/>
      <c r="AF973" s="87" t="str">
        <f>IF($A973="","",IF($AK973=TRUE,"Ready 2 Submit","Waiting on Dealer"))</f>
        <v/>
      </c>
      <c r="AG973" s="148"/>
      <c r="AH973" s="87"/>
      <c r="AI973" s="87"/>
      <c r="AJ973" s="197"/>
      <c r="AK973" s="110" t="b">
        <v>0</v>
      </c>
      <c r="AL973" s="87" t="str" cm="1">
        <f t="array" ref="AL973">IF($A973="","",SUMPRODUCT((CHOOSE({1,2,3,4,5},$R973,$V973,$Z973,$AD973,$AH973)="Yes")*(((CHOOSE({1,2,3,4,5},$S973,$W973,$AA973,$AE973,$AI973)="Yes")+(CHOOSE({1,2,3,4,5},$S973,$W973,$AA973,$AE973,$AI973)=TRUE))&gt;0)))</f>
        <v/>
      </c>
      <c r="AM973" s="87"/>
      <c r="AN973" s="87" t="str">
        <f ca="1">IF(OR($A973="",$AM973=""),"",TODAY()-$AM973)</f>
        <v/>
      </c>
      <c r="AO973" s="87"/>
      <c r="AP973" s="106"/>
      <c r="AQ973" s="106"/>
      <c r="AR973" s="106"/>
      <c r="AS973" s="106"/>
      <c r="AT973" s="106"/>
      <c r="AU973" s="106"/>
      <c r="AV973" s="106"/>
      <c r="AW973" s="106"/>
      <c r="AX973" s="106"/>
      <c r="AY973" s="106"/>
    </row>
    <row r="974" spans="1:51" s="20" customFormat="1" ht="21" customHeight="1">
      <c r="A974" s="197"/>
      <c r="B974" s="87"/>
      <c r="C974" s="87"/>
      <c r="D974" s="196"/>
      <c r="E974" s="108"/>
      <c r="F974" s="196"/>
      <c r="G974" s="87"/>
      <c r="H974" s="197"/>
      <c r="I974" s="89"/>
      <c r="J974" s="204"/>
      <c r="K974" s="87"/>
      <c r="L974" s="87" t="str" cm="1">
        <f t="array" ref="L974">IF($A974="","",_xlfn.LET(_xlpm.stat,CHOOSE({1,2,3,4,5},$P974,$T974,$X974,$AB974,$AF974),_xlpm.rate,CHOOSE({1,2,3,4,5},$R974,$V974,$Z974,$AD974,$AH974),_xlpm.trn,CHOOSE({1,2,3,4,5},$S974,$W974,$AA974,$AE974,$AI974),_xlpm.nsC,SUMPRODUCT(--(_xlpm.stat="Ready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DLR",IF(AND(_xlpm.actRS&gt;0,_xlpm.actDone&lt;_xlpm.actRS),"Training",IF(_xlpm.actRS&gt;0,"Active",IF(AND(_xlpm.decC&gt;0,_xlpm.inPlay+_xlpm.actC=0),"Dead",IF(AND($AJ974&lt;&gt;"",$AK974=FALSE),"Waiting on Dealer",IF(_xlpm.subC&gt;0,"Waiting on Lender",IF(AND(_xlpm.appC+_xlpm.actC&gt;0,_xlpm.nsC+_xlpm.wdC=0),"Rate Sheet","Application Submitted")))))))))</f>
        <v/>
      </c>
      <c r="M974" s="87"/>
      <c r="N974" s="87"/>
      <c r="O974" s="197"/>
      <c r="P974" s="87" t="str">
        <f>IF($A974="","",IF($AK974=TRUE,"Ready 2 Submit","Waiting on Dealer"))</f>
        <v/>
      </c>
      <c r="Q974" s="148"/>
      <c r="R974" s="87"/>
      <c r="S974" s="87"/>
      <c r="T974" s="87" t="str">
        <f>IF($A974="","",IF($AK974=TRUE,"Ready 2 Submit","Waiting on Dealer"))</f>
        <v/>
      </c>
      <c r="U974" s="148"/>
      <c r="V974" s="87"/>
      <c r="W974" s="87"/>
      <c r="X974" s="87" t="str">
        <f>IF($A974="","",IF($AK974=TRUE,"Ready 2 Submit","Waiting on Dealer"))</f>
        <v/>
      </c>
      <c r="Y974" s="148"/>
      <c r="Z974" s="87"/>
      <c r="AA974" s="87"/>
      <c r="AB974" s="87" t="str">
        <f>IF($A974="","",IF($AK974=TRUE,"Ready 2 Submit","Waiting on Dealer"))</f>
        <v/>
      </c>
      <c r="AC974" s="148"/>
      <c r="AD974" s="87"/>
      <c r="AE974" s="87"/>
      <c r="AF974" s="87" t="str">
        <f>IF($A974="","",IF($AK974=TRUE,"Ready 2 Submit","Waiting on Dealer"))</f>
        <v/>
      </c>
      <c r="AG974" s="148"/>
      <c r="AH974" s="87"/>
      <c r="AI974" s="87"/>
      <c r="AJ974" s="197"/>
      <c r="AK974" s="110" t="b">
        <v>0</v>
      </c>
      <c r="AL974" s="87" t="str" cm="1">
        <f t="array" ref="AL974">IF($A974="","",SUMPRODUCT((CHOOSE({1,2,3,4,5},$R974,$V974,$Z974,$AD974,$AH974)="Yes")*(((CHOOSE({1,2,3,4,5},$S974,$W974,$AA974,$AE974,$AI974)="Yes")+(CHOOSE({1,2,3,4,5},$S974,$W974,$AA974,$AE974,$AI974)=TRUE))&gt;0)))</f>
        <v/>
      </c>
      <c r="AM974" s="87"/>
      <c r="AN974" s="87" t="str">
        <f ca="1">IF(OR($A974="",$AM974=""),"",TODAY()-$AM974)</f>
        <v/>
      </c>
      <c r="AO974" s="87"/>
      <c r="AP974" s="106"/>
      <c r="AQ974" s="106"/>
      <c r="AR974" s="106"/>
      <c r="AS974" s="106"/>
      <c r="AT974" s="106"/>
      <c r="AU974" s="106"/>
      <c r="AV974" s="106"/>
      <c r="AW974" s="106"/>
      <c r="AX974" s="106"/>
      <c r="AY974" s="106"/>
    </row>
    <row r="975" spans="1:51" s="20" customFormat="1" ht="21" customHeight="1">
      <c r="A975" s="197"/>
      <c r="B975" s="87"/>
      <c r="C975" s="87"/>
      <c r="D975" s="196"/>
      <c r="E975" s="108"/>
      <c r="F975" s="196"/>
      <c r="G975" s="87"/>
      <c r="H975" s="197"/>
      <c r="I975" s="89"/>
      <c r="J975" s="204"/>
      <c r="K975" s="87"/>
      <c r="L975" s="87" t="str" cm="1">
        <f t="array" ref="L975">IF($A975="","",_xlfn.LET(_xlpm.stat,CHOOSE({1,2,3,4,5},$P975,$T975,$X975,$AB975,$AF975),_xlpm.rate,CHOOSE({1,2,3,4,5},$R975,$V975,$Z975,$AD975,$AH975),_xlpm.trn,CHOOSE({1,2,3,4,5},$S975,$W975,$AA975,$AE975,$AI975),_xlpm.nsC,SUMPRODUCT(--(_xlpm.stat="Ready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DLR",IF(AND(_xlpm.actRS&gt;0,_xlpm.actDone&lt;_xlpm.actRS),"Training",IF(_xlpm.actRS&gt;0,"Active",IF(AND(_xlpm.decC&gt;0,_xlpm.inPlay+_xlpm.actC=0),"Dead",IF(AND($AJ975&lt;&gt;"",$AK975=FALSE),"Waiting on Dealer",IF(_xlpm.subC&gt;0,"Waiting on Lender",IF(AND(_xlpm.appC+_xlpm.actC&gt;0,_xlpm.nsC+_xlpm.wdC=0),"Rate Sheet","Application Submitted")))))))))</f>
        <v/>
      </c>
      <c r="M975" s="87"/>
      <c r="N975" s="87"/>
      <c r="O975" s="197"/>
      <c r="P975" s="87" t="str">
        <f>IF($A975="","",IF($AK975=TRUE,"Ready 2 Submit","Waiting on Dealer"))</f>
        <v/>
      </c>
      <c r="Q975" s="148"/>
      <c r="R975" s="87"/>
      <c r="S975" s="87"/>
      <c r="T975" s="87" t="str">
        <f>IF($A975="","",IF($AK975=TRUE,"Ready 2 Submit","Waiting on Dealer"))</f>
        <v/>
      </c>
      <c r="U975" s="148"/>
      <c r="V975" s="87"/>
      <c r="W975" s="87"/>
      <c r="X975" s="87" t="str">
        <f>IF($A975="","",IF($AK975=TRUE,"Ready 2 Submit","Waiting on Dealer"))</f>
        <v/>
      </c>
      <c r="Y975" s="148"/>
      <c r="Z975" s="87"/>
      <c r="AA975" s="87"/>
      <c r="AB975" s="87" t="str">
        <f>IF($A975="","",IF($AK975=TRUE,"Ready 2 Submit","Waiting on Dealer"))</f>
        <v/>
      </c>
      <c r="AC975" s="148"/>
      <c r="AD975" s="87"/>
      <c r="AE975" s="87"/>
      <c r="AF975" s="87" t="str">
        <f>IF($A975="","",IF($AK975=TRUE,"Ready 2 Submit","Waiting on Dealer"))</f>
        <v/>
      </c>
      <c r="AG975" s="148"/>
      <c r="AH975" s="87"/>
      <c r="AI975" s="87"/>
      <c r="AJ975" s="197"/>
      <c r="AK975" s="110" t="b">
        <v>0</v>
      </c>
      <c r="AL975" s="87" t="str" cm="1">
        <f t="array" ref="AL975">IF($A975="","",SUMPRODUCT((CHOOSE({1,2,3,4,5},$R975,$V975,$Z975,$AD975,$AH975)="Yes")*(((CHOOSE({1,2,3,4,5},$S975,$W975,$AA975,$AE975,$AI975)="Yes")+(CHOOSE({1,2,3,4,5},$S975,$W975,$AA975,$AE975,$AI975)=TRUE))&gt;0)))</f>
        <v/>
      </c>
      <c r="AM975" s="87"/>
      <c r="AN975" s="87" t="str">
        <f ca="1">IF(OR($A975="",$AM975=""),"",TODAY()-$AM975)</f>
        <v/>
      </c>
      <c r="AO975" s="87"/>
      <c r="AP975" s="106"/>
      <c r="AQ975" s="106"/>
      <c r="AR975" s="106"/>
      <c r="AS975" s="106"/>
      <c r="AT975" s="106"/>
      <c r="AU975" s="106"/>
      <c r="AV975" s="106"/>
      <c r="AW975" s="106"/>
      <c r="AX975" s="106"/>
      <c r="AY975" s="106"/>
    </row>
    <row r="976" spans="1:51" s="20" customFormat="1" ht="21" customHeight="1">
      <c r="A976" s="197"/>
      <c r="B976" s="87"/>
      <c r="C976" s="87"/>
      <c r="D976" s="196"/>
      <c r="E976" s="108"/>
      <c r="F976" s="196"/>
      <c r="G976" s="87"/>
      <c r="H976" s="197"/>
      <c r="I976" s="89"/>
      <c r="J976" s="204"/>
      <c r="K976" s="87"/>
      <c r="L976" s="87" t="str" cm="1">
        <f t="array" ref="L976">IF($A976="","",_xlfn.LET(_xlpm.stat,CHOOSE({1,2,3,4,5},$P976,$T976,$X976,$AB976,$AF976),_xlpm.rate,CHOOSE({1,2,3,4,5},$R976,$V976,$Z976,$AD976,$AH976),_xlpm.trn,CHOOSE({1,2,3,4,5},$S976,$W976,$AA976,$AE976,$AI976),_xlpm.nsC,SUMPRODUCT(--(_xlpm.stat="Ready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DLR",IF(AND(_xlpm.actRS&gt;0,_xlpm.actDone&lt;_xlpm.actRS),"Training",IF(_xlpm.actRS&gt;0,"Active",IF(AND(_xlpm.decC&gt;0,_xlpm.inPlay+_xlpm.actC=0),"Dead",IF(AND($AJ976&lt;&gt;"",$AK976=FALSE),"Waiting on Dealer",IF(_xlpm.subC&gt;0,"Waiting on Lender",IF(AND(_xlpm.appC+_xlpm.actC&gt;0,_xlpm.nsC+_xlpm.wdC=0),"Rate Sheet","Application Submitted")))))))))</f>
        <v/>
      </c>
      <c r="M976" s="87"/>
      <c r="N976" s="87"/>
      <c r="O976" s="197"/>
      <c r="P976" s="87" t="str">
        <f>IF($A976="","",IF($AK976=TRUE,"Ready 2 Submit","Waiting on Dealer"))</f>
        <v/>
      </c>
      <c r="Q976" s="148"/>
      <c r="R976" s="87"/>
      <c r="S976" s="87"/>
      <c r="T976" s="87" t="str">
        <f>IF($A976="","",IF($AK976=TRUE,"Ready 2 Submit","Waiting on Dealer"))</f>
        <v/>
      </c>
      <c r="U976" s="148"/>
      <c r="V976" s="87"/>
      <c r="W976" s="87"/>
      <c r="X976" s="87" t="str">
        <f>IF($A976="","",IF($AK976=TRUE,"Ready 2 Submit","Waiting on Dealer"))</f>
        <v/>
      </c>
      <c r="Y976" s="148"/>
      <c r="Z976" s="87"/>
      <c r="AA976" s="87"/>
      <c r="AB976" s="87" t="str">
        <f>IF($A976="","",IF($AK976=TRUE,"Ready 2 Submit","Waiting on Dealer"))</f>
        <v/>
      </c>
      <c r="AC976" s="148"/>
      <c r="AD976" s="87"/>
      <c r="AE976" s="87"/>
      <c r="AF976" s="87" t="str">
        <f>IF($A976="","",IF($AK976=TRUE,"Ready 2 Submit","Waiting on Dealer"))</f>
        <v/>
      </c>
      <c r="AG976" s="148"/>
      <c r="AH976" s="87"/>
      <c r="AI976" s="87"/>
      <c r="AJ976" s="197"/>
      <c r="AK976" s="110" t="b">
        <v>0</v>
      </c>
      <c r="AL976" s="87" t="str" cm="1">
        <f t="array" ref="AL976">IF($A976="","",SUMPRODUCT((CHOOSE({1,2,3,4,5},$R976,$V976,$Z976,$AD976,$AH976)="Yes")*(((CHOOSE({1,2,3,4,5},$S976,$W976,$AA976,$AE976,$AI976)="Yes")+(CHOOSE({1,2,3,4,5},$S976,$W976,$AA976,$AE976,$AI976)=TRUE))&gt;0)))</f>
        <v/>
      </c>
      <c r="AM976" s="87"/>
      <c r="AN976" s="87" t="str">
        <f ca="1">IF(OR($A976="",$AM976=""),"",TODAY()-$AM976)</f>
        <v/>
      </c>
      <c r="AO976" s="87"/>
      <c r="AP976" s="106"/>
      <c r="AQ976" s="106"/>
      <c r="AR976" s="106"/>
      <c r="AS976" s="106"/>
      <c r="AT976" s="106"/>
      <c r="AU976" s="106"/>
      <c r="AV976" s="106"/>
      <c r="AW976" s="106"/>
      <c r="AX976" s="106"/>
      <c r="AY976" s="106"/>
    </row>
    <row r="977" spans="1:51" s="20" customFormat="1" ht="21" customHeight="1">
      <c r="A977" s="197"/>
      <c r="B977" s="87"/>
      <c r="C977" s="87"/>
      <c r="D977" s="196"/>
      <c r="E977" s="108"/>
      <c r="F977" s="196"/>
      <c r="G977" s="87"/>
      <c r="H977" s="197"/>
      <c r="I977" s="89"/>
      <c r="J977" s="204"/>
      <c r="K977" s="87"/>
      <c r="L977" s="87" t="str" cm="1">
        <f t="array" ref="L977">IF($A977="","",_xlfn.LET(_xlpm.stat,CHOOSE({1,2,3,4,5},$P977,$T977,$X977,$AB977,$AF977),_xlpm.rate,CHOOSE({1,2,3,4,5},$R977,$V977,$Z977,$AD977,$AH977),_xlpm.trn,CHOOSE({1,2,3,4,5},$S977,$W977,$AA977,$AE977,$AI977),_xlpm.nsC,SUMPRODUCT(--(_xlpm.stat="Ready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DLR",IF(AND(_xlpm.actRS&gt;0,_xlpm.actDone&lt;_xlpm.actRS),"Training",IF(_xlpm.actRS&gt;0,"Active",IF(AND(_xlpm.decC&gt;0,_xlpm.inPlay+_xlpm.actC=0),"Dead",IF(AND($AJ977&lt;&gt;"",$AK977=FALSE),"Waiting on Dealer",IF(_xlpm.subC&gt;0,"Waiting on Lender",IF(AND(_xlpm.appC+_xlpm.actC&gt;0,_xlpm.nsC+_xlpm.wdC=0),"Rate Sheet","Application Submitted")))))))))</f>
        <v/>
      </c>
      <c r="M977" s="87"/>
      <c r="N977" s="87"/>
      <c r="O977" s="197"/>
      <c r="P977" s="87" t="str">
        <f>IF($A977="","",IF($AK977=TRUE,"Ready 2 Submit","Waiting on Dealer"))</f>
        <v/>
      </c>
      <c r="Q977" s="148"/>
      <c r="R977" s="87"/>
      <c r="S977" s="87"/>
      <c r="T977" s="87" t="str">
        <f>IF($A977="","",IF($AK977=TRUE,"Ready 2 Submit","Waiting on Dealer"))</f>
        <v/>
      </c>
      <c r="U977" s="148"/>
      <c r="V977" s="87"/>
      <c r="W977" s="87"/>
      <c r="X977" s="87" t="str">
        <f>IF($A977="","",IF($AK977=TRUE,"Ready 2 Submit","Waiting on Dealer"))</f>
        <v/>
      </c>
      <c r="Y977" s="148"/>
      <c r="Z977" s="87"/>
      <c r="AA977" s="87"/>
      <c r="AB977" s="87" t="str">
        <f>IF($A977="","",IF($AK977=TRUE,"Ready 2 Submit","Waiting on Dealer"))</f>
        <v/>
      </c>
      <c r="AC977" s="148"/>
      <c r="AD977" s="87"/>
      <c r="AE977" s="87"/>
      <c r="AF977" s="87" t="str">
        <f>IF($A977="","",IF($AK977=TRUE,"Ready 2 Submit","Waiting on Dealer"))</f>
        <v/>
      </c>
      <c r="AG977" s="148"/>
      <c r="AH977" s="87"/>
      <c r="AI977" s="87"/>
      <c r="AJ977" s="197"/>
      <c r="AK977" s="110" t="b">
        <v>0</v>
      </c>
      <c r="AL977" s="87" t="str" cm="1">
        <f t="array" ref="AL977">IF($A977="","",SUMPRODUCT((CHOOSE({1,2,3,4,5},$R977,$V977,$Z977,$AD977,$AH977)="Yes")*(((CHOOSE({1,2,3,4,5},$S977,$W977,$AA977,$AE977,$AI977)="Yes")+(CHOOSE({1,2,3,4,5},$S977,$W977,$AA977,$AE977,$AI977)=TRUE))&gt;0)))</f>
        <v/>
      </c>
      <c r="AM977" s="87"/>
      <c r="AN977" s="87" t="str">
        <f ca="1">IF(OR($A977="",$AM977=""),"",TODAY()-$AM977)</f>
        <v/>
      </c>
      <c r="AO977" s="87"/>
      <c r="AP977" s="106"/>
      <c r="AQ977" s="106"/>
      <c r="AR977" s="106"/>
      <c r="AS977" s="106"/>
      <c r="AT977" s="106"/>
      <c r="AU977" s="106"/>
      <c r="AV977" s="106"/>
      <c r="AW977" s="106"/>
      <c r="AX977" s="106"/>
      <c r="AY977" s="106"/>
    </row>
    <row r="978" spans="1:51" s="20" customFormat="1" ht="21" customHeight="1">
      <c r="A978" s="197"/>
      <c r="B978" s="87"/>
      <c r="C978" s="87"/>
      <c r="D978" s="196"/>
      <c r="E978" s="108"/>
      <c r="F978" s="196"/>
      <c r="G978" s="87"/>
      <c r="H978" s="197"/>
      <c r="I978" s="89"/>
      <c r="J978" s="204"/>
      <c r="K978" s="87"/>
      <c r="L978" s="87" t="str" cm="1">
        <f t="array" ref="L978">IF($A978="","",_xlfn.LET(_xlpm.stat,CHOOSE({1,2,3,4,5},$P978,$T978,$X978,$AB978,$AF978),_xlpm.rate,CHOOSE({1,2,3,4,5},$R978,$V978,$Z978,$AD978,$AH978),_xlpm.trn,CHOOSE({1,2,3,4,5},$S978,$W978,$AA978,$AE978,$AI978),_xlpm.nsC,SUMPRODUCT(--(_xlpm.stat="Ready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DLR",IF(AND(_xlpm.actRS&gt;0,_xlpm.actDone&lt;_xlpm.actRS),"Training",IF(_xlpm.actRS&gt;0,"Active",IF(AND(_xlpm.decC&gt;0,_xlpm.inPlay+_xlpm.actC=0),"Dead",IF(AND($AJ978&lt;&gt;"",$AK978=FALSE),"Waiting on Dealer",IF(_xlpm.subC&gt;0,"Waiting on Lender",IF(AND(_xlpm.appC+_xlpm.actC&gt;0,_xlpm.nsC+_xlpm.wdC=0),"Rate Sheet","Application Submitted")))))))))</f>
        <v/>
      </c>
      <c r="M978" s="87"/>
      <c r="N978" s="87"/>
      <c r="O978" s="197"/>
      <c r="P978" s="87" t="str">
        <f>IF($A978="","",IF($AK978=TRUE,"Ready 2 Submit","Waiting on Dealer"))</f>
        <v/>
      </c>
      <c r="Q978" s="148"/>
      <c r="R978" s="87"/>
      <c r="S978" s="87"/>
      <c r="T978" s="87" t="str">
        <f>IF($A978="","",IF($AK978=TRUE,"Ready 2 Submit","Waiting on Dealer"))</f>
        <v/>
      </c>
      <c r="U978" s="148"/>
      <c r="V978" s="87"/>
      <c r="W978" s="87"/>
      <c r="X978" s="87" t="str">
        <f>IF($A978="","",IF($AK978=TRUE,"Ready 2 Submit","Waiting on Dealer"))</f>
        <v/>
      </c>
      <c r="Y978" s="148"/>
      <c r="Z978" s="87"/>
      <c r="AA978" s="87"/>
      <c r="AB978" s="87" t="str">
        <f>IF($A978="","",IF($AK978=TRUE,"Ready 2 Submit","Waiting on Dealer"))</f>
        <v/>
      </c>
      <c r="AC978" s="148"/>
      <c r="AD978" s="87"/>
      <c r="AE978" s="87"/>
      <c r="AF978" s="87" t="str">
        <f>IF($A978="","",IF($AK978=TRUE,"Ready 2 Submit","Waiting on Dealer"))</f>
        <v/>
      </c>
      <c r="AG978" s="148"/>
      <c r="AH978" s="87"/>
      <c r="AI978" s="87"/>
      <c r="AJ978" s="197"/>
      <c r="AK978" s="110" t="b">
        <v>0</v>
      </c>
      <c r="AL978" s="87" t="str" cm="1">
        <f t="array" ref="AL978">IF($A978="","",SUMPRODUCT((CHOOSE({1,2,3,4,5},$R978,$V978,$Z978,$AD978,$AH978)="Yes")*(((CHOOSE({1,2,3,4,5},$S978,$W978,$AA978,$AE978,$AI978)="Yes")+(CHOOSE({1,2,3,4,5},$S978,$W978,$AA978,$AE978,$AI978)=TRUE))&gt;0)))</f>
        <v/>
      </c>
      <c r="AM978" s="87"/>
      <c r="AN978" s="87" t="str">
        <f ca="1">IF(OR($A978="",$AM978=""),"",TODAY()-$AM978)</f>
        <v/>
      </c>
      <c r="AO978" s="87"/>
      <c r="AP978" s="106"/>
      <c r="AQ978" s="106"/>
      <c r="AR978" s="106"/>
      <c r="AS978" s="106"/>
      <c r="AT978" s="106"/>
      <c r="AU978" s="106"/>
      <c r="AV978" s="106"/>
      <c r="AW978" s="106"/>
      <c r="AX978" s="106"/>
      <c r="AY978" s="106"/>
    </row>
    <row r="979" spans="1:51" s="20" customFormat="1" ht="21" customHeight="1">
      <c r="A979" s="197"/>
      <c r="B979" s="87"/>
      <c r="C979" s="87"/>
      <c r="D979" s="196"/>
      <c r="E979" s="108"/>
      <c r="F979" s="196"/>
      <c r="G979" s="87"/>
      <c r="H979" s="197"/>
      <c r="I979" s="89"/>
      <c r="J979" s="204"/>
      <c r="K979" s="87"/>
      <c r="L979" s="87" t="str" cm="1">
        <f t="array" ref="L979">IF($A979="","",_xlfn.LET(_xlpm.stat,CHOOSE({1,2,3,4,5},$P979,$T979,$X979,$AB979,$AF979),_xlpm.rate,CHOOSE({1,2,3,4,5},$R979,$V979,$Z979,$AD979,$AH979),_xlpm.trn,CHOOSE({1,2,3,4,5},$S979,$W979,$AA979,$AE979,$AI979),_xlpm.nsC,SUMPRODUCT(--(_xlpm.stat="Ready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DLR",IF(AND(_xlpm.actRS&gt;0,_xlpm.actDone&lt;_xlpm.actRS),"Training",IF(_xlpm.actRS&gt;0,"Active",IF(AND(_xlpm.decC&gt;0,_xlpm.inPlay+_xlpm.actC=0),"Dead",IF(AND($AJ979&lt;&gt;"",$AK979=FALSE),"Waiting on Dealer",IF(_xlpm.subC&gt;0,"Waiting on Lender",IF(AND(_xlpm.appC+_xlpm.actC&gt;0,_xlpm.nsC+_xlpm.wdC=0),"Rate Sheet","Application Submitted")))))))))</f>
        <v/>
      </c>
      <c r="M979" s="87"/>
      <c r="N979" s="87"/>
      <c r="O979" s="197"/>
      <c r="P979" s="87" t="str">
        <f>IF($A979="","",IF($AK979=TRUE,"Ready 2 Submit","Waiting on Dealer"))</f>
        <v/>
      </c>
      <c r="Q979" s="148"/>
      <c r="R979" s="87"/>
      <c r="S979" s="87"/>
      <c r="T979" s="87" t="str">
        <f>IF($A979="","",IF($AK979=TRUE,"Ready 2 Submit","Waiting on Dealer"))</f>
        <v/>
      </c>
      <c r="U979" s="148"/>
      <c r="V979" s="87"/>
      <c r="W979" s="87"/>
      <c r="X979" s="87" t="str">
        <f>IF($A979="","",IF($AK979=TRUE,"Ready 2 Submit","Waiting on Dealer"))</f>
        <v/>
      </c>
      <c r="Y979" s="148"/>
      <c r="Z979" s="87"/>
      <c r="AA979" s="87"/>
      <c r="AB979" s="87" t="str">
        <f>IF($A979="","",IF($AK979=TRUE,"Ready 2 Submit","Waiting on Dealer"))</f>
        <v/>
      </c>
      <c r="AC979" s="148"/>
      <c r="AD979" s="87"/>
      <c r="AE979" s="87"/>
      <c r="AF979" s="87" t="str">
        <f>IF($A979="","",IF($AK979=TRUE,"Ready 2 Submit","Waiting on Dealer"))</f>
        <v/>
      </c>
      <c r="AG979" s="148"/>
      <c r="AH979" s="87"/>
      <c r="AI979" s="87"/>
      <c r="AJ979" s="197"/>
      <c r="AK979" s="110" t="b">
        <v>0</v>
      </c>
      <c r="AL979" s="87" t="str" cm="1">
        <f t="array" ref="AL979">IF($A979="","",SUMPRODUCT((CHOOSE({1,2,3,4,5},$R979,$V979,$Z979,$AD979,$AH979)="Yes")*(((CHOOSE({1,2,3,4,5},$S979,$W979,$AA979,$AE979,$AI979)="Yes")+(CHOOSE({1,2,3,4,5},$S979,$W979,$AA979,$AE979,$AI979)=TRUE))&gt;0)))</f>
        <v/>
      </c>
      <c r="AM979" s="87"/>
      <c r="AN979" s="87" t="str">
        <f ca="1">IF(OR($A979="",$AM979=""),"",TODAY()-$AM979)</f>
        <v/>
      </c>
      <c r="AO979" s="87"/>
      <c r="AP979" s="106"/>
      <c r="AQ979" s="106"/>
      <c r="AR979" s="106"/>
      <c r="AS979" s="106"/>
      <c r="AT979" s="106"/>
      <c r="AU979" s="106"/>
      <c r="AV979" s="106"/>
      <c r="AW979" s="106"/>
      <c r="AX979" s="106"/>
      <c r="AY979" s="106"/>
    </row>
    <row r="980" spans="1:51" s="20" customFormat="1" ht="21" customHeight="1">
      <c r="A980" s="197"/>
      <c r="B980" s="87"/>
      <c r="C980" s="87"/>
      <c r="D980" s="196"/>
      <c r="E980" s="108"/>
      <c r="F980" s="196"/>
      <c r="G980" s="87"/>
      <c r="H980" s="197"/>
      <c r="I980" s="89"/>
      <c r="J980" s="204"/>
      <c r="K980" s="87"/>
      <c r="L980" s="87" t="str" cm="1">
        <f t="array" ref="L980">IF($A980="","",_xlfn.LET(_xlpm.stat,CHOOSE({1,2,3,4,5},$P980,$T980,$X980,$AB980,$AF980),_xlpm.rate,CHOOSE({1,2,3,4,5},$R980,$V980,$Z980,$AD980,$AH980),_xlpm.trn,CHOOSE({1,2,3,4,5},$S980,$W980,$AA980,$AE980,$AI980),_xlpm.nsC,SUMPRODUCT(--(_xlpm.stat="Ready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DLR",IF(AND(_xlpm.actRS&gt;0,_xlpm.actDone&lt;_xlpm.actRS),"Training",IF(_xlpm.actRS&gt;0,"Active",IF(AND(_xlpm.decC&gt;0,_xlpm.inPlay+_xlpm.actC=0),"Dead",IF(AND($AJ980&lt;&gt;"",$AK980=FALSE),"Waiting on Dealer",IF(_xlpm.subC&gt;0,"Waiting on Lender",IF(AND(_xlpm.appC+_xlpm.actC&gt;0,_xlpm.nsC+_xlpm.wdC=0),"Rate Sheet","Application Submitted")))))))))</f>
        <v/>
      </c>
      <c r="M980" s="87"/>
      <c r="N980" s="87"/>
      <c r="O980" s="197"/>
      <c r="P980" s="87" t="str">
        <f>IF($A980="","",IF($AK980=TRUE,"Ready 2 Submit","Waiting on Dealer"))</f>
        <v/>
      </c>
      <c r="Q980" s="148"/>
      <c r="R980" s="87"/>
      <c r="S980" s="87"/>
      <c r="T980" s="87" t="str">
        <f>IF($A980="","",IF($AK980=TRUE,"Ready 2 Submit","Waiting on Dealer"))</f>
        <v/>
      </c>
      <c r="U980" s="148"/>
      <c r="V980" s="87"/>
      <c r="W980" s="87"/>
      <c r="X980" s="87" t="str">
        <f>IF($A980="","",IF($AK980=TRUE,"Ready 2 Submit","Waiting on Dealer"))</f>
        <v/>
      </c>
      <c r="Y980" s="148"/>
      <c r="Z980" s="87"/>
      <c r="AA980" s="87"/>
      <c r="AB980" s="87" t="str">
        <f>IF($A980="","",IF($AK980=TRUE,"Ready 2 Submit","Waiting on Dealer"))</f>
        <v/>
      </c>
      <c r="AC980" s="148"/>
      <c r="AD980" s="87"/>
      <c r="AE980" s="87"/>
      <c r="AF980" s="87" t="str">
        <f>IF($A980="","",IF($AK980=TRUE,"Ready 2 Submit","Waiting on Dealer"))</f>
        <v/>
      </c>
      <c r="AG980" s="148"/>
      <c r="AH980" s="87"/>
      <c r="AI980" s="87"/>
      <c r="AJ980" s="197"/>
      <c r="AK980" s="110" t="b">
        <v>0</v>
      </c>
      <c r="AL980" s="87" t="str" cm="1">
        <f t="array" ref="AL980">IF($A980="","",SUMPRODUCT((CHOOSE({1,2,3,4,5},$R980,$V980,$Z980,$AD980,$AH980)="Yes")*(((CHOOSE({1,2,3,4,5},$S980,$W980,$AA980,$AE980,$AI980)="Yes")+(CHOOSE({1,2,3,4,5},$S980,$W980,$AA980,$AE980,$AI980)=TRUE))&gt;0)))</f>
        <v/>
      </c>
      <c r="AM980" s="87"/>
      <c r="AN980" s="87" t="str">
        <f ca="1">IF(OR($A980="",$AM980=""),"",TODAY()-$AM980)</f>
        <v/>
      </c>
      <c r="AO980" s="87"/>
      <c r="AP980" s="106"/>
      <c r="AQ980" s="106"/>
      <c r="AR980" s="106"/>
      <c r="AS980" s="106"/>
      <c r="AT980" s="106"/>
      <c r="AU980" s="106"/>
      <c r="AV980" s="106"/>
      <c r="AW980" s="106"/>
      <c r="AX980" s="106"/>
      <c r="AY980" s="106"/>
    </row>
    <row r="981" spans="1:51" s="20" customFormat="1" ht="21" customHeight="1">
      <c r="A981" s="197"/>
      <c r="B981" s="87"/>
      <c r="C981" s="87"/>
      <c r="D981" s="196"/>
      <c r="E981" s="108"/>
      <c r="F981" s="196"/>
      <c r="G981" s="87"/>
      <c r="H981" s="197"/>
      <c r="I981" s="89"/>
      <c r="J981" s="204"/>
      <c r="K981" s="87"/>
      <c r="L981" s="87" t="str" cm="1">
        <f t="array" ref="L981">IF($A981="","",_xlfn.LET(_xlpm.stat,CHOOSE({1,2,3,4,5},$P981,$T981,$X981,$AB981,$AF981),_xlpm.rate,CHOOSE({1,2,3,4,5},$R981,$V981,$Z981,$AD981,$AH981),_xlpm.trn,CHOOSE({1,2,3,4,5},$S981,$W981,$AA981,$AE981,$AI981),_xlpm.nsC,SUMPRODUCT(--(_xlpm.stat="Ready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DLR",IF(AND(_xlpm.actRS&gt;0,_xlpm.actDone&lt;_xlpm.actRS),"Training",IF(_xlpm.actRS&gt;0,"Active",IF(AND(_xlpm.decC&gt;0,_xlpm.inPlay+_xlpm.actC=0),"Dead",IF(AND($AJ981&lt;&gt;"",$AK981=FALSE),"Waiting on Dealer",IF(_xlpm.subC&gt;0,"Waiting on Lender",IF(AND(_xlpm.appC+_xlpm.actC&gt;0,_xlpm.nsC+_xlpm.wdC=0),"Rate Sheet","Application Submitted")))))))))</f>
        <v/>
      </c>
      <c r="M981" s="87"/>
      <c r="N981" s="87"/>
      <c r="O981" s="197"/>
      <c r="P981" s="87" t="str">
        <f>IF($A981="","",IF($AK981=TRUE,"Ready 2 Submit","Waiting on Dealer"))</f>
        <v/>
      </c>
      <c r="Q981" s="148"/>
      <c r="R981" s="87"/>
      <c r="S981" s="87"/>
      <c r="T981" s="87" t="str">
        <f>IF($A981="","",IF($AK981=TRUE,"Ready 2 Submit","Waiting on Dealer"))</f>
        <v/>
      </c>
      <c r="U981" s="148"/>
      <c r="V981" s="87"/>
      <c r="W981" s="87"/>
      <c r="X981" s="87" t="str">
        <f>IF($A981="","",IF($AK981=TRUE,"Ready 2 Submit","Waiting on Dealer"))</f>
        <v/>
      </c>
      <c r="Y981" s="148"/>
      <c r="Z981" s="87"/>
      <c r="AA981" s="87"/>
      <c r="AB981" s="87" t="str">
        <f>IF($A981="","",IF($AK981=TRUE,"Ready 2 Submit","Waiting on Dealer"))</f>
        <v/>
      </c>
      <c r="AC981" s="148"/>
      <c r="AD981" s="87"/>
      <c r="AE981" s="87"/>
      <c r="AF981" s="87" t="str">
        <f>IF($A981="","",IF($AK981=TRUE,"Ready 2 Submit","Waiting on Dealer"))</f>
        <v/>
      </c>
      <c r="AG981" s="148"/>
      <c r="AH981" s="87"/>
      <c r="AI981" s="87"/>
      <c r="AJ981" s="197"/>
      <c r="AK981" s="110" t="b">
        <v>0</v>
      </c>
      <c r="AL981" s="87" t="str" cm="1">
        <f t="array" ref="AL981">IF($A981="","",SUMPRODUCT((CHOOSE({1,2,3,4,5},$R981,$V981,$Z981,$AD981,$AH981)="Yes")*(((CHOOSE({1,2,3,4,5},$S981,$W981,$AA981,$AE981,$AI981)="Yes")+(CHOOSE({1,2,3,4,5},$S981,$W981,$AA981,$AE981,$AI981)=TRUE))&gt;0)))</f>
        <v/>
      </c>
      <c r="AM981" s="87"/>
      <c r="AN981" s="87" t="str">
        <f ca="1">IF(OR($A981="",$AM981=""),"",TODAY()-$AM981)</f>
        <v/>
      </c>
      <c r="AO981" s="87"/>
      <c r="AP981" s="106"/>
      <c r="AQ981" s="106"/>
      <c r="AR981" s="106"/>
      <c r="AS981" s="106"/>
      <c r="AT981" s="106"/>
      <c r="AU981" s="106"/>
      <c r="AV981" s="106"/>
      <c r="AW981" s="106"/>
      <c r="AX981" s="106"/>
      <c r="AY981" s="106"/>
    </row>
    <row r="982" spans="1:51" s="20" customFormat="1" ht="21" customHeight="1">
      <c r="A982" s="197"/>
      <c r="B982" s="87"/>
      <c r="C982" s="87"/>
      <c r="D982" s="196"/>
      <c r="E982" s="108"/>
      <c r="F982" s="196"/>
      <c r="G982" s="87"/>
      <c r="H982" s="197"/>
      <c r="I982" s="89"/>
      <c r="J982" s="204"/>
      <c r="K982" s="87"/>
      <c r="L982" s="87" t="str" cm="1">
        <f t="array" ref="L982">IF($A982="","",_xlfn.LET(_xlpm.stat,CHOOSE({1,2,3,4,5},$P982,$T982,$X982,$AB982,$AF982),_xlpm.rate,CHOOSE({1,2,3,4,5},$R982,$V982,$Z982,$AD982,$AH982),_xlpm.trn,CHOOSE({1,2,3,4,5},$S982,$W982,$AA982,$AE982,$AI982),_xlpm.nsC,SUMPRODUCT(--(_xlpm.stat="Ready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DLR",IF(AND(_xlpm.actRS&gt;0,_xlpm.actDone&lt;_xlpm.actRS),"Training",IF(_xlpm.actRS&gt;0,"Active",IF(AND(_xlpm.decC&gt;0,_xlpm.inPlay+_xlpm.actC=0),"Dead",IF(AND($AJ982&lt;&gt;"",$AK982=FALSE),"Waiting on Dealer",IF(_xlpm.subC&gt;0,"Waiting on Lender",IF(AND(_xlpm.appC+_xlpm.actC&gt;0,_xlpm.nsC+_xlpm.wdC=0),"Rate Sheet","Application Submitted")))))))))</f>
        <v/>
      </c>
      <c r="M982" s="87"/>
      <c r="N982" s="87"/>
      <c r="O982" s="197"/>
      <c r="P982" s="87" t="str">
        <f>IF($A982="","",IF($AK982=TRUE,"Ready 2 Submit","Waiting on Dealer"))</f>
        <v/>
      </c>
      <c r="Q982" s="148"/>
      <c r="R982" s="87"/>
      <c r="S982" s="87"/>
      <c r="T982" s="87" t="str">
        <f>IF($A982="","",IF($AK982=TRUE,"Ready 2 Submit","Waiting on Dealer"))</f>
        <v/>
      </c>
      <c r="U982" s="148"/>
      <c r="V982" s="87"/>
      <c r="W982" s="87"/>
      <c r="X982" s="87" t="str">
        <f>IF($A982="","",IF($AK982=TRUE,"Ready 2 Submit","Waiting on Dealer"))</f>
        <v/>
      </c>
      <c r="Y982" s="148"/>
      <c r="Z982" s="87"/>
      <c r="AA982" s="87"/>
      <c r="AB982" s="87" t="str">
        <f>IF($A982="","",IF($AK982=TRUE,"Ready 2 Submit","Waiting on Dealer"))</f>
        <v/>
      </c>
      <c r="AC982" s="148"/>
      <c r="AD982" s="87"/>
      <c r="AE982" s="87"/>
      <c r="AF982" s="87" t="str">
        <f>IF($A982="","",IF($AK982=TRUE,"Ready 2 Submit","Waiting on Dealer"))</f>
        <v/>
      </c>
      <c r="AG982" s="148"/>
      <c r="AH982" s="87"/>
      <c r="AI982" s="87"/>
      <c r="AJ982" s="197"/>
      <c r="AK982" s="110" t="b">
        <v>0</v>
      </c>
      <c r="AL982" s="87" t="str" cm="1">
        <f t="array" ref="AL982">IF($A982="","",SUMPRODUCT((CHOOSE({1,2,3,4,5},$R982,$V982,$Z982,$AD982,$AH982)="Yes")*(((CHOOSE({1,2,3,4,5},$S982,$W982,$AA982,$AE982,$AI982)="Yes")+(CHOOSE({1,2,3,4,5},$S982,$W982,$AA982,$AE982,$AI982)=TRUE))&gt;0)))</f>
        <v/>
      </c>
      <c r="AM982" s="87"/>
      <c r="AN982" s="87" t="str">
        <f ca="1">IF(OR($A982="",$AM982=""),"",TODAY()-$AM982)</f>
        <v/>
      </c>
      <c r="AO982" s="87"/>
      <c r="AP982" s="106"/>
      <c r="AQ982" s="106"/>
      <c r="AR982" s="106"/>
      <c r="AS982" s="106"/>
      <c r="AT982" s="106"/>
      <c r="AU982" s="106"/>
      <c r="AV982" s="106"/>
      <c r="AW982" s="106"/>
      <c r="AX982" s="106"/>
      <c r="AY982" s="106"/>
    </row>
    <row r="983" spans="1:51" s="20" customFormat="1" ht="21" customHeight="1">
      <c r="A983" s="197"/>
      <c r="B983" s="87"/>
      <c r="C983" s="87"/>
      <c r="D983" s="196"/>
      <c r="E983" s="108"/>
      <c r="F983" s="196"/>
      <c r="G983" s="87"/>
      <c r="H983" s="197"/>
      <c r="I983" s="89"/>
      <c r="J983" s="204"/>
      <c r="K983" s="87"/>
      <c r="L983" s="87" t="str" cm="1">
        <f t="array" ref="L983">IF($A983="","",_xlfn.LET(_xlpm.stat,CHOOSE({1,2,3,4,5},$P983,$T983,$X983,$AB983,$AF983),_xlpm.rate,CHOOSE({1,2,3,4,5},$R983,$V983,$Z983,$AD983,$AH983),_xlpm.trn,CHOOSE({1,2,3,4,5},$S983,$W983,$AA983,$AE983,$AI983),_xlpm.nsC,SUMPRODUCT(--(_xlpm.stat="Ready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DLR",IF(AND(_xlpm.actRS&gt;0,_xlpm.actDone&lt;_xlpm.actRS),"Training",IF(_xlpm.actRS&gt;0,"Active",IF(AND(_xlpm.decC&gt;0,_xlpm.inPlay+_xlpm.actC=0),"Dead",IF(AND($AJ983&lt;&gt;"",$AK983=FALSE),"Waiting on Dealer",IF(_xlpm.subC&gt;0,"Waiting on Lender",IF(AND(_xlpm.appC+_xlpm.actC&gt;0,_xlpm.nsC+_xlpm.wdC=0),"Rate Sheet","Application Submitted")))))))))</f>
        <v/>
      </c>
      <c r="M983" s="87"/>
      <c r="N983" s="87"/>
      <c r="O983" s="197"/>
      <c r="P983" s="87" t="str">
        <f>IF($A983="","",IF($AK983=TRUE,"Ready 2 Submit","Waiting on Dealer"))</f>
        <v/>
      </c>
      <c r="Q983" s="148"/>
      <c r="R983" s="87"/>
      <c r="S983" s="87"/>
      <c r="T983" s="87" t="str">
        <f>IF($A983="","",IF($AK983=TRUE,"Ready 2 Submit","Waiting on Dealer"))</f>
        <v/>
      </c>
      <c r="U983" s="148"/>
      <c r="V983" s="87"/>
      <c r="W983" s="87"/>
      <c r="X983" s="87" t="str">
        <f>IF($A983="","",IF($AK983=TRUE,"Ready 2 Submit","Waiting on Dealer"))</f>
        <v/>
      </c>
      <c r="Y983" s="148"/>
      <c r="Z983" s="87"/>
      <c r="AA983" s="87"/>
      <c r="AB983" s="87" t="str">
        <f>IF($A983="","",IF($AK983=TRUE,"Ready 2 Submit","Waiting on Dealer"))</f>
        <v/>
      </c>
      <c r="AC983" s="148"/>
      <c r="AD983" s="87"/>
      <c r="AE983" s="87"/>
      <c r="AF983" s="87" t="str">
        <f>IF($A983="","",IF($AK983=TRUE,"Ready 2 Submit","Waiting on Dealer"))</f>
        <v/>
      </c>
      <c r="AG983" s="148"/>
      <c r="AH983" s="87"/>
      <c r="AI983" s="87"/>
      <c r="AJ983" s="197"/>
      <c r="AK983" s="110" t="b">
        <v>0</v>
      </c>
      <c r="AL983" s="87" t="str" cm="1">
        <f t="array" ref="AL983">IF($A983="","",SUMPRODUCT((CHOOSE({1,2,3,4,5},$R983,$V983,$Z983,$AD983,$AH983)="Yes")*(((CHOOSE({1,2,3,4,5},$S983,$W983,$AA983,$AE983,$AI983)="Yes")+(CHOOSE({1,2,3,4,5},$S983,$W983,$AA983,$AE983,$AI983)=TRUE))&gt;0)))</f>
        <v/>
      </c>
      <c r="AM983" s="87"/>
      <c r="AN983" s="87" t="str">
        <f ca="1">IF(OR($A983="",$AM983=""),"",TODAY()-$AM983)</f>
        <v/>
      </c>
      <c r="AO983" s="87"/>
      <c r="AP983" s="106"/>
      <c r="AQ983" s="106"/>
      <c r="AR983" s="106"/>
      <c r="AS983" s="106"/>
      <c r="AT983" s="106"/>
      <c r="AU983" s="106"/>
      <c r="AV983" s="106"/>
      <c r="AW983" s="106"/>
      <c r="AX983" s="106"/>
      <c r="AY983" s="106"/>
    </row>
    <row r="984" spans="1:51" s="20" customFormat="1" ht="21" customHeight="1">
      <c r="A984" s="197"/>
      <c r="B984" s="87"/>
      <c r="C984" s="87"/>
      <c r="D984" s="196"/>
      <c r="E984" s="108"/>
      <c r="F984" s="196"/>
      <c r="G984" s="87"/>
      <c r="H984" s="197"/>
      <c r="I984" s="89"/>
      <c r="J984" s="204"/>
      <c r="K984" s="87"/>
      <c r="L984" s="87" t="str" cm="1">
        <f t="array" ref="L984">IF($A984="","",_xlfn.LET(_xlpm.stat,CHOOSE({1,2,3,4,5},$P984,$T984,$X984,$AB984,$AF984),_xlpm.rate,CHOOSE({1,2,3,4,5},$R984,$V984,$Z984,$AD984,$AH984),_xlpm.trn,CHOOSE({1,2,3,4,5},$S984,$W984,$AA984,$AE984,$AI984),_xlpm.nsC,SUMPRODUCT(--(_xlpm.stat="Ready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DLR",IF(AND(_xlpm.actRS&gt;0,_xlpm.actDone&lt;_xlpm.actRS),"Training",IF(_xlpm.actRS&gt;0,"Active",IF(AND(_xlpm.decC&gt;0,_xlpm.inPlay+_xlpm.actC=0),"Dead",IF(AND($AJ984&lt;&gt;"",$AK984=FALSE),"Waiting on Dealer",IF(_xlpm.subC&gt;0,"Waiting on Lender",IF(AND(_xlpm.appC+_xlpm.actC&gt;0,_xlpm.nsC+_xlpm.wdC=0),"Rate Sheet","Application Submitted")))))))))</f>
        <v/>
      </c>
      <c r="M984" s="87"/>
      <c r="N984" s="87"/>
      <c r="O984" s="197"/>
      <c r="P984" s="87" t="str">
        <f>IF($A984="","",IF($AK984=TRUE,"Ready 2 Submit","Waiting on Dealer"))</f>
        <v/>
      </c>
      <c r="Q984" s="148"/>
      <c r="R984" s="87"/>
      <c r="S984" s="87"/>
      <c r="T984" s="87" t="str">
        <f>IF($A984="","",IF($AK984=TRUE,"Ready 2 Submit","Waiting on Dealer"))</f>
        <v/>
      </c>
      <c r="U984" s="148"/>
      <c r="V984" s="87"/>
      <c r="W984" s="87"/>
      <c r="X984" s="87" t="str">
        <f>IF($A984="","",IF($AK984=TRUE,"Ready 2 Submit","Waiting on Dealer"))</f>
        <v/>
      </c>
      <c r="Y984" s="148"/>
      <c r="Z984" s="87"/>
      <c r="AA984" s="87"/>
      <c r="AB984" s="87" t="str">
        <f>IF($A984="","",IF($AK984=TRUE,"Ready 2 Submit","Waiting on Dealer"))</f>
        <v/>
      </c>
      <c r="AC984" s="148"/>
      <c r="AD984" s="87"/>
      <c r="AE984" s="87"/>
      <c r="AF984" s="87" t="str">
        <f>IF($A984="","",IF($AK984=TRUE,"Ready 2 Submit","Waiting on Dealer"))</f>
        <v/>
      </c>
      <c r="AG984" s="148"/>
      <c r="AH984" s="87"/>
      <c r="AI984" s="87"/>
      <c r="AJ984" s="197"/>
      <c r="AK984" s="110" t="b">
        <v>0</v>
      </c>
      <c r="AL984" s="87" t="str" cm="1">
        <f t="array" ref="AL984">IF($A984="","",SUMPRODUCT((CHOOSE({1,2,3,4,5},$R984,$V984,$Z984,$AD984,$AH984)="Yes")*(((CHOOSE({1,2,3,4,5},$S984,$W984,$AA984,$AE984,$AI984)="Yes")+(CHOOSE({1,2,3,4,5},$S984,$W984,$AA984,$AE984,$AI984)=TRUE))&gt;0)))</f>
        <v/>
      </c>
      <c r="AM984" s="87"/>
      <c r="AN984" s="87" t="str">
        <f ca="1">IF(OR($A984="",$AM984=""),"",TODAY()-$AM984)</f>
        <v/>
      </c>
      <c r="AO984" s="87"/>
      <c r="AP984" s="106"/>
      <c r="AQ984" s="106"/>
      <c r="AR984" s="106"/>
      <c r="AS984" s="106"/>
      <c r="AT984" s="106"/>
      <c r="AU984" s="106"/>
      <c r="AV984" s="106"/>
      <c r="AW984" s="106"/>
      <c r="AX984" s="106"/>
      <c r="AY984" s="106"/>
    </row>
    <row r="985" spans="1:51" s="20" customFormat="1" ht="21" customHeight="1">
      <c r="A985" s="197"/>
      <c r="B985" s="87"/>
      <c r="C985" s="87"/>
      <c r="D985" s="196"/>
      <c r="E985" s="108"/>
      <c r="F985" s="196"/>
      <c r="G985" s="87"/>
      <c r="H985" s="197"/>
      <c r="I985" s="89"/>
      <c r="J985" s="204"/>
      <c r="K985" s="87"/>
      <c r="L985" s="87" t="str" cm="1">
        <f t="array" ref="L985">IF($A985="","",_xlfn.LET(_xlpm.stat,CHOOSE({1,2,3,4,5},$P985,$T985,$X985,$AB985,$AF985),_xlpm.rate,CHOOSE({1,2,3,4,5},$R985,$V985,$Z985,$AD985,$AH985),_xlpm.trn,CHOOSE({1,2,3,4,5},$S985,$W985,$AA985,$AE985,$AI985),_xlpm.nsC,SUMPRODUCT(--(_xlpm.stat="Ready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DLR",IF(AND(_xlpm.actRS&gt;0,_xlpm.actDone&lt;_xlpm.actRS),"Training",IF(_xlpm.actRS&gt;0,"Active",IF(AND(_xlpm.decC&gt;0,_xlpm.inPlay+_xlpm.actC=0),"Dead",IF(AND($AJ985&lt;&gt;"",$AK985=FALSE),"Waiting on Dealer",IF(_xlpm.subC&gt;0,"Waiting on Lender",IF(AND(_xlpm.appC+_xlpm.actC&gt;0,_xlpm.nsC+_xlpm.wdC=0),"Rate Sheet","Application Submitted")))))))))</f>
        <v/>
      </c>
      <c r="M985" s="87"/>
      <c r="N985" s="87"/>
      <c r="O985" s="197"/>
      <c r="P985" s="87" t="str">
        <f>IF($A985="","",IF($AK985=TRUE,"Ready 2 Submit","Waiting on Dealer"))</f>
        <v/>
      </c>
      <c r="Q985" s="148"/>
      <c r="R985" s="87"/>
      <c r="S985" s="87"/>
      <c r="T985" s="87" t="str">
        <f>IF($A985="","",IF($AK985=TRUE,"Ready 2 Submit","Waiting on Dealer"))</f>
        <v/>
      </c>
      <c r="U985" s="148"/>
      <c r="V985" s="87"/>
      <c r="W985" s="87"/>
      <c r="X985" s="87" t="str">
        <f>IF($A985="","",IF($AK985=TRUE,"Ready 2 Submit","Waiting on Dealer"))</f>
        <v/>
      </c>
      <c r="Y985" s="148"/>
      <c r="Z985" s="87"/>
      <c r="AA985" s="87"/>
      <c r="AB985" s="87" t="str">
        <f>IF($A985="","",IF($AK985=TRUE,"Ready 2 Submit","Waiting on Dealer"))</f>
        <v/>
      </c>
      <c r="AC985" s="148"/>
      <c r="AD985" s="87"/>
      <c r="AE985" s="87"/>
      <c r="AF985" s="87" t="str">
        <f>IF($A985="","",IF($AK985=TRUE,"Ready 2 Submit","Waiting on Dealer"))</f>
        <v/>
      </c>
      <c r="AG985" s="148"/>
      <c r="AH985" s="87"/>
      <c r="AI985" s="87"/>
      <c r="AJ985" s="197"/>
      <c r="AK985" s="110" t="b">
        <v>0</v>
      </c>
      <c r="AL985" s="87" t="str" cm="1">
        <f t="array" ref="AL985">IF($A985="","",SUMPRODUCT((CHOOSE({1,2,3,4,5},$R985,$V985,$Z985,$AD985,$AH985)="Yes")*(((CHOOSE({1,2,3,4,5},$S985,$W985,$AA985,$AE985,$AI985)="Yes")+(CHOOSE({1,2,3,4,5},$S985,$W985,$AA985,$AE985,$AI985)=TRUE))&gt;0)))</f>
        <v/>
      </c>
      <c r="AM985" s="87"/>
      <c r="AN985" s="87" t="str">
        <f ca="1">IF(OR($A985="",$AM985=""),"",TODAY()-$AM985)</f>
        <v/>
      </c>
      <c r="AO985" s="87"/>
      <c r="AP985" s="106"/>
      <c r="AQ985" s="106"/>
      <c r="AR985" s="106"/>
      <c r="AS985" s="106"/>
      <c r="AT985" s="106"/>
      <c r="AU985" s="106"/>
      <c r="AV985" s="106"/>
      <c r="AW985" s="106"/>
      <c r="AX985" s="106"/>
      <c r="AY985" s="106"/>
    </row>
    <row r="986" spans="1:51" s="20" customFormat="1" ht="21" customHeight="1">
      <c r="A986" s="197"/>
      <c r="B986" s="87"/>
      <c r="C986" s="87"/>
      <c r="D986" s="196"/>
      <c r="E986" s="108"/>
      <c r="F986" s="196"/>
      <c r="G986" s="87"/>
      <c r="H986" s="197"/>
      <c r="I986" s="89"/>
      <c r="J986" s="204"/>
      <c r="K986" s="87"/>
      <c r="L986" s="87" t="str" cm="1">
        <f t="array" ref="L986">IF($A986="","",_xlfn.LET(_xlpm.stat,CHOOSE({1,2,3,4,5},$P986,$T986,$X986,$AB986,$AF986),_xlpm.rate,CHOOSE({1,2,3,4,5},$R986,$V986,$Z986,$AD986,$AH986),_xlpm.trn,CHOOSE({1,2,3,4,5},$S986,$W986,$AA986,$AE986,$AI986),_xlpm.nsC,SUMPRODUCT(--(_xlpm.stat="Ready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DLR",IF(AND(_xlpm.actRS&gt;0,_xlpm.actDone&lt;_xlpm.actRS),"Training",IF(_xlpm.actRS&gt;0,"Active",IF(AND(_xlpm.decC&gt;0,_xlpm.inPlay+_xlpm.actC=0),"Dead",IF(AND($AJ986&lt;&gt;"",$AK986=FALSE),"Waiting on Dealer",IF(_xlpm.subC&gt;0,"Waiting on Lender",IF(AND(_xlpm.appC+_xlpm.actC&gt;0,_xlpm.nsC+_xlpm.wdC=0),"Rate Sheet","Application Submitted")))))))))</f>
        <v/>
      </c>
      <c r="M986" s="87"/>
      <c r="N986" s="87"/>
      <c r="O986" s="197"/>
      <c r="P986" s="87" t="str">
        <f>IF($A986="","",IF($AK986=TRUE,"Ready 2 Submit","Waiting on Dealer"))</f>
        <v/>
      </c>
      <c r="Q986" s="148"/>
      <c r="R986" s="87"/>
      <c r="S986" s="87"/>
      <c r="T986" s="87" t="str">
        <f>IF($A986="","",IF($AK986=TRUE,"Ready 2 Submit","Waiting on Dealer"))</f>
        <v/>
      </c>
      <c r="U986" s="148"/>
      <c r="V986" s="87"/>
      <c r="W986" s="87"/>
      <c r="X986" s="87" t="str">
        <f>IF($A986="","",IF($AK986=TRUE,"Ready 2 Submit","Waiting on Dealer"))</f>
        <v/>
      </c>
      <c r="Y986" s="148"/>
      <c r="Z986" s="87"/>
      <c r="AA986" s="87"/>
      <c r="AB986" s="87" t="str">
        <f>IF($A986="","",IF($AK986=TRUE,"Ready 2 Submit","Waiting on Dealer"))</f>
        <v/>
      </c>
      <c r="AC986" s="148"/>
      <c r="AD986" s="87"/>
      <c r="AE986" s="87"/>
      <c r="AF986" s="87" t="str">
        <f>IF($A986="","",IF($AK986=TRUE,"Ready 2 Submit","Waiting on Dealer"))</f>
        <v/>
      </c>
      <c r="AG986" s="148"/>
      <c r="AH986" s="87"/>
      <c r="AI986" s="87"/>
      <c r="AJ986" s="197"/>
      <c r="AK986" s="110" t="b">
        <v>0</v>
      </c>
      <c r="AL986" s="87" t="str" cm="1">
        <f t="array" ref="AL986">IF($A986="","",SUMPRODUCT((CHOOSE({1,2,3,4,5},$R986,$V986,$Z986,$AD986,$AH986)="Yes")*(((CHOOSE({1,2,3,4,5},$S986,$W986,$AA986,$AE986,$AI986)="Yes")+(CHOOSE({1,2,3,4,5},$S986,$W986,$AA986,$AE986,$AI986)=TRUE))&gt;0)))</f>
        <v/>
      </c>
      <c r="AM986" s="87"/>
      <c r="AN986" s="87" t="str">
        <f ca="1">IF(OR($A986="",$AM986=""),"",TODAY()-$AM986)</f>
        <v/>
      </c>
      <c r="AO986" s="87"/>
      <c r="AP986" s="106"/>
      <c r="AQ986" s="106"/>
      <c r="AR986" s="106"/>
      <c r="AS986" s="106"/>
      <c r="AT986" s="106"/>
      <c r="AU986" s="106"/>
      <c r="AV986" s="106"/>
      <c r="AW986" s="106"/>
      <c r="AX986" s="106"/>
      <c r="AY986" s="106"/>
    </row>
    <row r="987" spans="1:51" s="20" customFormat="1" ht="21" customHeight="1">
      <c r="A987" s="197"/>
      <c r="B987" s="87"/>
      <c r="C987" s="87"/>
      <c r="D987" s="196"/>
      <c r="E987" s="108"/>
      <c r="F987" s="196"/>
      <c r="G987" s="87"/>
      <c r="H987" s="197"/>
      <c r="I987" s="89"/>
      <c r="J987" s="204"/>
      <c r="K987" s="87"/>
      <c r="L987" s="87" t="str" cm="1">
        <f t="array" ref="L987">IF($A987="","",_xlfn.LET(_xlpm.stat,CHOOSE({1,2,3,4,5},$P987,$T987,$X987,$AB987,$AF987),_xlpm.rate,CHOOSE({1,2,3,4,5},$R987,$V987,$Z987,$AD987,$AH987),_xlpm.trn,CHOOSE({1,2,3,4,5},$S987,$W987,$AA987,$AE987,$AI987),_xlpm.nsC,SUMPRODUCT(--(_xlpm.stat="Ready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DLR",IF(AND(_xlpm.actRS&gt;0,_xlpm.actDone&lt;_xlpm.actRS),"Training",IF(_xlpm.actRS&gt;0,"Active",IF(AND(_xlpm.decC&gt;0,_xlpm.inPlay+_xlpm.actC=0),"Dead",IF(AND($AJ987&lt;&gt;"",$AK987=FALSE),"Waiting on Dealer",IF(_xlpm.subC&gt;0,"Waiting on Lender",IF(AND(_xlpm.appC+_xlpm.actC&gt;0,_xlpm.nsC+_xlpm.wdC=0),"Rate Sheet","Application Submitted")))))))))</f>
        <v/>
      </c>
      <c r="M987" s="87"/>
      <c r="N987" s="87"/>
      <c r="O987" s="197"/>
      <c r="P987" s="87" t="str">
        <f>IF($A987="","",IF($AK987=TRUE,"Ready 2 Submit","Waiting on Dealer"))</f>
        <v/>
      </c>
      <c r="Q987" s="148"/>
      <c r="R987" s="87"/>
      <c r="S987" s="87"/>
      <c r="T987" s="87" t="str">
        <f>IF($A987="","",IF($AK987=TRUE,"Ready 2 Submit","Waiting on Dealer"))</f>
        <v/>
      </c>
      <c r="U987" s="148"/>
      <c r="V987" s="87"/>
      <c r="W987" s="87"/>
      <c r="X987" s="87" t="str">
        <f>IF($A987="","",IF($AK987=TRUE,"Ready 2 Submit","Waiting on Dealer"))</f>
        <v/>
      </c>
      <c r="Y987" s="148"/>
      <c r="Z987" s="87"/>
      <c r="AA987" s="87"/>
      <c r="AB987" s="87" t="str">
        <f>IF($A987="","",IF($AK987=TRUE,"Ready 2 Submit","Waiting on Dealer"))</f>
        <v/>
      </c>
      <c r="AC987" s="148"/>
      <c r="AD987" s="87"/>
      <c r="AE987" s="87"/>
      <c r="AF987" s="87" t="str">
        <f>IF($A987="","",IF($AK987=TRUE,"Ready 2 Submit","Waiting on Dealer"))</f>
        <v/>
      </c>
      <c r="AG987" s="148"/>
      <c r="AH987" s="87"/>
      <c r="AI987" s="87"/>
      <c r="AJ987" s="197"/>
      <c r="AK987" s="110" t="b">
        <v>0</v>
      </c>
      <c r="AL987" s="87" t="str" cm="1">
        <f t="array" ref="AL987">IF($A987="","",SUMPRODUCT((CHOOSE({1,2,3,4,5},$R987,$V987,$Z987,$AD987,$AH987)="Yes")*(((CHOOSE({1,2,3,4,5},$S987,$W987,$AA987,$AE987,$AI987)="Yes")+(CHOOSE({1,2,3,4,5},$S987,$W987,$AA987,$AE987,$AI987)=TRUE))&gt;0)))</f>
        <v/>
      </c>
      <c r="AM987" s="87"/>
      <c r="AN987" s="87" t="str">
        <f ca="1">IF(OR($A987="",$AM987=""),"",TODAY()-$AM987)</f>
        <v/>
      </c>
      <c r="AO987" s="87"/>
      <c r="AP987" s="106"/>
      <c r="AQ987" s="106"/>
      <c r="AR987" s="106"/>
      <c r="AS987" s="106"/>
      <c r="AT987" s="106"/>
      <c r="AU987" s="106"/>
      <c r="AV987" s="106"/>
      <c r="AW987" s="106"/>
      <c r="AX987" s="106"/>
      <c r="AY987" s="106"/>
    </row>
    <row r="988" spans="1:51" s="20" customFormat="1" ht="21" customHeight="1">
      <c r="A988" s="197"/>
      <c r="B988" s="87"/>
      <c r="C988" s="87"/>
      <c r="D988" s="196"/>
      <c r="E988" s="108"/>
      <c r="F988" s="196"/>
      <c r="G988" s="87"/>
      <c r="H988" s="197"/>
      <c r="I988" s="89"/>
      <c r="J988" s="204"/>
      <c r="K988" s="87"/>
      <c r="L988" s="87" t="str" cm="1">
        <f t="array" ref="L988">IF($A988="","",_xlfn.LET(_xlpm.stat,CHOOSE({1,2,3,4,5},$P988,$T988,$X988,$AB988,$AF988),_xlpm.rate,CHOOSE({1,2,3,4,5},$R988,$V988,$Z988,$AD988,$AH988),_xlpm.trn,CHOOSE({1,2,3,4,5},$S988,$W988,$AA988,$AE988,$AI988),_xlpm.nsC,SUMPRODUCT(--(_xlpm.stat="Ready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DLR",IF(AND(_xlpm.actRS&gt;0,_xlpm.actDone&lt;_xlpm.actRS),"Training",IF(_xlpm.actRS&gt;0,"Active",IF(AND(_xlpm.decC&gt;0,_xlpm.inPlay+_xlpm.actC=0),"Dead",IF(AND($AJ988&lt;&gt;"",$AK988=FALSE),"Waiting on Dealer",IF(_xlpm.subC&gt;0,"Waiting on Lender",IF(AND(_xlpm.appC+_xlpm.actC&gt;0,_xlpm.nsC+_xlpm.wdC=0),"Rate Sheet","Application Submitted")))))))))</f>
        <v/>
      </c>
      <c r="M988" s="87"/>
      <c r="N988" s="87"/>
      <c r="O988" s="197"/>
      <c r="P988" s="87" t="str">
        <f>IF($A988="","",IF($AK988=TRUE,"Ready 2 Submit","Waiting on Dealer"))</f>
        <v/>
      </c>
      <c r="Q988" s="148"/>
      <c r="R988" s="87"/>
      <c r="S988" s="87"/>
      <c r="T988" s="87" t="str">
        <f>IF($A988="","",IF($AK988=TRUE,"Ready 2 Submit","Waiting on Dealer"))</f>
        <v/>
      </c>
      <c r="U988" s="148"/>
      <c r="V988" s="87"/>
      <c r="W988" s="87"/>
      <c r="X988" s="87" t="str">
        <f>IF($A988="","",IF($AK988=TRUE,"Ready 2 Submit","Waiting on Dealer"))</f>
        <v/>
      </c>
      <c r="Y988" s="148"/>
      <c r="Z988" s="87"/>
      <c r="AA988" s="87"/>
      <c r="AB988" s="87" t="str">
        <f>IF($A988="","",IF($AK988=TRUE,"Ready 2 Submit","Waiting on Dealer"))</f>
        <v/>
      </c>
      <c r="AC988" s="148"/>
      <c r="AD988" s="87"/>
      <c r="AE988" s="87"/>
      <c r="AF988" s="87" t="str">
        <f>IF($A988="","",IF($AK988=TRUE,"Ready 2 Submit","Waiting on Dealer"))</f>
        <v/>
      </c>
      <c r="AG988" s="148"/>
      <c r="AH988" s="87"/>
      <c r="AI988" s="87"/>
      <c r="AJ988" s="197"/>
      <c r="AK988" s="110" t="b">
        <v>0</v>
      </c>
      <c r="AL988" s="87" t="str" cm="1">
        <f t="array" ref="AL988">IF($A988="","",SUMPRODUCT((CHOOSE({1,2,3,4,5},$R988,$V988,$Z988,$AD988,$AH988)="Yes")*(((CHOOSE({1,2,3,4,5},$S988,$W988,$AA988,$AE988,$AI988)="Yes")+(CHOOSE({1,2,3,4,5},$S988,$W988,$AA988,$AE988,$AI988)=TRUE))&gt;0)))</f>
        <v/>
      </c>
      <c r="AM988" s="87"/>
      <c r="AN988" s="87" t="str">
        <f ca="1">IF(OR($A988="",$AM988=""),"",TODAY()-$AM988)</f>
        <v/>
      </c>
      <c r="AO988" s="87"/>
      <c r="AP988" s="106"/>
      <c r="AQ988" s="106"/>
      <c r="AR988" s="106"/>
      <c r="AS988" s="106"/>
      <c r="AT988" s="106"/>
      <c r="AU988" s="106"/>
      <c r="AV988" s="106"/>
      <c r="AW988" s="106"/>
      <c r="AX988" s="106"/>
      <c r="AY988" s="106"/>
    </row>
    <row r="989" spans="1:51" s="20" customFormat="1" ht="21" customHeight="1">
      <c r="A989" s="197"/>
      <c r="B989" s="87"/>
      <c r="C989" s="87"/>
      <c r="D989" s="196"/>
      <c r="E989" s="108"/>
      <c r="F989" s="196"/>
      <c r="G989" s="87"/>
      <c r="H989" s="197"/>
      <c r="I989" s="89"/>
      <c r="J989" s="204"/>
      <c r="K989" s="87"/>
      <c r="L989" s="87" t="str" cm="1">
        <f t="array" ref="L989">IF($A989="","",_xlfn.LET(_xlpm.stat,CHOOSE({1,2,3,4,5},$P989,$T989,$X989,$AB989,$AF989),_xlpm.rate,CHOOSE({1,2,3,4,5},$R989,$V989,$Z989,$AD989,$AH989),_xlpm.trn,CHOOSE({1,2,3,4,5},$S989,$W989,$AA989,$AE989,$AI989),_xlpm.nsC,SUMPRODUCT(--(_xlpm.stat="Ready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DLR",IF(AND(_xlpm.actRS&gt;0,_xlpm.actDone&lt;_xlpm.actRS),"Training",IF(_xlpm.actRS&gt;0,"Active",IF(AND(_xlpm.decC&gt;0,_xlpm.inPlay+_xlpm.actC=0),"Dead",IF(AND($AJ989&lt;&gt;"",$AK989=FALSE),"Waiting on Dealer",IF(_xlpm.subC&gt;0,"Waiting on Lender",IF(AND(_xlpm.appC+_xlpm.actC&gt;0,_xlpm.nsC+_xlpm.wdC=0),"Rate Sheet","Application Submitted")))))))))</f>
        <v/>
      </c>
      <c r="M989" s="87"/>
      <c r="N989" s="87"/>
      <c r="O989" s="197"/>
      <c r="P989" s="87" t="str">
        <f>IF($A989="","",IF($AK989=TRUE,"Ready 2 Submit","Waiting on Dealer"))</f>
        <v/>
      </c>
      <c r="Q989" s="148"/>
      <c r="R989" s="87"/>
      <c r="S989" s="87"/>
      <c r="T989" s="87" t="str">
        <f>IF($A989="","",IF($AK989=TRUE,"Ready 2 Submit","Waiting on Dealer"))</f>
        <v/>
      </c>
      <c r="U989" s="148"/>
      <c r="V989" s="87"/>
      <c r="W989" s="87"/>
      <c r="X989" s="87" t="str">
        <f>IF($A989="","",IF($AK989=TRUE,"Ready 2 Submit","Waiting on Dealer"))</f>
        <v/>
      </c>
      <c r="Y989" s="148"/>
      <c r="Z989" s="87"/>
      <c r="AA989" s="87"/>
      <c r="AB989" s="87" t="str">
        <f>IF($A989="","",IF($AK989=TRUE,"Ready 2 Submit","Waiting on Dealer"))</f>
        <v/>
      </c>
      <c r="AC989" s="148"/>
      <c r="AD989" s="87"/>
      <c r="AE989" s="87"/>
      <c r="AF989" s="87" t="str">
        <f>IF($A989="","",IF($AK989=TRUE,"Ready 2 Submit","Waiting on Dealer"))</f>
        <v/>
      </c>
      <c r="AG989" s="148"/>
      <c r="AH989" s="87"/>
      <c r="AI989" s="87"/>
      <c r="AJ989" s="197"/>
      <c r="AK989" s="110" t="b">
        <v>0</v>
      </c>
      <c r="AL989" s="87" t="str" cm="1">
        <f t="array" ref="AL989">IF($A989="","",SUMPRODUCT((CHOOSE({1,2,3,4,5},$R989,$V989,$Z989,$AD989,$AH989)="Yes")*(((CHOOSE({1,2,3,4,5},$S989,$W989,$AA989,$AE989,$AI989)="Yes")+(CHOOSE({1,2,3,4,5},$S989,$W989,$AA989,$AE989,$AI989)=TRUE))&gt;0)))</f>
        <v/>
      </c>
      <c r="AM989" s="87"/>
      <c r="AN989" s="87" t="str">
        <f ca="1">IF(OR($A989="",$AM989=""),"",TODAY()-$AM989)</f>
        <v/>
      </c>
      <c r="AO989" s="87"/>
      <c r="AP989" s="106"/>
      <c r="AQ989" s="106"/>
      <c r="AR989" s="106"/>
      <c r="AS989" s="106"/>
      <c r="AT989" s="106"/>
      <c r="AU989" s="106"/>
      <c r="AV989" s="106"/>
      <c r="AW989" s="106"/>
      <c r="AX989" s="106"/>
      <c r="AY989" s="106"/>
    </row>
    <row r="990" spans="1:51" s="20" customFormat="1" ht="21" customHeight="1">
      <c r="A990" s="197"/>
      <c r="B990" s="87"/>
      <c r="C990" s="87"/>
      <c r="D990" s="196"/>
      <c r="E990" s="108"/>
      <c r="F990" s="196"/>
      <c r="G990" s="87"/>
      <c r="H990" s="197"/>
      <c r="I990" s="89"/>
      <c r="J990" s="204"/>
      <c r="K990" s="87"/>
      <c r="L990" s="87" t="str" cm="1">
        <f t="array" ref="L990">IF($A990="","",_xlfn.LET(_xlpm.stat,CHOOSE({1,2,3,4,5},$P990,$T990,$X990,$AB990,$AF990),_xlpm.rate,CHOOSE({1,2,3,4,5},$R990,$V990,$Z990,$AD990,$AH990),_xlpm.trn,CHOOSE({1,2,3,4,5},$S990,$W990,$AA990,$AE990,$AI990),_xlpm.nsC,SUMPRODUCT(--(_xlpm.stat="Ready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DLR",IF(AND(_xlpm.actRS&gt;0,_xlpm.actDone&lt;_xlpm.actRS),"Training",IF(_xlpm.actRS&gt;0,"Active",IF(AND(_xlpm.decC&gt;0,_xlpm.inPlay+_xlpm.actC=0),"Dead",IF(AND($AJ990&lt;&gt;"",$AK990=FALSE),"Waiting on Dealer",IF(_xlpm.subC&gt;0,"Waiting on Lender",IF(AND(_xlpm.appC+_xlpm.actC&gt;0,_xlpm.nsC+_xlpm.wdC=0),"Rate Sheet","Application Submitted")))))))))</f>
        <v/>
      </c>
      <c r="M990" s="87"/>
      <c r="N990" s="87"/>
      <c r="O990" s="197"/>
      <c r="P990" s="87" t="str">
        <f>IF($A990="","",IF($AK990=TRUE,"Ready 2 Submit","Waiting on Dealer"))</f>
        <v/>
      </c>
      <c r="Q990" s="148"/>
      <c r="R990" s="87"/>
      <c r="S990" s="87"/>
      <c r="T990" s="87" t="str">
        <f>IF($A990="","",IF($AK990=TRUE,"Ready 2 Submit","Waiting on Dealer"))</f>
        <v/>
      </c>
      <c r="U990" s="148"/>
      <c r="V990" s="87"/>
      <c r="W990" s="87"/>
      <c r="X990" s="87" t="str">
        <f>IF($A990="","",IF($AK990=TRUE,"Ready 2 Submit","Waiting on Dealer"))</f>
        <v/>
      </c>
      <c r="Y990" s="148"/>
      <c r="Z990" s="87"/>
      <c r="AA990" s="87"/>
      <c r="AB990" s="87" t="str">
        <f>IF($A990="","",IF($AK990=TRUE,"Ready 2 Submit","Waiting on Dealer"))</f>
        <v/>
      </c>
      <c r="AC990" s="148"/>
      <c r="AD990" s="87"/>
      <c r="AE990" s="87"/>
      <c r="AF990" s="87" t="str">
        <f>IF($A990="","",IF($AK990=TRUE,"Ready 2 Submit","Waiting on Dealer"))</f>
        <v/>
      </c>
      <c r="AG990" s="148"/>
      <c r="AH990" s="87"/>
      <c r="AI990" s="87"/>
      <c r="AJ990" s="197"/>
      <c r="AK990" s="110" t="b">
        <v>0</v>
      </c>
      <c r="AL990" s="87" t="str" cm="1">
        <f t="array" ref="AL990">IF($A990="","",SUMPRODUCT((CHOOSE({1,2,3,4,5},$R990,$V990,$Z990,$AD990,$AH990)="Yes")*(((CHOOSE({1,2,3,4,5},$S990,$W990,$AA990,$AE990,$AI990)="Yes")+(CHOOSE({1,2,3,4,5},$S990,$W990,$AA990,$AE990,$AI990)=TRUE))&gt;0)))</f>
        <v/>
      </c>
      <c r="AM990" s="87"/>
      <c r="AN990" s="87" t="str">
        <f ca="1">IF(OR($A990="",$AM990=""),"",TODAY()-$AM990)</f>
        <v/>
      </c>
      <c r="AO990" s="87"/>
      <c r="AP990" s="106"/>
      <c r="AQ990" s="106"/>
      <c r="AR990" s="106"/>
      <c r="AS990" s="106"/>
      <c r="AT990" s="106"/>
      <c r="AU990" s="106"/>
      <c r="AV990" s="106"/>
      <c r="AW990" s="106"/>
      <c r="AX990" s="106"/>
      <c r="AY990" s="106"/>
    </row>
    <row r="991" spans="1:51" s="20" customFormat="1" ht="21" customHeight="1">
      <c r="A991" s="197"/>
      <c r="B991" s="87"/>
      <c r="C991" s="87"/>
      <c r="D991" s="196"/>
      <c r="E991" s="108"/>
      <c r="F991" s="196"/>
      <c r="G991" s="87"/>
      <c r="H991" s="197"/>
      <c r="I991" s="89"/>
      <c r="J991" s="204"/>
      <c r="K991" s="87"/>
      <c r="L991" s="87" t="str" cm="1">
        <f t="array" ref="L991">IF($A991="","",_xlfn.LET(_xlpm.stat,CHOOSE({1,2,3,4,5},$P991,$T991,$X991,$AB991,$AF991),_xlpm.rate,CHOOSE({1,2,3,4,5},$R991,$V991,$Z991,$AD991,$AH991),_xlpm.trn,CHOOSE({1,2,3,4,5},$S991,$W991,$AA991,$AE991,$AI991),_xlpm.nsC,SUMPRODUCT(--(_xlpm.stat="Ready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DLR",IF(AND(_xlpm.actRS&gt;0,_xlpm.actDone&lt;_xlpm.actRS),"Training",IF(_xlpm.actRS&gt;0,"Active",IF(AND(_xlpm.decC&gt;0,_xlpm.inPlay+_xlpm.actC=0),"Dead",IF(AND($AJ991&lt;&gt;"",$AK991=FALSE),"Waiting on Dealer",IF(_xlpm.subC&gt;0,"Waiting on Lender",IF(AND(_xlpm.appC+_xlpm.actC&gt;0,_xlpm.nsC+_xlpm.wdC=0),"Rate Sheet","Application Submitted")))))))))</f>
        <v/>
      </c>
      <c r="M991" s="87"/>
      <c r="N991" s="87"/>
      <c r="O991" s="197"/>
      <c r="P991" s="87" t="str">
        <f>IF($A991="","",IF($AK991=TRUE,"Ready 2 Submit","Waiting on Dealer"))</f>
        <v/>
      </c>
      <c r="Q991" s="148"/>
      <c r="R991" s="87"/>
      <c r="S991" s="87"/>
      <c r="T991" s="87" t="str">
        <f>IF($A991="","",IF($AK991=TRUE,"Ready 2 Submit","Waiting on Dealer"))</f>
        <v/>
      </c>
      <c r="U991" s="148"/>
      <c r="V991" s="87"/>
      <c r="W991" s="87"/>
      <c r="X991" s="87" t="str">
        <f>IF($A991="","",IF($AK991=TRUE,"Ready 2 Submit","Waiting on Dealer"))</f>
        <v/>
      </c>
      <c r="Y991" s="148"/>
      <c r="Z991" s="87"/>
      <c r="AA991" s="87"/>
      <c r="AB991" s="87" t="str">
        <f>IF($A991="","",IF($AK991=TRUE,"Ready 2 Submit","Waiting on Dealer"))</f>
        <v/>
      </c>
      <c r="AC991" s="148"/>
      <c r="AD991" s="87"/>
      <c r="AE991" s="87"/>
      <c r="AF991" s="87" t="str">
        <f>IF($A991="","",IF($AK991=TRUE,"Ready 2 Submit","Waiting on Dealer"))</f>
        <v/>
      </c>
      <c r="AG991" s="148"/>
      <c r="AH991" s="87"/>
      <c r="AI991" s="87"/>
      <c r="AJ991" s="197"/>
      <c r="AK991" s="110" t="b">
        <v>0</v>
      </c>
      <c r="AL991" s="87" t="str" cm="1">
        <f t="array" ref="AL991">IF($A991="","",SUMPRODUCT((CHOOSE({1,2,3,4,5},$R991,$V991,$Z991,$AD991,$AH991)="Yes")*(((CHOOSE({1,2,3,4,5},$S991,$W991,$AA991,$AE991,$AI991)="Yes")+(CHOOSE({1,2,3,4,5},$S991,$W991,$AA991,$AE991,$AI991)=TRUE))&gt;0)))</f>
        <v/>
      </c>
      <c r="AM991" s="87"/>
      <c r="AN991" s="87" t="str">
        <f ca="1">IF(OR($A991="",$AM991=""),"",TODAY()-$AM991)</f>
        <v/>
      </c>
      <c r="AO991" s="87"/>
      <c r="AP991" s="106"/>
      <c r="AQ991" s="106"/>
      <c r="AR991" s="106"/>
      <c r="AS991" s="106"/>
      <c r="AT991" s="106"/>
      <c r="AU991" s="106"/>
      <c r="AV991" s="106"/>
      <c r="AW991" s="106"/>
      <c r="AX991" s="106"/>
      <c r="AY991" s="106"/>
    </row>
    <row r="992" spans="1:51" s="20" customFormat="1" ht="21" customHeight="1">
      <c r="A992" s="197"/>
      <c r="B992" s="87"/>
      <c r="C992" s="87"/>
      <c r="D992" s="196"/>
      <c r="E992" s="108"/>
      <c r="F992" s="196"/>
      <c r="G992" s="87"/>
      <c r="H992" s="197"/>
      <c r="I992" s="89"/>
      <c r="J992" s="204"/>
      <c r="K992" s="87"/>
      <c r="L992" s="87" t="str" cm="1">
        <f t="array" ref="L992">IF($A992="","",_xlfn.LET(_xlpm.stat,CHOOSE({1,2,3,4,5},$P992,$T992,$X992,$AB992,$AF992),_xlpm.rate,CHOOSE({1,2,3,4,5},$R992,$V992,$Z992,$AD992,$AH992),_xlpm.trn,CHOOSE({1,2,3,4,5},$S992,$W992,$AA992,$AE992,$AI992),_xlpm.nsC,SUMPRODUCT(--(_xlpm.stat="Ready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DLR",IF(AND(_xlpm.actRS&gt;0,_xlpm.actDone&lt;_xlpm.actRS),"Training",IF(_xlpm.actRS&gt;0,"Active",IF(AND(_xlpm.decC&gt;0,_xlpm.inPlay+_xlpm.actC=0),"Dead",IF(AND($AJ992&lt;&gt;"",$AK992=FALSE),"Waiting on Dealer",IF(_xlpm.subC&gt;0,"Waiting on Lender",IF(AND(_xlpm.appC+_xlpm.actC&gt;0,_xlpm.nsC+_xlpm.wdC=0),"Rate Sheet","Application Submitted")))))))))</f>
        <v/>
      </c>
      <c r="M992" s="87"/>
      <c r="N992" s="87"/>
      <c r="O992" s="197"/>
      <c r="P992" s="87" t="str">
        <f>IF($A992="","",IF($AK992=TRUE,"Ready 2 Submit","Waiting on Dealer"))</f>
        <v/>
      </c>
      <c r="Q992" s="148"/>
      <c r="R992" s="87"/>
      <c r="S992" s="87"/>
      <c r="T992" s="87" t="str">
        <f>IF($A992="","",IF($AK992=TRUE,"Ready 2 Submit","Waiting on Dealer"))</f>
        <v/>
      </c>
      <c r="U992" s="148"/>
      <c r="V992" s="87"/>
      <c r="W992" s="87"/>
      <c r="X992" s="87" t="str">
        <f>IF($A992="","",IF($AK992=TRUE,"Ready 2 Submit","Waiting on Dealer"))</f>
        <v/>
      </c>
      <c r="Y992" s="148"/>
      <c r="Z992" s="87"/>
      <c r="AA992" s="87"/>
      <c r="AB992" s="87" t="str">
        <f>IF($A992="","",IF($AK992=TRUE,"Ready 2 Submit","Waiting on Dealer"))</f>
        <v/>
      </c>
      <c r="AC992" s="148"/>
      <c r="AD992" s="87"/>
      <c r="AE992" s="87"/>
      <c r="AF992" s="87" t="str">
        <f>IF($A992="","",IF($AK992=TRUE,"Ready 2 Submit","Waiting on Dealer"))</f>
        <v/>
      </c>
      <c r="AG992" s="148"/>
      <c r="AH992" s="87"/>
      <c r="AI992" s="87"/>
      <c r="AJ992" s="197"/>
      <c r="AK992" s="110" t="b">
        <v>0</v>
      </c>
      <c r="AL992" s="87" t="str" cm="1">
        <f t="array" ref="AL992">IF($A992="","",SUMPRODUCT((CHOOSE({1,2,3,4,5},$R992,$V992,$Z992,$AD992,$AH992)="Yes")*(((CHOOSE({1,2,3,4,5},$S992,$W992,$AA992,$AE992,$AI992)="Yes")+(CHOOSE({1,2,3,4,5},$S992,$W992,$AA992,$AE992,$AI992)=TRUE))&gt;0)))</f>
        <v/>
      </c>
      <c r="AM992" s="87"/>
      <c r="AN992" s="87" t="str">
        <f ca="1">IF(OR($A992="",$AM992=""),"",TODAY()-$AM992)</f>
        <v/>
      </c>
      <c r="AO992" s="87"/>
      <c r="AP992" s="106"/>
      <c r="AQ992" s="106"/>
      <c r="AR992" s="106"/>
      <c r="AS992" s="106"/>
      <c r="AT992" s="106"/>
      <c r="AU992" s="106"/>
      <c r="AV992" s="106"/>
      <c r="AW992" s="106"/>
      <c r="AX992" s="106"/>
      <c r="AY992" s="106"/>
    </row>
    <row r="993" spans="1:51" s="20" customFormat="1" ht="21" customHeight="1">
      <c r="A993" s="197"/>
      <c r="B993" s="87"/>
      <c r="C993" s="87"/>
      <c r="D993" s="196"/>
      <c r="E993" s="108"/>
      <c r="F993" s="196"/>
      <c r="G993" s="87"/>
      <c r="H993" s="197"/>
      <c r="I993" s="89"/>
      <c r="J993" s="204"/>
      <c r="K993" s="87"/>
      <c r="L993" s="87" t="str" cm="1">
        <f t="array" ref="L993">IF($A993="","",_xlfn.LET(_xlpm.stat,CHOOSE({1,2,3,4,5},$P993,$T993,$X993,$AB993,$AF993),_xlpm.rate,CHOOSE({1,2,3,4,5},$R993,$V993,$Z993,$AD993,$AH993),_xlpm.trn,CHOOSE({1,2,3,4,5},$S993,$W993,$AA993,$AE993,$AI993),_xlpm.nsC,SUMPRODUCT(--(_xlpm.stat="Ready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DLR",IF(AND(_xlpm.actRS&gt;0,_xlpm.actDone&lt;_xlpm.actRS),"Training",IF(_xlpm.actRS&gt;0,"Active",IF(AND(_xlpm.decC&gt;0,_xlpm.inPlay+_xlpm.actC=0),"Dead",IF(AND($AJ993&lt;&gt;"",$AK993=FALSE),"Waiting on Dealer",IF(_xlpm.subC&gt;0,"Waiting on Lender",IF(AND(_xlpm.appC+_xlpm.actC&gt;0,_xlpm.nsC+_xlpm.wdC=0),"Rate Sheet","Application Submitted")))))))))</f>
        <v/>
      </c>
      <c r="M993" s="87"/>
      <c r="N993" s="87"/>
      <c r="O993" s="197"/>
      <c r="P993" s="87" t="str">
        <f>IF($A993="","",IF($AK993=TRUE,"Ready 2 Submit","Waiting on Dealer"))</f>
        <v/>
      </c>
      <c r="Q993" s="148"/>
      <c r="R993" s="87"/>
      <c r="S993" s="87"/>
      <c r="T993" s="87" t="str">
        <f>IF($A993="","",IF($AK993=TRUE,"Ready 2 Submit","Waiting on Dealer"))</f>
        <v/>
      </c>
      <c r="U993" s="148"/>
      <c r="V993" s="87"/>
      <c r="W993" s="87"/>
      <c r="X993" s="87" t="str">
        <f>IF($A993="","",IF($AK993=TRUE,"Ready 2 Submit","Waiting on Dealer"))</f>
        <v/>
      </c>
      <c r="Y993" s="148"/>
      <c r="Z993" s="87"/>
      <c r="AA993" s="87"/>
      <c r="AB993" s="87" t="str">
        <f>IF($A993="","",IF($AK993=TRUE,"Ready 2 Submit","Waiting on Dealer"))</f>
        <v/>
      </c>
      <c r="AC993" s="148"/>
      <c r="AD993" s="87"/>
      <c r="AE993" s="87"/>
      <c r="AF993" s="87" t="str">
        <f>IF($A993="","",IF($AK993=TRUE,"Ready 2 Submit","Waiting on Dealer"))</f>
        <v/>
      </c>
      <c r="AG993" s="148"/>
      <c r="AH993" s="87"/>
      <c r="AI993" s="87"/>
      <c r="AJ993" s="197"/>
      <c r="AK993" s="110" t="b">
        <v>0</v>
      </c>
      <c r="AL993" s="87" t="str" cm="1">
        <f t="array" ref="AL993">IF($A993="","",SUMPRODUCT((CHOOSE({1,2,3,4,5},$R993,$V993,$Z993,$AD993,$AH993)="Yes")*(((CHOOSE({1,2,3,4,5},$S993,$W993,$AA993,$AE993,$AI993)="Yes")+(CHOOSE({1,2,3,4,5},$S993,$W993,$AA993,$AE993,$AI993)=TRUE))&gt;0)))</f>
        <v/>
      </c>
      <c r="AM993" s="87"/>
      <c r="AN993" s="87" t="str">
        <f ca="1">IF(OR($A993="",$AM993=""),"",TODAY()-$AM993)</f>
        <v/>
      </c>
      <c r="AO993" s="87"/>
      <c r="AP993" s="106"/>
      <c r="AQ993" s="106"/>
      <c r="AR993" s="106"/>
      <c r="AS993" s="106"/>
      <c r="AT993" s="106"/>
      <c r="AU993" s="106"/>
      <c r="AV993" s="106"/>
      <c r="AW993" s="106"/>
      <c r="AX993" s="106"/>
      <c r="AY993" s="106"/>
    </row>
    <row r="994" spans="1:51" s="20" customFormat="1" ht="21" customHeight="1">
      <c r="A994" s="197"/>
      <c r="B994" s="87"/>
      <c r="C994" s="87"/>
      <c r="D994" s="196"/>
      <c r="E994" s="108"/>
      <c r="F994" s="196"/>
      <c r="G994" s="87"/>
      <c r="H994" s="197"/>
      <c r="I994" s="89"/>
      <c r="J994" s="204"/>
      <c r="K994" s="87"/>
      <c r="L994" s="87" t="str" cm="1">
        <f t="array" ref="L994">IF($A994="","",_xlfn.LET(_xlpm.stat,CHOOSE({1,2,3,4,5},$P994,$T994,$X994,$AB994,$AF994),_xlpm.rate,CHOOSE({1,2,3,4,5},$R994,$V994,$Z994,$AD994,$AH994),_xlpm.trn,CHOOSE({1,2,3,4,5},$S994,$W994,$AA994,$AE994,$AI994),_xlpm.nsC,SUMPRODUCT(--(_xlpm.stat="Ready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DLR",IF(AND(_xlpm.actRS&gt;0,_xlpm.actDone&lt;_xlpm.actRS),"Training",IF(_xlpm.actRS&gt;0,"Active",IF(AND(_xlpm.decC&gt;0,_xlpm.inPlay+_xlpm.actC=0),"Dead",IF(AND($AJ994&lt;&gt;"",$AK994=FALSE),"Waiting on Dealer",IF(_xlpm.subC&gt;0,"Waiting on Lender",IF(AND(_xlpm.appC+_xlpm.actC&gt;0,_xlpm.nsC+_xlpm.wdC=0),"Rate Sheet","Application Submitted")))))))))</f>
        <v/>
      </c>
      <c r="M994" s="87"/>
      <c r="N994" s="87"/>
      <c r="O994" s="197"/>
      <c r="P994" s="87" t="str">
        <f>IF($A994="","",IF($AK994=TRUE,"Ready 2 Submit","Waiting on Dealer"))</f>
        <v/>
      </c>
      <c r="Q994" s="148"/>
      <c r="R994" s="87"/>
      <c r="S994" s="87"/>
      <c r="T994" s="87" t="str">
        <f>IF($A994="","",IF($AK994=TRUE,"Ready 2 Submit","Waiting on Dealer"))</f>
        <v/>
      </c>
      <c r="U994" s="148"/>
      <c r="V994" s="87"/>
      <c r="W994" s="87"/>
      <c r="X994" s="87" t="str">
        <f>IF($A994="","",IF($AK994=TRUE,"Ready 2 Submit","Waiting on Dealer"))</f>
        <v/>
      </c>
      <c r="Y994" s="148"/>
      <c r="Z994" s="87"/>
      <c r="AA994" s="87"/>
      <c r="AB994" s="87" t="str">
        <f>IF($A994="","",IF($AK994=TRUE,"Ready 2 Submit","Waiting on Dealer"))</f>
        <v/>
      </c>
      <c r="AC994" s="148"/>
      <c r="AD994" s="87"/>
      <c r="AE994" s="87"/>
      <c r="AF994" s="87" t="str">
        <f>IF($A994="","",IF($AK994=TRUE,"Ready 2 Submit","Waiting on Dealer"))</f>
        <v/>
      </c>
      <c r="AG994" s="148"/>
      <c r="AH994" s="87"/>
      <c r="AI994" s="87"/>
      <c r="AJ994" s="197"/>
      <c r="AK994" s="110" t="b">
        <v>0</v>
      </c>
      <c r="AL994" s="87" t="str" cm="1">
        <f t="array" ref="AL994">IF($A994="","",SUMPRODUCT((CHOOSE({1,2,3,4,5},$R994,$V994,$Z994,$AD994,$AH994)="Yes")*(((CHOOSE({1,2,3,4,5},$S994,$W994,$AA994,$AE994,$AI994)="Yes")+(CHOOSE({1,2,3,4,5},$S994,$W994,$AA994,$AE994,$AI994)=TRUE))&gt;0)))</f>
        <v/>
      </c>
      <c r="AM994" s="87"/>
      <c r="AN994" s="87" t="str">
        <f ca="1">IF(OR($A994="",$AM994=""),"",TODAY()-$AM994)</f>
        <v/>
      </c>
      <c r="AO994" s="87"/>
      <c r="AP994" s="106"/>
      <c r="AQ994" s="106"/>
      <c r="AR994" s="106"/>
      <c r="AS994" s="106"/>
      <c r="AT994" s="106"/>
      <c r="AU994" s="106"/>
      <c r="AV994" s="106"/>
      <c r="AW994" s="106"/>
      <c r="AX994" s="106"/>
      <c r="AY994" s="106"/>
    </row>
    <row r="995" spans="1:51" s="20" customFormat="1" ht="21" customHeight="1">
      <c r="A995" s="197"/>
      <c r="B995" s="87"/>
      <c r="C995" s="87"/>
      <c r="D995" s="196"/>
      <c r="E995" s="108"/>
      <c r="F995" s="196"/>
      <c r="G995" s="87"/>
      <c r="H995" s="197"/>
      <c r="I995" s="89"/>
      <c r="J995" s="204"/>
      <c r="K995" s="87"/>
      <c r="L995" s="87" t="str" cm="1">
        <f t="array" ref="L995">IF($A995="","",_xlfn.LET(_xlpm.stat,CHOOSE({1,2,3,4,5},$P995,$T995,$X995,$AB995,$AF995),_xlpm.rate,CHOOSE({1,2,3,4,5},$R995,$V995,$Z995,$AD995,$AH995),_xlpm.trn,CHOOSE({1,2,3,4,5},$S995,$W995,$AA995,$AE995,$AI995),_xlpm.nsC,SUMPRODUCT(--(_xlpm.stat="Ready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DLR",IF(AND(_xlpm.actRS&gt;0,_xlpm.actDone&lt;_xlpm.actRS),"Training",IF(_xlpm.actRS&gt;0,"Active",IF(AND(_xlpm.decC&gt;0,_xlpm.inPlay+_xlpm.actC=0),"Dead",IF(AND($AJ995&lt;&gt;"",$AK995=FALSE),"Waiting on Dealer",IF(_xlpm.subC&gt;0,"Waiting on Lender",IF(AND(_xlpm.appC+_xlpm.actC&gt;0,_xlpm.nsC+_xlpm.wdC=0),"Rate Sheet","Application Submitted")))))))))</f>
        <v/>
      </c>
      <c r="M995" s="87"/>
      <c r="N995" s="87"/>
      <c r="O995" s="197"/>
      <c r="P995" s="87" t="str">
        <f>IF($A995="","",IF($AK995=TRUE,"Ready 2 Submit","Waiting on Dealer"))</f>
        <v/>
      </c>
      <c r="Q995" s="148"/>
      <c r="R995" s="87"/>
      <c r="S995" s="87"/>
      <c r="T995" s="87" t="str">
        <f>IF($A995="","",IF($AK995=TRUE,"Ready 2 Submit","Waiting on Dealer"))</f>
        <v/>
      </c>
      <c r="U995" s="148"/>
      <c r="V995" s="87"/>
      <c r="W995" s="87"/>
      <c r="X995" s="87" t="str">
        <f>IF($A995="","",IF($AK995=TRUE,"Ready 2 Submit","Waiting on Dealer"))</f>
        <v/>
      </c>
      <c r="Y995" s="148"/>
      <c r="Z995" s="87"/>
      <c r="AA995" s="87"/>
      <c r="AB995" s="87" t="str">
        <f>IF($A995="","",IF($AK995=TRUE,"Ready 2 Submit","Waiting on Dealer"))</f>
        <v/>
      </c>
      <c r="AC995" s="148"/>
      <c r="AD995" s="87"/>
      <c r="AE995" s="87"/>
      <c r="AF995" s="87" t="str">
        <f>IF($A995="","",IF($AK995=TRUE,"Ready 2 Submit","Waiting on Dealer"))</f>
        <v/>
      </c>
      <c r="AG995" s="148"/>
      <c r="AH995" s="87"/>
      <c r="AI995" s="87"/>
      <c r="AJ995" s="197"/>
      <c r="AK995" s="110" t="b">
        <v>0</v>
      </c>
      <c r="AL995" s="87" t="str" cm="1">
        <f t="array" ref="AL995">IF($A995="","",SUMPRODUCT((CHOOSE({1,2,3,4,5},$R995,$V995,$Z995,$AD995,$AH995)="Yes")*(((CHOOSE({1,2,3,4,5},$S995,$W995,$AA995,$AE995,$AI995)="Yes")+(CHOOSE({1,2,3,4,5},$S995,$W995,$AA995,$AE995,$AI995)=TRUE))&gt;0)))</f>
        <v/>
      </c>
      <c r="AM995" s="87"/>
      <c r="AN995" s="87" t="str">
        <f ca="1">IF(OR($A995="",$AM995=""),"",TODAY()-$AM995)</f>
        <v/>
      </c>
      <c r="AO995" s="87"/>
      <c r="AP995" s="106"/>
      <c r="AQ995" s="106"/>
      <c r="AR995" s="106"/>
      <c r="AS995" s="106"/>
      <c r="AT995" s="106"/>
      <c r="AU995" s="106"/>
      <c r="AV995" s="106"/>
      <c r="AW995" s="106"/>
      <c r="AX995" s="106"/>
      <c r="AY995" s="106"/>
    </row>
    <row r="996" spans="1:51" s="20" customFormat="1" ht="21" customHeight="1">
      <c r="A996" s="197"/>
      <c r="B996" s="87"/>
      <c r="C996" s="87"/>
      <c r="D996" s="196"/>
      <c r="E996" s="108"/>
      <c r="F996" s="196"/>
      <c r="G996" s="87"/>
      <c r="H996" s="197"/>
      <c r="I996" s="89"/>
      <c r="J996" s="204"/>
      <c r="K996" s="87"/>
      <c r="L996" s="87" t="str" cm="1">
        <f t="array" ref="L996">IF($A996="","",_xlfn.LET(_xlpm.stat,CHOOSE({1,2,3,4,5},$P996,$T996,$X996,$AB996,$AF996),_xlpm.rate,CHOOSE({1,2,3,4,5},$R996,$V996,$Z996,$AD996,$AH996),_xlpm.trn,CHOOSE({1,2,3,4,5},$S996,$W996,$AA996,$AE996,$AI996),_xlpm.nsC,SUMPRODUCT(--(_xlpm.stat="Ready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DLR",IF(AND(_xlpm.actRS&gt;0,_xlpm.actDone&lt;_xlpm.actRS),"Training",IF(_xlpm.actRS&gt;0,"Active",IF(AND(_xlpm.decC&gt;0,_xlpm.inPlay+_xlpm.actC=0),"Dead",IF(AND($AJ996&lt;&gt;"",$AK996=FALSE),"Waiting on Dealer",IF(_xlpm.subC&gt;0,"Waiting on Lender",IF(AND(_xlpm.appC+_xlpm.actC&gt;0,_xlpm.nsC+_xlpm.wdC=0),"Rate Sheet","Application Submitted")))))))))</f>
        <v/>
      </c>
      <c r="M996" s="87"/>
      <c r="N996" s="87"/>
      <c r="O996" s="197"/>
      <c r="P996" s="87" t="str">
        <f>IF($A996="","",IF($AK996=TRUE,"Ready 2 Submit","Waiting on Dealer"))</f>
        <v/>
      </c>
      <c r="Q996" s="148"/>
      <c r="R996" s="87"/>
      <c r="S996" s="87"/>
      <c r="T996" s="87" t="str">
        <f>IF($A996="","",IF($AK996=TRUE,"Ready 2 Submit","Waiting on Dealer"))</f>
        <v/>
      </c>
      <c r="U996" s="148"/>
      <c r="V996" s="87"/>
      <c r="W996" s="87"/>
      <c r="X996" s="87" t="str">
        <f>IF($A996="","",IF($AK996=TRUE,"Ready 2 Submit","Waiting on Dealer"))</f>
        <v/>
      </c>
      <c r="Y996" s="148"/>
      <c r="Z996" s="87"/>
      <c r="AA996" s="87"/>
      <c r="AB996" s="87" t="str">
        <f>IF($A996="","",IF($AK996=TRUE,"Ready 2 Submit","Waiting on Dealer"))</f>
        <v/>
      </c>
      <c r="AC996" s="148"/>
      <c r="AD996" s="87"/>
      <c r="AE996" s="87"/>
      <c r="AF996" s="87" t="str">
        <f>IF($A996="","",IF($AK996=TRUE,"Ready 2 Submit","Waiting on Dealer"))</f>
        <v/>
      </c>
      <c r="AG996" s="148"/>
      <c r="AH996" s="87"/>
      <c r="AI996" s="87"/>
      <c r="AJ996" s="197"/>
      <c r="AK996" s="110" t="b">
        <v>0</v>
      </c>
      <c r="AL996" s="87" t="str" cm="1">
        <f t="array" ref="AL996">IF($A996="","",SUMPRODUCT((CHOOSE({1,2,3,4,5},$R996,$V996,$Z996,$AD996,$AH996)="Yes")*(((CHOOSE({1,2,3,4,5},$S996,$W996,$AA996,$AE996,$AI996)="Yes")+(CHOOSE({1,2,3,4,5},$S996,$W996,$AA996,$AE996,$AI996)=TRUE))&gt;0)))</f>
        <v/>
      </c>
      <c r="AM996" s="87"/>
      <c r="AN996" s="87" t="str">
        <f ca="1">IF(OR($A996="",$AM996=""),"",TODAY()-$AM996)</f>
        <v/>
      </c>
      <c r="AO996" s="87"/>
      <c r="AP996" s="106"/>
      <c r="AQ996" s="106"/>
      <c r="AR996" s="106"/>
      <c r="AS996" s="106"/>
      <c r="AT996" s="106"/>
      <c r="AU996" s="106"/>
      <c r="AV996" s="106"/>
      <c r="AW996" s="106"/>
      <c r="AX996" s="106"/>
      <c r="AY996" s="106"/>
    </row>
    <row r="997" spans="1:51" s="20" customFormat="1" ht="21" customHeight="1">
      <c r="A997" s="197"/>
      <c r="B997" s="87"/>
      <c r="C997" s="87"/>
      <c r="D997" s="196"/>
      <c r="E997" s="108"/>
      <c r="F997" s="196"/>
      <c r="G997" s="87"/>
      <c r="H997" s="197"/>
      <c r="I997" s="89"/>
      <c r="J997" s="204"/>
      <c r="K997" s="87"/>
      <c r="L997" s="87" t="str" cm="1">
        <f t="array" ref="L997">IF($A997="","",_xlfn.LET(_xlpm.stat,CHOOSE({1,2,3,4,5},$P997,$T997,$X997,$AB997,$AF997),_xlpm.rate,CHOOSE({1,2,3,4,5},$R997,$V997,$Z997,$AD997,$AH997),_xlpm.trn,CHOOSE({1,2,3,4,5},$S997,$W997,$AA997,$AE997,$AI997),_xlpm.nsC,SUMPRODUCT(--(_xlpm.stat="Ready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DLR",IF(AND(_xlpm.actRS&gt;0,_xlpm.actDone&lt;_xlpm.actRS),"Training",IF(_xlpm.actRS&gt;0,"Active",IF(AND(_xlpm.decC&gt;0,_xlpm.inPlay+_xlpm.actC=0),"Dead",IF(AND($AJ997&lt;&gt;"",$AK997=FALSE),"Waiting on Dealer",IF(_xlpm.subC&gt;0,"Waiting on Lender",IF(AND(_xlpm.appC+_xlpm.actC&gt;0,_xlpm.nsC+_xlpm.wdC=0),"Rate Sheet","Application Submitted")))))))))</f>
        <v/>
      </c>
      <c r="M997" s="87"/>
      <c r="N997" s="87"/>
      <c r="O997" s="197"/>
      <c r="P997" s="87" t="str">
        <f>IF($A997="","",IF($AK997=TRUE,"Ready 2 Submit","Waiting on Dealer"))</f>
        <v/>
      </c>
      <c r="Q997" s="148"/>
      <c r="R997" s="87"/>
      <c r="S997" s="87"/>
      <c r="T997" s="87" t="str">
        <f>IF($A997="","",IF($AK997=TRUE,"Ready 2 Submit","Waiting on Dealer"))</f>
        <v/>
      </c>
      <c r="U997" s="148"/>
      <c r="V997" s="87"/>
      <c r="W997" s="87"/>
      <c r="X997" s="87" t="str">
        <f>IF($A997="","",IF($AK997=TRUE,"Ready 2 Submit","Waiting on Dealer"))</f>
        <v/>
      </c>
      <c r="Y997" s="148"/>
      <c r="Z997" s="87"/>
      <c r="AA997" s="87"/>
      <c r="AB997" s="87" t="str">
        <f>IF($A997="","",IF($AK997=TRUE,"Ready 2 Submit","Waiting on Dealer"))</f>
        <v/>
      </c>
      <c r="AC997" s="148"/>
      <c r="AD997" s="87"/>
      <c r="AE997" s="87"/>
      <c r="AF997" s="87" t="str">
        <f>IF($A997="","",IF($AK997=TRUE,"Ready 2 Submit","Waiting on Dealer"))</f>
        <v/>
      </c>
      <c r="AG997" s="148"/>
      <c r="AH997" s="87"/>
      <c r="AI997" s="87"/>
      <c r="AJ997" s="197"/>
      <c r="AK997" s="110" t="b">
        <v>0</v>
      </c>
      <c r="AL997" s="87" t="str" cm="1">
        <f t="array" ref="AL997">IF($A997="","",SUMPRODUCT((CHOOSE({1,2,3,4,5},$R997,$V997,$Z997,$AD997,$AH997)="Yes")*(((CHOOSE({1,2,3,4,5},$S997,$W997,$AA997,$AE997,$AI997)="Yes")+(CHOOSE({1,2,3,4,5},$S997,$W997,$AA997,$AE997,$AI997)=TRUE))&gt;0)))</f>
        <v/>
      </c>
      <c r="AM997" s="87"/>
      <c r="AN997" s="87" t="str">
        <f ca="1">IF(OR($A997="",$AM997=""),"",TODAY()-$AM997)</f>
        <v/>
      </c>
      <c r="AO997" s="87"/>
      <c r="AP997" s="106"/>
      <c r="AQ997" s="106"/>
      <c r="AR997" s="106"/>
      <c r="AS997" s="106"/>
      <c r="AT997" s="106"/>
      <c r="AU997" s="106"/>
      <c r="AV997" s="106"/>
      <c r="AW997" s="106"/>
      <c r="AX997" s="106"/>
      <c r="AY997" s="106"/>
    </row>
    <row r="998" spans="1:51" s="20" customFormat="1" ht="21" customHeight="1">
      <c r="A998" s="198"/>
      <c r="B998" s="19"/>
      <c r="C998" s="19"/>
      <c r="D998" s="202"/>
      <c r="E998" s="14"/>
      <c r="F998" s="202"/>
      <c r="G998" s="19"/>
      <c r="H998" s="198"/>
      <c r="I998" s="22"/>
      <c r="J998" s="205"/>
      <c r="K998" s="19"/>
      <c r="L998" s="19" t="str" cm="1">
        <f t="array" ref="L998">IF($A998="","",_xlfn.LET(_xlpm.stat,CHOOSE({1,2,3,4,5},$P998,$T998,$X998,$AB998,$AF998),_xlpm.rate,CHOOSE({1,2,3,4,5},$R998,$V998,$Z998,$AD998,$AH998),_xlpm.trn,CHOOSE({1,2,3,4,5},$S998,$W998,$AA998,$AE998,$AI998),_xlpm.nsC,SUMPRODUCT(--(_xlpm.stat="Ready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DLR",IF(AND(_xlpm.actRS&gt;0,_xlpm.actDone&lt;_xlpm.actRS),"Training",IF(_xlpm.actRS&gt;0,"Active",IF(AND(_xlpm.decC&gt;0,_xlpm.inPlay+_xlpm.actC=0),"Dead",IF(AND($AJ998&lt;&gt;"",$AK998=FALSE),"Waiting on Dealer",IF(_xlpm.subC&gt;0,"Waiting on Lender",IF(AND(_xlpm.appC+_xlpm.actC&gt;0,_xlpm.nsC+_xlpm.wdC=0),"Rate Sheet","Application Submitted")))))))))</f>
        <v/>
      </c>
      <c r="M998" s="19"/>
      <c r="N998" s="19"/>
      <c r="O998" s="198"/>
      <c r="P998" s="19" t="str">
        <f>IF($A998="","",IF($AK998=TRUE,"Ready 2 Submit","Waiting on Dealer"))</f>
        <v/>
      </c>
      <c r="Q998" s="149"/>
      <c r="R998" s="19"/>
      <c r="S998" s="19"/>
      <c r="T998" s="19" t="str">
        <f>IF($A998="","",IF($AK998=TRUE,"Ready 2 Submit","Waiting on Dealer"))</f>
        <v/>
      </c>
      <c r="U998" s="149"/>
      <c r="V998" s="19"/>
      <c r="W998" s="19"/>
      <c r="X998" s="19" t="str">
        <f>IF($A998="","",IF($AK998=TRUE,"Ready 2 Submit","Waiting on Dealer"))</f>
        <v/>
      </c>
      <c r="Y998" s="149"/>
      <c r="Z998" s="19"/>
      <c r="AA998" s="19"/>
      <c r="AB998" s="19" t="str">
        <f>IF($A998="","",IF($AK998=TRUE,"Ready 2 Submit","Waiting on Dealer"))</f>
        <v/>
      </c>
      <c r="AC998" s="149"/>
      <c r="AD998" s="19"/>
      <c r="AE998" s="19"/>
      <c r="AF998" s="19" t="str">
        <f>IF($A998="","",IF($AK998=TRUE,"Ready 2 Submit","Waiting on Dealer"))</f>
        <v/>
      </c>
      <c r="AG998" s="149"/>
      <c r="AH998" s="19"/>
      <c r="AI998" s="19"/>
      <c r="AJ998" s="198"/>
      <c r="AK998" s="24" t="b">
        <v>0</v>
      </c>
      <c r="AL998" s="19" t="str" cm="1">
        <f t="array" ref="AL998">IF($A998="","",SUMPRODUCT((CHOOSE({1,2,3,4,5},$R998,$V998,$Z998,$AD998,$AH998)="Yes")*(((CHOOSE({1,2,3,4,5},$S998,$W998,$AA998,$AE998,$AI998)="Yes")+(CHOOSE({1,2,3,4,5},$S998,$W998,$AA998,$AE998,$AI998)=TRUE))&gt;0)))</f>
        <v/>
      </c>
      <c r="AM998" s="19"/>
      <c r="AN998" s="19" t="str">
        <f ca="1">IF(OR($A998="",$AM998=""),"",TODAY()-$AM998)</f>
        <v/>
      </c>
      <c r="AO998" s="19"/>
      <c r="AP998" s="13"/>
      <c r="AQ998" s="13"/>
      <c r="AR998" s="13"/>
      <c r="AS998" s="13"/>
      <c r="AT998" s="13"/>
      <c r="AU998" s="13"/>
      <c r="AV998" s="13"/>
      <c r="AW998" s="13"/>
      <c r="AX998" s="13"/>
      <c r="AY998" s="13"/>
    </row>
    <row r="999" spans="1:51" s="20" customFormat="1" ht="21" customHeight="1">
      <c r="A999" s="198"/>
      <c r="B999" s="19"/>
      <c r="C999" s="19"/>
      <c r="D999" s="202"/>
      <c r="E999" s="14"/>
      <c r="F999" s="202"/>
      <c r="G999" s="19"/>
      <c r="H999" s="198"/>
      <c r="I999" s="22"/>
      <c r="J999" s="205"/>
      <c r="K999" s="19"/>
      <c r="L999" s="19" t="str" cm="1">
        <f t="array" ref="L999">IF($A999="","",_xlfn.LET(_xlpm.stat,CHOOSE({1,2,3,4,5},$P999,$T999,$X999,$AB999,$AF999),_xlpm.rate,CHOOSE({1,2,3,4,5},$R999,$V999,$Z999,$AD999,$AH999),_xlpm.trn,CHOOSE({1,2,3,4,5},$S999,$W999,$AA999,$AE999,$AI999),_xlpm.nsC,SUMPRODUCT(--(_xlpm.stat="Ready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DLR",IF(AND(_xlpm.actRS&gt;0,_xlpm.actDone&lt;_xlpm.actRS),"Training",IF(_xlpm.actRS&gt;0,"Active",IF(AND(_xlpm.decC&gt;0,_xlpm.inPlay+_xlpm.actC=0),"Dead",IF(AND($AJ999&lt;&gt;"",$AK999=FALSE),"Waiting on Dealer",IF(_xlpm.subC&gt;0,"Waiting on Lender",IF(AND(_xlpm.appC+_xlpm.actC&gt;0,_xlpm.nsC+_xlpm.wdC=0),"Rate Sheet","Application Submitted")))))))))</f>
        <v/>
      </c>
      <c r="M999" s="19"/>
      <c r="N999" s="19"/>
      <c r="O999" s="198"/>
      <c r="P999" s="19" t="str">
        <f>IF($A999="","",IF($AK999=TRUE,"Ready 2 Submit","Waiting on Dealer"))</f>
        <v/>
      </c>
      <c r="Q999" s="149"/>
      <c r="R999" s="19"/>
      <c r="S999" s="19"/>
      <c r="T999" s="19" t="str">
        <f>IF($A999="","",IF($AK999=TRUE,"Ready 2 Submit","Waiting on Dealer"))</f>
        <v/>
      </c>
      <c r="U999" s="149"/>
      <c r="V999" s="19"/>
      <c r="W999" s="19"/>
      <c r="X999" s="19" t="str">
        <f>IF($A999="","",IF($AK999=TRUE,"Ready 2 Submit","Waiting on Dealer"))</f>
        <v/>
      </c>
      <c r="Y999" s="149"/>
      <c r="Z999" s="19"/>
      <c r="AA999" s="19"/>
      <c r="AB999" s="19" t="str">
        <f>IF($A999="","",IF($AK999=TRUE,"Ready 2 Submit","Waiting on Dealer"))</f>
        <v/>
      </c>
      <c r="AC999" s="149"/>
      <c r="AD999" s="19"/>
      <c r="AE999" s="19"/>
      <c r="AF999" s="19" t="str">
        <f>IF($A999="","",IF($AK999=TRUE,"Ready 2 Submit","Waiting on Dealer"))</f>
        <v/>
      </c>
      <c r="AG999" s="149"/>
      <c r="AH999" s="19"/>
      <c r="AI999" s="19"/>
      <c r="AJ999" s="198"/>
      <c r="AK999" s="24" t="b">
        <v>0</v>
      </c>
      <c r="AL999" s="19" t="str" cm="1">
        <f t="array" ref="AL999">IF($A999="","",SUMPRODUCT((CHOOSE({1,2,3,4,5},$R999,$V999,$Z999,$AD999,$AH999)="Yes")*(((CHOOSE({1,2,3,4,5},$S999,$W999,$AA999,$AE999,$AI999)="Yes")+(CHOOSE({1,2,3,4,5},$S999,$W999,$AA999,$AE999,$AI999)=TRUE))&gt;0)))</f>
        <v/>
      </c>
      <c r="AM999" s="19"/>
      <c r="AN999" s="19" t="str">
        <f ca="1">IF(OR($A999="",$AM999=""),"",TODAY()-$AM999)</f>
        <v/>
      </c>
      <c r="AO999" s="19"/>
      <c r="AP999" s="13"/>
      <c r="AQ999" s="13"/>
      <c r="AR999" s="13"/>
      <c r="AS999" s="13"/>
      <c r="AT999" s="13"/>
      <c r="AU999" s="13"/>
      <c r="AV999" s="13"/>
      <c r="AW999" s="13"/>
      <c r="AX999" s="13"/>
      <c r="AY999" s="13"/>
    </row>
    <row r="1000" spans="1:51" s="20" customFormat="1" ht="21" customHeight="1">
      <c r="A1000" s="198"/>
      <c r="B1000" s="19"/>
      <c r="C1000" s="19"/>
      <c r="D1000" s="202"/>
      <c r="E1000" s="14"/>
      <c r="F1000" s="202"/>
      <c r="G1000" s="19"/>
      <c r="H1000" s="198"/>
      <c r="I1000" s="22"/>
      <c r="J1000" s="205"/>
      <c r="K1000" s="19"/>
      <c r="L1000" s="19" t="str" cm="1">
        <f t="array" ref="L1000">IF($A1000="","",_xlfn.LET(_xlpm.stat,CHOOSE({1,2,3,4,5},$P1000,$T1000,$X1000,$AB1000,$AF1000),_xlpm.rate,CHOOSE({1,2,3,4,5},$R1000,$V1000,$Z1000,$AD1000,$AH1000),_xlpm.trn,CHOOSE({1,2,3,4,5},$S1000,$W1000,$AA1000,$AE1000,$AI1000),_xlpm.nsC,SUMPRODUCT(--(_xlpm.stat="Ready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DLR",IF(AND(_xlpm.actRS&gt;0,_xlpm.actDone&lt;_xlpm.actRS),"Training",IF(_xlpm.actRS&gt;0,"Active",IF(AND(_xlpm.decC&gt;0,_xlpm.inPlay+_xlpm.actC=0),"Dead",IF(AND($AJ1000&lt;&gt;"",$AK1000=FALSE),"Waiting on Dealer",IF(_xlpm.subC&gt;0,"Waiting on Lender",IF(AND(_xlpm.appC+_xlpm.actC&gt;0,_xlpm.nsC+_xlpm.wdC=0),"Rate Sheet","Application Submitted")))))))))</f>
        <v/>
      </c>
      <c r="M1000" s="19"/>
      <c r="N1000" s="19"/>
      <c r="O1000" s="198"/>
      <c r="P1000" s="19" t="str">
        <f>IF($A1000="","",IF($AK1000=TRUE,"Ready 2 Submit","Waiting on Dealer"))</f>
        <v/>
      </c>
      <c r="Q1000" s="149"/>
      <c r="R1000" s="19"/>
      <c r="S1000" s="19"/>
      <c r="T1000" s="19" t="str">
        <f>IF($A1000="","",IF($AK1000=TRUE,"Ready 2 Submit","Waiting on Dealer"))</f>
        <v/>
      </c>
      <c r="U1000" s="149"/>
      <c r="V1000" s="19"/>
      <c r="W1000" s="19"/>
      <c r="X1000" s="19" t="str">
        <f>IF($A1000="","",IF($AK1000=TRUE,"Ready 2 Submit","Waiting on Dealer"))</f>
        <v/>
      </c>
      <c r="Y1000" s="149"/>
      <c r="Z1000" s="19"/>
      <c r="AA1000" s="19"/>
      <c r="AB1000" s="19" t="str">
        <f>IF($A1000="","",IF($AK1000=TRUE,"Ready 2 Submit","Waiting on Dealer"))</f>
        <v/>
      </c>
      <c r="AC1000" s="149"/>
      <c r="AD1000" s="19"/>
      <c r="AE1000" s="19"/>
      <c r="AF1000" s="19" t="str">
        <f>IF($A1000="","",IF($AK1000=TRUE,"Ready 2 Submit","Waiting on Dealer"))</f>
        <v/>
      </c>
      <c r="AG1000" s="149"/>
      <c r="AH1000" s="19"/>
      <c r="AI1000" s="19"/>
      <c r="AJ1000" s="198"/>
      <c r="AK1000" s="24" t="b">
        <v>0</v>
      </c>
      <c r="AL1000" s="19" t="str" cm="1">
        <f t="array" ref="AL1000">IF($A1000="","",SUMPRODUCT((CHOOSE({1,2,3,4,5},$R1000,$V1000,$Z1000,$AD1000,$AH1000)="Yes")*(((CHOOSE({1,2,3,4,5},$S1000,$W1000,$AA1000,$AE1000,$AI1000)="Yes")+(CHOOSE({1,2,3,4,5},$S1000,$W1000,$AA1000,$AE1000,$AI1000)=TRUE))&gt;0)))</f>
        <v/>
      </c>
      <c r="AM1000" s="19"/>
      <c r="AN1000" s="19" t="str">
        <f ca="1">IF(OR($A1000="",$AM1000=""),"",TODAY()-$AM1000)</f>
        <v/>
      </c>
      <c r="AO1000" s="19"/>
      <c r="AP1000" s="13"/>
      <c r="AQ1000" s="13"/>
      <c r="AR1000" s="13"/>
      <c r="AS1000" s="13"/>
      <c r="AT1000" s="13"/>
      <c r="AU1000" s="13"/>
      <c r="AV1000" s="13"/>
      <c r="AW1000" s="13"/>
      <c r="AX1000" s="13"/>
      <c r="AY1000" s="13"/>
    </row>
    <row r="1001" spans="1:51" s="20" customFormat="1" ht="21" customHeight="1">
      <c r="A1001" s="198"/>
      <c r="B1001" s="19"/>
      <c r="C1001" s="19"/>
      <c r="D1001" s="202"/>
      <c r="E1001" s="14"/>
      <c r="F1001" s="202"/>
      <c r="G1001" s="19"/>
      <c r="H1001" s="198"/>
      <c r="I1001" s="22"/>
      <c r="J1001" s="205"/>
      <c r="K1001" s="19"/>
      <c r="L1001" s="19" t="str" cm="1">
        <f t="array" ref="L1001">IF($A1001="","",_xlfn.LET(_xlpm.stat,CHOOSE({1,2,3,4,5},$P1001,$T1001,$X1001,$AB1001,$AF1001),_xlpm.rate,CHOOSE({1,2,3,4,5},$R1001,$V1001,$Z1001,$AD1001,$AH1001),_xlpm.trn,CHOOSE({1,2,3,4,5},$S1001,$W1001,$AA1001,$AE1001,$AI1001),_xlpm.nsC,SUMPRODUCT(--(_xlpm.stat="Ready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DLR",IF(AND(_xlpm.actRS&gt;0,_xlpm.actDone&lt;_xlpm.actRS),"Training",IF(_xlpm.actRS&gt;0,"Active",IF(AND(_xlpm.decC&gt;0,_xlpm.inPlay+_xlpm.actC=0),"Dead",IF(AND($AJ1001&lt;&gt;"",$AK1001=FALSE),"Waiting on Dealer",IF(_xlpm.subC&gt;0,"Waiting on Lender",IF(AND(_xlpm.appC+_xlpm.actC&gt;0,_xlpm.nsC+_xlpm.wdC=0),"Rate Sheet","Application Submitted")))))))))</f>
        <v/>
      </c>
      <c r="M1001" s="19"/>
      <c r="N1001" s="19"/>
      <c r="O1001" s="198"/>
      <c r="P1001" s="19" t="str">
        <f>IF($A1001="","",IF($AK1001=TRUE,"Ready 2 Submit","Waiting on Dealer"))</f>
        <v/>
      </c>
      <c r="Q1001" s="149"/>
      <c r="R1001" s="19"/>
      <c r="S1001" s="19"/>
      <c r="T1001" s="19" t="str">
        <f>IF($A1001="","",IF($AK1001=TRUE,"Ready 2 Submit","Waiting on Dealer"))</f>
        <v/>
      </c>
      <c r="U1001" s="149"/>
      <c r="V1001" s="19"/>
      <c r="W1001" s="19"/>
      <c r="X1001" s="19" t="str">
        <f>IF($A1001="","",IF($AK1001=TRUE,"Ready 2 Submit","Waiting on Dealer"))</f>
        <v/>
      </c>
      <c r="Y1001" s="149"/>
      <c r="Z1001" s="19"/>
      <c r="AA1001" s="19"/>
      <c r="AB1001" s="19" t="str">
        <f>IF($A1001="","",IF($AK1001=TRUE,"Ready 2 Submit","Waiting on Dealer"))</f>
        <v/>
      </c>
      <c r="AC1001" s="149"/>
      <c r="AD1001" s="19"/>
      <c r="AE1001" s="19"/>
      <c r="AF1001" s="19" t="str">
        <f>IF($A1001="","",IF($AK1001=TRUE,"Ready 2 Submit","Waiting on Dealer"))</f>
        <v/>
      </c>
      <c r="AG1001" s="149"/>
      <c r="AH1001" s="19"/>
      <c r="AI1001" s="19"/>
      <c r="AJ1001" s="198"/>
      <c r="AK1001" s="24" t="b">
        <v>0</v>
      </c>
      <c r="AL1001" s="19" t="str" cm="1">
        <f t="array" ref="AL1001">IF($A1001="","",SUMPRODUCT((CHOOSE({1,2,3,4,5},$R1001,$V1001,$Z1001,$AD1001,$AH1001)="Yes")*(((CHOOSE({1,2,3,4,5},$S1001,$W1001,$AA1001,$AE1001,$AI1001)="Yes")+(CHOOSE({1,2,3,4,5},$S1001,$W1001,$AA1001,$AE1001,$AI1001)=TRUE))&gt;0)))</f>
        <v/>
      </c>
      <c r="AM1001" s="19"/>
      <c r="AN1001" s="19" t="str">
        <f ca="1">IF(OR($A1001="",$AM1001=""),"",TODAY()-$AM1001)</f>
        <v/>
      </c>
      <c r="AO1001" s="19"/>
      <c r="AP1001" s="13"/>
      <c r="AQ1001" s="13"/>
      <c r="AR1001" s="13"/>
      <c r="AS1001" s="13"/>
      <c r="AT1001" s="13"/>
      <c r="AU1001" s="13"/>
      <c r="AV1001" s="13"/>
      <c r="AW1001" s="13"/>
      <c r="AX1001" s="13"/>
      <c r="AY1001" s="13"/>
    </row>
    <row r="1002" spans="1:51" s="20" customFormat="1" ht="21" customHeight="1">
      <c r="A1002" s="198"/>
      <c r="B1002" s="19"/>
      <c r="C1002" s="19"/>
      <c r="D1002" s="202"/>
      <c r="E1002" s="14"/>
      <c r="F1002" s="202"/>
      <c r="G1002" s="19"/>
      <c r="H1002" s="198"/>
      <c r="I1002" s="22"/>
      <c r="J1002" s="205"/>
      <c r="K1002" s="19"/>
      <c r="L1002" s="19" t="str" cm="1">
        <f t="array" ref="L1002">IF($A1002="","",_xlfn.LET(_xlpm.stat,CHOOSE({1,2,3,4,5},$P1002,$T1002,$X1002,$AB1002,$AF1002),_xlpm.rate,CHOOSE({1,2,3,4,5},$R1002,$V1002,$Z1002,$AD1002,$AH1002),_xlpm.trn,CHOOSE({1,2,3,4,5},$S1002,$W1002,$AA1002,$AE1002,$AI1002),_xlpm.nsC,SUMPRODUCT(--(_xlpm.stat="Ready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DLR",IF(AND(_xlpm.actRS&gt;0,_xlpm.actDone&lt;_xlpm.actRS),"Training",IF(_xlpm.actRS&gt;0,"Active",IF(AND(_xlpm.decC&gt;0,_xlpm.inPlay+_xlpm.actC=0),"Dead",IF(AND($AJ1002&lt;&gt;"",$AK1002=FALSE),"Waiting on Dealer",IF(_xlpm.subC&gt;0,"Waiting on Lender",IF(AND(_xlpm.appC+_xlpm.actC&gt;0,_xlpm.nsC+_xlpm.wdC=0),"Rate Sheet","Application Submitted")))))))))</f>
        <v/>
      </c>
      <c r="M1002" s="19"/>
      <c r="N1002" s="19"/>
      <c r="O1002" s="198"/>
      <c r="P1002" s="19" t="str">
        <f>IF($A1002="","",IF($AK1002=TRUE,"Ready 2 Submit","Waiting on Dealer"))</f>
        <v/>
      </c>
      <c r="Q1002" s="149"/>
      <c r="R1002" s="19"/>
      <c r="S1002" s="19"/>
      <c r="T1002" s="19" t="str">
        <f>IF($A1002="","",IF($AK1002=TRUE,"Ready 2 Submit","Waiting on Dealer"))</f>
        <v/>
      </c>
      <c r="U1002" s="149"/>
      <c r="V1002" s="19"/>
      <c r="W1002" s="19"/>
      <c r="X1002" s="19" t="str">
        <f>IF($A1002="","",IF($AK1002=TRUE,"Ready 2 Submit","Waiting on Dealer"))</f>
        <v/>
      </c>
      <c r="Y1002" s="149"/>
      <c r="Z1002" s="19"/>
      <c r="AA1002" s="19"/>
      <c r="AB1002" s="19" t="str">
        <f>IF($A1002="","",IF($AK1002=TRUE,"Ready 2 Submit","Waiting on Dealer"))</f>
        <v/>
      </c>
      <c r="AC1002" s="149"/>
      <c r="AD1002" s="19"/>
      <c r="AE1002" s="19"/>
      <c r="AF1002" s="19" t="str">
        <f>IF($A1002="","",IF($AK1002=TRUE,"Ready 2 Submit","Waiting on Dealer"))</f>
        <v/>
      </c>
      <c r="AG1002" s="149"/>
      <c r="AH1002" s="19"/>
      <c r="AI1002" s="19"/>
      <c r="AJ1002" s="198"/>
      <c r="AK1002" s="24" t="b">
        <v>0</v>
      </c>
      <c r="AL1002" s="19" t="str" cm="1">
        <f t="array" ref="AL1002">IF($A1002="","",SUMPRODUCT((CHOOSE({1,2,3,4,5},$R1002,$V1002,$Z1002,$AD1002,$AH1002)="Yes")*(((CHOOSE({1,2,3,4,5},$S1002,$W1002,$AA1002,$AE1002,$AI1002)="Yes")+(CHOOSE({1,2,3,4,5},$S1002,$W1002,$AA1002,$AE1002,$AI1002)=TRUE))&gt;0)))</f>
        <v/>
      </c>
      <c r="AM1002" s="19"/>
      <c r="AN1002" s="19" t="str">
        <f ca="1">IF(OR($A1002="",$AM1002=""),"",TODAY()-$AM1002)</f>
        <v/>
      </c>
      <c r="AO1002" s="19"/>
      <c r="AP1002" s="13"/>
      <c r="AQ1002" s="13"/>
      <c r="AR1002" s="13"/>
      <c r="AS1002" s="13"/>
      <c r="AT1002" s="13"/>
      <c r="AU1002" s="13"/>
      <c r="AV1002" s="13"/>
      <c r="AW1002" s="13"/>
      <c r="AX1002" s="13"/>
      <c r="AY1002" s="13"/>
    </row>
    <row r="1003" spans="1:51" s="20" customFormat="1" ht="21" customHeight="1">
      <c r="A1003" s="198"/>
      <c r="B1003" s="19"/>
      <c r="C1003" s="19"/>
      <c r="D1003" s="202"/>
      <c r="E1003" s="14"/>
      <c r="F1003" s="202"/>
      <c r="G1003" s="19"/>
      <c r="H1003" s="198"/>
      <c r="I1003" s="22"/>
      <c r="J1003" s="205"/>
      <c r="K1003" s="19"/>
      <c r="L1003" s="19" t="str" cm="1">
        <f t="array" ref="L1003">IF($A1003="","",_xlfn.LET(_xlpm.stat,CHOOSE({1,2,3,4,5},$P1003,$T1003,$X1003,$AB1003,$AF1003),_xlpm.rate,CHOOSE({1,2,3,4,5},$R1003,$V1003,$Z1003,$AD1003,$AH1003),_xlpm.trn,CHOOSE({1,2,3,4,5},$S1003,$W1003,$AA1003,$AE1003,$AI1003),_xlpm.nsC,SUMPRODUCT(--(_xlpm.stat="Ready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DLR",IF(AND(_xlpm.actRS&gt;0,_xlpm.actDone&lt;_xlpm.actRS),"Training",IF(_xlpm.actRS&gt;0,"Active",IF(AND(_xlpm.decC&gt;0,_xlpm.inPlay+_xlpm.actC=0),"Dead",IF(AND($AJ1003&lt;&gt;"",$AK1003=FALSE),"Waiting on Dealer",IF(_xlpm.subC&gt;0,"Waiting on Lender",IF(AND(_xlpm.appC+_xlpm.actC&gt;0,_xlpm.nsC+_xlpm.wdC=0),"Rate Sheet","Application Submitted")))))))))</f>
        <v/>
      </c>
      <c r="M1003" s="19"/>
      <c r="N1003" s="19"/>
      <c r="O1003" s="198"/>
      <c r="P1003" s="19" t="str">
        <f>IF($A1003="","",IF($AK1003=TRUE,"Ready 2 Submit","Waiting on Dealer"))</f>
        <v/>
      </c>
      <c r="Q1003" s="149"/>
      <c r="R1003" s="19"/>
      <c r="S1003" s="19"/>
      <c r="T1003" s="19" t="str">
        <f>IF($A1003="","",IF($AK1003=TRUE,"Ready 2 Submit","Waiting on Dealer"))</f>
        <v/>
      </c>
      <c r="U1003" s="149"/>
      <c r="V1003" s="19"/>
      <c r="W1003" s="19"/>
      <c r="X1003" s="19" t="str">
        <f>IF($A1003="","",IF($AK1003=TRUE,"Ready 2 Submit","Waiting on Dealer"))</f>
        <v/>
      </c>
      <c r="Y1003" s="149"/>
      <c r="Z1003" s="19"/>
      <c r="AA1003" s="19"/>
      <c r="AB1003" s="19" t="str">
        <f>IF($A1003="","",IF($AK1003=TRUE,"Ready 2 Submit","Waiting on Dealer"))</f>
        <v/>
      </c>
      <c r="AC1003" s="149"/>
      <c r="AD1003" s="19"/>
      <c r="AE1003" s="19"/>
      <c r="AF1003" s="19" t="str">
        <f>IF($A1003="","",IF($AK1003=TRUE,"Ready 2 Submit","Waiting on Dealer"))</f>
        <v/>
      </c>
      <c r="AG1003" s="149"/>
      <c r="AH1003" s="19"/>
      <c r="AI1003" s="19"/>
      <c r="AJ1003" s="198"/>
      <c r="AK1003" s="24" t="b">
        <v>0</v>
      </c>
      <c r="AL1003" s="19" t="str" cm="1">
        <f t="array" ref="AL1003">IF($A1003="","",SUMPRODUCT((CHOOSE({1,2,3,4,5},$R1003,$V1003,$Z1003,$AD1003,$AH1003)="Yes")*(((CHOOSE({1,2,3,4,5},$S1003,$W1003,$AA1003,$AE1003,$AI1003)="Yes")+(CHOOSE({1,2,3,4,5},$S1003,$W1003,$AA1003,$AE1003,$AI1003)=TRUE))&gt;0)))</f>
        <v/>
      </c>
      <c r="AM1003" s="19"/>
      <c r="AN1003" s="19" t="str">
        <f ca="1">IF(OR($A1003="",$AM1003=""),"",TODAY()-$AM1003)</f>
        <v/>
      </c>
      <c r="AO1003" s="19"/>
      <c r="AP1003" s="13"/>
      <c r="AQ1003" s="13"/>
      <c r="AR1003" s="13"/>
      <c r="AS1003" s="13"/>
      <c r="AT1003" s="13"/>
      <c r="AU1003" s="13"/>
      <c r="AV1003" s="13"/>
      <c r="AW1003" s="13"/>
      <c r="AX1003" s="13"/>
      <c r="AY1003" s="13"/>
    </row>
    <row r="1004" spans="1:51" s="20" customFormat="1" ht="21" customHeight="1">
      <c r="A1004" s="198"/>
      <c r="B1004" s="19"/>
      <c r="C1004" s="19"/>
      <c r="D1004" s="202"/>
      <c r="E1004" s="14"/>
      <c r="F1004" s="202"/>
      <c r="G1004" s="19"/>
      <c r="H1004" s="198"/>
      <c r="I1004" s="22"/>
      <c r="J1004" s="205"/>
      <c r="K1004" s="19"/>
      <c r="L1004" s="19" t="str" cm="1">
        <f t="array" ref="L1004">IF($A1004="","",_xlfn.LET(_xlpm.stat,CHOOSE({1,2,3,4,5},$P1004,$T1004,$X1004,$AB1004,$AF1004),_xlpm.rate,CHOOSE({1,2,3,4,5},$R1004,$V1004,$Z1004,$AD1004,$AH1004),_xlpm.trn,CHOOSE({1,2,3,4,5},$S1004,$W1004,$AA1004,$AE1004,$AI1004),_xlpm.nsC,SUMPRODUCT(--(_xlpm.stat="Ready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DLR",IF(AND(_xlpm.actRS&gt;0,_xlpm.actDone&lt;_xlpm.actRS),"Training",IF(_xlpm.actRS&gt;0,"Active",IF(AND(_xlpm.decC&gt;0,_xlpm.inPlay+_xlpm.actC=0),"Dead",IF(AND($AJ1004&lt;&gt;"",$AK1004=FALSE),"Waiting on Dealer",IF(_xlpm.subC&gt;0,"Waiting on Lender",IF(AND(_xlpm.appC+_xlpm.actC&gt;0,_xlpm.nsC+_xlpm.wdC=0),"Rate Sheet","Application Submitted")))))))))</f>
        <v/>
      </c>
      <c r="M1004" s="19"/>
      <c r="N1004" s="19"/>
      <c r="O1004" s="198"/>
      <c r="P1004" s="19" t="str">
        <f>IF($A1004="","",IF($AK1004=TRUE,"Ready 2 Submit","Waiting on Dealer"))</f>
        <v/>
      </c>
      <c r="Q1004" s="149"/>
      <c r="R1004" s="19"/>
      <c r="S1004" s="19"/>
      <c r="T1004" s="19" t="str">
        <f>IF($A1004="","",IF($AK1004=TRUE,"Ready 2 Submit","Waiting on Dealer"))</f>
        <v/>
      </c>
      <c r="U1004" s="149"/>
      <c r="V1004" s="19"/>
      <c r="W1004" s="19"/>
      <c r="X1004" s="19" t="str">
        <f>IF($A1004="","",IF($AK1004=TRUE,"Ready 2 Submit","Waiting on Dealer"))</f>
        <v/>
      </c>
      <c r="Y1004" s="149"/>
      <c r="Z1004" s="19"/>
      <c r="AA1004" s="19"/>
      <c r="AB1004" s="19" t="str">
        <f>IF($A1004="","",IF($AK1004=TRUE,"Ready 2 Submit","Waiting on Dealer"))</f>
        <v/>
      </c>
      <c r="AC1004" s="149"/>
      <c r="AD1004" s="19"/>
      <c r="AE1004" s="19"/>
      <c r="AF1004" s="19" t="str">
        <f>IF($A1004="","",IF($AK1004=TRUE,"Ready 2 Submit","Waiting on Dealer"))</f>
        <v/>
      </c>
      <c r="AG1004" s="149"/>
      <c r="AH1004" s="19"/>
      <c r="AI1004" s="19"/>
      <c r="AJ1004" s="198"/>
      <c r="AK1004" s="24" t="b">
        <v>0</v>
      </c>
      <c r="AL1004" s="19" t="str" cm="1">
        <f t="array" ref="AL1004">IF($A1004="","",SUMPRODUCT((CHOOSE({1,2,3,4,5},$R1004,$V1004,$Z1004,$AD1004,$AH1004)="Yes")*(((CHOOSE({1,2,3,4,5},$S1004,$W1004,$AA1004,$AE1004,$AI1004)="Yes")+(CHOOSE({1,2,3,4,5},$S1004,$W1004,$AA1004,$AE1004,$AI1004)=TRUE))&gt;0)))</f>
        <v/>
      </c>
      <c r="AM1004" s="19"/>
      <c r="AN1004" s="19" t="str">
        <f ca="1">IF(OR($A1004="",$AM1004=""),"",TODAY()-$AM1004)</f>
        <v/>
      </c>
      <c r="AO1004" s="19"/>
      <c r="AP1004" s="13"/>
      <c r="AQ1004" s="13"/>
      <c r="AR1004" s="13"/>
      <c r="AS1004" s="13"/>
      <c r="AT1004" s="13"/>
      <c r="AU1004" s="13"/>
      <c r="AV1004" s="13"/>
      <c r="AW1004" s="13"/>
      <c r="AX1004" s="13"/>
      <c r="AY1004" s="13"/>
    </row>
    <row r="1005" spans="1:51" s="20" customFormat="1" ht="21" customHeight="1">
      <c r="A1005" s="198"/>
      <c r="B1005" s="19"/>
      <c r="C1005" s="19"/>
      <c r="D1005" s="202"/>
      <c r="E1005" s="14"/>
      <c r="F1005" s="202"/>
      <c r="G1005" s="19"/>
      <c r="H1005" s="198"/>
      <c r="I1005" s="22"/>
      <c r="J1005" s="205"/>
      <c r="K1005" s="19"/>
      <c r="L1005" s="19" t="str" cm="1">
        <f t="array" ref="L1005">IF($A1005="","",_xlfn.LET(_xlpm.stat,CHOOSE({1,2,3,4,5},$P1005,$T1005,$X1005,$AB1005,$AF1005),_xlpm.rate,CHOOSE({1,2,3,4,5},$R1005,$V1005,$Z1005,$AD1005,$AH1005),_xlpm.trn,CHOOSE({1,2,3,4,5},$S1005,$W1005,$AA1005,$AE1005,$AI1005),_xlpm.nsC,SUMPRODUCT(--(_xlpm.stat="Ready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DLR",IF(AND(_xlpm.actRS&gt;0,_xlpm.actDone&lt;_xlpm.actRS),"Training",IF(_xlpm.actRS&gt;0,"Active",IF(AND(_xlpm.decC&gt;0,_xlpm.inPlay+_xlpm.actC=0),"Dead",IF(AND($AJ1005&lt;&gt;"",$AK1005=FALSE),"Waiting on Dealer",IF(_xlpm.subC&gt;0,"Waiting on Lender",IF(AND(_xlpm.appC+_xlpm.actC&gt;0,_xlpm.nsC+_xlpm.wdC=0),"Rate Sheet","Application Submitted")))))))))</f>
        <v/>
      </c>
      <c r="M1005" s="19"/>
      <c r="N1005" s="19"/>
      <c r="O1005" s="198"/>
      <c r="P1005" s="19" t="str">
        <f>IF($A1005="","",IF($AK1005=TRUE,"Ready 2 Submit","Waiting on Dealer"))</f>
        <v/>
      </c>
      <c r="Q1005" s="149"/>
      <c r="R1005" s="19"/>
      <c r="S1005" s="19"/>
      <c r="T1005" s="19" t="str">
        <f>IF($A1005="","",IF($AK1005=TRUE,"Ready 2 Submit","Waiting on Dealer"))</f>
        <v/>
      </c>
      <c r="U1005" s="149"/>
      <c r="V1005" s="19"/>
      <c r="W1005" s="19"/>
      <c r="X1005" s="19" t="str">
        <f>IF($A1005="","",IF($AK1005=TRUE,"Ready 2 Submit","Waiting on Dealer"))</f>
        <v/>
      </c>
      <c r="Y1005" s="149"/>
      <c r="Z1005" s="19"/>
      <c r="AA1005" s="19"/>
      <c r="AB1005" s="19" t="str">
        <f>IF($A1005="","",IF($AK1005=TRUE,"Ready 2 Submit","Waiting on Dealer"))</f>
        <v/>
      </c>
      <c r="AC1005" s="149"/>
      <c r="AD1005" s="19"/>
      <c r="AE1005" s="19"/>
      <c r="AF1005" s="19" t="str">
        <f>IF($A1005="","",IF($AK1005=TRUE,"Ready 2 Submit","Waiting on Dealer"))</f>
        <v/>
      </c>
      <c r="AG1005" s="149"/>
      <c r="AH1005" s="19"/>
      <c r="AI1005" s="19"/>
      <c r="AJ1005" s="198"/>
      <c r="AK1005" s="24" t="b">
        <v>0</v>
      </c>
      <c r="AL1005" s="19" t="str" cm="1">
        <f t="array" ref="AL1005">IF($A1005="","",SUMPRODUCT((CHOOSE({1,2,3,4,5},$R1005,$V1005,$Z1005,$AD1005,$AH1005)="Yes")*(((CHOOSE({1,2,3,4,5},$S1005,$W1005,$AA1005,$AE1005,$AI1005)="Yes")+(CHOOSE({1,2,3,4,5},$S1005,$W1005,$AA1005,$AE1005,$AI1005)=TRUE))&gt;0)))</f>
        <v/>
      </c>
      <c r="AM1005" s="19"/>
      <c r="AN1005" s="19" t="str">
        <f ca="1">IF(OR($A1005="",$AM1005=""),"",TODAY()-$AM1005)</f>
        <v/>
      </c>
      <c r="AO1005" s="19"/>
      <c r="AP1005" s="13"/>
      <c r="AQ1005" s="13"/>
      <c r="AR1005" s="13"/>
      <c r="AS1005" s="13"/>
      <c r="AT1005" s="13"/>
      <c r="AU1005" s="13"/>
      <c r="AV1005" s="13"/>
      <c r="AW1005" s="13"/>
      <c r="AX1005" s="13"/>
      <c r="AY1005" s="13"/>
    </row>
    <row r="1006" spans="1:51" s="20" customFormat="1" ht="21" customHeight="1">
      <c r="A1006" s="198"/>
      <c r="B1006" s="19"/>
      <c r="C1006" s="19"/>
      <c r="D1006" s="202"/>
      <c r="E1006" s="14"/>
      <c r="F1006" s="202"/>
      <c r="G1006" s="19"/>
      <c r="H1006" s="198"/>
      <c r="I1006" s="22"/>
      <c r="J1006" s="205"/>
      <c r="K1006" s="19"/>
      <c r="L1006" s="19" t="str" cm="1">
        <f t="array" ref="L1006">IF($A1006="","",_xlfn.LET(_xlpm.stat,CHOOSE({1,2,3,4,5},$P1006,$T1006,$X1006,$AB1006,$AF1006),_xlpm.rate,CHOOSE({1,2,3,4,5},$R1006,$V1006,$Z1006,$AD1006,$AH1006),_xlpm.trn,CHOOSE({1,2,3,4,5},$S1006,$W1006,$AA1006,$AE1006,$AI1006),_xlpm.nsC,SUMPRODUCT(--(_xlpm.stat="Ready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DLR",IF(AND(_xlpm.actRS&gt;0,_xlpm.actDone&lt;_xlpm.actRS),"Training",IF(_xlpm.actRS&gt;0,"Active",IF(AND(_xlpm.decC&gt;0,_xlpm.inPlay+_xlpm.actC=0),"Dead",IF(AND($AJ1006&lt;&gt;"",$AK1006=FALSE),"Waiting on Dealer",IF(_xlpm.subC&gt;0,"Waiting on Lender",IF(AND(_xlpm.appC+_xlpm.actC&gt;0,_xlpm.nsC+_xlpm.wdC=0),"Rate Sheet","Application Submitted")))))))))</f>
        <v/>
      </c>
      <c r="M1006" s="19"/>
      <c r="N1006" s="19"/>
      <c r="O1006" s="198"/>
      <c r="P1006" s="19" t="str">
        <f>IF($A1006="","",IF($AK1006=TRUE,"Ready 2 Submit","Waiting on Dealer"))</f>
        <v/>
      </c>
      <c r="Q1006" s="149"/>
      <c r="R1006" s="19"/>
      <c r="S1006" s="19"/>
      <c r="T1006" s="19" t="str">
        <f>IF($A1006="","",IF($AK1006=TRUE,"Ready 2 Submit","Waiting on Dealer"))</f>
        <v/>
      </c>
      <c r="U1006" s="149"/>
      <c r="V1006" s="19"/>
      <c r="W1006" s="19"/>
      <c r="X1006" s="19" t="str">
        <f>IF($A1006="","",IF($AK1006=TRUE,"Ready 2 Submit","Waiting on Dealer"))</f>
        <v/>
      </c>
      <c r="Y1006" s="149"/>
      <c r="Z1006" s="19"/>
      <c r="AA1006" s="19"/>
      <c r="AB1006" s="19" t="str">
        <f>IF($A1006="","",IF($AK1006=TRUE,"Ready 2 Submit","Waiting on Dealer"))</f>
        <v/>
      </c>
      <c r="AC1006" s="149"/>
      <c r="AD1006" s="19"/>
      <c r="AE1006" s="19"/>
      <c r="AF1006" s="19" t="str">
        <f>IF($A1006="","",IF($AK1006=TRUE,"Ready 2 Submit","Waiting on Dealer"))</f>
        <v/>
      </c>
      <c r="AG1006" s="149"/>
      <c r="AH1006" s="19"/>
      <c r="AI1006" s="19"/>
      <c r="AJ1006" s="198"/>
      <c r="AK1006" s="24" t="b">
        <v>0</v>
      </c>
      <c r="AL1006" s="19" t="str" cm="1">
        <f t="array" ref="AL1006">IF($A1006="","",SUMPRODUCT((CHOOSE({1,2,3,4,5},$R1006,$V1006,$Z1006,$AD1006,$AH1006)="Yes")*(((CHOOSE({1,2,3,4,5},$S1006,$W1006,$AA1006,$AE1006,$AI1006)="Yes")+(CHOOSE({1,2,3,4,5},$S1006,$W1006,$AA1006,$AE1006,$AI1006)=TRUE))&gt;0)))</f>
        <v/>
      </c>
      <c r="AM1006" s="19"/>
      <c r="AN1006" s="19" t="str">
        <f ca="1">IF(OR($A1006="",$AM1006=""),"",TODAY()-$AM1006)</f>
        <v/>
      </c>
      <c r="AO1006" s="19"/>
      <c r="AP1006" s="13"/>
      <c r="AQ1006" s="13"/>
      <c r="AR1006" s="13"/>
      <c r="AS1006" s="13"/>
      <c r="AT1006" s="13"/>
      <c r="AU1006" s="13"/>
      <c r="AV1006" s="13"/>
      <c r="AW1006" s="13"/>
      <c r="AX1006" s="13"/>
      <c r="AY1006" s="13"/>
    </row>
    <row r="1007" spans="1:51" s="20" customFormat="1" ht="21" customHeight="1">
      <c r="A1007" s="198"/>
      <c r="B1007" s="19"/>
      <c r="C1007" s="19"/>
      <c r="D1007" s="202"/>
      <c r="E1007" s="14"/>
      <c r="F1007" s="202"/>
      <c r="G1007" s="19"/>
      <c r="H1007" s="198"/>
      <c r="I1007" s="22"/>
      <c r="J1007" s="205"/>
      <c r="K1007" s="19"/>
      <c r="L1007" s="19" t="str" cm="1">
        <f t="array" ref="L1007">IF($A1007="","",_xlfn.LET(_xlpm.stat,CHOOSE({1,2,3,4,5},$P1007,$T1007,$X1007,$AB1007,$AF1007),_xlpm.rate,CHOOSE({1,2,3,4,5},$R1007,$V1007,$Z1007,$AD1007,$AH1007),_xlpm.trn,CHOOSE({1,2,3,4,5},$S1007,$W1007,$AA1007,$AE1007,$AI1007),_xlpm.nsC,SUMPRODUCT(--(_xlpm.stat="Ready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DLR",IF(AND(_xlpm.actRS&gt;0,_xlpm.actDone&lt;_xlpm.actRS),"Training",IF(_xlpm.actRS&gt;0,"Active",IF(AND(_xlpm.decC&gt;0,_xlpm.inPlay+_xlpm.actC=0),"Dead",IF(AND($AJ1007&lt;&gt;"",$AK1007=FALSE),"Waiting on Dealer",IF(_xlpm.subC&gt;0,"Waiting on Lender",IF(AND(_xlpm.appC+_xlpm.actC&gt;0,_xlpm.nsC+_xlpm.wdC=0),"Rate Sheet","Application Submitted")))))))))</f>
        <v/>
      </c>
      <c r="M1007" s="19"/>
      <c r="N1007" s="19"/>
      <c r="O1007" s="198"/>
      <c r="P1007" s="19" t="str">
        <f>IF($A1007="","",IF($AK1007=TRUE,"Ready 2 Submit","Waiting on Dealer"))</f>
        <v/>
      </c>
      <c r="Q1007" s="149"/>
      <c r="R1007" s="19"/>
      <c r="S1007" s="19"/>
      <c r="T1007" s="19" t="str">
        <f>IF($A1007="","",IF($AK1007=TRUE,"Ready 2 Submit","Waiting on Dealer"))</f>
        <v/>
      </c>
      <c r="U1007" s="149"/>
      <c r="V1007" s="19"/>
      <c r="W1007" s="19"/>
      <c r="X1007" s="19" t="str">
        <f>IF($A1007="","",IF($AK1007=TRUE,"Ready 2 Submit","Waiting on Dealer"))</f>
        <v/>
      </c>
      <c r="Y1007" s="149"/>
      <c r="Z1007" s="19"/>
      <c r="AA1007" s="19"/>
      <c r="AB1007" s="19" t="str">
        <f>IF($A1007="","",IF($AK1007=TRUE,"Ready 2 Submit","Waiting on Dealer"))</f>
        <v/>
      </c>
      <c r="AC1007" s="149"/>
      <c r="AD1007" s="19"/>
      <c r="AE1007" s="19"/>
      <c r="AF1007" s="19" t="str">
        <f>IF($A1007="","",IF($AK1007=TRUE,"Ready 2 Submit","Waiting on Dealer"))</f>
        <v/>
      </c>
      <c r="AG1007" s="149"/>
      <c r="AH1007" s="19"/>
      <c r="AI1007" s="19"/>
      <c r="AJ1007" s="198"/>
      <c r="AK1007" s="24" t="b">
        <v>0</v>
      </c>
      <c r="AL1007" s="19" t="str" cm="1">
        <f t="array" ref="AL1007">IF($A1007="","",SUMPRODUCT((CHOOSE({1,2,3,4,5},$R1007,$V1007,$Z1007,$AD1007,$AH1007)="Yes")*(((CHOOSE({1,2,3,4,5},$S1007,$W1007,$AA1007,$AE1007,$AI1007)="Yes")+(CHOOSE({1,2,3,4,5},$S1007,$W1007,$AA1007,$AE1007,$AI1007)=TRUE))&gt;0)))</f>
        <v/>
      </c>
      <c r="AM1007" s="19"/>
      <c r="AN1007" s="19" t="str">
        <f ca="1">IF(OR($A1007="",$AM1007=""),"",TODAY()-$AM1007)</f>
        <v/>
      </c>
      <c r="AO1007" s="19"/>
      <c r="AP1007" s="13"/>
      <c r="AQ1007" s="13"/>
      <c r="AR1007" s="13"/>
      <c r="AS1007" s="13"/>
      <c r="AT1007" s="13"/>
      <c r="AU1007" s="13"/>
      <c r="AV1007" s="13"/>
      <c r="AW1007" s="13"/>
      <c r="AX1007" s="13"/>
      <c r="AY1007" s="13"/>
    </row>
    <row r="1008" spans="1:51" s="20" customFormat="1" ht="21" customHeight="1">
      <c r="A1008" s="198"/>
      <c r="B1008" s="19"/>
      <c r="C1008" s="19"/>
      <c r="D1008" s="202"/>
      <c r="E1008" s="14"/>
      <c r="F1008" s="202"/>
      <c r="G1008" s="19"/>
      <c r="H1008" s="198"/>
      <c r="I1008" s="22"/>
      <c r="J1008" s="205"/>
      <c r="K1008" s="19"/>
      <c r="L1008" s="19" t="str" cm="1">
        <f t="array" ref="L1008">IF($A1008="","",_xlfn.LET(_xlpm.stat,CHOOSE({1,2,3,4,5},$P1008,$T1008,$X1008,$AB1008,$AF1008),_xlpm.rate,CHOOSE({1,2,3,4,5},$R1008,$V1008,$Z1008,$AD1008,$AH1008),_xlpm.trn,CHOOSE({1,2,3,4,5},$S1008,$W1008,$AA1008,$AE1008,$AI1008),_xlpm.nsC,SUMPRODUCT(--(_xlpm.stat="Ready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DLR",IF(AND(_xlpm.actRS&gt;0,_xlpm.actDone&lt;_xlpm.actRS),"Training",IF(_xlpm.actRS&gt;0,"Active",IF(AND(_xlpm.decC&gt;0,_xlpm.inPlay+_xlpm.actC=0),"Dead",IF(AND($AJ1008&lt;&gt;"",$AK1008=FALSE),"Waiting on Dealer",IF(_xlpm.subC&gt;0,"Waiting on Lender",IF(AND(_xlpm.appC+_xlpm.actC&gt;0,_xlpm.nsC+_xlpm.wdC=0),"Rate Sheet","Application Submitted")))))))))</f>
        <v/>
      </c>
      <c r="M1008" s="19"/>
      <c r="N1008" s="19"/>
      <c r="O1008" s="198"/>
      <c r="P1008" s="19" t="str">
        <f>IF($A1008="","",IF($AK1008=TRUE,"Ready 2 Submit","Waiting on Dealer"))</f>
        <v/>
      </c>
      <c r="Q1008" s="149"/>
      <c r="R1008" s="19"/>
      <c r="S1008" s="19"/>
      <c r="T1008" s="19" t="str">
        <f>IF($A1008="","",IF($AK1008=TRUE,"Ready 2 Submit","Waiting on Dealer"))</f>
        <v/>
      </c>
      <c r="U1008" s="149"/>
      <c r="V1008" s="19"/>
      <c r="W1008" s="19"/>
      <c r="X1008" s="19" t="str">
        <f>IF($A1008="","",IF($AK1008=TRUE,"Ready 2 Submit","Waiting on Dealer"))</f>
        <v/>
      </c>
      <c r="Y1008" s="149"/>
      <c r="Z1008" s="19"/>
      <c r="AA1008" s="19"/>
      <c r="AB1008" s="19" t="str">
        <f>IF($A1008="","",IF($AK1008=TRUE,"Ready 2 Submit","Waiting on Dealer"))</f>
        <v/>
      </c>
      <c r="AC1008" s="149"/>
      <c r="AD1008" s="19"/>
      <c r="AE1008" s="19"/>
      <c r="AF1008" s="19" t="str">
        <f>IF($A1008="","",IF($AK1008=TRUE,"Ready 2 Submit","Waiting on Dealer"))</f>
        <v/>
      </c>
      <c r="AG1008" s="149"/>
      <c r="AH1008" s="19"/>
      <c r="AI1008" s="19"/>
      <c r="AJ1008" s="198"/>
      <c r="AK1008" s="24" t="b">
        <v>0</v>
      </c>
      <c r="AL1008" s="19" t="str" cm="1">
        <f t="array" ref="AL1008">IF($A1008="","",SUMPRODUCT((CHOOSE({1,2,3,4,5},$R1008,$V1008,$Z1008,$AD1008,$AH1008)="Yes")*(((CHOOSE({1,2,3,4,5},$S1008,$W1008,$AA1008,$AE1008,$AI1008)="Yes")+(CHOOSE({1,2,3,4,5},$S1008,$W1008,$AA1008,$AE1008,$AI1008)=TRUE))&gt;0)))</f>
        <v/>
      </c>
      <c r="AM1008" s="19"/>
      <c r="AN1008" s="19" t="str">
        <f ca="1">IF(OR($A1008="",$AM1008=""),"",TODAY()-$AM1008)</f>
        <v/>
      </c>
      <c r="AO1008" s="19"/>
      <c r="AP1008" s="13"/>
      <c r="AQ1008" s="13"/>
      <c r="AR1008" s="13"/>
      <c r="AS1008" s="13"/>
      <c r="AT1008" s="13"/>
      <c r="AU1008" s="13"/>
      <c r="AV1008" s="13"/>
      <c r="AW1008" s="13"/>
      <c r="AX1008" s="13"/>
      <c r="AY1008" s="13"/>
    </row>
    <row r="1009" spans="1:51" s="20" customFormat="1" ht="21" customHeight="1">
      <c r="A1009" s="198"/>
      <c r="B1009" s="19"/>
      <c r="C1009" s="19"/>
      <c r="D1009" s="202"/>
      <c r="E1009" s="14"/>
      <c r="F1009" s="202"/>
      <c r="G1009" s="19"/>
      <c r="H1009" s="198"/>
      <c r="I1009" s="22"/>
      <c r="J1009" s="205"/>
      <c r="K1009" s="19"/>
      <c r="L1009" s="19" t="str" cm="1">
        <f t="array" ref="L1009">IF($A1009="","",_xlfn.LET(_xlpm.stat,CHOOSE({1,2,3,4,5},$P1009,$T1009,$X1009,$AB1009,$AF1009),_xlpm.rate,CHOOSE({1,2,3,4,5},$R1009,$V1009,$Z1009,$AD1009,$AH1009),_xlpm.trn,CHOOSE({1,2,3,4,5},$S1009,$W1009,$AA1009,$AE1009,$AI1009),_xlpm.nsC,SUMPRODUCT(--(_xlpm.stat="Ready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DLR",IF(AND(_xlpm.actRS&gt;0,_xlpm.actDone&lt;_xlpm.actRS),"Training",IF(_xlpm.actRS&gt;0,"Active",IF(AND(_xlpm.decC&gt;0,_xlpm.inPlay+_xlpm.actC=0),"Dead",IF(AND($AJ1009&lt;&gt;"",$AK1009=FALSE),"Waiting on Dealer",IF(_xlpm.subC&gt;0,"Waiting on Lender",IF(AND(_xlpm.appC+_xlpm.actC&gt;0,_xlpm.nsC+_xlpm.wdC=0),"Rate Sheet","Application Submitted")))))))))</f>
        <v/>
      </c>
      <c r="M1009" s="19"/>
      <c r="N1009" s="19"/>
      <c r="O1009" s="198"/>
      <c r="P1009" s="19" t="str">
        <f>IF($A1009="","",IF($AK1009=TRUE,"Ready 2 Submit","Waiting on Dealer"))</f>
        <v/>
      </c>
      <c r="Q1009" s="149"/>
      <c r="R1009" s="19"/>
      <c r="S1009" s="19"/>
      <c r="T1009" s="19" t="str">
        <f>IF($A1009="","",IF($AK1009=TRUE,"Ready 2 Submit","Waiting on Dealer"))</f>
        <v/>
      </c>
      <c r="U1009" s="149"/>
      <c r="V1009" s="19"/>
      <c r="W1009" s="19"/>
      <c r="X1009" s="19" t="str">
        <f>IF($A1009="","",IF($AK1009=TRUE,"Ready 2 Submit","Waiting on Dealer"))</f>
        <v/>
      </c>
      <c r="Y1009" s="149"/>
      <c r="Z1009" s="19"/>
      <c r="AA1009" s="19"/>
      <c r="AB1009" s="19" t="str">
        <f>IF($A1009="","",IF($AK1009=TRUE,"Ready 2 Submit","Waiting on Dealer"))</f>
        <v/>
      </c>
      <c r="AC1009" s="149"/>
      <c r="AD1009" s="19"/>
      <c r="AE1009" s="19"/>
      <c r="AF1009" s="19" t="str">
        <f>IF($A1009="","",IF($AK1009=TRUE,"Ready 2 Submit","Waiting on Dealer"))</f>
        <v/>
      </c>
      <c r="AG1009" s="149"/>
      <c r="AH1009" s="19"/>
      <c r="AI1009" s="19"/>
      <c r="AJ1009" s="198"/>
      <c r="AK1009" s="24" t="b">
        <v>0</v>
      </c>
      <c r="AL1009" s="19" t="str" cm="1">
        <f t="array" ref="AL1009">IF($A1009="","",SUMPRODUCT((CHOOSE({1,2,3,4,5},$R1009,$V1009,$Z1009,$AD1009,$AH1009)="Yes")*(((CHOOSE({1,2,3,4,5},$S1009,$W1009,$AA1009,$AE1009,$AI1009)="Yes")+(CHOOSE({1,2,3,4,5},$S1009,$W1009,$AA1009,$AE1009,$AI1009)=TRUE))&gt;0)))</f>
        <v/>
      </c>
      <c r="AM1009" s="19"/>
      <c r="AN1009" s="19" t="str">
        <f ca="1">IF(OR($A1009="",$AM1009=""),"",TODAY()-$AM1009)</f>
        <v/>
      </c>
      <c r="AO1009" s="19"/>
      <c r="AP1009" s="13"/>
      <c r="AQ1009" s="13"/>
      <c r="AR1009" s="13"/>
      <c r="AS1009" s="13"/>
      <c r="AT1009" s="13"/>
      <c r="AU1009" s="13"/>
      <c r="AV1009" s="13"/>
      <c r="AW1009" s="13"/>
      <c r="AX1009" s="13"/>
      <c r="AY1009" s="13"/>
    </row>
    <row r="1010" spans="1:51" s="20" customFormat="1" ht="21" customHeight="1">
      <c r="A1010" s="198"/>
      <c r="B1010" s="19"/>
      <c r="C1010" s="19"/>
      <c r="D1010" s="202"/>
      <c r="E1010" s="14"/>
      <c r="F1010" s="202"/>
      <c r="G1010" s="19"/>
      <c r="H1010" s="198"/>
      <c r="I1010" s="22"/>
      <c r="J1010" s="205"/>
      <c r="K1010" s="19"/>
      <c r="L1010" s="19" t="str" cm="1">
        <f t="array" ref="L1010">IF($A1010="","",_xlfn.LET(_xlpm.stat,CHOOSE({1,2,3,4,5},$P1010,$T1010,$X1010,$AB1010,$AF1010),_xlpm.rate,CHOOSE({1,2,3,4,5},$R1010,$V1010,$Z1010,$AD1010,$AH1010),_xlpm.trn,CHOOSE({1,2,3,4,5},$S1010,$W1010,$AA1010,$AE1010,$AI1010),_xlpm.nsC,SUMPRODUCT(--(_xlpm.stat="Ready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DLR",IF(AND(_xlpm.actRS&gt;0,_xlpm.actDone&lt;_xlpm.actRS),"Training",IF(_xlpm.actRS&gt;0,"Active",IF(AND(_xlpm.decC&gt;0,_xlpm.inPlay+_xlpm.actC=0),"Dead",IF(AND($AJ1010&lt;&gt;"",$AK1010=FALSE),"Waiting on Dealer",IF(_xlpm.subC&gt;0,"Waiting on Lender",IF(AND(_xlpm.appC+_xlpm.actC&gt;0,_xlpm.nsC+_xlpm.wdC=0),"Rate Sheet","Application Submitted")))))))))</f>
        <v/>
      </c>
      <c r="M1010" s="19"/>
      <c r="N1010" s="19"/>
      <c r="O1010" s="198"/>
      <c r="P1010" s="19" t="str">
        <f>IF($A1010="","",IF($AK1010=TRUE,"Ready 2 Submit","Waiting on Dealer"))</f>
        <v/>
      </c>
      <c r="Q1010" s="149"/>
      <c r="R1010" s="19"/>
      <c r="S1010" s="19"/>
      <c r="T1010" s="19" t="str">
        <f>IF($A1010="","",IF($AK1010=TRUE,"Ready 2 Submit","Waiting on Dealer"))</f>
        <v/>
      </c>
      <c r="U1010" s="149"/>
      <c r="V1010" s="19"/>
      <c r="W1010" s="19"/>
      <c r="X1010" s="19" t="str">
        <f>IF($A1010="","",IF($AK1010=TRUE,"Ready 2 Submit","Waiting on Dealer"))</f>
        <v/>
      </c>
      <c r="Y1010" s="149"/>
      <c r="Z1010" s="19"/>
      <c r="AA1010" s="19"/>
      <c r="AB1010" s="19" t="str">
        <f>IF($A1010="","",IF($AK1010=TRUE,"Ready 2 Submit","Waiting on Dealer"))</f>
        <v/>
      </c>
      <c r="AC1010" s="149"/>
      <c r="AD1010" s="19"/>
      <c r="AE1010" s="19"/>
      <c r="AF1010" s="19" t="str">
        <f>IF($A1010="","",IF($AK1010=TRUE,"Ready 2 Submit","Waiting on Dealer"))</f>
        <v/>
      </c>
      <c r="AG1010" s="149"/>
      <c r="AH1010" s="19"/>
      <c r="AI1010" s="19"/>
      <c r="AJ1010" s="198"/>
      <c r="AK1010" s="24" t="b">
        <v>0</v>
      </c>
      <c r="AL1010" s="19" t="str" cm="1">
        <f t="array" ref="AL1010">IF($A1010="","",SUMPRODUCT((CHOOSE({1,2,3,4,5},$R1010,$V1010,$Z1010,$AD1010,$AH1010)="Yes")*(((CHOOSE({1,2,3,4,5},$S1010,$W1010,$AA1010,$AE1010,$AI1010)="Yes")+(CHOOSE({1,2,3,4,5},$S1010,$W1010,$AA1010,$AE1010,$AI1010)=TRUE))&gt;0)))</f>
        <v/>
      </c>
      <c r="AM1010" s="19"/>
      <c r="AN1010" s="19" t="str">
        <f ca="1">IF(OR($A1010="",$AM1010=""),"",TODAY()-$AM1010)</f>
        <v/>
      </c>
      <c r="AO1010" s="19"/>
      <c r="AP1010" s="13"/>
      <c r="AQ1010" s="13"/>
      <c r="AR1010" s="13"/>
      <c r="AS1010" s="13"/>
      <c r="AT1010" s="13"/>
      <c r="AU1010" s="13"/>
      <c r="AV1010" s="13"/>
      <c r="AW1010" s="13"/>
      <c r="AX1010" s="13"/>
      <c r="AY1010" s="13"/>
    </row>
    <row r="1011" spans="1:51" s="20" customFormat="1" ht="21" customHeight="1">
      <c r="A1011" s="198"/>
      <c r="B1011" s="19"/>
      <c r="C1011" s="19"/>
      <c r="D1011" s="202"/>
      <c r="E1011" s="14"/>
      <c r="F1011" s="202"/>
      <c r="G1011" s="19"/>
      <c r="H1011" s="198"/>
      <c r="I1011" s="22"/>
      <c r="J1011" s="205"/>
      <c r="K1011" s="19"/>
      <c r="L1011" s="19" t="str" cm="1">
        <f t="array" ref="L1011">IF($A1011="","",_xlfn.LET(_xlpm.stat,CHOOSE({1,2,3,4,5},$P1011,$T1011,$X1011,$AB1011,$AF1011),_xlpm.rate,CHOOSE({1,2,3,4,5},$R1011,$V1011,$Z1011,$AD1011,$AH1011),_xlpm.trn,CHOOSE({1,2,3,4,5},$S1011,$W1011,$AA1011,$AE1011,$AI1011),_xlpm.nsC,SUMPRODUCT(--(_xlpm.stat="Ready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DLR",IF(AND(_xlpm.actRS&gt;0,_xlpm.actDone&lt;_xlpm.actRS),"Training",IF(_xlpm.actRS&gt;0,"Active",IF(AND(_xlpm.decC&gt;0,_xlpm.inPlay+_xlpm.actC=0),"Dead",IF(AND($AJ1011&lt;&gt;"",$AK1011=FALSE),"Waiting on Dealer",IF(_xlpm.subC&gt;0,"Waiting on Lender",IF(AND(_xlpm.appC+_xlpm.actC&gt;0,_xlpm.nsC+_xlpm.wdC=0),"Rate Sheet","Application Submitted")))))))))</f>
        <v/>
      </c>
      <c r="M1011" s="19"/>
      <c r="N1011" s="19"/>
      <c r="O1011" s="198"/>
      <c r="P1011" s="19" t="str">
        <f>IF($A1011="","",IF($AK1011=TRUE,"Ready 2 Submit","Waiting on Dealer"))</f>
        <v/>
      </c>
      <c r="Q1011" s="149"/>
      <c r="R1011" s="19"/>
      <c r="S1011" s="19"/>
      <c r="T1011" s="19" t="str">
        <f>IF($A1011="","",IF($AK1011=TRUE,"Ready 2 Submit","Waiting on Dealer"))</f>
        <v/>
      </c>
      <c r="U1011" s="149"/>
      <c r="V1011" s="19"/>
      <c r="W1011" s="19"/>
      <c r="X1011" s="19" t="str">
        <f>IF($A1011="","",IF($AK1011=TRUE,"Ready 2 Submit","Waiting on Dealer"))</f>
        <v/>
      </c>
      <c r="Y1011" s="149"/>
      <c r="Z1011" s="19"/>
      <c r="AA1011" s="19"/>
      <c r="AB1011" s="19" t="str">
        <f>IF($A1011="","",IF($AK1011=TRUE,"Ready 2 Submit","Waiting on Dealer"))</f>
        <v/>
      </c>
      <c r="AC1011" s="149"/>
      <c r="AD1011" s="19"/>
      <c r="AE1011" s="19"/>
      <c r="AF1011" s="19" t="str">
        <f>IF($A1011="","",IF($AK1011=TRUE,"Ready 2 Submit","Waiting on Dealer"))</f>
        <v/>
      </c>
      <c r="AG1011" s="149"/>
      <c r="AH1011" s="19"/>
      <c r="AI1011" s="19"/>
      <c r="AJ1011" s="198"/>
      <c r="AK1011" s="24" t="b">
        <v>0</v>
      </c>
      <c r="AL1011" s="19" t="str" cm="1">
        <f t="array" ref="AL1011">IF($A1011="","",SUMPRODUCT((CHOOSE({1,2,3,4,5},$R1011,$V1011,$Z1011,$AD1011,$AH1011)="Yes")*(((CHOOSE({1,2,3,4,5},$S1011,$W1011,$AA1011,$AE1011,$AI1011)="Yes")+(CHOOSE({1,2,3,4,5},$S1011,$W1011,$AA1011,$AE1011,$AI1011)=TRUE))&gt;0)))</f>
        <v/>
      </c>
      <c r="AM1011" s="19"/>
      <c r="AN1011" s="19" t="str">
        <f ca="1">IF(OR($A1011="",$AM1011=""),"",TODAY()-$AM1011)</f>
        <v/>
      </c>
      <c r="AO1011" s="19"/>
      <c r="AP1011" s="13"/>
      <c r="AQ1011" s="13"/>
      <c r="AR1011" s="13"/>
      <c r="AS1011" s="13"/>
      <c r="AT1011" s="13"/>
      <c r="AU1011" s="13"/>
      <c r="AV1011" s="13"/>
      <c r="AW1011" s="13"/>
      <c r="AX1011" s="13"/>
      <c r="AY1011" s="13"/>
    </row>
    <row r="1012" spans="1:51" s="20" customFormat="1" ht="21" customHeight="1">
      <c r="A1012" s="198"/>
      <c r="B1012" s="19"/>
      <c r="C1012" s="19"/>
      <c r="D1012" s="202"/>
      <c r="E1012" s="14"/>
      <c r="F1012" s="202"/>
      <c r="G1012" s="19"/>
      <c r="H1012" s="198"/>
      <c r="I1012" s="22"/>
      <c r="J1012" s="205"/>
      <c r="K1012" s="19"/>
      <c r="L1012" s="19" t="str" cm="1">
        <f t="array" ref="L1012">IF($A1012="","",_xlfn.LET(_xlpm.stat,CHOOSE({1,2,3,4,5},$P1012,$T1012,$X1012,$AB1012,$AF1012),_xlpm.rate,CHOOSE({1,2,3,4,5},$R1012,$V1012,$Z1012,$AD1012,$AH1012),_xlpm.trn,CHOOSE({1,2,3,4,5},$S1012,$W1012,$AA1012,$AE1012,$AI1012),_xlpm.nsC,SUMPRODUCT(--(_xlpm.stat="Ready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DLR",IF(AND(_xlpm.actRS&gt;0,_xlpm.actDone&lt;_xlpm.actRS),"Training",IF(_xlpm.actRS&gt;0,"Active",IF(AND(_xlpm.decC&gt;0,_xlpm.inPlay+_xlpm.actC=0),"Dead",IF(AND($AJ1012&lt;&gt;"",$AK1012=FALSE),"Waiting on Dealer",IF(_xlpm.subC&gt;0,"Waiting on Lender",IF(AND(_xlpm.appC+_xlpm.actC&gt;0,_xlpm.nsC+_xlpm.wdC=0),"Rate Sheet","Application Submitted")))))))))</f>
        <v/>
      </c>
      <c r="M1012" s="19"/>
      <c r="N1012" s="19"/>
      <c r="O1012" s="198"/>
      <c r="P1012" s="19" t="str">
        <f>IF($A1012="","",IF($AK1012=TRUE,"Ready 2 Submit","Waiting on Dealer"))</f>
        <v/>
      </c>
      <c r="Q1012" s="149"/>
      <c r="R1012" s="19"/>
      <c r="S1012" s="19"/>
      <c r="T1012" s="19" t="str">
        <f>IF($A1012="","",IF($AK1012=TRUE,"Ready 2 Submit","Waiting on Dealer"))</f>
        <v/>
      </c>
      <c r="U1012" s="149"/>
      <c r="V1012" s="19"/>
      <c r="W1012" s="19"/>
      <c r="X1012" s="19" t="str">
        <f>IF($A1012="","",IF($AK1012=TRUE,"Ready 2 Submit","Waiting on Dealer"))</f>
        <v/>
      </c>
      <c r="Y1012" s="149"/>
      <c r="Z1012" s="19"/>
      <c r="AA1012" s="19"/>
      <c r="AB1012" s="19" t="str">
        <f>IF($A1012="","",IF($AK1012=TRUE,"Ready 2 Submit","Waiting on Dealer"))</f>
        <v/>
      </c>
      <c r="AC1012" s="149"/>
      <c r="AD1012" s="19"/>
      <c r="AE1012" s="19"/>
      <c r="AF1012" s="19" t="str">
        <f>IF($A1012="","",IF($AK1012=TRUE,"Ready 2 Submit","Waiting on Dealer"))</f>
        <v/>
      </c>
      <c r="AG1012" s="149"/>
      <c r="AH1012" s="19"/>
      <c r="AI1012" s="19"/>
      <c r="AJ1012" s="198"/>
      <c r="AK1012" s="24" t="b">
        <v>0</v>
      </c>
      <c r="AL1012" s="19" t="str" cm="1">
        <f t="array" ref="AL1012">IF($A1012="","",SUMPRODUCT((CHOOSE({1,2,3,4,5},$R1012,$V1012,$Z1012,$AD1012,$AH1012)="Yes")*(((CHOOSE({1,2,3,4,5},$S1012,$W1012,$AA1012,$AE1012,$AI1012)="Yes")+(CHOOSE({1,2,3,4,5},$S1012,$W1012,$AA1012,$AE1012,$AI1012)=TRUE))&gt;0)))</f>
        <v/>
      </c>
      <c r="AM1012" s="19"/>
      <c r="AN1012" s="19" t="str">
        <f ca="1">IF(OR($A1012="",$AM1012=""),"",TODAY()-$AM1012)</f>
        <v/>
      </c>
      <c r="AO1012" s="19"/>
      <c r="AP1012" s="13"/>
      <c r="AQ1012" s="13"/>
      <c r="AR1012" s="13"/>
      <c r="AS1012" s="13"/>
      <c r="AT1012" s="13"/>
      <c r="AU1012" s="13"/>
      <c r="AV1012" s="13"/>
      <c r="AW1012" s="13"/>
      <c r="AX1012" s="13"/>
      <c r="AY1012" s="13"/>
    </row>
    <row r="1013" spans="1:51" s="20" customFormat="1" ht="21" customHeight="1">
      <c r="A1013" s="198"/>
      <c r="B1013" s="19"/>
      <c r="C1013" s="19"/>
      <c r="D1013" s="202"/>
      <c r="E1013" s="14"/>
      <c r="F1013" s="202"/>
      <c r="G1013" s="19"/>
      <c r="H1013" s="198"/>
      <c r="I1013" s="22"/>
      <c r="J1013" s="205"/>
      <c r="K1013" s="19"/>
      <c r="L1013" s="19" t="str" cm="1">
        <f t="array" ref="L1013">IF($A1013="","",_xlfn.LET(_xlpm.stat,CHOOSE({1,2,3,4,5},$P1013,$T1013,$X1013,$AB1013,$AF1013),_xlpm.rate,CHOOSE({1,2,3,4,5},$R1013,$V1013,$Z1013,$AD1013,$AH1013),_xlpm.trn,CHOOSE({1,2,3,4,5},$S1013,$W1013,$AA1013,$AE1013,$AI1013),_xlpm.nsC,SUMPRODUCT(--(_xlpm.stat="Ready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DLR",IF(AND(_xlpm.actRS&gt;0,_xlpm.actDone&lt;_xlpm.actRS),"Training",IF(_xlpm.actRS&gt;0,"Active",IF(AND(_xlpm.decC&gt;0,_xlpm.inPlay+_xlpm.actC=0),"Dead",IF(AND($AJ1013&lt;&gt;"",$AK1013=FALSE),"Waiting on Dealer",IF(_xlpm.subC&gt;0,"Waiting on Lender",IF(AND(_xlpm.appC+_xlpm.actC&gt;0,_xlpm.nsC+_xlpm.wdC=0),"Rate Sheet","Application Submitted")))))))))</f>
        <v/>
      </c>
      <c r="M1013" s="19"/>
      <c r="N1013" s="19"/>
      <c r="O1013" s="198"/>
      <c r="P1013" s="19" t="str">
        <f>IF($A1013="","",IF($AK1013=TRUE,"Ready 2 Submit","Waiting on Dealer"))</f>
        <v/>
      </c>
      <c r="Q1013" s="149"/>
      <c r="R1013" s="19"/>
      <c r="S1013" s="19"/>
      <c r="T1013" s="19" t="str">
        <f>IF($A1013="","",IF($AK1013=TRUE,"Ready 2 Submit","Waiting on Dealer"))</f>
        <v/>
      </c>
      <c r="U1013" s="149"/>
      <c r="V1013" s="19"/>
      <c r="W1013" s="19"/>
      <c r="X1013" s="19" t="str">
        <f>IF($A1013="","",IF($AK1013=TRUE,"Ready 2 Submit","Waiting on Dealer"))</f>
        <v/>
      </c>
      <c r="Y1013" s="149"/>
      <c r="Z1013" s="19"/>
      <c r="AA1013" s="19"/>
      <c r="AB1013" s="19" t="str">
        <f>IF($A1013="","",IF($AK1013=TRUE,"Ready 2 Submit","Waiting on Dealer"))</f>
        <v/>
      </c>
      <c r="AC1013" s="149"/>
      <c r="AD1013" s="19"/>
      <c r="AE1013" s="19"/>
      <c r="AF1013" s="19" t="str">
        <f>IF($A1013="","",IF($AK1013=TRUE,"Ready 2 Submit","Waiting on Dealer"))</f>
        <v/>
      </c>
      <c r="AG1013" s="149"/>
      <c r="AH1013" s="19"/>
      <c r="AI1013" s="19"/>
      <c r="AJ1013" s="198"/>
      <c r="AK1013" s="24" t="b">
        <v>0</v>
      </c>
      <c r="AL1013" s="19" t="str" cm="1">
        <f t="array" ref="AL1013">IF($A1013="","",SUMPRODUCT((CHOOSE({1,2,3,4,5},$R1013,$V1013,$Z1013,$AD1013,$AH1013)="Yes")*(((CHOOSE({1,2,3,4,5},$S1013,$W1013,$AA1013,$AE1013,$AI1013)="Yes")+(CHOOSE({1,2,3,4,5},$S1013,$W1013,$AA1013,$AE1013,$AI1013)=TRUE))&gt;0)))</f>
        <v/>
      </c>
      <c r="AM1013" s="19"/>
      <c r="AN1013" s="19" t="str">
        <f ca="1">IF(OR($A1013="",$AM1013=""),"",TODAY()-$AM1013)</f>
        <v/>
      </c>
      <c r="AO1013" s="19"/>
      <c r="AP1013" s="13"/>
      <c r="AQ1013" s="13"/>
      <c r="AR1013" s="13"/>
      <c r="AS1013" s="13"/>
      <c r="AT1013" s="13"/>
      <c r="AU1013" s="13"/>
      <c r="AV1013" s="13"/>
      <c r="AW1013" s="13"/>
      <c r="AX1013" s="13"/>
      <c r="AY1013" s="13"/>
    </row>
    <row r="1014" spans="1:51" s="20" customFormat="1" ht="21" customHeight="1">
      <c r="A1014" s="198"/>
      <c r="B1014" s="19"/>
      <c r="C1014" s="19"/>
      <c r="D1014" s="202"/>
      <c r="E1014" s="14"/>
      <c r="F1014" s="202"/>
      <c r="G1014" s="19"/>
      <c r="H1014" s="198"/>
      <c r="I1014" s="22"/>
      <c r="J1014" s="205"/>
      <c r="K1014" s="19"/>
      <c r="L1014" s="19" t="str" cm="1">
        <f t="array" ref="L1014">IF($A1014="","",_xlfn.LET(_xlpm.stat,CHOOSE({1,2,3,4,5},$P1014,$T1014,$X1014,$AB1014,$AF1014),_xlpm.rate,CHOOSE({1,2,3,4,5},$R1014,$V1014,$Z1014,$AD1014,$AH1014),_xlpm.trn,CHOOSE({1,2,3,4,5},$S1014,$W1014,$AA1014,$AE1014,$AI1014),_xlpm.nsC,SUMPRODUCT(--(_xlpm.stat="Ready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DLR",IF(AND(_xlpm.actRS&gt;0,_xlpm.actDone&lt;_xlpm.actRS),"Training",IF(_xlpm.actRS&gt;0,"Active",IF(AND(_xlpm.decC&gt;0,_xlpm.inPlay+_xlpm.actC=0),"Dead",IF(AND($AJ1014&lt;&gt;"",$AK1014=FALSE),"Waiting on Dealer",IF(_xlpm.subC&gt;0,"Waiting on Lender",IF(AND(_xlpm.appC+_xlpm.actC&gt;0,_xlpm.nsC+_xlpm.wdC=0),"Rate Sheet","Application Submitted")))))))))</f>
        <v/>
      </c>
      <c r="M1014" s="19"/>
      <c r="N1014" s="19"/>
      <c r="O1014" s="198"/>
      <c r="P1014" s="19" t="str">
        <f>IF($A1014="","",IF($AK1014=TRUE,"Ready 2 Submit","Waiting on Dealer"))</f>
        <v/>
      </c>
      <c r="Q1014" s="149"/>
      <c r="R1014" s="19"/>
      <c r="S1014" s="19"/>
      <c r="T1014" s="19" t="str">
        <f>IF($A1014="","",IF($AK1014=TRUE,"Ready 2 Submit","Waiting on Dealer"))</f>
        <v/>
      </c>
      <c r="U1014" s="149"/>
      <c r="V1014" s="19"/>
      <c r="W1014" s="19"/>
      <c r="X1014" s="19" t="str">
        <f>IF($A1014="","",IF($AK1014=TRUE,"Ready 2 Submit","Waiting on Dealer"))</f>
        <v/>
      </c>
      <c r="Y1014" s="149"/>
      <c r="Z1014" s="19"/>
      <c r="AA1014" s="19"/>
      <c r="AB1014" s="19" t="str">
        <f>IF($A1014="","",IF($AK1014=TRUE,"Ready 2 Submit","Waiting on Dealer"))</f>
        <v/>
      </c>
      <c r="AC1014" s="149"/>
      <c r="AD1014" s="19"/>
      <c r="AE1014" s="19"/>
      <c r="AF1014" s="19" t="str">
        <f>IF($A1014="","",IF($AK1014=TRUE,"Ready 2 Submit","Waiting on Dealer"))</f>
        <v/>
      </c>
      <c r="AG1014" s="149"/>
      <c r="AH1014" s="19"/>
      <c r="AI1014" s="19"/>
      <c r="AJ1014" s="198"/>
      <c r="AK1014" s="24" t="b">
        <v>0</v>
      </c>
      <c r="AL1014" s="19" t="str" cm="1">
        <f t="array" ref="AL1014">IF($A1014="","",SUMPRODUCT((CHOOSE({1,2,3,4,5},$R1014,$V1014,$Z1014,$AD1014,$AH1014)="Yes")*(((CHOOSE({1,2,3,4,5},$S1014,$W1014,$AA1014,$AE1014,$AI1014)="Yes")+(CHOOSE({1,2,3,4,5},$S1014,$W1014,$AA1014,$AE1014,$AI1014)=TRUE))&gt;0)))</f>
        <v/>
      </c>
      <c r="AM1014" s="19"/>
      <c r="AN1014" s="19" t="str">
        <f ca="1">IF(OR($A1014="",$AM1014=""),"",TODAY()-$AM1014)</f>
        <v/>
      </c>
      <c r="AO1014" s="19"/>
      <c r="AP1014" s="13"/>
      <c r="AQ1014" s="13"/>
      <c r="AR1014" s="13"/>
      <c r="AS1014" s="13"/>
      <c r="AT1014" s="13"/>
      <c r="AU1014" s="13"/>
      <c r="AV1014" s="13"/>
      <c r="AW1014" s="13"/>
      <c r="AX1014" s="13"/>
      <c r="AY1014" s="13"/>
    </row>
    <row r="1015" spans="1:51" s="20" customFormat="1" ht="21" customHeight="1">
      <c r="A1015" s="198"/>
      <c r="B1015" s="19"/>
      <c r="C1015" s="19"/>
      <c r="D1015" s="202"/>
      <c r="E1015" s="14"/>
      <c r="F1015" s="202"/>
      <c r="G1015" s="19"/>
      <c r="H1015" s="198"/>
      <c r="I1015" s="22"/>
      <c r="J1015" s="205"/>
      <c r="K1015" s="19"/>
      <c r="L1015" s="19" t="str" cm="1">
        <f t="array" ref="L1015">IF($A1015="","",_xlfn.LET(_xlpm.stat,CHOOSE({1,2,3,4,5},$P1015,$T1015,$X1015,$AB1015,$AF1015),_xlpm.rate,CHOOSE({1,2,3,4,5},$R1015,$V1015,$Z1015,$AD1015,$AH1015),_xlpm.trn,CHOOSE({1,2,3,4,5},$S1015,$W1015,$AA1015,$AE1015,$AI1015),_xlpm.nsC,SUMPRODUCT(--(_xlpm.stat="Ready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DLR",IF(AND(_xlpm.actRS&gt;0,_xlpm.actDone&lt;_xlpm.actRS),"Training",IF(_xlpm.actRS&gt;0,"Active",IF(AND(_xlpm.decC&gt;0,_xlpm.inPlay+_xlpm.actC=0),"Dead",IF(AND($AJ1015&lt;&gt;"",$AK1015=FALSE),"Waiting on Dealer",IF(_xlpm.subC&gt;0,"Waiting on Lender",IF(AND(_xlpm.appC+_xlpm.actC&gt;0,_xlpm.nsC+_xlpm.wdC=0),"Rate Sheet","Application Submitted")))))))))</f>
        <v/>
      </c>
      <c r="M1015" s="19"/>
      <c r="N1015" s="19"/>
      <c r="O1015" s="198"/>
      <c r="P1015" s="19" t="str">
        <f>IF($A1015="","",IF($AK1015=TRUE,"Ready 2 Submit","Waiting on Dealer"))</f>
        <v/>
      </c>
      <c r="Q1015" s="149"/>
      <c r="R1015" s="19"/>
      <c r="S1015" s="19"/>
      <c r="T1015" s="19" t="str">
        <f>IF($A1015="","",IF($AK1015=TRUE,"Ready 2 Submit","Waiting on Dealer"))</f>
        <v/>
      </c>
      <c r="U1015" s="149"/>
      <c r="V1015" s="19"/>
      <c r="W1015" s="19"/>
      <c r="X1015" s="19" t="str">
        <f>IF($A1015="","",IF($AK1015=TRUE,"Ready 2 Submit","Waiting on Dealer"))</f>
        <v/>
      </c>
      <c r="Y1015" s="149"/>
      <c r="Z1015" s="19"/>
      <c r="AA1015" s="19"/>
      <c r="AB1015" s="19" t="str">
        <f>IF($A1015="","",IF($AK1015=TRUE,"Ready 2 Submit","Waiting on Dealer"))</f>
        <v/>
      </c>
      <c r="AC1015" s="149"/>
      <c r="AD1015" s="19"/>
      <c r="AE1015" s="19"/>
      <c r="AF1015" s="19" t="str">
        <f>IF($A1015="","",IF($AK1015=TRUE,"Ready 2 Submit","Waiting on Dealer"))</f>
        <v/>
      </c>
      <c r="AG1015" s="149"/>
      <c r="AH1015" s="19"/>
      <c r="AI1015" s="19"/>
      <c r="AJ1015" s="198"/>
      <c r="AK1015" s="24" t="b">
        <v>0</v>
      </c>
      <c r="AL1015" s="19" t="str" cm="1">
        <f t="array" ref="AL1015">IF($A1015="","",SUMPRODUCT((CHOOSE({1,2,3,4,5},$R1015,$V1015,$Z1015,$AD1015,$AH1015)="Yes")*(((CHOOSE({1,2,3,4,5},$S1015,$W1015,$AA1015,$AE1015,$AI1015)="Yes")+(CHOOSE({1,2,3,4,5},$S1015,$W1015,$AA1015,$AE1015,$AI1015)=TRUE))&gt;0)))</f>
        <v/>
      </c>
      <c r="AM1015" s="19"/>
      <c r="AN1015" s="19" t="str">
        <f ca="1">IF(OR($A1015="",$AM1015=""),"",TODAY()-$AM1015)</f>
        <v/>
      </c>
      <c r="AO1015" s="19"/>
      <c r="AP1015" s="13"/>
      <c r="AQ1015" s="13"/>
      <c r="AR1015" s="13"/>
      <c r="AS1015" s="13"/>
      <c r="AT1015" s="13"/>
      <c r="AU1015" s="13"/>
      <c r="AV1015" s="13"/>
      <c r="AW1015" s="13"/>
      <c r="AX1015" s="13"/>
      <c r="AY1015" s="13"/>
    </row>
    <row r="1016" spans="1:51" s="20" customFormat="1" ht="21" customHeight="1">
      <c r="A1016" s="198"/>
      <c r="B1016" s="19"/>
      <c r="C1016" s="19"/>
      <c r="D1016" s="202"/>
      <c r="E1016" s="14"/>
      <c r="F1016" s="202"/>
      <c r="G1016" s="19"/>
      <c r="H1016" s="198"/>
      <c r="I1016" s="22"/>
      <c r="J1016" s="205"/>
      <c r="K1016" s="19"/>
      <c r="L1016" s="19" t="str" cm="1">
        <f t="array" ref="L1016">IF($A1016="","",_xlfn.LET(_xlpm.stat,CHOOSE({1,2,3,4,5},$P1016,$T1016,$X1016,$AB1016,$AF1016),_xlpm.rate,CHOOSE({1,2,3,4,5},$R1016,$V1016,$Z1016,$AD1016,$AH1016),_xlpm.trn,CHOOSE({1,2,3,4,5},$S1016,$W1016,$AA1016,$AE1016,$AI1016),_xlpm.nsC,SUMPRODUCT(--(_xlpm.stat="Ready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DLR",IF(AND(_xlpm.actRS&gt;0,_xlpm.actDone&lt;_xlpm.actRS),"Training",IF(_xlpm.actRS&gt;0,"Active",IF(AND(_xlpm.decC&gt;0,_xlpm.inPlay+_xlpm.actC=0),"Dead",IF(AND($AJ1016&lt;&gt;"",$AK1016=FALSE),"Waiting on Dealer",IF(_xlpm.subC&gt;0,"Waiting on Lender",IF(AND(_xlpm.appC+_xlpm.actC&gt;0,_xlpm.nsC+_xlpm.wdC=0),"Rate Sheet","Application Submitted")))))))))</f>
        <v/>
      </c>
      <c r="M1016" s="19"/>
      <c r="N1016" s="19"/>
      <c r="O1016" s="198"/>
      <c r="P1016" s="19" t="str">
        <f>IF($A1016="","",IF($AK1016=TRUE,"Ready 2 Submit","Waiting on Dealer"))</f>
        <v/>
      </c>
      <c r="Q1016" s="149"/>
      <c r="R1016" s="19"/>
      <c r="S1016" s="19"/>
      <c r="T1016" s="19" t="str">
        <f>IF($A1016="","",IF($AK1016=TRUE,"Ready 2 Submit","Waiting on Dealer"))</f>
        <v/>
      </c>
      <c r="U1016" s="149"/>
      <c r="V1016" s="19"/>
      <c r="W1016" s="19"/>
      <c r="X1016" s="19" t="str">
        <f>IF($A1016="","",IF($AK1016=TRUE,"Ready 2 Submit","Waiting on Dealer"))</f>
        <v/>
      </c>
      <c r="Y1016" s="149"/>
      <c r="Z1016" s="19"/>
      <c r="AA1016" s="19"/>
      <c r="AB1016" s="19" t="str">
        <f>IF($A1016="","",IF($AK1016=TRUE,"Ready 2 Submit","Waiting on Dealer"))</f>
        <v/>
      </c>
      <c r="AC1016" s="149"/>
      <c r="AD1016" s="19"/>
      <c r="AE1016" s="19"/>
      <c r="AF1016" s="19" t="str">
        <f>IF($A1016="","",IF($AK1016=TRUE,"Ready 2 Submit","Waiting on Dealer"))</f>
        <v/>
      </c>
      <c r="AG1016" s="149"/>
      <c r="AH1016" s="19"/>
      <c r="AI1016" s="19"/>
      <c r="AJ1016" s="198"/>
      <c r="AK1016" s="24" t="b">
        <v>0</v>
      </c>
      <c r="AL1016" s="19" t="str" cm="1">
        <f t="array" ref="AL1016">IF($A1016="","",SUMPRODUCT((CHOOSE({1,2,3,4,5},$R1016,$V1016,$Z1016,$AD1016,$AH1016)="Yes")*(((CHOOSE({1,2,3,4,5},$S1016,$W1016,$AA1016,$AE1016,$AI1016)="Yes")+(CHOOSE({1,2,3,4,5},$S1016,$W1016,$AA1016,$AE1016,$AI1016)=TRUE))&gt;0)))</f>
        <v/>
      </c>
      <c r="AM1016" s="19"/>
      <c r="AN1016" s="19" t="str">
        <f ca="1">IF(OR($A1016="",$AM1016=""),"",TODAY()-$AM1016)</f>
        <v/>
      </c>
      <c r="AO1016" s="19"/>
      <c r="AP1016" s="13"/>
      <c r="AQ1016" s="13"/>
      <c r="AR1016" s="13"/>
      <c r="AS1016" s="13"/>
      <c r="AT1016" s="13"/>
      <c r="AU1016" s="13"/>
      <c r="AV1016" s="13"/>
      <c r="AW1016" s="13"/>
      <c r="AX1016" s="13"/>
      <c r="AY1016" s="13"/>
    </row>
    <row r="1017" spans="1:51" s="20" customFormat="1" ht="21" customHeight="1">
      <c r="A1017" s="198"/>
      <c r="B1017" s="19"/>
      <c r="C1017" s="19"/>
      <c r="D1017" s="202"/>
      <c r="E1017" s="14"/>
      <c r="F1017" s="202"/>
      <c r="G1017" s="19"/>
      <c r="H1017" s="198"/>
      <c r="I1017" s="22"/>
      <c r="J1017" s="205"/>
      <c r="K1017" s="19"/>
      <c r="L1017" s="19" t="str" cm="1">
        <f t="array" ref="L1017">IF($A1017="","",_xlfn.LET(_xlpm.stat,CHOOSE({1,2,3,4,5},$P1017,$T1017,$X1017,$AB1017,$AF1017),_xlpm.rate,CHOOSE({1,2,3,4,5},$R1017,$V1017,$Z1017,$AD1017,$AH1017),_xlpm.trn,CHOOSE({1,2,3,4,5},$S1017,$W1017,$AA1017,$AE1017,$AI1017),_xlpm.nsC,SUMPRODUCT(--(_xlpm.stat="Ready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DLR",IF(AND(_xlpm.actRS&gt;0,_xlpm.actDone&lt;_xlpm.actRS),"Training",IF(_xlpm.actRS&gt;0,"Active",IF(AND(_xlpm.decC&gt;0,_xlpm.inPlay+_xlpm.actC=0),"Dead",IF(AND($AJ1017&lt;&gt;"",$AK1017=FALSE),"Waiting on Dealer",IF(_xlpm.subC&gt;0,"Waiting on Lender",IF(AND(_xlpm.appC+_xlpm.actC&gt;0,_xlpm.nsC+_xlpm.wdC=0),"Rate Sheet","Application Submitted")))))))))</f>
        <v/>
      </c>
      <c r="M1017" s="19"/>
      <c r="N1017" s="19"/>
      <c r="O1017" s="198"/>
      <c r="P1017" s="19" t="str">
        <f>IF($A1017="","",IF($AK1017=TRUE,"Ready 2 Submit","Waiting on Dealer"))</f>
        <v/>
      </c>
      <c r="Q1017" s="149"/>
      <c r="R1017" s="19"/>
      <c r="S1017" s="19"/>
      <c r="T1017" s="19" t="str">
        <f>IF($A1017="","",IF($AK1017=TRUE,"Ready 2 Submit","Waiting on Dealer"))</f>
        <v/>
      </c>
      <c r="U1017" s="149"/>
      <c r="V1017" s="19"/>
      <c r="W1017" s="19"/>
      <c r="X1017" s="19" t="str">
        <f>IF($A1017="","",IF($AK1017=TRUE,"Ready 2 Submit","Waiting on Dealer"))</f>
        <v/>
      </c>
      <c r="Y1017" s="149"/>
      <c r="Z1017" s="19"/>
      <c r="AA1017" s="19"/>
      <c r="AB1017" s="19" t="str">
        <f>IF($A1017="","",IF($AK1017=TRUE,"Ready 2 Submit","Waiting on Dealer"))</f>
        <v/>
      </c>
      <c r="AC1017" s="149"/>
      <c r="AD1017" s="19"/>
      <c r="AE1017" s="19"/>
      <c r="AF1017" s="19" t="str">
        <f>IF($A1017="","",IF($AK1017=TRUE,"Ready 2 Submit","Waiting on Dealer"))</f>
        <v/>
      </c>
      <c r="AG1017" s="149"/>
      <c r="AH1017" s="19"/>
      <c r="AI1017" s="19"/>
      <c r="AJ1017" s="198"/>
      <c r="AK1017" s="24" t="b">
        <v>0</v>
      </c>
      <c r="AL1017" s="19" t="str" cm="1">
        <f t="array" ref="AL1017">IF($A1017="","",SUMPRODUCT((CHOOSE({1,2,3,4,5},$R1017,$V1017,$Z1017,$AD1017,$AH1017)="Yes")*(((CHOOSE({1,2,3,4,5},$S1017,$W1017,$AA1017,$AE1017,$AI1017)="Yes")+(CHOOSE({1,2,3,4,5},$S1017,$W1017,$AA1017,$AE1017,$AI1017)=TRUE))&gt;0)))</f>
        <v/>
      </c>
      <c r="AM1017" s="19"/>
      <c r="AN1017" s="19" t="str">
        <f ca="1">IF(OR($A1017="",$AM1017=""),"",TODAY()-$AM1017)</f>
        <v/>
      </c>
      <c r="AO1017" s="19"/>
      <c r="AP1017" s="13"/>
      <c r="AQ1017" s="13"/>
      <c r="AR1017" s="13"/>
      <c r="AS1017" s="13"/>
      <c r="AT1017" s="13"/>
      <c r="AU1017" s="13"/>
      <c r="AV1017" s="13"/>
      <c r="AW1017" s="13"/>
      <c r="AX1017" s="13"/>
      <c r="AY1017" s="13"/>
    </row>
    <row r="1018" spans="1:51" s="20" customFormat="1" ht="21" customHeight="1">
      <c r="A1018" s="198"/>
      <c r="B1018" s="19"/>
      <c r="C1018" s="19"/>
      <c r="D1018" s="202"/>
      <c r="E1018" s="14"/>
      <c r="F1018" s="202"/>
      <c r="G1018" s="19"/>
      <c r="H1018" s="198"/>
      <c r="I1018" s="22"/>
      <c r="J1018" s="205"/>
      <c r="K1018" s="19"/>
      <c r="L1018" s="19" t="str" cm="1">
        <f t="array" ref="L1018">IF($A1018="","",_xlfn.LET(_xlpm.stat,CHOOSE({1,2,3,4,5},$P1018,$T1018,$X1018,$AB1018,$AF1018),_xlpm.rate,CHOOSE({1,2,3,4,5},$R1018,$V1018,$Z1018,$AD1018,$AH1018),_xlpm.trn,CHOOSE({1,2,3,4,5},$S1018,$W1018,$AA1018,$AE1018,$AI1018),_xlpm.nsC,SUMPRODUCT(--(_xlpm.stat="Ready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DLR",IF(AND(_xlpm.actRS&gt;0,_xlpm.actDone&lt;_xlpm.actRS),"Training",IF(_xlpm.actRS&gt;0,"Active",IF(AND(_xlpm.decC&gt;0,_xlpm.inPlay+_xlpm.actC=0),"Dead",IF(AND($AJ1018&lt;&gt;"",$AK1018=FALSE),"Waiting on Dealer",IF(_xlpm.subC&gt;0,"Waiting on Lender",IF(AND(_xlpm.appC+_xlpm.actC&gt;0,_xlpm.nsC+_xlpm.wdC=0),"Rate Sheet","Application Submitted")))))))))</f>
        <v/>
      </c>
      <c r="M1018" s="19"/>
      <c r="N1018" s="19"/>
      <c r="O1018" s="198"/>
      <c r="P1018" s="19" t="str">
        <f>IF($A1018="","",IF($AK1018=TRUE,"Ready 2 Submit","Waiting on Dealer"))</f>
        <v/>
      </c>
      <c r="Q1018" s="149"/>
      <c r="R1018" s="19"/>
      <c r="S1018" s="19"/>
      <c r="T1018" s="19" t="str">
        <f>IF($A1018="","",IF($AK1018=TRUE,"Ready 2 Submit","Waiting on Dealer"))</f>
        <v/>
      </c>
      <c r="U1018" s="149"/>
      <c r="V1018" s="19"/>
      <c r="W1018" s="19"/>
      <c r="X1018" s="19" t="str">
        <f>IF($A1018="","",IF($AK1018=TRUE,"Ready 2 Submit","Waiting on Dealer"))</f>
        <v/>
      </c>
      <c r="Y1018" s="149"/>
      <c r="Z1018" s="19"/>
      <c r="AA1018" s="19"/>
      <c r="AB1018" s="19" t="str">
        <f>IF($A1018="","",IF($AK1018=TRUE,"Ready 2 Submit","Waiting on Dealer"))</f>
        <v/>
      </c>
      <c r="AC1018" s="149"/>
      <c r="AD1018" s="19"/>
      <c r="AE1018" s="19"/>
      <c r="AF1018" s="19" t="str">
        <f>IF($A1018="","",IF($AK1018=TRUE,"Ready 2 Submit","Waiting on Dealer"))</f>
        <v/>
      </c>
      <c r="AG1018" s="149"/>
      <c r="AH1018" s="19"/>
      <c r="AI1018" s="19"/>
      <c r="AJ1018" s="198"/>
      <c r="AK1018" s="24" t="b">
        <v>0</v>
      </c>
      <c r="AL1018" s="19" t="str" cm="1">
        <f t="array" ref="AL1018">IF($A1018="","",SUMPRODUCT((CHOOSE({1,2,3,4,5},$R1018,$V1018,$Z1018,$AD1018,$AH1018)="Yes")*(((CHOOSE({1,2,3,4,5},$S1018,$W1018,$AA1018,$AE1018,$AI1018)="Yes")+(CHOOSE({1,2,3,4,5},$S1018,$W1018,$AA1018,$AE1018,$AI1018)=TRUE))&gt;0)))</f>
        <v/>
      </c>
      <c r="AM1018" s="19"/>
      <c r="AN1018" s="19" t="str">
        <f ca="1">IF(OR($A1018="",$AM1018=""),"",TODAY()-$AM1018)</f>
        <v/>
      </c>
      <c r="AO1018" s="19"/>
      <c r="AP1018" s="13"/>
      <c r="AQ1018" s="13"/>
      <c r="AR1018" s="13"/>
      <c r="AS1018" s="13"/>
      <c r="AT1018" s="13"/>
      <c r="AU1018" s="13"/>
      <c r="AV1018" s="13"/>
      <c r="AW1018" s="13"/>
      <c r="AX1018" s="13"/>
      <c r="AY1018" s="13"/>
    </row>
    <row r="1019" spans="1:51" s="20" customFormat="1" ht="21" customHeight="1">
      <c r="A1019" s="198"/>
      <c r="B1019" s="19"/>
      <c r="C1019" s="19"/>
      <c r="D1019" s="202"/>
      <c r="E1019" s="14"/>
      <c r="F1019" s="202"/>
      <c r="G1019" s="19"/>
      <c r="H1019" s="198"/>
      <c r="I1019" s="22"/>
      <c r="J1019" s="205"/>
      <c r="K1019" s="19"/>
      <c r="L1019" s="19" t="str" cm="1">
        <f t="array" ref="L1019">IF($A1019="","",_xlfn.LET(_xlpm.stat,CHOOSE({1,2,3,4,5},$P1019,$T1019,$X1019,$AB1019,$AF1019),_xlpm.rate,CHOOSE({1,2,3,4,5},$R1019,$V1019,$Z1019,$AD1019,$AH1019),_xlpm.trn,CHOOSE({1,2,3,4,5},$S1019,$W1019,$AA1019,$AE1019,$AI1019),_xlpm.nsC,SUMPRODUCT(--(_xlpm.stat="Ready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DLR",IF(AND(_xlpm.actRS&gt;0,_xlpm.actDone&lt;_xlpm.actRS),"Training",IF(_xlpm.actRS&gt;0,"Active",IF(AND(_xlpm.decC&gt;0,_xlpm.inPlay+_xlpm.actC=0),"Dead",IF(AND($AJ1019&lt;&gt;"",$AK1019=FALSE),"Waiting on Dealer",IF(_xlpm.subC&gt;0,"Waiting on Lender",IF(AND(_xlpm.appC+_xlpm.actC&gt;0,_xlpm.nsC+_xlpm.wdC=0),"Rate Sheet","Application Submitted")))))))))</f>
        <v/>
      </c>
      <c r="M1019" s="19"/>
      <c r="N1019" s="19"/>
      <c r="O1019" s="198"/>
      <c r="P1019" s="19" t="str">
        <f>IF($A1019="","",IF($AK1019=TRUE,"Ready 2 Submit","Waiting on Dealer"))</f>
        <v/>
      </c>
      <c r="Q1019" s="149"/>
      <c r="R1019" s="19"/>
      <c r="S1019" s="19"/>
      <c r="T1019" s="19" t="str">
        <f>IF($A1019="","",IF($AK1019=TRUE,"Ready 2 Submit","Waiting on Dealer"))</f>
        <v/>
      </c>
      <c r="U1019" s="149"/>
      <c r="V1019" s="19"/>
      <c r="W1019" s="19"/>
      <c r="X1019" s="19" t="str">
        <f>IF($A1019="","",IF($AK1019=TRUE,"Ready 2 Submit","Waiting on Dealer"))</f>
        <v/>
      </c>
      <c r="Y1019" s="149"/>
      <c r="Z1019" s="19"/>
      <c r="AA1019" s="19"/>
      <c r="AB1019" s="19" t="str">
        <f>IF($A1019="","",IF($AK1019=TRUE,"Ready 2 Submit","Waiting on Dealer"))</f>
        <v/>
      </c>
      <c r="AC1019" s="149"/>
      <c r="AD1019" s="19"/>
      <c r="AE1019" s="19"/>
      <c r="AF1019" s="19" t="str">
        <f>IF($A1019="","",IF($AK1019=TRUE,"Ready 2 Submit","Waiting on Dealer"))</f>
        <v/>
      </c>
      <c r="AG1019" s="149"/>
      <c r="AH1019" s="19"/>
      <c r="AI1019" s="19"/>
      <c r="AJ1019" s="198"/>
      <c r="AK1019" s="24" t="b">
        <v>0</v>
      </c>
      <c r="AL1019" s="19" t="str" cm="1">
        <f t="array" ref="AL1019">IF($A1019="","",SUMPRODUCT((CHOOSE({1,2,3,4,5},$R1019,$V1019,$Z1019,$AD1019,$AH1019)="Yes")*(((CHOOSE({1,2,3,4,5},$S1019,$W1019,$AA1019,$AE1019,$AI1019)="Yes")+(CHOOSE({1,2,3,4,5},$S1019,$W1019,$AA1019,$AE1019,$AI1019)=TRUE))&gt;0)))</f>
        <v/>
      </c>
      <c r="AM1019" s="19"/>
      <c r="AN1019" s="19" t="str">
        <f ca="1">IF(OR($A1019="",$AM1019=""),"",TODAY()-$AM1019)</f>
        <v/>
      </c>
      <c r="AO1019" s="19"/>
      <c r="AP1019" s="13"/>
      <c r="AQ1019" s="13"/>
      <c r="AR1019" s="13"/>
      <c r="AS1019" s="13"/>
      <c r="AT1019" s="13"/>
      <c r="AU1019" s="13"/>
      <c r="AV1019" s="13"/>
      <c r="AW1019" s="13"/>
      <c r="AX1019" s="13"/>
      <c r="AY1019" s="13"/>
    </row>
    <row r="1020" spans="1:51" s="20" customFormat="1" ht="21" customHeight="1">
      <c r="A1020" s="198"/>
      <c r="B1020" s="19"/>
      <c r="C1020" s="19"/>
      <c r="D1020" s="202"/>
      <c r="E1020" s="14"/>
      <c r="F1020" s="202"/>
      <c r="G1020" s="19"/>
      <c r="H1020" s="198"/>
      <c r="I1020" s="22"/>
      <c r="J1020" s="205"/>
      <c r="K1020" s="19"/>
      <c r="L1020" s="19" t="str" cm="1">
        <f t="array" ref="L1020">IF($A1020="","",_xlfn.LET(_xlpm.stat,CHOOSE({1,2,3,4,5},$P1020,$T1020,$X1020,$AB1020,$AF1020),_xlpm.rate,CHOOSE({1,2,3,4,5},$R1020,$V1020,$Z1020,$AD1020,$AH1020),_xlpm.trn,CHOOSE({1,2,3,4,5},$S1020,$W1020,$AA1020,$AE1020,$AI1020),_xlpm.nsC,SUMPRODUCT(--(_xlpm.stat="Ready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DLR",IF(AND(_xlpm.actRS&gt;0,_xlpm.actDone&lt;_xlpm.actRS),"Training",IF(_xlpm.actRS&gt;0,"Active",IF(AND(_xlpm.decC&gt;0,_xlpm.inPlay+_xlpm.actC=0),"Dead",IF(AND($AJ1020&lt;&gt;"",$AK1020=FALSE),"Waiting on Dealer",IF(_xlpm.subC&gt;0,"Waiting on Lender",IF(AND(_xlpm.appC+_xlpm.actC&gt;0,_xlpm.nsC+_xlpm.wdC=0),"Rate Sheet","Application Submitted")))))))))</f>
        <v/>
      </c>
      <c r="M1020" s="19"/>
      <c r="N1020" s="19"/>
      <c r="O1020" s="198"/>
      <c r="P1020" s="19" t="str">
        <f>IF($A1020="","",IF($AK1020=TRUE,"Ready 2 Submit","Waiting on Dealer"))</f>
        <v/>
      </c>
      <c r="Q1020" s="149"/>
      <c r="R1020" s="19"/>
      <c r="S1020" s="19"/>
      <c r="T1020" s="19" t="str">
        <f>IF($A1020="","",IF($AK1020=TRUE,"Ready 2 Submit","Waiting on Dealer"))</f>
        <v/>
      </c>
      <c r="U1020" s="149"/>
      <c r="V1020" s="19"/>
      <c r="W1020" s="19"/>
      <c r="X1020" s="19" t="str">
        <f>IF($A1020="","",IF($AK1020=TRUE,"Ready 2 Submit","Waiting on Dealer"))</f>
        <v/>
      </c>
      <c r="Y1020" s="149"/>
      <c r="Z1020" s="19"/>
      <c r="AA1020" s="19"/>
      <c r="AB1020" s="19" t="str">
        <f>IF($A1020="","",IF($AK1020=TRUE,"Ready 2 Submit","Waiting on Dealer"))</f>
        <v/>
      </c>
      <c r="AC1020" s="149"/>
      <c r="AD1020" s="19"/>
      <c r="AE1020" s="19"/>
      <c r="AF1020" s="19" t="str">
        <f>IF($A1020="","",IF($AK1020=TRUE,"Ready 2 Submit","Waiting on Dealer"))</f>
        <v/>
      </c>
      <c r="AG1020" s="149"/>
      <c r="AH1020" s="19"/>
      <c r="AI1020" s="19"/>
      <c r="AJ1020" s="198"/>
      <c r="AK1020" s="24" t="b">
        <v>0</v>
      </c>
      <c r="AL1020" s="19" t="str" cm="1">
        <f t="array" ref="AL1020">IF($A1020="","",SUMPRODUCT((CHOOSE({1,2,3,4,5},$R1020,$V1020,$Z1020,$AD1020,$AH1020)="Yes")*(((CHOOSE({1,2,3,4,5},$S1020,$W1020,$AA1020,$AE1020,$AI1020)="Yes")+(CHOOSE({1,2,3,4,5},$S1020,$W1020,$AA1020,$AE1020,$AI1020)=TRUE))&gt;0)))</f>
        <v/>
      </c>
      <c r="AM1020" s="19"/>
      <c r="AN1020" s="19" t="str">
        <f ca="1">IF(OR($A1020="",$AM1020=""),"",TODAY()-$AM1020)</f>
        <v/>
      </c>
      <c r="AO1020" s="19"/>
      <c r="AP1020" s="13"/>
      <c r="AQ1020" s="13"/>
      <c r="AR1020" s="13"/>
      <c r="AS1020" s="13"/>
      <c r="AT1020" s="13"/>
      <c r="AU1020" s="13"/>
      <c r="AV1020" s="13"/>
      <c r="AW1020" s="13"/>
      <c r="AX1020" s="13"/>
      <c r="AY1020" s="13"/>
    </row>
    <row r="1021" spans="1:51" s="20" customFormat="1" ht="21" customHeight="1">
      <c r="A1021" s="198"/>
      <c r="B1021" s="19"/>
      <c r="C1021" s="19"/>
      <c r="D1021" s="202"/>
      <c r="E1021" s="14"/>
      <c r="F1021" s="202"/>
      <c r="G1021" s="19"/>
      <c r="H1021" s="198"/>
      <c r="I1021" s="22"/>
      <c r="J1021" s="205"/>
      <c r="K1021" s="19"/>
      <c r="L1021" s="19" t="str" cm="1">
        <f t="array" ref="L1021">IF($A1021="","",_xlfn.LET(_xlpm.stat,CHOOSE({1,2,3,4,5},$P1021,$T1021,$X1021,$AB1021,$AF1021),_xlpm.rate,CHOOSE({1,2,3,4,5},$R1021,$V1021,$Z1021,$AD1021,$AH1021),_xlpm.trn,CHOOSE({1,2,3,4,5},$S1021,$W1021,$AA1021,$AE1021,$AI1021),_xlpm.nsC,SUMPRODUCT(--(_xlpm.stat="Ready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DLR",IF(AND(_xlpm.actRS&gt;0,_xlpm.actDone&lt;_xlpm.actRS),"Training",IF(_xlpm.actRS&gt;0,"Active",IF(AND(_xlpm.decC&gt;0,_xlpm.inPlay+_xlpm.actC=0),"Dead",IF(AND($AJ1021&lt;&gt;"",$AK1021=FALSE),"Waiting on Dealer",IF(_xlpm.subC&gt;0,"Waiting on Lender",IF(AND(_xlpm.appC+_xlpm.actC&gt;0,_xlpm.nsC+_xlpm.wdC=0),"Rate Sheet","Application Submitted")))))))))</f>
        <v/>
      </c>
      <c r="M1021" s="19"/>
      <c r="N1021" s="19"/>
      <c r="O1021" s="198"/>
      <c r="P1021" s="19" t="str">
        <f>IF($A1021="","",IF($AK1021=TRUE,"Ready 2 Submit","Waiting on Dealer"))</f>
        <v/>
      </c>
      <c r="Q1021" s="149"/>
      <c r="R1021" s="19"/>
      <c r="S1021" s="19"/>
      <c r="T1021" s="19" t="str">
        <f>IF($A1021="","",IF($AK1021=TRUE,"Ready 2 Submit","Waiting on Dealer"))</f>
        <v/>
      </c>
      <c r="U1021" s="149"/>
      <c r="V1021" s="19"/>
      <c r="W1021" s="19"/>
      <c r="X1021" s="19" t="str">
        <f>IF($A1021="","",IF($AK1021=TRUE,"Ready 2 Submit","Waiting on Dealer"))</f>
        <v/>
      </c>
      <c r="Y1021" s="149"/>
      <c r="Z1021" s="19"/>
      <c r="AA1021" s="19"/>
      <c r="AB1021" s="19" t="str">
        <f>IF($A1021="","",IF($AK1021=TRUE,"Ready 2 Submit","Waiting on Dealer"))</f>
        <v/>
      </c>
      <c r="AC1021" s="149"/>
      <c r="AD1021" s="19"/>
      <c r="AE1021" s="19"/>
      <c r="AF1021" s="19" t="str">
        <f>IF($A1021="","",IF($AK1021=TRUE,"Ready 2 Submit","Waiting on Dealer"))</f>
        <v/>
      </c>
      <c r="AG1021" s="149"/>
      <c r="AH1021" s="19"/>
      <c r="AI1021" s="19"/>
      <c r="AJ1021" s="198"/>
      <c r="AK1021" s="24" t="b">
        <v>0</v>
      </c>
      <c r="AL1021" s="19" t="str" cm="1">
        <f t="array" ref="AL1021">IF($A1021="","",SUMPRODUCT((CHOOSE({1,2,3,4,5},$R1021,$V1021,$Z1021,$AD1021,$AH1021)="Yes")*(((CHOOSE({1,2,3,4,5},$S1021,$W1021,$AA1021,$AE1021,$AI1021)="Yes")+(CHOOSE({1,2,3,4,5},$S1021,$W1021,$AA1021,$AE1021,$AI1021)=TRUE))&gt;0)))</f>
        <v/>
      </c>
      <c r="AM1021" s="19"/>
      <c r="AN1021" s="19" t="str">
        <f ca="1">IF(OR($A1021="",$AM1021=""),"",TODAY()-$AM1021)</f>
        <v/>
      </c>
      <c r="AO1021" s="19"/>
      <c r="AP1021" s="13"/>
      <c r="AQ1021" s="13"/>
      <c r="AR1021" s="13"/>
      <c r="AS1021" s="13"/>
      <c r="AT1021" s="13"/>
      <c r="AU1021" s="13"/>
      <c r="AV1021" s="13"/>
      <c r="AW1021" s="13"/>
      <c r="AX1021" s="13"/>
      <c r="AY1021" s="13"/>
    </row>
    <row r="1022" spans="1:51" s="20" customFormat="1" ht="21" customHeight="1">
      <c r="A1022" s="198"/>
      <c r="B1022" s="19"/>
      <c r="C1022" s="19"/>
      <c r="D1022" s="202"/>
      <c r="E1022" s="14"/>
      <c r="F1022" s="202"/>
      <c r="G1022" s="19"/>
      <c r="H1022" s="198"/>
      <c r="I1022" s="22"/>
      <c r="J1022" s="205"/>
      <c r="K1022" s="19"/>
      <c r="L1022" s="19" t="str" cm="1">
        <f t="array" ref="L1022">IF($A1022="","",_xlfn.LET(_xlpm.stat,CHOOSE({1,2,3,4,5},$P1022,$T1022,$X1022,$AB1022,$AF1022),_xlpm.rate,CHOOSE({1,2,3,4,5},$R1022,$V1022,$Z1022,$AD1022,$AH1022),_xlpm.trn,CHOOSE({1,2,3,4,5},$S1022,$W1022,$AA1022,$AE1022,$AI1022),_xlpm.nsC,SUMPRODUCT(--(_xlpm.stat="Ready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DLR",IF(AND(_xlpm.actRS&gt;0,_xlpm.actDone&lt;_xlpm.actRS),"Training",IF(_xlpm.actRS&gt;0,"Active",IF(AND(_xlpm.decC&gt;0,_xlpm.inPlay+_xlpm.actC=0),"Dead",IF(AND($AJ1022&lt;&gt;"",$AK1022=FALSE),"Waiting on Dealer",IF(_xlpm.subC&gt;0,"Waiting on Lender",IF(AND(_xlpm.appC+_xlpm.actC&gt;0,_xlpm.nsC+_xlpm.wdC=0),"Rate Sheet","Application Submitted")))))))))</f>
        <v/>
      </c>
      <c r="M1022" s="19"/>
      <c r="N1022" s="19"/>
      <c r="O1022" s="198"/>
      <c r="P1022" s="19" t="str">
        <f>IF($A1022="","",IF($AK1022=TRUE,"Ready 2 Submit","Waiting on Dealer"))</f>
        <v/>
      </c>
      <c r="Q1022" s="149"/>
      <c r="R1022" s="19"/>
      <c r="S1022" s="19"/>
      <c r="T1022" s="19" t="str">
        <f>IF($A1022="","",IF($AK1022=TRUE,"Ready 2 Submit","Waiting on Dealer"))</f>
        <v/>
      </c>
      <c r="U1022" s="149"/>
      <c r="V1022" s="19"/>
      <c r="W1022" s="19"/>
      <c r="X1022" s="19" t="str">
        <f>IF($A1022="","",IF($AK1022=TRUE,"Ready 2 Submit","Waiting on Dealer"))</f>
        <v/>
      </c>
      <c r="Y1022" s="149"/>
      <c r="Z1022" s="19"/>
      <c r="AA1022" s="19"/>
      <c r="AB1022" s="19" t="str">
        <f>IF($A1022="","",IF($AK1022=TRUE,"Ready 2 Submit","Waiting on Dealer"))</f>
        <v/>
      </c>
      <c r="AC1022" s="149"/>
      <c r="AD1022" s="19"/>
      <c r="AE1022" s="19"/>
      <c r="AF1022" s="19" t="str">
        <f>IF($A1022="","",IF($AK1022=TRUE,"Ready 2 Submit","Waiting on Dealer"))</f>
        <v/>
      </c>
      <c r="AG1022" s="149"/>
      <c r="AH1022" s="19"/>
      <c r="AI1022" s="19"/>
      <c r="AJ1022" s="198"/>
      <c r="AK1022" s="24" t="b">
        <v>0</v>
      </c>
      <c r="AL1022" s="19" t="str" cm="1">
        <f t="array" ref="AL1022">IF($A1022="","",SUMPRODUCT((CHOOSE({1,2,3,4,5},$R1022,$V1022,$Z1022,$AD1022,$AH1022)="Yes")*(((CHOOSE({1,2,3,4,5},$S1022,$W1022,$AA1022,$AE1022,$AI1022)="Yes")+(CHOOSE({1,2,3,4,5},$S1022,$W1022,$AA1022,$AE1022,$AI1022)=TRUE))&gt;0)))</f>
        <v/>
      </c>
      <c r="AM1022" s="19"/>
      <c r="AN1022" s="19" t="str">
        <f ca="1">IF(OR($A1022="",$AM1022=""),"",TODAY()-$AM1022)</f>
        <v/>
      </c>
      <c r="AO1022" s="19"/>
      <c r="AP1022" s="13"/>
      <c r="AQ1022" s="13"/>
      <c r="AR1022" s="13"/>
      <c r="AS1022" s="13"/>
      <c r="AT1022" s="13"/>
      <c r="AU1022" s="13"/>
      <c r="AV1022" s="13"/>
      <c r="AW1022" s="13"/>
      <c r="AX1022" s="13"/>
      <c r="AY1022" s="13"/>
    </row>
    <row r="1023" spans="1:51" s="20" customFormat="1" ht="21" customHeight="1">
      <c r="A1023" s="198"/>
      <c r="B1023" s="19"/>
      <c r="C1023" s="19"/>
      <c r="D1023" s="202"/>
      <c r="E1023" s="14"/>
      <c r="F1023" s="202"/>
      <c r="G1023" s="19"/>
      <c r="H1023" s="198"/>
      <c r="I1023" s="22"/>
      <c r="J1023" s="205"/>
      <c r="K1023" s="19"/>
      <c r="L1023" s="19" t="str" cm="1">
        <f t="array" ref="L1023">IF($A1023="","",_xlfn.LET(_xlpm.stat,CHOOSE({1,2,3,4,5},$P1023,$T1023,$X1023,$AB1023,$AF1023),_xlpm.rate,CHOOSE({1,2,3,4,5},$R1023,$V1023,$Z1023,$AD1023,$AH1023),_xlpm.trn,CHOOSE({1,2,3,4,5},$S1023,$W1023,$AA1023,$AE1023,$AI1023),_xlpm.nsC,SUMPRODUCT(--(_xlpm.stat="Ready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DLR",IF(AND(_xlpm.actRS&gt;0,_xlpm.actDone&lt;_xlpm.actRS),"Training",IF(_xlpm.actRS&gt;0,"Active",IF(AND(_xlpm.decC&gt;0,_xlpm.inPlay+_xlpm.actC=0),"Dead",IF(AND($AJ1023&lt;&gt;"",$AK1023=FALSE),"Waiting on Dealer",IF(_xlpm.subC&gt;0,"Waiting on Lender",IF(AND(_xlpm.appC+_xlpm.actC&gt;0,_xlpm.nsC+_xlpm.wdC=0),"Rate Sheet","Application Submitted")))))))))</f>
        <v/>
      </c>
      <c r="M1023" s="19"/>
      <c r="N1023" s="19"/>
      <c r="O1023" s="198"/>
      <c r="P1023" s="19" t="str">
        <f>IF($A1023="","",IF($AK1023=TRUE,"Ready 2 Submit","Waiting on Dealer"))</f>
        <v/>
      </c>
      <c r="Q1023" s="149"/>
      <c r="R1023" s="19"/>
      <c r="S1023" s="19"/>
      <c r="T1023" s="19" t="str">
        <f>IF($A1023="","",IF($AK1023=TRUE,"Ready 2 Submit","Waiting on Dealer"))</f>
        <v/>
      </c>
      <c r="U1023" s="149"/>
      <c r="V1023" s="19"/>
      <c r="W1023" s="19"/>
      <c r="X1023" s="19" t="str">
        <f>IF($A1023="","",IF($AK1023=TRUE,"Ready 2 Submit","Waiting on Dealer"))</f>
        <v/>
      </c>
      <c r="Y1023" s="149"/>
      <c r="Z1023" s="19"/>
      <c r="AA1023" s="19"/>
      <c r="AB1023" s="19" t="str">
        <f>IF($A1023="","",IF($AK1023=TRUE,"Ready 2 Submit","Waiting on Dealer"))</f>
        <v/>
      </c>
      <c r="AC1023" s="149"/>
      <c r="AD1023" s="19"/>
      <c r="AE1023" s="19"/>
      <c r="AF1023" s="19" t="str">
        <f>IF($A1023="","",IF($AK1023=TRUE,"Ready 2 Submit","Waiting on Dealer"))</f>
        <v/>
      </c>
      <c r="AG1023" s="149"/>
      <c r="AH1023" s="19"/>
      <c r="AI1023" s="19"/>
      <c r="AJ1023" s="198"/>
      <c r="AK1023" s="24" t="b">
        <v>0</v>
      </c>
      <c r="AL1023" s="19" t="str" cm="1">
        <f t="array" ref="AL1023">IF($A1023="","",SUMPRODUCT((CHOOSE({1,2,3,4,5},$R1023,$V1023,$Z1023,$AD1023,$AH1023)="Yes")*(((CHOOSE({1,2,3,4,5},$S1023,$W1023,$AA1023,$AE1023,$AI1023)="Yes")+(CHOOSE({1,2,3,4,5},$S1023,$W1023,$AA1023,$AE1023,$AI1023)=TRUE))&gt;0)))</f>
        <v/>
      </c>
      <c r="AM1023" s="19"/>
      <c r="AN1023" s="19" t="str">
        <f ca="1">IF(OR($A1023="",$AM1023=""),"",TODAY()-$AM1023)</f>
        <v/>
      </c>
      <c r="AO1023" s="19"/>
      <c r="AP1023" s="13"/>
      <c r="AQ1023" s="13"/>
      <c r="AR1023" s="13"/>
      <c r="AS1023" s="13"/>
      <c r="AT1023" s="13"/>
      <c r="AU1023" s="13"/>
      <c r="AV1023" s="13"/>
      <c r="AW1023" s="13"/>
      <c r="AX1023" s="13"/>
      <c r="AY1023" s="13"/>
    </row>
    <row r="1024" spans="1:51" s="20" customFormat="1" ht="21" customHeight="1">
      <c r="A1024" s="198"/>
      <c r="B1024" s="19"/>
      <c r="C1024" s="19"/>
      <c r="D1024" s="202"/>
      <c r="E1024" s="14"/>
      <c r="F1024" s="202"/>
      <c r="G1024" s="19"/>
      <c r="H1024" s="198"/>
      <c r="I1024" s="22"/>
      <c r="J1024" s="205"/>
      <c r="K1024" s="19"/>
      <c r="L1024" s="19" t="str" cm="1">
        <f t="array" ref="L1024">IF($A1024="","",_xlfn.LET(_xlpm.stat,CHOOSE({1,2,3,4,5},$P1024,$T1024,$X1024,$AB1024,$AF1024),_xlpm.rate,CHOOSE({1,2,3,4,5},$R1024,$V1024,$Z1024,$AD1024,$AH1024),_xlpm.trn,CHOOSE({1,2,3,4,5},$S1024,$W1024,$AA1024,$AE1024,$AI1024),_xlpm.nsC,SUMPRODUCT(--(_xlpm.stat="Ready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DLR",IF(AND(_xlpm.actRS&gt;0,_xlpm.actDone&lt;_xlpm.actRS),"Training",IF(_xlpm.actRS&gt;0,"Active",IF(AND(_xlpm.decC&gt;0,_xlpm.inPlay+_xlpm.actC=0),"Dead",IF(AND($AJ1024&lt;&gt;"",$AK1024=FALSE),"Waiting on Dealer",IF(_xlpm.subC&gt;0,"Waiting on Lender",IF(AND(_xlpm.appC+_xlpm.actC&gt;0,_xlpm.nsC+_xlpm.wdC=0),"Rate Sheet","Application Submitted")))))))))</f>
        <v/>
      </c>
      <c r="M1024" s="19"/>
      <c r="N1024" s="19"/>
      <c r="O1024" s="198"/>
      <c r="P1024" s="19" t="str">
        <f>IF($A1024="","",IF($AK1024=TRUE,"Ready 2 Submit","Waiting on Dealer"))</f>
        <v/>
      </c>
      <c r="Q1024" s="149"/>
      <c r="R1024" s="19"/>
      <c r="S1024" s="19"/>
      <c r="T1024" s="19" t="str">
        <f>IF($A1024="","",IF($AK1024=TRUE,"Ready 2 Submit","Waiting on Dealer"))</f>
        <v/>
      </c>
      <c r="U1024" s="149"/>
      <c r="V1024" s="19"/>
      <c r="W1024" s="19"/>
      <c r="X1024" s="19" t="str">
        <f>IF($A1024="","",IF($AK1024=TRUE,"Ready 2 Submit","Waiting on Dealer"))</f>
        <v/>
      </c>
      <c r="Y1024" s="149"/>
      <c r="Z1024" s="19"/>
      <c r="AA1024" s="19"/>
      <c r="AB1024" s="19" t="str">
        <f>IF($A1024="","",IF($AK1024=TRUE,"Ready 2 Submit","Waiting on Dealer"))</f>
        <v/>
      </c>
      <c r="AC1024" s="149"/>
      <c r="AD1024" s="19"/>
      <c r="AE1024" s="19"/>
      <c r="AF1024" s="19" t="str">
        <f>IF($A1024="","",IF($AK1024=TRUE,"Ready 2 Submit","Waiting on Dealer"))</f>
        <v/>
      </c>
      <c r="AG1024" s="149"/>
      <c r="AH1024" s="19"/>
      <c r="AI1024" s="19"/>
      <c r="AJ1024" s="198"/>
      <c r="AK1024" s="24" t="b">
        <v>0</v>
      </c>
      <c r="AL1024" s="19" t="str" cm="1">
        <f t="array" ref="AL1024">IF($A1024="","",SUMPRODUCT((CHOOSE({1,2,3,4,5},$R1024,$V1024,$Z1024,$AD1024,$AH1024)="Yes")*(((CHOOSE({1,2,3,4,5},$S1024,$W1024,$AA1024,$AE1024,$AI1024)="Yes")+(CHOOSE({1,2,3,4,5},$S1024,$W1024,$AA1024,$AE1024,$AI1024)=TRUE))&gt;0)))</f>
        <v/>
      </c>
      <c r="AM1024" s="19"/>
      <c r="AN1024" s="19" t="str">
        <f ca="1">IF(OR($A1024="",$AM1024=""),"",TODAY()-$AM1024)</f>
        <v/>
      </c>
      <c r="AO1024" s="19"/>
      <c r="AP1024" s="13"/>
      <c r="AQ1024" s="13"/>
      <c r="AR1024" s="13"/>
      <c r="AS1024" s="13"/>
      <c r="AT1024" s="13"/>
      <c r="AU1024" s="13"/>
      <c r="AV1024" s="13"/>
      <c r="AW1024" s="13"/>
      <c r="AX1024" s="13"/>
      <c r="AY1024" s="13"/>
    </row>
    <row r="1025" spans="1:51" s="20" customFormat="1" ht="21" customHeight="1">
      <c r="A1025" s="198"/>
      <c r="B1025" s="19"/>
      <c r="C1025" s="19"/>
      <c r="D1025" s="202"/>
      <c r="E1025" s="14"/>
      <c r="F1025" s="202"/>
      <c r="G1025" s="19"/>
      <c r="H1025" s="198"/>
      <c r="I1025" s="22"/>
      <c r="J1025" s="205"/>
      <c r="K1025" s="19"/>
      <c r="L1025" s="19" t="str" cm="1">
        <f t="array" ref="L1025">IF($A1025="","",_xlfn.LET(_xlpm.stat,CHOOSE({1,2,3,4,5},$P1025,$T1025,$X1025,$AB1025,$AF1025),_xlpm.rate,CHOOSE({1,2,3,4,5},$R1025,$V1025,$Z1025,$AD1025,$AH1025),_xlpm.trn,CHOOSE({1,2,3,4,5},$S1025,$W1025,$AA1025,$AE1025,$AI1025),_xlpm.nsC,SUMPRODUCT(--(_xlpm.stat="Ready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DLR",IF(AND(_xlpm.actRS&gt;0,_xlpm.actDone&lt;_xlpm.actRS),"Training",IF(_xlpm.actRS&gt;0,"Active",IF(AND(_xlpm.decC&gt;0,_xlpm.inPlay+_xlpm.actC=0),"Dead",IF(AND($AJ1025&lt;&gt;"",$AK1025=FALSE),"Waiting on Dealer",IF(_xlpm.subC&gt;0,"Waiting on Lender",IF(AND(_xlpm.appC+_xlpm.actC&gt;0,_xlpm.nsC+_xlpm.wdC=0),"Rate Sheet","Application Submitted")))))))))</f>
        <v/>
      </c>
      <c r="M1025" s="19"/>
      <c r="N1025" s="19"/>
      <c r="O1025" s="198"/>
      <c r="P1025" s="19" t="str">
        <f>IF($A1025="","",IF($AK1025=TRUE,"Ready 2 Submit","Waiting on Dealer"))</f>
        <v/>
      </c>
      <c r="Q1025" s="149"/>
      <c r="R1025" s="19"/>
      <c r="S1025" s="19"/>
      <c r="T1025" s="19" t="str">
        <f>IF($A1025="","",IF($AK1025=TRUE,"Ready 2 Submit","Waiting on Dealer"))</f>
        <v/>
      </c>
      <c r="U1025" s="149"/>
      <c r="V1025" s="19"/>
      <c r="W1025" s="19"/>
      <c r="X1025" s="19" t="str">
        <f>IF($A1025="","",IF($AK1025=TRUE,"Ready 2 Submit","Waiting on Dealer"))</f>
        <v/>
      </c>
      <c r="Y1025" s="149"/>
      <c r="Z1025" s="19"/>
      <c r="AA1025" s="19"/>
      <c r="AB1025" s="19" t="str">
        <f>IF($A1025="","",IF($AK1025=TRUE,"Ready 2 Submit","Waiting on Dealer"))</f>
        <v/>
      </c>
      <c r="AC1025" s="149"/>
      <c r="AD1025" s="19"/>
      <c r="AE1025" s="19"/>
      <c r="AF1025" s="19" t="str">
        <f>IF($A1025="","",IF($AK1025=TRUE,"Ready 2 Submit","Waiting on Dealer"))</f>
        <v/>
      </c>
      <c r="AG1025" s="149"/>
      <c r="AH1025" s="19"/>
      <c r="AI1025" s="19"/>
      <c r="AJ1025" s="198"/>
      <c r="AK1025" s="24" t="b">
        <v>0</v>
      </c>
      <c r="AL1025" s="19" t="str" cm="1">
        <f t="array" ref="AL1025">IF($A1025="","",SUMPRODUCT((CHOOSE({1,2,3,4,5},$R1025,$V1025,$Z1025,$AD1025,$AH1025)="Yes")*(((CHOOSE({1,2,3,4,5},$S1025,$W1025,$AA1025,$AE1025,$AI1025)="Yes")+(CHOOSE({1,2,3,4,5},$S1025,$W1025,$AA1025,$AE1025,$AI1025)=TRUE))&gt;0)))</f>
        <v/>
      </c>
      <c r="AM1025" s="19"/>
      <c r="AN1025" s="19" t="str">
        <f ca="1">IF(OR($A1025="",$AM1025=""),"",TODAY()-$AM1025)</f>
        <v/>
      </c>
      <c r="AO1025" s="19"/>
      <c r="AP1025" s="13"/>
      <c r="AQ1025" s="13"/>
      <c r="AR1025" s="13"/>
      <c r="AS1025" s="13"/>
      <c r="AT1025" s="13"/>
      <c r="AU1025" s="13"/>
      <c r="AV1025" s="13"/>
      <c r="AW1025" s="13"/>
      <c r="AX1025" s="13"/>
      <c r="AY1025" s="13"/>
    </row>
    <row r="1026" spans="1:51" s="20" customFormat="1" ht="21" customHeight="1">
      <c r="A1026" s="198"/>
      <c r="B1026" s="19"/>
      <c r="C1026" s="19"/>
      <c r="D1026" s="202"/>
      <c r="E1026" s="14"/>
      <c r="F1026" s="202"/>
      <c r="G1026" s="19"/>
      <c r="H1026" s="198"/>
      <c r="I1026" s="22"/>
      <c r="J1026" s="205"/>
      <c r="K1026" s="19"/>
      <c r="L1026" s="19" t="str" cm="1">
        <f t="array" ref="L1026">IF($A1026="","",_xlfn.LET(_xlpm.stat,CHOOSE({1,2,3,4,5},$P1026,$T1026,$X1026,$AB1026,$AF1026),_xlpm.rate,CHOOSE({1,2,3,4,5},$R1026,$V1026,$Z1026,$AD1026,$AH1026),_xlpm.trn,CHOOSE({1,2,3,4,5},$S1026,$W1026,$AA1026,$AE1026,$AI1026),_xlpm.nsC,SUMPRODUCT(--(_xlpm.stat="Ready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DLR",IF(AND(_xlpm.actRS&gt;0,_xlpm.actDone&lt;_xlpm.actRS),"Training",IF(_xlpm.actRS&gt;0,"Active",IF(AND(_xlpm.decC&gt;0,_xlpm.inPlay+_xlpm.actC=0),"Dead",IF(AND($AJ1026&lt;&gt;"",$AK1026=FALSE),"Waiting on Dealer",IF(_xlpm.subC&gt;0,"Waiting on Lender",IF(AND(_xlpm.appC+_xlpm.actC&gt;0,_xlpm.nsC+_xlpm.wdC=0),"Rate Sheet","Application Submitted")))))))))</f>
        <v/>
      </c>
      <c r="M1026" s="19"/>
      <c r="N1026" s="19"/>
      <c r="O1026" s="198"/>
      <c r="P1026" s="19" t="str">
        <f>IF($A1026="","",IF($AK1026=TRUE,"Ready 2 Submit","Waiting on Dealer"))</f>
        <v/>
      </c>
      <c r="Q1026" s="149"/>
      <c r="R1026" s="19"/>
      <c r="S1026" s="19"/>
      <c r="T1026" s="19" t="str">
        <f>IF($A1026="","",IF($AK1026=TRUE,"Ready 2 Submit","Waiting on Dealer"))</f>
        <v/>
      </c>
      <c r="U1026" s="149"/>
      <c r="V1026" s="19"/>
      <c r="W1026" s="19"/>
      <c r="X1026" s="19" t="str">
        <f>IF($A1026="","",IF($AK1026=TRUE,"Ready 2 Submit","Waiting on Dealer"))</f>
        <v/>
      </c>
      <c r="Y1026" s="149"/>
      <c r="Z1026" s="19"/>
      <c r="AA1026" s="19"/>
      <c r="AB1026" s="19" t="str">
        <f>IF($A1026="","",IF($AK1026=TRUE,"Ready 2 Submit","Waiting on Dealer"))</f>
        <v/>
      </c>
      <c r="AC1026" s="149"/>
      <c r="AD1026" s="19"/>
      <c r="AE1026" s="19"/>
      <c r="AF1026" s="19" t="str">
        <f>IF($A1026="","",IF($AK1026=TRUE,"Ready 2 Submit","Waiting on Dealer"))</f>
        <v/>
      </c>
      <c r="AG1026" s="149"/>
      <c r="AH1026" s="19"/>
      <c r="AI1026" s="19"/>
      <c r="AJ1026" s="198"/>
      <c r="AK1026" s="24" t="b">
        <v>0</v>
      </c>
      <c r="AL1026" s="19" t="str" cm="1">
        <f t="array" ref="AL1026">IF($A1026="","",SUMPRODUCT((CHOOSE({1,2,3,4,5},$R1026,$V1026,$Z1026,$AD1026,$AH1026)="Yes")*(((CHOOSE({1,2,3,4,5},$S1026,$W1026,$AA1026,$AE1026,$AI1026)="Yes")+(CHOOSE({1,2,3,4,5},$S1026,$W1026,$AA1026,$AE1026,$AI1026)=TRUE))&gt;0)))</f>
        <v/>
      </c>
      <c r="AM1026" s="19"/>
      <c r="AN1026" s="19" t="str">
        <f ca="1">IF(OR($A1026="",$AM1026=""),"",TODAY()-$AM1026)</f>
        <v/>
      </c>
      <c r="AO1026" s="19"/>
      <c r="AP1026" s="13"/>
      <c r="AQ1026" s="13"/>
      <c r="AR1026" s="13"/>
      <c r="AS1026" s="13"/>
      <c r="AT1026" s="13"/>
      <c r="AU1026" s="13"/>
      <c r="AV1026" s="13"/>
      <c r="AW1026" s="13"/>
      <c r="AX1026" s="13"/>
      <c r="AY1026" s="13"/>
    </row>
    <row r="1027" spans="1:51" s="20" customFormat="1" ht="21" customHeight="1">
      <c r="A1027" s="198"/>
      <c r="B1027" s="19"/>
      <c r="C1027" s="19"/>
      <c r="D1027" s="202"/>
      <c r="E1027" s="14"/>
      <c r="F1027" s="202"/>
      <c r="G1027" s="19"/>
      <c r="H1027" s="198"/>
      <c r="I1027" s="22"/>
      <c r="J1027" s="205"/>
      <c r="K1027" s="19"/>
      <c r="L1027" s="19" t="str" cm="1">
        <f t="array" ref="L1027">IF($A1027="","",_xlfn.LET(_xlpm.stat,CHOOSE({1,2,3,4,5},$P1027,$T1027,$X1027,$AB1027,$AF1027),_xlpm.rate,CHOOSE({1,2,3,4,5},$R1027,$V1027,$Z1027,$AD1027,$AH1027),_xlpm.trn,CHOOSE({1,2,3,4,5},$S1027,$W1027,$AA1027,$AE1027,$AI1027),_xlpm.nsC,SUMPRODUCT(--(_xlpm.stat="Ready 2 Submit")),_xlpm.wdC,SUMPRODUCT(--(_xlpm.stat="Waiting on Dealer")),_xlpm.subC,SUMPRODUCT(--(_xlpm.stat="Submitted")),_xlpm.appC,SUMPRODUCT(--(_xlpm.stat="Approved")),_xlpm.actC,SUMPRODUCT(--(_xlpm.stat="Active")),_xlpm.decC,SUMPRODUCT(--(_xlpm.stat="Declined")),_xlpm.actRS,SUMPRODUCT((_xlpm.stat="Active")*(_xlpm.rate="Yes")),_xlpm.actDone,SUMPRODUCT((_xlpm.stat="Active")*(_xlpm.rate="Yes")*(((_xlpm.trn="Yes")+(_xlpm.trn=TRUE))&gt;0)),_xlpm.inPlay,_xlpm.nsC+_xlpm.wdC+_xlpm.subC+_xlpm.appC,IF(AND(_xlpm.actC&gt;0,_xlpm.inPlay=0,_xlpm.actDone=_xlpm.actC),"LIVE DLR",IF(AND(_xlpm.actRS&gt;0,_xlpm.actDone&lt;_xlpm.actRS),"Training",IF(_xlpm.actRS&gt;0,"Active",IF(AND(_xlpm.decC&gt;0,_xlpm.inPlay+_xlpm.actC=0),"Dead",IF(AND($AJ1027&lt;&gt;"",$AK1027=FALSE),"Waiting on Dealer",IF(_xlpm.subC&gt;0,"Waiting on Lender",IF(AND(_xlpm.appC+_xlpm.actC&gt;0,_xlpm.nsC+_xlpm.wdC=0),"Rate Sheet","Application Submitted")))))))))</f>
        <v/>
      </c>
      <c r="M1027" s="19"/>
      <c r="N1027" s="19"/>
      <c r="O1027" s="198"/>
      <c r="P1027" s="19" t="str">
        <f>IF($A1027="","",IF($AK1027=TRUE,"Ready 2 Submit","Waiting on Dealer"))</f>
        <v/>
      </c>
      <c r="Q1027" s="149"/>
      <c r="R1027" s="19"/>
      <c r="S1027" s="19"/>
      <c r="T1027" s="19" t="str">
        <f>IF($A1027="","",IF($AK1027=TRUE,"Ready 2 Submit","Waiting on Dealer"))</f>
        <v/>
      </c>
      <c r="U1027" s="149"/>
      <c r="V1027" s="19"/>
      <c r="W1027" s="19"/>
      <c r="X1027" s="19" t="str">
        <f>IF($A1027="","",IF($AK1027=TRUE,"Ready 2 Submit","Waiting on Dealer"))</f>
        <v/>
      </c>
      <c r="Y1027" s="149"/>
      <c r="Z1027" s="19"/>
      <c r="AA1027" s="19"/>
      <c r="AB1027" s="19" t="str">
        <f>IF($A1027="","",IF($AK1027=TRUE,"Ready 2 Submit","Waiting on Dealer"))</f>
        <v/>
      </c>
      <c r="AC1027" s="149"/>
      <c r="AD1027" s="19"/>
      <c r="AE1027" s="19"/>
      <c r="AF1027" s="19" t="str">
        <f>IF($A1027="","",IF($AK1027=TRUE,"Ready 2 Submit","Waiting on Dealer"))</f>
        <v/>
      </c>
      <c r="AG1027" s="149"/>
      <c r="AH1027" s="19"/>
      <c r="AI1027" s="19"/>
      <c r="AJ1027" s="198"/>
      <c r="AK1027" s="24" t="b">
        <v>0</v>
      </c>
      <c r="AL1027" s="19" t="str" cm="1">
        <f t="array" ref="AL1027">IF($A1027="","",SUMPRODUCT((CHOOSE({1,2,3,4,5},$R1027,$V1027,$Z1027,$AD1027,$AH1027)="Yes")*(((CHOOSE({1,2,3,4,5},$S1027,$W1027,$AA1027,$AE1027,$AI1027)="Yes")+(CHOOSE({1,2,3,4,5},$S1027,$W1027,$AA1027,$AE1027,$AI1027)=TRUE))&gt;0)))</f>
        <v/>
      </c>
      <c r="AM1027" s="19"/>
      <c r="AN1027" s="19" t="str">
        <f ca="1">IF(OR($A1027="",$AM1027=""),"",TODAY()-$AM1027)</f>
        <v/>
      </c>
      <c r="AO1027" s="25"/>
      <c r="AP1027" s="17"/>
      <c r="AQ1027" s="17"/>
      <c r="AR1027" s="17"/>
      <c r="AS1027" s="17"/>
      <c r="AT1027" s="17"/>
      <c r="AU1027" s="17"/>
      <c r="AV1027" s="17"/>
      <c r="AW1027" s="17"/>
      <c r="AX1027" s="17"/>
      <c r="AY1027" s="17"/>
    </row>
  </sheetData>
  <conditionalFormatting sqref="A5:A1027 K5:K1027">
    <cfRule type="expression" dxfId="19" priority="16">
      <formula>$K5=1</formula>
    </cfRule>
  </conditionalFormatting>
  <conditionalFormatting sqref="AJ5:AJ43 AJ45:AJ1027 A5:O1027 Q5:Q1027 U5:U1027 Y5:Y1027 AC5:AC1027 AG5:AG1027">
    <cfRule type="expression" dxfId="18" priority="2">
      <formula>$L5="Dead"</formula>
    </cfRule>
  </conditionalFormatting>
  <conditionalFormatting sqref="A5:O1027 Q5:Q1027 U5:U1027 Y5:Y1027 AC5:AC1027 AG5:AG1027">
    <cfRule type="expression" dxfId="17" priority="5">
      <formula>$L5="LIVE DLR"</formula>
    </cfRule>
  </conditionalFormatting>
  <conditionalFormatting sqref="L5:L1027">
    <cfRule type="expression" dxfId="16" priority="12">
      <formula>$L5="Waiting on Dealer"</formula>
    </cfRule>
    <cfRule type="expression" dxfId="15" priority="13">
      <formula>OR($L5="Waiting on Lender",$L5="Application Submitted")</formula>
    </cfRule>
    <cfRule type="expression" dxfId="14" priority="14">
      <formula>OR($L5="Rate Sheet",$L5="Active")</formula>
    </cfRule>
    <cfRule type="expression" dxfId="13" priority="15">
      <formula>$L5="Dead"</formula>
    </cfRule>
    <cfRule type="containsText" dxfId="12" priority="17" operator="containsText" text="LIVE DLR">
      <formula>NOT(ISERROR(SEARCH("LIVE DLR",L5)))</formula>
    </cfRule>
    <cfRule type="containsText" dxfId="11" priority="18" operator="containsText" text="Training">
      <formula>NOT(ISERROR(SEARCH("Training",L5)))</formula>
    </cfRule>
  </conditionalFormatting>
  <conditionalFormatting sqref="AH5:AK43 AH44:AI44 AK44 AH45:AK1027 P5:P1027 R5:T1027 V5:X1027 Z5:AB1027 AD5:AF1027">
    <cfRule type="expression" dxfId="10" priority="6">
      <formula>P5="Ready 2 Submit"</formula>
    </cfRule>
    <cfRule type="expression" dxfId="9" priority="7">
      <formula>P5="Submitted"</formula>
    </cfRule>
    <cfRule type="expression" dxfId="8" priority="9">
      <formula>OR(P5="Approved",P5="Active")</formula>
    </cfRule>
    <cfRule type="expression" dxfId="7" priority="10">
      <formula>P5="Declined"</formula>
    </cfRule>
    <cfRule type="expression" dxfId="6" priority="11">
      <formula>OR(P5="N/A",P5="No Min RQ")</formula>
    </cfRule>
  </conditionalFormatting>
  <conditionalFormatting sqref="AH5:AK43 AH44:AI44 AK44 AH45:AK1027 P5:P1027 R5:T1027 V5:X1027 Z5:AB1027 AD5:AF1027">
    <cfRule type="expression" dxfId="5" priority="4">
      <formula>P5="Yes"</formula>
    </cfRule>
  </conditionalFormatting>
  <conditionalFormatting sqref="AJ5:AJ43 AJ45:AJ1027">
    <cfRule type="expression" dxfId="4" priority="19">
      <formula>$AK5=TRUE</formula>
    </cfRule>
  </conditionalFormatting>
  <conditionalFormatting sqref="AK5:AZ10 AQ15:AS15 AU15:AZ15 AK16:AZ20 AK21:AO21 AQ21:AZ21 AK22:AZ32 AK33:AO33 AQ33:AZ33 AK14:AO15 AR14:AZ14 AK12:AZ13 AK11:AO11 AQ11:AZ11 AK34:AZ1027 P5:P1027 R5:T1027 V5:X1027 Z5:AB1027 AD5:AF1027 AH5:AI1027">
    <cfRule type="expression" dxfId="3" priority="1">
      <formula>AND($L5="Dead",XEY5&lt;&gt;"Ready 2 Submit",XEY5&lt;&gt;"Submitted",XEY5&lt;&gt;"Approved",XEY5&lt;&gt;"Active",XEY5&lt;&gt;"Declined",XEY5&lt;&gt;"N/A",XEY5&lt;&gt;"No Min RQ")</formula>
    </cfRule>
    <cfRule type="expression" dxfId="2" priority="3">
      <formula>AND($L5="LIVE DLR",XEY5&lt;&gt;"Ready 2 Submit",XEY5&lt;&gt;"Submitted",XEY5&lt;&gt;"Approved",XEY5&lt;&gt;"Active",XEY5&lt;&gt;"Declined",XEY5&lt;&gt;"N/A",XEY5&lt;&gt;"No Min RQ")</formula>
    </cfRule>
  </conditionalFormatting>
  <conditionalFormatting sqref="AN5:AN1027">
    <cfRule type="expression" dxfId="1" priority="20">
      <formula>AND($AN5&lt;&gt;"",$AN5&gt;3,$L5&lt;&gt;"Active",$L5&lt;&gt;"Dead")</formula>
    </cfRule>
  </conditionalFormatting>
  <conditionalFormatting sqref="P5:P1027 T5:T1027 X5:X1027 AB5:AB1027 AF5:AF1027">
    <cfRule type="expression" dxfId="0" priority="8">
      <formula>P5="Waiting on Dealer"</formula>
    </cfRule>
  </conditionalFormatting>
  <dataValidations count="9">
    <dataValidation allowBlank="1" showInputMessage="1" showErrorMessage="1" sqref="AK5:AK1028 L5:L1027" xr:uid="{B4C97F17-C120-4498-8D55-DA54EC05FA5A}"/>
    <dataValidation type="list" allowBlank="1" showInputMessage="1" showErrorMessage="1" sqref="P5:P1027 T5:T1027 X5:X1027 AB5:AB1027 AF5:AF1027" xr:uid="{7EF5B384-3CB0-4E8D-8413-4AD001B2202C}">
      <formula1>"Waiting on Dealer,Ready 2 Submit,Submitted,Approved,Active,Declined,No Min RQ,N/A"</formula1>
    </dataValidation>
    <dataValidation type="list" allowBlank="1" sqref="S5:S1027 AE5:AE1027 AA5:AA1027 W5:W1027 AI5:AI1027 AJ5:AJ43 AJ45:AJ1027" xr:uid="{52962E88-0BA8-46CE-A367-B03D54DCB615}">
      <formula1>"Yes,No"</formula1>
    </dataValidation>
    <dataValidation type="list" allowBlank="1" showInputMessage="1" sqref="I5:J997" xr:uid="{576ED38C-EBAC-4A11-938E-3D5B55FDBF88}">
      <formula1>"Roofing,HVAC,Fencing,Windows &amp; Doors,Landscaping,Painting,Hardscaping,Flooring,Turf,Water Treatment,Electronic Shades &amp; Home Theaters,Solar,Construction,Excavation,Insulation,Other"</formula1>
    </dataValidation>
    <dataValidation type="list" allowBlank="1" showInputMessage="1" showErrorMessage="1" sqref="K5:K1027" xr:uid="{31C9779E-61EB-4CA4-8064-F97FC2E7035E}">
      <formula1>"1,2,3"</formula1>
    </dataValidation>
    <dataValidation type="list" allowBlank="1" sqref="R5:R1027 AH5:AH1027 AD5:AD1027 Z5:Z1027 V5:V1027" xr:uid="{8D7F01DA-81C2-4B77-BE3E-E76B4D5B481D}">
      <formula1>"Yes,No,N/A"</formula1>
    </dataValidation>
    <dataValidation type="list" allowBlank="1" showInputMessage="1" showErrorMessage="1" sqref="L1028:L1048576 L1 L4" xr:uid="{3EA88DB9-4207-46C8-B5BF-E002C99EBC71}">
      <formula1>"Not Started,In Process,Waiting on Dealer,Waiting on Lender,Active,Complete,Declined,Dead/Inactive,Applications"</formula1>
    </dataValidation>
    <dataValidation type="list" allowBlank="1" sqref="R1028:S1028 V1028:W1028 Z1028:AA1028 AD1028:AE1028 AH1028:AJ1028" xr:uid="{16503791-AC93-4020-8BBE-78F4B3F6129B}">
      <formula1>"Yes,No"</formula1>
      <formula2>0</formula2>
    </dataValidation>
    <dataValidation type="list" allowBlank="1" sqref="AB1028 P1028 T1028 X1028 AF1028" xr:uid="{61778E7E-26AA-43F9-9A3A-04BD93E1098F}">
      <formula1>"Not Started,Submitted,Approved,Active,Declined,N/A,Pending - verify"</formula1>
      <formula2>0</formula2>
    </dataValidation>
  </dataValidations>
  <hyperlinks>
    <hyperlink ref="F8" r:id="rId1" xr:uid="{99C77263-4B46-4903-A35D-D0EFA3DD720A}"/>
    <hyperlink ref="F9" r:id="rId2" xr:uid="{0742FFF1-5A8E-4A2A-B16A-5A53D575FA80}"/>
    <hyperlink ref="F10" r:id="rId3" xr:uid="{3DDE9A02-2EEC-46AD-A1C7-D57B811CA86B}"/>
    <hyperlink ref="H33" r:id="rId4" xr:uid="{65B33AFE-A40B-4C73-8B7E-03B8B23E0F56}"/>
    <hyperlink ref="F5" r:id="rId5" xr:uid="{4048D647-BE18-467E-B9BF-4DDC0215BB40}"/>
    <hyperlink ref="H5" r:id="rId6" xr:uid="{822E88DB-1D75-4F7F-8240-615CBD2E46B1}"/>
    <hyperlink ref="F6" r:id="rId7" xr:uid="{ED865454-CDB1-4E67-91E9-2BBC28A29799}"/>
    <hyperlink ref="H6" r:id="rId8" xr:uid="{A0107D8E-6255-4B21-ABB0-95A922235881}"/>
    <hyperlink ref="F7" r:id="rId9" xr:uid="{5DE61F2B-0F16-401B-87FC-50EF3E417716}"/>
    <hyperlink ref="H7" r:id="rId10" xr:uid="{B0436A6F-46C7-4536-88F3-E9EE4E022FCD}"/>
    <hyperlink ref="H8" r:id="rId11" xr:uid="{12A1214D-43C2-4A25-B016-DF88F070D9D5}"/>
    <hyperlink ref="H9" r:id="rId12" xr:uid="{9E233CA6-E255-4450-A325-E45A8F1708FD}"/>
    <hyperlink ref="H10" r:id="rId13" xr:uid="{166BE95B-3687-4F5A-AFB5-E04A5178C706}"/>
    <hyperlink ref="F11" r:id="rId14" xr:uid="{C965F6F9-8CDF-4ECC-9034-AC7D8006F38A}"/>
    <hyperlink ref="H11" r:id="rId15" xr:uid="{5A4B6471-41BC-49B7-B095-C767FA3D54B0}"/>
    <hyperlink ref="F12" r:id="rId16" xr:uid="{006ABCBB-5D15-4228-96BA-2A18A2C2758C}"/>
    <hyperlink ref="H12" r:id="rId17" xr:uid="{39AC59D6-21EE-4554-8734-29B2DC463659}"/>
    <hyperlink ref="F13" r:id="rId18" xr:uid="{8BBAE301-9507-49A6-B128-CE84C4775558}"/>
    <hyperlink ref="H13" r:id="rId19" xr:uid="{63BB481E-A57F-40D1-A6AE-7820B28D2ED5}"/>
    <hyperlink ref="F14" r:id="rId20" xr:uid="{DA5172BF-56DA-41BA-A033-00B3429F3F07}"/>
    <hyperlink ref="H14" r:id="rId21" xr:uid="{4E0ECE9F-CECA-495F-A74C-5A611937754A}"/>
    <hyperlink ref="F15" r:id="rId22" xr:uid="{98EC9B8E-2409-43B6-8515-3390DCF5462F}"/>
    <hyperlink ref="H15" r:id="rId23" xr:uid="{617A278A-6341-480C-83BC-1CA5369D96C3}"/>
    <hyperlink ref="F16" r:id="rId24" xr:uid="{3AFAD74A-5F8B-42F6-AFCD-F8C877906B69}"/>
    <hyperlink ref="H16" r:id="rId25" xr:uid="{59675B64-81EF-47FD-B56F-E7255EEE4394}"/>
    <hyperlink ref="F17" r:id="rId26" xr:uid="{5F4DE724-E231-4EF1-9753-BF887271C9B6}"/>
    <hyperlink ref="H17" r:id="rId27" xr:uid="{A4399B3D-3A9A-4602-972D-CB1984582FAA}"/>
    <hyperlink ref="F18" r:id="rId28" xr:uid="{C302CAD0-C3B1-47EA-BA2F-30E4B6F959C8}"/>
    <hyperlink ref="H18" r:id="rId29" xr:uid="{492A5C9C-810E-4166-AD93-50F4661C0D2E}"/>
    <hyperlink ref="F19" r:id="rId30" xr:uid="{30A15C07-379F-4C50-B024-A0F331916240}"/>
    <hyperlink ref="H19" r:id="rId31" xr:uid="{82FCA14C-9C16-4F29-8CF9-7B8AE79F8ECB}"/>
    <hyperlink ref="F20" r:id="rId32" xr:uid="{85567E55-93EB-4271-BB36-30DC9E0FE31F}"/>
    <hyperlink ref="H20" r:id="rId33" xr:uid="{0ECA700D-856C-42A9-8BA4-0103A1DF3836}"/>
    <hyperlink ref="F21" r:id="rId34" xr:uid="{089C49BB-9AA3-473F-A4B8-F9C3A2FE2B26}"/>
    <hyperlink ref="H21" r:id="rId35" xr:uid="{7270E20A-D68D-4CD2-96E5-23E59D512AE1}"/>
    <hyperlink ref="F22" r:id="rId36" xr:uid="{E82DC0BE-B8DA-4F59-9CB3-A86955EF0C83}"/>
    <hyperlink ref="H22" r:id="rId37" xr:uid="{1046849E-026F-4657-B636-57DEF1219064}"/>
    <hyperlink ref="F23" r:id="rId38" xr:uid="{C6E79B1B-656D-4E48-BAC3-CAD7BA9D4A3C}"/>
    <hyperlink ref="H23" r:id="rId39" xr:uid="{615D5112-A69B-49BB-9F2B-18FBB62B7E90}"/>
    <hyperlink ref="F24" r:id="rId40" xr:uid="{753B1C60-B792-48AC-8BEB-729F6762DF91}"/>
    <hyperlink ref="H24" r:id="rId41" xr:uid="{CC24BEF7-8DDF-43B4-A0F7-F6CD9246AC74}"/>
    <hyperlink ref="F25" r:id="rId42" xr:uid="{0942FA65-C88D-4D48-AF01-F04B67EC9553}"/>
    <hyperlink ref="H25" r:id="rId43" xr:uid="{1B4D4E5F-25F2-43F5-ADF2-540A84B00753}"/>
    <hyperlink ref="F26" r:id="rId44" xr:uid="{A4294E16-10D8-4DF7-879B-56EA726AFB8E}"/>
    <hyperlink ref="H26" r:id="rId45" xr:uid="{31059828-F9C3-4A14-968E-ECA9ACE3A009}"/>
    <hyperlink ref="F28" r:id="rId46" xr:uid="{77D91785-0795-406E-84EE-B61EACB80903}"/>
    <hyperlink ref="H28" r:id="rId47" xr:uid="{48EF0F06-660A-4F24-B36C-B21F7EFC66FA}"/>
    <hyperlink ref="F29" r:id="rId48" xr:uid="{68DF7FE8-8F0F-4076-89FE-8A85058629D6}"/>
    <hyperlink ref="H29" r:id="rId49" xr:uid="{837E7C9E-B90E-44AB-8432-4CCA98BEECB2}"/>
    <hyperlink ref="F30" r:id="rId50" xr:uid="{05E25871-61C2-4879-B2A8-8C7E540D84F0}"/>
    <hyperlink ref="H30" r:id="rId51" xr:uid="{E0961164-BEF7-489E-B568-01C77EA60890}"/>
    <hyperlink ref="H31" r:id="rId52" xr:uid="{90D2EDC5-8A00-41EE-BA09-49063E0345B3}"/>
    <hyperlink ref="F32" r:id="rId53" xr:uid="{80E353D2-D376-402C-B0CD-255E3A64B057}"/>
    <hyperlink ref="H32" r:id="rId54" xr:uid="{16BA8A69-C68E-43B4-A6F4-32356C0E4733}"/>
    <hyperlink ref="F27" r:id="rId55" xr:uid="{76BFFD03-0834-4B39-B47C-CC34E8D1529E}"/>
    <hyperlink ref="H27" r:id="rId56" xr:uid="{A8B1653A-C85A-4AC0-BC25-149D4EB9C546}"/>
    <hyperlink ref="F33" r:id="rId57" xr:uid="{A6006BF8-DD9A-4B34-9C53-C84927C69172}"/>
    <hyperlink ref="H34" r:id="rId58" xr:uid="{57AFC661-F8AC-4A35-B085-8AFEC38A2A7A}"/>
    <hyperlink ref="AR11" r:id="rId59" xr:uid="{11681263-14AB-443E-9240-C4B12AAC5198}"/>
    <hyperlink ref="F37" r:id="rId60" xr:uid="{34649D87-E82D-4AB2-8CEB-54167A596A49}"/>
    <hyperlink ref="F39" r:id="rId61" xr:uid="{1E7561A3-B280-4B98-A07B-8DC8CB7DE0F0}"/>
    <hyperlink ref="AR5" r:id="rId62" xr:uid="{8692A89D-A569-49DA-A94C-BD71A6D611A5}"/>
    <hyperlink ref="AR8" r:id="rId63" xr:uid="{2A610F83-B322-4248-AFEE-34AA9B9AE754}"/>
    <hyperlink ref="AR9" r:id="rId64" xr:uid="{C5357E88-FEA2-42B7-BBE3-F367CD112281}"/>
    <hyperlink ref="AR21" r:id="rId65" xr:uid="{BE42AC95-1F34-416F-85B2-B61E2E438EDC}"/>
    <hyperlink ref="AR14" r:id="rId66" xr:uid="{98DE2B4D-D3AE-4AD5-B8FB-A4080DC399BB}"/>
  </hyperlinks>
  <pageMargins left="0.75" right="0.75" top="1" bottom="1" header="0.511811023622047" footer="0.511811023622047"/>
  <pageSetup paperSize="9" orientation="portrait" horizontalDpi="300" verticalDpi="300"/>
  <drawing r:id="rId67"/>
  <legacyDrawing r:id="rId68"/>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B70F8"/>
  </sheetPr>
  <dimension ref="A1:O40"/>
  <sheetViews>
    <sheetView workbookViewId="0">
      <pane ySplit="4" topLeftCell="A5" activePane="bottomLeft" state="frozen"/>
      <selection pane="bottomLeft" activeCell="A5" sqref="A5"/>
    </sheetView>
  </sheetViews>
  <sheetFormatPr defaultRowHeight="15"/>
  <cols>
    <col min="1" max="1" width="22" customWidth="1"/>
    <col min="2" max="2" width="38" customWidth="1"/>
    <col min="3" max="3" width="28" customWidth="1"/>
    <col min="4" max="4" width="12" customWidth="1"/>
    <col min="5" max="6" width="22" customWidth="1"/>
    <col min="7" max="7" width="62" customWidth="1"/>
    <col min="8" max="8" width="42" customWidth="1"/>
    <col min="9" max="10" width="18" customWidth="1"/>
    <col min="11" max="15" width="18" customWidth="1"/>
  </cols>
  <sheetData>
    <row r="1" ht="22" customHeight="1">
      <c r="A1" s="189" t="inlineStr">
        <is>
          <t>EVAN ALL</t>
        </is>
      </c>
      <c r="C1" s="131">
        <f>COUNTIF('Dealer Master'!$A$5:$A$1021,"?*")&amp;" dealers"</f>
      </c>
    </row>
    <row r="2" ht="48" customHeight="1">
      <c r="A2" t="inlineStr">
        <is>
          <t>Full board. Every dealer with a legal name, including Unassigned. Sorted by Finti Owner, then Priority (blank priority sorts last), then name. Evan Mine is the Evan Young slice. This view is the whole board.</t>
        </is>
      </c>
    </row>
    <row r="4" ht="30" customHeight="1">
      <c r="A4" s="189" t="inlineStr">
        <is>
          <t>Finti Owner</t>
        </is>
      </c>
      <c r="B4" s="189" t="inlineStr">
        <is>
          <t>Legal Business Name</t>
        </is>
      </c>
      <c r="C4" s="189" t="inlineStr">
        <is>
          <t>DBA</t>
        </is>
      </c>
      <c r="D4" s="189" t="inlineStr">
        <is>
          <t>Priority</t>
        </is>
      </c>
      <c r="E4" s="189" t="inlineStr">
        <is>
          <t>Overall Status</t>
        </is>
      </c>
      <c r="F4" s="189" t="inlineStr">
        <is>
          <t>Ready for rate sheets</t>
        </is>
      </c>
      <c r="G4" s="189" t="inlineStr">
        <is>
          <t>Shaw Hold</t>
        </is>
      </c>
      <c r="H4" s="189" t="inlineStr">
        <is>
          <t>Merchant To-Do</t>
        </is>
      </c>
      <c r="I4" s="189" t="inlineStr">
        <is>
          <t>To-Do Done</t>
        </is>
      </c>
      <c r="J4" s="189" t="inlineStr">
        <is>
          <t>Rep</t>
        </is>
      </c>
      <c r="K4" s="189" t="inlineStr">
        <is>
          <t>Service Finance</t>
        </is>
      </c>
      <c r="L4" s="189" t="inlineStr">
        <is>
          <t>Sunlight</t>
        </is>
      </c>
      <c r="M4" s="189" t="inlineStr">
        <is>
          <t>Foundation</t>
        </is>
      </c>
      <c r="N4" s="189" t="inlineStr">
        <is>
          <t>Chowder</t>
        </is>
      </c>
      <c r="O4" s="189" t="inlineStr">
        <is>
          <t>US Bank</t>
        </is>
      </c>
    </row>
    <row r="5">
      <c r="A5">
        <f>IFERROR(_xlfn.LET(_xlpm.nm,'Dealer Master'!$A$5:$A$1021,_xlpm.ow,IF('Dealer Master'!$BZ$5:$BZ$1021="","Unassigned",'Dealer Master'!$BZ$5:$BZ$1021),_xlpm.pri,'Dealer Master'!$K$5:$K$1021,_xlpm.key,IF(ISNUMBER(_xlpm.pri),_xlpm.pri,9),_xlpm.mask,(_xlpm.nm&lt;&gt;""),_xlpm.data,_xlfn.HSTACK(_xlpm.ow,_xlpm.nm,'Dealer Master'!$B$5:$B$1021,_xlpm.pri,'Dealer Master'!$L$5:$L$1021,'Dealer Master'!$CA$5:$CA$1021,'Dealer Master'!$CB$5:$CB$1021,'Dealer Master'!$AJ$5:$AJ$1021,'Dealer Master'!$AK$5:$AK$1021,'Dealer Master'!$G$5:$G$1021,'Dealer Master'!$P$5:$P$1021,'Dealer Master'!$T$5:$T$1021,'Dealer Master'!$X$5:$X$1021,'Dealer Master'!$AB$5:$AB$1021,'Dealer Master'!$AF$5:$AF$1021),_xlpm.f,_xlfn._xlws.FILTER(_xlpm.data,_xlpm.mask),_xlfn.SORTBY(_xlpm.f,_xlfn._xlws.FILTER(_xlpm.ow,_xlpm.mask),1,_xlfn._xlws.FILTER(_xlpm.key,_xlpm.mask),1,_xlfn._xlws.FILTER(_xlpm.nm,_xlpm.mask),1)),"No dealers on the board.")</f>
      </c>
    </row>
  </sheetData>
  <pageMargins left="0.5" right="0.5" top="0.6" bottom="0.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A54CC"/>
  </sheetPr>
  <dimension ref="A1:O40"/>
  <sheetViews>
    <sheetView workbookViewId="0">
      <pane ySplit="4" topLeftCell="A5" activePane="bottomLeft" state="frozen"/>
      <selection pane="bottomLeft" activeCell="A5" sqref="A5"/>
    </sheetView>
  </sheetViews>
  <sheetFormatPr defaultRowHeight="15"/>
  <cols>
    <col min="1" max="1" width="22" customWidth="1"/>
    <col min="2" max="2" width="38" customWidth="1"/>
    <col min="3" max="3" width="28" customWidth="1"/>
    <col min="4" max="4" width="12" customWidth="1"/>
    <col min="5" max="6" width="22" customWidth="1"/>
    <col min="7" max="7" width="62" customWidth="1"/>
    <col min="8" max="8" width="42" customWidth="1"/>
    <col min="9" max="10" width="18" customWidth="1"/>
    <col min="11" max="15" width="18" customWidth="1"/>
  </cols>
  <sheetData>
    <row r="1" ht="22" customHeight="1">
      <c r="A1" s="189" t="inlineStr">
        <is>
          <t>EVAN MINE</t>
        </is>
      </c>
      <c r="C1" s="131">
        <f>COUNTIFS('Dealer Master'!$A$5:$A$1021,"&lt;&gt;",'Dealer Master'!$BZ$5:$BZ$1021,"Evan Young")&amp;" dealers"</f>
      </c>
    </row>
    <row r="2" ht="48" customHeight="1">
      <c r="A2" t="inlineStr">
        <is>
          <t>Evan Young only. Sorted by Priority, then Legal Business Name. Assignments are typed on Dealer Master. This view does not invent them.</t>
        </is>
      </c>
    </row>
    <row r="4" ht="30" customHeight="1">
      <c r="A4" s="189" t="inlineStr">
        <is>
          <t>Finti Owner</t>
        </is>
      </c>
      <c r="B4" s="189" t="inlineStr">
        <is>
          <t>Legal Business Name</t>
        </is>
      </c>
      <c r="C4" s="189" t="inlineStr">
        <is>
          <t>DBA</t>
        </is>
      </c>
      <c r="D4" s="189" t="inlineStr">
        <is>
          <t>Priority</t>
        </is>
      </c>
      <c r="E4" s="189" t="inlineStr">
        <is>
          <t>Overall Status</t>
        </is>
      </c>
      <c r="F4" s="189" t="inlineStr">
        <is>
          <t>Ready for rate sheets</t>
        </is>
      </c>
      <c r="G4" s="189" t="inlineStr">
        <is>
          <t>Shaw Hold</t>
        </is>
      </c>
      <c r="H4" s="189" t="inlineStr">
        <is>
          <t>Merchant To-Do</t>
        </is>
      </c>
      <c r="I4" s="189" t="inlineStr">
        <is>
          <t>To-Do Done</t>
        </is>
      </c>
      <c r="J4" s="189" t="inlineStr">
        <is>
          <t>Rep</t>
        </is>
      </c>
      <c r="K4" s="189" t="inlineStr">
        <is>
          <t>Service Finance</t>
        </is>
      </c>
      <c r="L4" s="189" t="inlineStr">
        <is>
          <t>Sunlight</t>
        </is>
      </c>
      <c r="M4" s="189" t="inlineStr">
        <is>
          <t>Foundation</t>
        </is>
      </c>
      <c r="N4" s="189" t="inlineStr">
        <is>
          <t>Chowder</t>
        </is>
      </c>
      <c r="O4" s="189" t="inlineStr">
        <is>
          <t>US Bank</t>
        </is>
      </c>
    </row>
    <row r="5">
      <c r="A5">
        <f>IFERROR(_xlfn.LET(_xlpm.nm,'Dealer Master'!$A$5:$A$1021,_xlpm.ow,IF('Dealer Master'!$BZ$5:$BZ$1021="","Unassigned",'Dealer Master'!$BZ$5:$BZ$1021),_xlpm.pri,'Dealer Master'!$K$5:$K$1021,_xlpm.key,IF(ISNUMBER(_xlpm.pri),_xlpm.pri,9),_xlpm.mask,((_xlpm.nm&lt;&gt;"")*(_xlpm.ow="Evan Young"))&gt;0,_xlpm.data,_xlfn.HSTACK(_xlpm.ow,_xlpm.nm,'Dealer Master'!$B$5:$B$1021,_xlpm.pri,'Dealer Master'!$L$5:$L$1021,'Dealer Master'!$CA$5:$CA$1021,'Dealer Master'!$CB$5:$CB$1021,'Dealer Master'!$AJ$5:$AJ$1021,'Dealer Master'!$AK$5:$AK$1021,'Dealer Master'!$G$5:$G$1021,'Dealer Master'!$P$5:$P$1021,'Dealer Master'!$T$5:$T$1021,'Dealer Master'!$X$5:$X$1021,'Dealer Master'!$AB$5:$AB$1021,'Dealer Master'!$AF$5:$AF$1021),_xlpm.f,_xlfn._xlws.FILTER(_xlpm.data,_xlpm.mask),_xlfn.SORTBY(_xlpm.f,_xlfn._xlws.FILTER(_xlpm.key,_xlpm.mask),1,_xlfn._xlws.FILTER(_xlpm.nm,_xlpm.mask),1)),"No dealers for Evan Young.")</f>
      </c>
    </row>
  </sheetData>
  <pageMargins left="0.5" right="0.5" top="0.6" bottom="0.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F8B820"/>
  </sheetPr>
  <dimension ref="A1:O40"/>
  <sheetViews>
    <sheetView workbookViewId="0">
      <pane ySplit="4" topLeftCell="A5" activePane="bottomLeft" state="frozen"/>
      <selection pane="bottomLeft" activeCell="A5" sqref="A5"/>
    </sheetView>
  </sheetViews>
  <sheetFormatPr defaultRowHeight="15"/>
  <cols>
    <col min="1" max="1" width="22" customWidth="1"/>
    <col min="2" max="2" width="38" customWidth="1"/>
    <col min="3" max="3" width="28" customWidth="1"/>
    <col min="4" max="4" width="12" customWidth="1"/>
    <col min="5" max="6" width="22" customWidth="1"/>
    <col min="7" max="7" width="62" customWidth="1"/>
    <col min="8" max="8" width="42" customWidth="1"/>
    <col min="9" max="10" width="18" customWidth="1"/>
    <col min="11" max="15" width="18" customWidth="1"/>
  </cols>
  <sheetData>
    <row r="1" ht="22" customHeight="1">
      <c r="A1" s="189" t="inlineStr">
        <is>
          <t>SHAW</t>
        </is>
      </c>
      <c r="C1" s="131">
        <f>COUNTIFS('Dealer Master'!$A$5:$A$1021,"&lt;&gt;",'Dealer Master'!$BZ$5:$BZ$1021,"Brittany Shaw")&amp;" dealers"</f>
      </c>
    </row>
    <row r="2" ht="48" customHeight="1">
      <c r="A2" t="inlineStr">
        <is>
          <t>Brittany Shaw only. Shaw Hold: she keeps a dealer until every applicable lender is Approved or Declined. Applicable excludes blank, N/A, and No Min RQ. A Submitted lender stays hers. Active, Waiting on Dealer, and Ready 2 Submit are not a clear handoff. Sorted by Priority, then name.</t>
        </is>
      </c>
    </row>
    <row r="4" ht="30" customHeight="1">
      <c r="A4" s="189" t="inlineStr">
        <is>
          <t>Finti Owner</t>
        </is>
      </c>
      <c r="B4" s="189" t="inlineStr">
        <is>
          <t>Legal Business Name</t>
        </is>
      </c>
      <c r="C4" s="189" t="inlineStr">
        <is>
          <t>DBA</t>
        </is>
      </c>
      <c r="D4" s="189" t="inlineStr">
        <is>
          <t>Priority</t>
        </is>
      </c>
      <c r="E4" s="189" t="inlineStr">
        <is>
          <t>Overall Status</t>
        </is>
      </c>
      <c r="F4" s="189" t="inlineStr">
        <is>
          <t>Ready for rate sheets</t>
        </is>
      </c>
      <c r="G4" s="189" t="inlineStr">
        <is>
          <t>Shaw Hold</t>
        </is>
      </c>
      <c r="H4" s="189" t="inlineStr">
        <is>
          <t>Merchant To-Do</t>
        </is>
      </c>
      <c r="I4" s="189" t="inlineStr">
        <is>
          <t>To-Do Done</t>
        </is>
      </c>
      <c r="J4" s="189" t="inlineStr">
        <is>
          <t>Rep</t>
        </is>
      </c>
      <c r="K4" s="189" t="inlineStr">
        <is>
          <t>Service Finance</t>
        </is>
      </c>
      <c r="L4" s="189" t="inlineStr">
        <is>
          <t>Sunlight</t>
        </is>
      </c>
      <c r="M4" s="189" t="inlineStr">
        <is>
          <t>Foundation</t>
        </is>
      </c>
      <c r="N4" s="189" t="inlineStr">
        <is>
          <t>Chowder</t>
        </is>
      </c>
      <c r="O4" s="189" t="inlineStr">
        <is>
          <t>US Bank</t>
        </is>
      </c>
    </row>
    <row r="5">
      <c r="A5">
        <f>IFERROR(_xlfn.LET(_xlpm.nm,'Dealer Master'!$A$5:$A$1021,_xlpm.ow,IF('Dealer Master'!$BZ$5:$BZ$1021="","Unassigned",'Dealer Master'!$BZ$5:$BZ$1021),_xlpm.pri,'Dealer Master'!$K$5:$K$1021,_xlpm.key,IF(ISNUMBER(_xlpm.pri),_xlpm.pri,9),_xlpm.mask,((_xlpm.nm&lt;&gt;"")*(_xlpm.ow="Brittany Shaw"))&gt;0,_xlpm.data,_xlfn.HSTACK(_xlpm.ow,_xlpm.nm,'Dealer Master'!$B$5:$B$1021,_xlpm.pri,'Dealer Master'!$L$5:$L$1021,'Dealer Master'!$CA$5:$CA$1021,'Dealer Master'!$CB$5:$CB$1021,'Dealer Master'!$AJ$5:$AJ$1021,'Dealer Master'!$AK$5:$AK$1021,'Dealer Master'!$G$5:$G$1021,'Dealer Master'!$P$5:$P$1021,'Dealer Master'!$T$5:$T$1021,'Dealer Master'!$X$5:$X$1021,'Dealer Master'!$AB$5:$AB$1021,'Dealer Master'!$AF$5:$AF$1021),_xlpm.f,_xlfn._xlws.FILTER(_xlpm.data,_xlpm.mask),_xlfn.SORTBY(_xlpm.f,_xlfn._xlws.FILTER(_xlpm.key,_xlpm.mask),1,_xlfn._xlws.FILTER(_xlpm.nm,_xlpm.mask),1)),"No dealers for Brittany Shaw.")</f>
      </c>
    </row>
  </sheetData>
  <pageMargins left="0.5" right="0.5" top="0.6" bottom="0.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8B865"/>
  </sheetPr>
  <dimension ref="A1:O40"/>
  <sheetViews>
    <sheetView workbookViewId="0">
      <pane ySplit="4" topLeftCell="A5" activePane="bottomLeft" state="frozen"/>
      <selection pane="bottomLeft" activeCell="A5" sqref="A5"/>
    </sheetView>
  </sheetViews>
  <sheetFormatPr defaultRowHeight="15"/>
  <cols>
    <col min="1" max="1" width="22" customWidth="1"/>
    <col min="2" max="2" width="38" customWidth="1"/>
    <col min="3" max="3" width="28" customWidth="1"/>
    <col min="4" max="4" width="12" customWidth="1"/>
    <col min="5" max="6" width="22" customWidth="1"/>
    <col min="7" max="7" width="62" customWidth="1"/>
    <col min="8" max="8" width="42" customWidth="1"/>
    <col min="9" max="10" width="18" customWidth="1"/>
    <col min="11" max="15" width="18" customWidth="1"/>
  </cols>
  <sheetData>
    <row r="1" ht="22" customHeight="1">
      <c r="A1" s="189" t="inlineStr">
        <is>
          <t>COUTU</t>
        </is>
      </c>
      <c r="C1" s="131">
        <f>COUNTIFS('Dealer Master'!$A$5:$A$1021,"&lt;&gt;",'Dealer Master'!$BZ$5:$BZ$1021,"Brittany Coutu")&amp;" dealers"</f>
      </c>
    </row>
    <row r="2" ht="48" customHeight="1">
      <c r="A2" t="inlineStr">
        <is>
          <t>Brittany Coutu only. A dealer appears here when Finti Owner is Brittany Coutu, including after Ready for rate sheets. Sorted by Priority, then name.</t>
        </is>
      </c>
    </row>
    <row r="4" ht="30" customHeight="1">
      <c r="A4" s="189" t="inlineStr">
        <is>
          <t>Finti Owner</t>
        </is>
      </c>
      <c r="B4" s="189" t="inlineStr">
        <is>
          <t>Legal Business Name</t>
        </is>
      </c>
      <c r="C4" s="189" t="inlineStr">
        <is>
          <t>DBA</t>
        </is>
      </c>
      <c r="D4" s="189" t="inlineStr">
        <is>
          <t>Priority</t>
        </is>
      </c>
      <c r="E4" s="189" t="inlineStr">
        <is>
          <t>Overall Status</t>
        </is>
      </c>
      <c r="F4" s="189" t="inlineStr">
        <is>
          <t>Ready for rate sheets</t>
        </is>
      </c>
      <c r="G4" s="189" t="inlineStr">
        <is>
          <t>Shaw Hold</t>
        </is>
      </c>
      <c r="H4" s="189" t="inlineStr">
        <is>
          <t>Merchant To-Do</t>
        </is>
      </c>
      <c r="I4" s="189" t="inlineStr">
        <is>
          <t>To-Do Done</t>
        </is>
      </c>
      <c r="J4" s="189" t="inlineStr">
        <is>
          <t>Rep</t>
        </is>
      </c>
      <c r="K4" s="189" t="inlineStr">
        <is>
          <t>Service Finance</t>
        </is>
      </c>
      <c r="L4" s="189" t="inlineStr">
        <is>
          <t>Sunlight</t>
        </is>
      </c>
      <c r="M4" s="189" t="inlineStr">
        <is>
          <t>Foundation</t>
        </is>
      </c>
      <c r="N4" s="189" t="inlineStr">
        <is>
          <t>Chowder</t>
        </is>
      </c>
      <c r="O4" s="189" t="inlineStr">
        <is>
          <t>US Bank</t>
        </is>
      </c>
    </row>
    <row r="5">
      <c r="A5">
        <f>IFERROR(_xlfn.LET(_xlpm.nm,'Dealer Master'!$A$5:$A$1021,_xlpm.ow,IF('Dealer Master'!$BZ$5:$BZ$1021="","Unassigned",'Dealer Master'!$BZ$5:$BZ$1021),_xlpm.pri,'Dealer Master'!$K$5:$K$1021,_xlpm.key,IF(ISNUMBER(_xlpm.pri),_xlpm.pri,9),_xlpm.mask,((_xlpm.nm&lt;&gt;"")*(_xlpm.ow="Brittany Coutu"))&gt;0,_xlpm.data,_xlfn.HSTACK(_xlpm.ow,_xlpm.nm,'Dealer Master'!$B$5:$B$1021,_xlpm.pri,'Dealer Master'!$L$5:$L$1021,'Dealer Master'!$CA$5:$CA$1021,'Dealer Master'!$CB$5:$CB$1021,'Dealer Master'!$AJ$5:$AJ$1021,'Dealer Master'!$AK$5:$AK$1021,'Dealer Master'!$G$5:$G$1021,'Dealer Master'!$P$5:$P$1021,'Dealer Master'!$T$5:$T$1021,'Dealer Master'!$X$5:$X$1021,'Dealer Master'!$AB$5:$AB$1021,'Dealer Master'!$AF$5:$AF$1021),_xlpm.f,_xlfn._xlws.FILTER(_xlpm.data,_xlpm.mask),_xlfn.SORTBY(_xlpm.f,_xlfn._xlws.FILTER(_xlpm.key,_xlpm.mask),1,_xlfn._xlws.FILTER(_xlpm.nm,_xlpm.mask),1)),"No dealers for Brittany Coutu.")</f>
      </c>
    </row>
  </sheetData>
  <pageMargins left="0.5" right="0.5" top="0.6" bottom="0.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07C41"/>
  </sheetPr>
  <dimension ref="A1:O40"/>
  <sheetViews>
    <sheetView workbookViewId="0">
      <pane ySplit="4" topLeftCell="A5" activePane="bottomLeft" state="frozen"/>
      <selection pane="bottomLeft" activeCell="A5" sqref="A5"/>
    </sheetView>
  </sheetViews>
  <sheetFormatPr defaultRowHeight="15"/>
  <cols>
    <col min="1" max="1" width="42" customWidth="1"/>
    <col min="2" max="2" width="88" customWidth="1"/>
  </cols>
  <sheetData>
    <row r="1">
      <c r="A1" s="189" t="inlineStr">
        <is>
          <t>READY FOR RATE SHEETS</t>
        </is>
      </c>
    </row>
    <row r="2" ht="36" customHeight="1">
      <c r="A2" t="inlineStr">
        <is>
          <t>Type the Legal Business Name, confirm the preview, then run Office Script ReadyForRateSheets. On a phone, skip the script and set the same two cells on Dealer Master: Finti Owner (BZ) = Brittany Coutu and Ready for rate sheets (CA) = Yes. There is no VBA path.</t>
        </is>
      </c>
    </row>
    <row r="3">
      <c r="A3" s="287" t="inlineStr">
        <is>
          <t>Legal Business Name</t>
        </is>
      </c>
      <c r="B3" s="80"/>
    </row>
    <row r="4">
      <c r="A4" s="287" t="inlineStr">
        <is>
          <t>Dealer Master row (optional)</t>
        </is>
      </c>
      <c r="B4" s="80"/>
    </row>
    <row r="5">
      <c r="A5" t="inlineStr">
        <is>
          <t>Matched row</t>
        </is>
      </c>
      <c r="B5">
        <f>IF($B$3="","",IFERROR(MATCH($B$3,'Dealer Master'!$A$5:$A$1021,0)+4,"Not found"))</f>
      </c>
    </row>
    <row r="6">
      <c r="A6" t="inlineStr">
        <is>
          <t>Current Finti Owner</t>
        </is>
      </c>
      <c r="B6">
        <f>IF(OR($B$5="",$B$5="Not found"),"",IF(INDEX('Dealer Master'!$BZ:$BZ,$B$5)="","Unassigned",INDEX('Dealer Master'!$BZ:$BZ,$B$5)))</f>
      </c>
    </row>
    <row r="7">
      <c r="A7" t="inlineStr">
        <is>
          <t>Shaw Hold</t>
        </is>
      </c>
      <c r="B7">
        <f>IF(OR($B$5="",$B$5="Not found"),"",INDEX('Dealer Master'!$CB:$CB,$B$5))</f>
      </c>
    </row>
    <row r="8">
      <c r="A8" t="inlineStr">
        <is>
          <t>Ready for rate sheets</t>
        </is>
      </c>
      <c r="B8">
        <f>IF(OR($B$5="",$B$5="Not found"),"",INDEX('Dealer Master'!$CA:$CA,$B$5))</f>
      </c>
    </row>
    <row r="9">
      <c r="A9" t="inlineStr">
        <is>
          <t>Overall Status</t>
        </is>
      </c>
      <c r="B9">
        <f>IF(OR($B$5="",$B$5="Not found"),"",INDEX('Dealer Master'!$L:$L,$B$5))</f>
      </c>
    </row>
    <row r="10">
      <c r="A10" t="inlineStr">
        <is>
          <t>Last handoff result</t>
        </is>
      </c>
      <c r="B10" t="inlineStr">
        <is>
          <t>Not run yet</t>
        </is>
      </c>
    </row>
    <row r="12">
      <c r="A12" s="189" t="inlineStr">
        <is>
          <t>Script writes these cells on the matched Dealer Master row</t>
        </is>
      </c>
    </row>
    <row r="13">
      <c r="A13" t="inlineStr">
        <is>
          <t>BZ Finti Owner</t>
        </is>
      </c>
      <c r="B13" t="inlineStr">
        <is>
          <t>Brittany Coutu</t>
        </is>
      </c>
    </row>
    <row r="14">
      <c r="A14" t="inlineStr">
        <is>
          <t>CA Ready for rate sheets</t>
        </is>
      </c>
      <c r="B14" t="inlineStr">
        <is>
          <t>Yes</t>
        </is>
      </c>
    </row>
    <row r="15" ht="36" customHeight="1">
      <c r="A15" t="inlineStr">
        <is>
          <t>L Overall Status</t>
        </is>
      </c>
      <c r="B15" t="inlineStr">
        <is>
          <t>Rate Sheet when L is a typed value. When L is the calculated formula, Ready=Yes returns Rate Sheet unless status is already LIVE DLR, Training, Active, or Dead.</t>
        </is>
      </c>
    </row>
    <row r="16">
      <c r="A16" t="inlineStr">
        <is>
          <t>CC Handoff note</t>
        </is>
      </c>
      <c r="B16" t="inlineStr">
        <is>
          <t>Short note that the handoff ran</t>
        </is>
      </c>
    </row>
    <row r="18">
      <c r="A18" s="189" t="inlineStr">
        <is>
          <t>Shaw rule</t>
        </is>
      </c>
    </row>
    <row r="19" ht="36" customHeight="1">
      <c r="A19" t="inlineStr">
        <is>
          <t>Shaw keeps the dealer until every applicable lender is Approved or Declined. Applicable means the lender status is not blank, N/A, or No Min RQ. Any Submitted lender stays hers. The script still switches owner when you run it; Shaw Hold is the warning, not a silent assignment.</t>
        </is>
      </c>
    </row>
    <row r="21">
      <c r="A21" s="189" t="inlineStr">
        <is>
          <t>Mobile / no script</t>
        </is>
      </c>
    </row>
    <row r="22" ht="36" customHeight="1">
      <c r="A22" t="inlineStr">
        <is>
          <t>1. Confirm B5 is the right row and read Shaw Hold in B7. 2. On Dealer Master set that row's Finti Owner to Brittany Coutu and Ready for rate sheets to Yes. 3. Open Coutu. The dealer is there because Owner matches. Evan All still lists everyone.</t>
        </is>
      </c>
    </row>
  </sheetData>
  <pageMargins left="0.5" right="0.5" top="0.6" bottom="0.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O40"/>
  <sheetViews>
    <sheetView workbookViewId="0"/>
  </sheetViews>
  <sheetFormatPr defaultRowHeight="15"/>
  <cols>
    <col min="1" max="1" width="24" customWidth="1"/>
  </cols>
  <sheetData>
    <row r="1">
      <c r="A1" s="189" t="inlineStr">
        <is>
          <t>Finti Owner</t>
        </is>
      </c>
    </row>
    <row r="2">
      <c r="A2" t="inlineStr">
        <is>
          <t>Evan Young</t>
        </is>
      </c>
    </row>
    <row r="3">
      <c r="A3" t="inlineStr">
        <is>
          <t>Brittany Shaw</t>
        </is>
      </c>
    </row>
    <row r="4">
      <c r="A4" t="inlineStr">
        <is>
          <t>Brittany Coutu</t>
        </is>
      </c>
    </row>
    <row r="5">
      <c r="A5" t="inlineStr">
        <is>
          <t>Unassigned</t>
        </is>
      </c>
    </row>
  </sheetData>
  <pageMargins left="0.5" right="0.5" top="0.6" bottom="0.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scriptId id="ms-officescript%3A%2F%2Fonedrive_business_itemlink%2F01TYVKN7D6NIF7HD3AH5A3CQ73SDUC7X2N:ms-officescript%3A%2F%2Fonedrive_business_sharinglink%2Fu!aHR0cHM6Ly9maXJzdGFwcG9zLW15LnNoYXJlcG9pbnQuY29tLzp1Oi9nL3BlcnNvbmFsL2V2YW55b3VuZ19nZXRmaW50aV9jb20vSVFCLWFndnpqMkFfUWJGRC01RG9MOTlOQVR1LWJxVEhPYXV2UHdDaHZ6NTNRVGc"/>
  <scriptId xmlns="" id="ms-officescript%3A%2F%2Fonedrive_business_itemlink%2F01TYVKN7AUV6CFZRH755BKEM362NX3R7MJ:ms-officescript%3A%2F%2Fonedrive_business_sharinglink%2Fu!aHR0cHM6Ly9maXJzdGFwcG9zLW15LnNoYXJlcG9pbnQuY29tLzp1Oi9nL3BlcnNvbmFsL2V2YW55b3VuZ19nZXRmaW50aV9jb20vSVFBVXI0UmN4UF92UXFJemZ0TnZ1UDJKQVdUa3RuYVRDQW9CZVlFN0V0bnR1c00"/>
  <scriptId xmlns="" id="ms-officescript%3A%2F%2Fonedrive_business_itemlink%2F01TYVKN7AH64MPHT44SVDLL2DTD7O4NGCW:ms-officescript%3A%2F%2Fonedrive_business_sharinglink%2Fu!aHR0cHM6Ly9maXJzdGFwcG9zLW15LnNoYXJlcG9pbnQuY29tLzp1Oi9nL3BlcnNvbmFsL2V2YW55b3VuZ19nZXRmaW50aV9jb20vSVFBSDl4anp6NXlWUnJYb2N4X2R4cGhXQWVzd2dUWTVINzBZeDlmVFR1Uy1JMVk"/>
  <scriptId xmlns="" id="ms-officescript%3A%2F%2Fonedrive_business_itemlink%2F01TYVKN7FAVYLRRX7PANHZVLSRDS4RXRJ5:ms-officescript%3A%2F%2Fonedrive_business_sharinglink%2Fu!aHR0cHM6Ly9maXJzdGFwcG9zLW15LnNoYXJlcG9pbnQuY29tLzp1Oi9nL3BlcnNvbmFsL2V2YW55b3VuZ19nZXRmaW50aV9jb20vSVFDZ3JoY1kzLThEVDVxdVVSeTVHOFU5QWVTWXFWX3Vfd2xfWHNkdHZ5cHVuNjA"/>
</scriptIds>
</file>

<file path=customXml/itemProps1.xml><?xml version="1.0" encoding="utf-8"?>
<ds:datastoreItem xmlns:ds="http://schemas.openxmlformats.org/officeDocument/2006/customXml" ds:itemID="{1D128394-B553-4CD4-B5B5-384474DAA0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Merchant Onboarding</cp:lastModifiedBy>
  <cp:revision>0</cp:revision>
  <dcterms:created xsi:type="dcterms:W3CDTF">2026-08-29T17:19:41Z</dcterms:created>
  <dcterms:modified xsi:type="dcterms:W3CDTF">2026-09-23T22:49:37Z</dcterms:modified>
  <cp:category/>
  <cp:contentStatus/>
</cp:coreProperties>
</file>